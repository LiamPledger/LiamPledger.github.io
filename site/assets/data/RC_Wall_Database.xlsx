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jp70\OneDrive - University of Canterbury\PhD\7. Courses\ENEQ676\Opinion Paper 01\"/>
    </mc:Choice>
  </mc:AlternateContent>
  <xr:revisionPtr revIDLastSave="0" documentId="13_ncr:1_{DC52FAC8-F4D5-420E-B2FB-46E0717ACC00}" xr6:coauthVersionLast="47" xr6:coauthVersionMax="47" xr10:uidLastSave="{00000000-0000-0000-0000-000000000000}"/>
  <bookViews>
    <workbookView xWindow="28680" yWindow="-120" windowWidth="25440" windowHeight="15390" tabRatio="263" xr2:uid="{00000000-000D-0000-FFFF-FFFF00000000}"/>
  </bookViews>
  <sheets>
    <sheet name="Database" sheetId="16" r:id="rId1"/>
    <sheet name="Sheet1" sheetId="18" r:id="rId2"/>
    <sheet name="ColumnName" sheetId="17" r:id="rId3"/>
  </sheets>
  <definedNames>
    <definedName name="_xlnm._FilterDatabase" localSheetId="0" hidden="1">Database!$S$1:$S$426</definedName>
    <definedName name="solver_adj" localSheetId="0" hidden="1">Database!$BS$421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Database!$BQ$421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0" i="16" l="1"/>
  <c r="I2" i="16"/>
  <c r="AV2" i="16"/>
  <c r="AR2" i="16"/>
  <c r="AQ2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S15" i="16" l="1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S36" i="16"/>
  <c r="S37" i="16"/>
  <c r="S38" i="16"/>
  <c r="S39" i="16"/>
  <c r="S40" i="16"/>
  <c r="S41" i="16"/>
  <c r="S42" i="16"/>
  <c r="S43" i="16"/>
  <c r="S44" i="16"/>
  <c r="S45" i="16"/>
  <c r="S46" i="16"/>
  <c r="S47" i="16"/>
  <c r="S48" i="16"/>
  <c r="S49" i="16"/>
  <c r="S50" i="16"/>
  <c r="S51" i="16"/>
  <c r="S52" i="16"/>
  <c r="S53" i="16"/>
  <c r="S54" i="16"/>
  <c r="S55" i="16"/>
  <c r="S56" i="16"/>
  <c r="S57" i="16"/>
  <c r="S58" i="16"/>
  <c r="S59" i="16"/>
  <c r="S60" i="16"/>
  <c r="S61" i="16"/>
  <c r="S62" i="16"/>
  <c r="S63" i="16"/>
  <c r="S64" i="16"/>
  <c r="S65" i="16"/>
  <c r="S66" i="16"/>
  <c r="S67" i="16"/>
  <c r="S68" i="16"/>
  <c r="S69" i="16"/>
  <c r="S70" i="16"/>
  <c r="S71" i="16"/>
  <c r="S72" i="16"/>
  <c r="S73" i="16"/>
  <c r="S74" i="16"/>
  <c r="S75" i="16"/>
  <c r="S76" i="16"/>
  <c r="S77" i="16"/>
  <c r="S78" i="16"/>
  <c r="S79" i="16"/>
  <c r="S80" i="16"/>
  <c r="S81" i="16"/>
  <c r="S82" i="16"/>
  <c r="S83" i="16"/>
  <c r="S84" i="16"/>
  <c r="S85" i="16"/>
  <c r="S86" i="16"/>
  <c r="S87" i="16"/>
  <c r="S88" i="16"/>
  <c r="S89" i="16"/>
  <c r="S90" i="16"/>
  <c r="S91" i="16"/>
  <c r="S92" i="16"/>
  <c r="S93" i="16"/>
  <c r="S94" i="16"/>
  <c r="S95" i="16"/>
  <c r="S96" i="16"/>
  <c r="S97" i="16"/>
  <c r="S98" i="16"/>
  <c r="S99" i="16"/>
  <c r="S100" i="16"/>
  <c r="S101" i="16"/>
  <c r="S102" i="16"/>
  <c r="S103" i="16"/>
  <c r="S104" i="16"/>
  <c r="S105" i="16"/>
  <c r="S106" i="16"/>
  <c r="S107" i="16"/>
  <c r="S108" i="16"/>
  <c r="S109" i="16"/>
  <c r="S110" i="16"/>
  <c r="S111" i="16"/>
  <c r="S112" i="16"/>
  <c r="S113" i="16"/>
  <c r="S114" i="16"/>
  <c r="S115" i="16"/>
  <c r="S116" i="16"/>
  <c r="S117" i="16"/>
  <c r="S118" i="16"/>
  <c r="S119" i="16"/>
  <c r="S120" i="16"/>
  <c r="S121" i="16"/>
  <c r="S122" i="16"/>
  <c r="S123" i="16"/>
  <c r="S124" i="16"/>
  <c r="S125" i="16"/>
  <c r="S126" i="16"/>
  <c r="S127" i="16"/>
  <c r="S128" i="16"/>
  <c r="S129" i="16"/>
  <c r="S130" i="16"/>
  <c r="S131" i="16"/>
  <c r="S132" i="16"/>
  <c r="S133" i="16"/>
  <c r="S134" i="16"/>
  <c r="S135" i="16"/>
  <c r="S136" i="16"/>
  <c r="S137" i="16"/>
  <c r="S138" i="16"/>
  <c r="S139" i="16"/>
  <c r="S140" i="16"/>
  <c r="S141" i="16"/>
  <c r="S142" i="16"/>
  <c r="S143" i="16"/>
  <c r="S144" i="16"/>
  <c r="S145" i="16"/>
  <c r="S146" i="16"/>
  <c r="S147" i="16"/>
  <c r="S148" i="16"/>
  <c r="S149" i="16"/>
  <c r="S150" i="16"/>
  <c r="S151" i="16"/>
  <c r="S152" i="16"/>
  <c r="S153" i="16"/>
  <c r="S154" i="16"/>
  <c r="S155" i="16"/>
  <c r="S156" i="16"/>
  <c r="S157" i="16"/>
  <c r="S158" i="16"/>
  <c r="S159" i="16"/>
  <c r="S160" i="16"/>
  <c r="S161" i="16"/>
  <c r="S162" i="16"/>
  <c r="S163" i="16"/>
  <c r="S164" i="16"/>
  <c r="S165" i="16"/>
  <c r="S166" i="16"/>
  <c r="S167" i="16"/>
  <c r="S168" i="16"/>
  <c r="S169" i="16"/>
  <c r="S170" i="16"/>
  <c r="S171" i="16"/>
  <c r="S172" i="16"/>
  <c r="S173" i="16"/>
  <c r="S174" i="16"/>
  <c r="S175" i="16"/>
  <c r="S176" i="16"/>
  <c r="S177" i="16"/>
  <c r="S178" i="16"/>
  <c r="S179" i="16"/>
  <c r="S180" i="16"/>
  <c r="S181" i="16"/>
  <c r="S182" i="16"/>
  <c r="S183" i="16"/>
  <c r="S184" i="16"/>
  <c r="S185" i="16"/>
  <c r="S186" i="16"/>
  <c r="S187" i="16"/>
  <c r="S188" i="16"/>
  <c r="S189" i="16"/>
  <c r="S190" i="16"/>
  <c r="S191" i="16"/>
  <c r="S192" i="16"/>
  <c r="S193" i="16"/>
  <c r="S194" i="16"/>
  <c r="S195" i="16"/>
  <c r="S196" i="16"/>
  <c r="S197" i="16"/>
  <c r="S198" i="16"/>
  <c r="S199" i="16"/>
  <c r="S200" i="16"/>
  <c r="S201" i="16"/>
  <c r="S202" i="16"/>
  <c r="S203" i="16"/>
  <c r="S204" i="16"/>
  <c r="S205" i="16"/>
  <c r="S206" i="16"/>
  <c r="S207" i="16"/>
  <c r="S208" i="16"/>
  <c r="S209" i="16"/>
  <c r="S210" i="16"/>
  <c r="S211" i="16"/>
  <c r="S212" i="16"/>
  <c r="S213" i="16"/>
  <c r="S214" i="16"/>
  <c r="S215" i="16"/>
  <c r="S216" i="16"/>
  <c r="S217" i="16"/>
  <c r="S218" i="16"/>
  <c r="S219" i="16"/>
  <c r="S220" i="16"/>
  <c r="S221" i="16"/>
  <c r="S222" i="16"/>
  <c r="S223" i="16"/>
  <c r="S224" i="16"/>
  <c r="S225" i="16"/>
  <c r="S226" i="16"/>
  <c r="S227" i="16"/>
  <c r="S228" i="16"/>
  <c r="S229" i="16"/>
  <c r="S230" i="16"/>
  <c r="S231" i="16"/>
  <c r="S232" i="16"/>
  <c r="S233" i="16"/>
  <c r="S234" i="16"/>
  <c r="S235" i="16"/>
  <c r="S236" i="16"/>
  <c r="S237" i="16"/>
  <c r="S238" i="16"/>
  <c r="S239" i="16"/>
  <c r="S240" i="16"/>
  <c r="S248" i="16"/>
  <c r="S249" i="16"/>
  <c r="S250" i="16"/>
  <c r="S251" i="16"/>
  <c r="S252" i="16"/>
  <c r="S253" i="16"/>
  <c r="S254" i="16"/>
  <c r="S255" i="16"/>
  <c r="S256" i="16"/>
  <c r="S257" i="16"/>
  <c r="S258" i="16"/>
  <c r="S259" i="16"/>
  <c r="S260" i="16"/>
  <c r="S351" i="16"/>
  <c r="S352" i="16"/>
  <c r="S353" i="16"/>
  <c r="S354" i="16"/>
  <c r="AC204" i="16" l="1"/>
  <c r="AD204" i="16"/>
  <c r="AE204" i="16"/>
  <c r="AL204" i="16"/>
  <c r="AM204" i="16"/>
  <c r="AN204" i="16"/>
  <c r="AP204" i="16"/>
  <c r="AR204" i="16" s="1"/>
  <c r="AQ204" i="16"/>
  <c r="AS204" i="16" s="1"/>
  <c r="AG204" i="16" s="1"/>
  <c r="AW204" i="16"/>
  <c r="AX204" i="16"/>
  <c r="BA204" i="16"/>
  <c r="BB204" i="16"/>
  <c r="BG204" i="16"/>
  <c r="BM204" i="16"/>
  <c r="BO204" i="16" s="1"/>
  <c r="BY204" i="16"/>
  <c r="CA204" i="16"/>
  <c r="CB204" i="16" s="1"/>
  <c r="DM204" i="16"/>
  <c r="DN204" i="16"/>
  <c r="DO204" i="16"/>
  <c r="DP204" i="16"/>
  <c r="DQ204" i="16"/>
  <c r="DR204" i="16"/>
  <c r="DS204" i="16"/>
  <c r="DT204" i="16"/>
  <c r="DU204" i="16"/>
  <c r="DV204" i="16"/>
  <c r="DW204" i="16"/>
  <c r="DX204" i="16"/>
  <c r="DY204" i="16"/>
  <c r="DZ204" i="16"/>
  <c r="EA204" i="16"/>
  <c r="EB204" i="16"/>
  <c r="EC204" i="16"/>
  <c r="BT204" i="16" l="1"/>
  <c r="CK204" i="16"/>
  <c r="FM204" i="16" s="1"/>
  <c r="HA204" i="16" s="1"/>
  <c r="CI204" i="16"/>
  <c r="FK204" i="16" s="1"/>
  <c r="GY204" i="16" s="1"/>
  <c r="CG204" i="16"/>
  <c r="FI204" i="16" s="1"/>
  <c r="GW204" i="16" s="1"/>
  <c r="CD204" i="16"/>
  <c r="FF204" i="16" s="1"/>
  <c r="GT204" i="16" s="1"/>
  <c r="FD204" i="16"/>
  <c r="GR204" i="16" s="1"/>
  <c r="CL204" i="16"/>
  <c r="CM204" i="16" s="1"/>
  <c r="CN204" i="16" s="1"/>
  <c r="CH204" i="16"/>
  <c r="FJ204" i="16" s="1"/>
  <c r="GX204" i="16" s="1"/>
  <c r="CC204" i="16"/>
  <c r="FE204" i="16" s="1"/>
  <c r="GS204" i="16" s="1"/>
  <c r="FA204" i="16"/>
  <c r="GO204" i="16" s="1"/>
  <c r="AI204" i="16"/>
  <c r="FC204" i="16"/>
  <c r="GQ204" i="16" s="1"/>
  <c r="CJ204" i="16"/>
  <c r="FL204" i="16" s="1"/>
  <c r="GZ204" i="16" s="1"/>
  <c r="CE204" i="16"/>
  <c r="FG204" i="16" s="1"/>
  <c r="GU204" i="16" s="1"/>
  <c r="BZ204" i="16"/>
  <c r="FB204" i="16" s="1"/>
  <c r="GP204" i="16" s="1"/>
  <c r="Z204" i="16"/>
  <c r="X204" i="16" s="1"/>
  <c r="BL204" i="16"/>
  <c r="AV204" i="16"/>
  <c r="AF204" i="16" s="1"/>
  <c r="AA204" i="16" s="1"/>
  <c r="W204" i="16" s="1"/>
  <c r="AH204" i="16"/>
  <c r="CF204" i="16"/>
  <c r="FH204" i="16" s="1"/>
  <c r="GV204" i="16" s="1"/>
  <c r="Y342" i="16"/>
  <c r="AK342" i="16"/>
  <c r="AL342" i="16" s="1"/>
  <c r="AO342" i="16"/>
  <c r="AP342" i="16"/>
  <c r="AQ342" i="16"/>
  <c r="AT342" i="16"/>
  <c r="AU342" i="16"/>
  <c r="BA342" i="16"/>
  <c r="AZ342" i="16" s="1"/>
  <c r="BB342" i="16"/>
  <c r="BC342" i="16"/>
  <c r="BD342" i="16"/>
  <c r="BG342" i="16"/>
  <c r="BH342" i="16"/>
  <c r="BI342" i="16"/>
  <c r="BK342" i="16" s="1"/>
  <c r="BM342" i="16"/>
  <c r="BN342" i="16"/>
  <c r="BY342" i="16"/>
  <c r="BZ342" i="16" s="1"/>
  <c r="DM342" i="16"/>
  <c r="DN342" i="16"/>
  <c r="DO342" i="16"/>
  <c r="DP342" i="16"/>
  <c r="DQ342" i="16"/>
  <c r="DR342" i="16"/>
  <c r="DS342" i="16"/>
  <c r="DT342" i="16"/>
  <c r="DU342" i="16"/>
  <c r="DV342" i="16"/>
  <c r="DW342" i="16"/>
  <c r="DX342" i="16"/>
  <c r="DY342" i="16"/>
  <c r="DZ342" i="16"/>
  <c r="EA342" i="16"/>
  <c r="EB342" i="16"/>
  <c r="EC342" i="16"/>
  <c r="ED342" i="16"/>
  <c r="EE342" i="16"/>
  <c r="EF342" i="16"/>
  <c r="EG342" i="16"/>
  <c r="EH342" i="16"/>
  <c r="EI342" i="16"/>
  <c r="EJ342" i="16"/>
  <c r="EK342" i="16"/>
  <c r="EL342" i="16"/>
  <c r="EM342" i="16"/>
  <c r="Y343" i="16"/>
  <c r="AK343" i="16"/>
  <c r="AL343" i="16" s="1"/>
  <c r="AO343" i="16"/>
  <c r="AP343" i="16"/>
  <c r="AQ343" i="16"/>
  <c r="AT343" i="16"/>
  <c r="AU343" i="16"/>
  <c r="J343" i="16" s="1"/>
  <c r="BA343" i="16"/>
  <c r="AZ343" i="16" s="1"/>
  <c r="BB343" i="16"/>
  <c r="BC343" i="16"/>
  <c r="BD343" i="16"/>
  <c r="BG343" i="16"/>
  <c r="BH343" i="16"/>
  <c r="BI343" i="16"/>
  <c r="BK343" i="16" s="1"/>
  <c r="BM343" i="16"/>
  <c r="BN343" i="16"/>
  <c r="BY343" i="16"/>
  <c r="BZ343" i="16" s="1"/>
  <c r="DM343" i="16"/>
  <c r="DN343" i="16"/>
  <c r="DO343" i="16"/>
  <c r="DP343" i="16"/>
  <c r="DQ343" i="16"/>
  <c r="DR343" i="16"/>
  <c r="DS343" i="16"/>
  <c r="DT343" i="16"/>
  <c r="DU343" i="16"/>
  <c r="DV343" i="16"/>
  <c r="DW343" i="16"/>
  <c r="DX343" i="16"/>
  <c r="DY343" i="16"/>
  <c r="DZ343" i="16"/>
  <c r="EA343" i="16"/>
  <c r="EB343" i="16"/>
  <c r="EC343" i="16"/>
  <c r="ED343" i="16"/>
  <c r="EE343" i="16"/>
  <c r="EF343" i="16"/>
  <c r="EG343" i="16"/>
  <c r="EH343" i="16"/>
  <c r="EI343" i="16"/>
  <c r="EJ343" i="16"/>
  <c r="EK343" i="16"/>
  <c r="EL343" i="16"/>
  <c r="EM343" i="16"/>
  <c r="Y344" i="16"/>
  <c r="AK344" i="16"/>
  <c r="AM344" i="16" s="1"/>
  <c r="AO344" i="16"/>
  <c r="AP344" i="16"/>
  <c r="AQ344" i="16"/>
  <c r="AT344" i="16"/>
  <c r="AU344" i="16"/>
  <c r="J344" i="16" s="1"/>
  <c r="AZ344" i="16"/>
  <c r="BA344" i="16"/>
  <c r="BB344" i="16"/>
  <c r="BC344" i="16"/>
  <c r="BD344" i="16"/>
  <c r="BF344" i="16"/>
  <c r="BG344" i="16"/>
  <c r="BH344" i="16"/>
  <c r="BI344" i="16"/>
  <c r="BK344" i="16" s="1"/>
  <c r="BM344" i="16"/>
  <c r="BO344" i="16" s="1"/>
  <c r="BY344" i="16"/>
  <c r="BZ344" i="16" s="1"/>
  <c r="DM344" i="16"/>
  <c r="DN344" i="16"/>
  <c r="DO344" i="16"/>
  <c r="DP344" i="16"/>
  <c r="DQ344" i="16"/>
  <c r="DR344" i="16"/>
  <c r="DS344" i="16"/>
  <c r="DT344" i="16"/>
  <c r="DU344" i="16"/>
  <c r="DV344" i="16"/>
  <c r="DW344" i="16"/>
  <c r="DX344" i="16"/>
  <c r="DY344" i="16"/>
  <c r="DZ344" i="16"/>
  <c r="EA344" i="16"/>
  <c r="EB344" i="16"/>
  <c r="EC344" i="16"/>
  <c r="ED344" i="16"/>
  <c r="EE344" i="16"/>
  <c r="EF344" i="16"/>
  <c r="EG344" i="16"/>
  <c r="EH344" i="16"/>
  <c r="EI344" i="16"/>
  <c r="EJ344" i="16"/>
  <c r="EK344" i="16"/>
  <c r="EL344" i="16"/>
  <c r="EM344" i="16"/>
  <c r="EN344" i="16"/>
  <c r="EO344" i="16"/>
  <c r="FN204" i="16" l="1"/>
  <c r="HB204" i="16" s="1"/>
  <c r="AB204" i="16"/>
  <c r="FO204" i="16"/>
  <c r="HC204" i="16" s="1"/>
  <c r="AS343" i="16"/>
  <c r="AI343" i="16" s="1"/>
  <c r="FB342" i="16"/>
  <c r="GP342" i="16" s="1"/>
  <c r="CO204" i="16"/>
  <c r="FQ204" i="16" s="1"/>
  <c r="HE204" i="16" s="1"/>
  <c r="FP204" i="16"/>
  <c r="HD204" i="16" s="1"/>
  <c r="J342" i="16"/>
  <c r="AD342" i="16" s="1"/>
  <c r="M344" i="16"/>
  <c r="AS342" i="16"/>
  <c r="AY342" i="16"/>
  <c r="BO342" i="16"/>
  <c r="O342" i="16"/>
  <c r="BO343" i="16"/>
  <c r="FB343" i="16"/>
  <c r="GP343" i="16" s="1"/>
  <c r="K343" i="16"/>
  <c r="AY344" i="16"/>
  <c r="O343" i="16"/>
  <c r="AY343" i="16"/>
  <c r="AJ343" i="16" s="1"/>
  <c r="N342" i="16"/>
  <c r="AR342" i="16"/>
  <c r="BL342" i="16" s="1"/>
  <c r="AG342" i="16"/>
  <c r="AL344" i="16"/>
  <c r="CC342" i="16"/>
  <c r="FE342" i="16" s="1"/>
  <c r="GS342" i="16" s="1"/>
  <c r="M342" i="16"/>
  <c r="AX342" i="16"/>
  <c r="AM342" i="16"/>
  <c r="AC342" i="16"/>
  <c r="CB342" i="16"/>
  <c r="FD342" i="16" s="1"/>
  <c r="GR342" i="16" s="1"/>
  <c r="K342" i="16"/>
  <c r="N343" i="16"/>
  <c r="AR343" i="16"/>
  <c r="BL343" i="16" s="1"/>
  <c r="FA342" i="16"/>
  <c r="GO342" i="16" s="1"/>
  <c r="CE342" i="16"/>
  <c r="CA342" i="16"/>
  <c r="FC342" i="16" s="1"/>
  <c r="GQ342" i="16" s="1"/>
  <c r="L342" i="16"/>
  <c r="AX344" i="16"/>
  <c r="CC344" i="16"/>
  <c r="FE344" i="16" s="1"/>
  <c r="GS344" i="16" s="1"/>
  <c r="AR344" i="16"/>
  <c r="BL344" i="16" s="1"/>
  <c r="CC343" i="16"/>
  <c r="FE343" i="16" s="1"/>
  <c r="GS343" i="16" s="1"/>
  <c r="M343" i="16"/>
  <c r="AM343" i="16"/>
  <c r="F343" i="16"/>
  <c r="CD342" i="16"/>
  <c r="FF342" i="16" s="1"/>
  <c r="GT342" i="16" s="1"/>
  <c r="AN342" i="16"/>
  <c r="AD343" i="16"/>
  <c r="AC343" i="16"/>
  <c r="N344" i="16"/>
  <c r="CB343" i="16"/>
  <c r="FD343" i="16" s="1"/>
  <c r="GR343" i="16" s="1"/>
  <c r="L344" i="16"/>
  <c r="AN344" i="16"/>
  <c r="FA343" i="16"/>
  <c r="GO343" i="16" s="1"/>
  <c r="CE343" i="16"/>
  <c r="CA343" i="16"/>
  <c r="FC343" i="16" s="1"/>
  <c r="GQ343" i="16" s="1"/>
  <c r="AX343" i="16"/>
  <c r="L343" i="16"/>
  <c r="FB344" i="16"/>
  <c r="GP344" i="16" s="1"/>
  <c r="O344" i="16"/>
  <c r="AS344" i="16"/>
  <c r="AG344" i="16" s="1"/>
  <c r="CD343" i="16"/>
  <c r="FF343" i="16" s="1"/>
  <c r="GT343" i="16" s="1"/>
  <c r="AN343" i="16"/>
  <c r="AC344" i="16"/>
  <c r="AD344" i="16"/>
  <c r="CB344" i="16"/>
  <c r="FD344" i="16" s="1"/>
  <c r="GR344" i="16" s="1"/>
  <c r="K344" i="16"/>
  <c r="FA344" i="16"/>
  <c r="GO344" i="16" s="1"/>
  <c r="CA344" i="16"/>
  <c r="FC344" i="16" s="1"/>
  <c r="GQ344" i="16" s="1"/>
  <c r="CD344" i="16"/>
  <c r="BE359" i="16"/>
  <c r="BE308" i="16"/>
  <c r="BM246" i="16"/>
  <c r="BM245" i="16"/>
  <c r="BI246" i="16"/>
  <c r="BI245" i="16"/>
  <c r="BE245" i="16"/>
  <c r="BE246" i="16"/>
  <c r="AG343" i="16" l="1"/>
  <c r="AH343" i="16"/>
  <c r="BR204" i="16"/>
  <c r="BP204" i="16" s="1"/>
  <c r="T204" i="16" s="1"/>
  <c r="AE343" i="16"/>
  <c r="BT343" i="16" s="1"/>
  <c r="S343" i="16"/>
  <c r="AV342" i="16"/>
  <c r="S342" i="16"/>
  <c r="F344" i="16"/>
  <c r="S344" i="16"/>
  <c r="BQ204" i="16"/>
  <c r="AI344" i="16"/>
  <c r="AB343" i="16"/>
  <c r="AJ342" i="16"/>
  <c r="AH342" i="16"/>
  <c r="AI342" i="16"/>
  <c r="AH344" i="16"/>
  <c r="R344" i="16"/>
  <c r="R342" i="16"/>
  <c r="F342" i="16"/>
  <c r="AE342" i="16"/>
  <c r="BT342" i="16" s="1"/>
  <c r="AJ344" i="16"/>
  <c r="Z342" i="16"/>
  <c r="X342" i="16" s="1"/>
  <c r="AV344" i="16"/>
  <c r="AE344" i="16"/>
  <c r="BT344" i="16" s="1"/>
  <c r="AV343" i="16"/>
  <c r="R343" i="16"/>
  <c r="CF342" i="16"/>
  <c r="FG342" i="16"/>
  <c r="GU342" i="16" s="1"/>
  <c r="Z344" i="16"/>
  <c r="X344" i="16" s="1"/>
  <c r="CF343" i="16"/>
  <c r="FG343" i="16"/>
  <c r="GU343" i="16" s="1"/>
  <c r="Z343" i="16"/>
  <c r="X343" i="16" s="1"/>
  <c r="CE344" i="16"/>
  <c r="FF344" i="16"/>
  <c r="GT344" i="16" s="1"/>
  <c r="BP139" i="16"/>
  <c r="V139" i="16" s="1"/>
  <c r="BP140" i="16"/>
  <c r="V140" i="16" s="1"/>
  <c r="BP141" i="16"/>
  <c r="BP142" i="16"/>
  <c r="BP143" i="16"/>
  <c r="V143" i="16" s="1"/>
  <c r="BP144" i="16"/>
  <c r="V144" i="16" s="1"/>
  <c r="BP145" i="16"/>
  <c r="BP146" i="16"/>
  <c r="BP147" i="16"/>
  <c r="V147" i="16" s="1"/>
  <c r="DM140" i="16"/>
  <c r="FA140" i="16" s="1"/>
  <c r="GO140" i="16" s="1"/>
  <c r="DN140" i="16"/>
  <c r="FB140" i="16" s="1"/>
  <c r="GP140" i="16" s="1"/>
  <c r="DO140" i="16"/>
  <c r="FC140" i="16" s="1"/>
  <c r="GQ140" i="16" s="1"/>
  <c r="DP140" i="16"/>
  <c r="DQ140" i="16"/>
  <c r="DR140" i="16"/>
  <c r="DS140" i="16"/>
  <c r="DT140" i="16"/>
  <c r="DU140" i="16"/>
  <c r="DV140" i="16"/>
  <c r="DW140" i="16"/>
  <c r="DX140" i="16"/>
  <c r="DY140" i="16"/>
  <c r="DZ140" i="16"/>
  <c r="EA140" i="16"/>
  <c r="EB140" i="16"/>
  <c r="EC140" i="16"/>
  <c r="ED140" i="16"/>
  <c r="EE140" i="16"/>
  <c r="EF140" i="16"/>
  <c r="DM141" i="16"/>
  <c r="FA141" i="16" s="1"/>
  <c r="GO141" i="16" s="1"/>
  <c r="DN141" i="16"/>
  <c r="FB141" i="16" s="1"/>
  <c r="GP141" i="16" s="1"/>
  <c r="DO141" i="16"/>
  <c r="FC141" i="16" s="1"/>
  <c r="GQ141" i="16" s="1"/>
  <c r="DP141" i="16"/>
  <c r="DQ141" i="16"/>
  <c r="DR141" i="16"/>
  <c r="DS141" i="16"/>
  <c r="DT141" i="16"/>
  <c r="DU141" i="16"/>
  <c r="DV141" i="16"/>
  <c r="DW141" i="16"/>
  <c r="DX141" i="16"/>
  <c r="DY141" i="16"/>
  <c r="DZ141" i="16"/>
  <c r="EA141" i="16"/>
  <c r="EB141" i="16"/>
  <c r="EC141" i="16"/>
  <c r="ED141" i="16"/>
  <c r="EE141" i="16"/>
  <c r="EF141" i="16"/>
  <c r="DM142" i="16"/>
  <c r="FA142" i="16" s="1"/>
  <c r="DN142" i="16"/>
  <c r="FB142" i="16" s="1"/>
  <c r="GP142" i="16" s="1"/>
  <c r="DO142" i="16"/>
  <c r="FC142" i="16" s="1"/>
  <c r="GQ142" i="16" s="1"/>
  <c r="DP142" i="16"/>
  <c r="DQ142" i="16"/>
  <c r="DR142" i="16"/>
  <c r="DS142" i="16"/>
  <c r="DT142" i="16"/>
  <c r="DU142" i="16"/>
  <c r="DV142" i="16"/>
  <c r="DW142" i="16"/>
  <c r="DX142" i="16"/>
  <c r="DY142" i="16"/>
  <c r="DZ142" i="16"/>
  <c r="EA142" i="16"/>
  <c r="EB142" i="16"/>
  <c r="EC142" i="16"/>
  <c r="ED142" i="16"/>
  <c r="EE142" i="16"/>
  <c r="EF142" i="16"/>
  <c r="DM143" i="16"/>
  <c r="FA143" i="16" s="1"/>
  <c r="DN143" i="16"/>
  <c r="FB143" i="16" s="1"/>
  <c r="GP143" i="16" s="1"/>
  <c r="DO143" i="16"/>
  <c r="FC143" i="16" s="1"/>
  <c r="GQ143" i="16" s="1"/>
  <c r="DP143" i="16"/>
  <c r="DQ143" i="16"/>
  <c r="DR143" i="16"/>
  <c r="DS143" i="16"/>
  <c r="DT143" i="16"/>
  <c r="DU143" i="16"/>
  <c r="DV143" i="16"/>
  <c r="DW143" i="16"/>
  <c r="DX143" i="16"/>
  <c r="DY143" i="16"/>
  <c r="DZ143" i="16"/>
  <c r="EA143" i="16"/>
  <c r="EB143" i="16"/>
  <c r="EC143" i="16"/>
  <c r="ED143" i="16"/>
  <c r="EE143" i="16"/>
  <c r="EF143" i="16"/>
  <c r="DM144" i="16"/>
  <c r="FA144" i="16" s="1"/>
  <c r="DN144" i="16"/>
  <c r="FB144" i="16" s="1"/>
  <c r="GP144" i="16" s="1"/>
  <c r="DO144" i="16"/>
  <c r="FC144" i="16" s="1"/>
  <c r="GQ144" i="16" s="1"/>
  <c r="DP144" i="16"/>
  <c r="DQ144" i="16"/>
  <c r="DR144" i="16"/>
  <c r="DS144" i="16"/>
  <c r="DT144" i="16"/>
  <c r="DU144" i="16"/>
  <c r="DV144" i="16"/>
  <c r="DW144" i="16"/>
  <c r="DX144" i="16"/>
  <c r="DY144" i="16"/>
  <c r="DZ144" i="16"/>
  <c r="EA144" i="16"/>
  <c r="EB144" i="16"/>
  <c r="EC144" i="16"/>
  <c r="ED144" i="16"/>
  <c r="EE144" i="16"/>
  <c r="EF144" i="16"/>
  <c r="DM145" i="16"/>
  <c r="FA145" i="16" s="1"/>
  <c r="GO145" i="16" s="1"/>
  <c r="DN145" i="16"/>
  <c r="FB145" i="16" s="1"/>
  <c r="GP145" i="16" s="1"/>
  <c r="DO145" i="16"/>
  <c r="FC145" i="16" s="1"/>
  <c r="GQ145" i="16" s="1"/>
  <c r="DP145" i="16"/>
  <c r="DQ145" i="16"/>
  <c r="DR145" i="16"/>
  <c r="DS145" i="16"/>
  <c r="DT145" i="16"/>
  <c r="DU145" i="16"/>
  <c r="DV145" i="16"/>
  <c r="DW145" i="16"/>
  <c r="DX145" i="16"/>
  <c r="DY145" i="16"/>
  <c r="DZ145" i="16"/>
  <c r="EA145" i="16"/>
  <c r="EB145" i="16"/>
  <c r="EC145" i="16"/>
  <c r="ED145" i="16"/>
  <c r="EE145" i="16"/>
  <c r="EF145" i="16"/>
  <c r="DM146" i="16"/>
  <c r="FA146" i="16" s="1"/>
  <c r="DN146" i="16"/>
  <c r="FB146" i="16" s="1"/>
  <c r="GP146" i="16" s="1"/>
  <c r="DO146" i="16"/>
  <c r="FC146" i="16" s="1"/>
  <c r="GQ146" i="16" s="1"/>
  <c r="DP146" i="16"/>
  <c r="DQ146" i="16"/>
  <c r="DR146" i="16"/>
  <c r="DS146" i="16"/>
  <c r="DT146" i="16"/>
  <c r="DU146" i="16"/>
  <c r="DV146" i="16"/>
  <c r="DW146" i="16"/>
  <c r="DX146" i="16"/>
  <c r="DY146" i="16"/>
  <c r="DZ146" i="16"/>
  <c r="EA146" i="16"/>
  <c r="EB146" i="16"/>
  <c r="EC146" i="16"/>
  <c r="ED146" i="16"/>
  <c r="EE146" i="16"/>
  <c r="EF146" i="16"/>
  <c r="DM147" i="16"/>
  <c r="FA147" i="16" s="1"/>
  <c r="DN147" i="16"/>
  <c r="FB147" i="16" s="1"/>
  <c r="GP147" i="16" s="1"/>
  <c r="DO147" i="16"/>
  <c r="FC147" i="16" s="1"/>
  <c r="GQ147" i="16" s="1"/>
  <c r="DP147" i="16"/>
  <c r="DQ147" i="16"/>
  <c r="DR147" i="16"/>
  <c r="DS147" i="16"/>
  <c r="DT147" i="16"/>
  <c r="DU147" i="16"/>
  <c r="DV147" i="16"/>
  <c r="DW147" i="16"/>
  <c r="DX147" i="16"/>
  <c r="DY147" i="16"/>
  <c r="DZ147" i="16"/>
  <c r="EA147" i="16"/>
  <c r="EB147" i="16"/>
  <c r="EC147" i="16"/>
  <c r="ED147" i="16"/>
  <c r="EE147" i="16"/>
  <c r="EF147" i="16"/>
  <c r="EF139" i="16"/>
  <c r="EE139" i="16"/>
  <c r="DP139" i="16"/>
  <c r="DQ139" i="16"/>
  <c r="DR139" i="16"/>
  <c r="DS139" i="16"/>
  <c r="DT139" i="16"/>
  <c r="DU139" i="16"/>
  <c r="DV139" i="16"/>
  <c r="DW139" i="16"/>
  <c r="DX139" i="16"/>
  <c r="DY139" i="16"/>
  <c r="DZ139" i="16"/>
  <c r="EA139" i="16"/>
  <c r="EB139" i="16"/>
  <c r="EC139" i="16"/>
  <c r="ED139" i="16"/>
  <c r="DO139" i="16"/>
  <c r="FC139" i="16" s="1"/>
  <c r="GQ139" i="16" s="1"/>
  <c r="DN139" i="16"/>
  <c r="FB139" i="16" s="1"/>
  <c r="GP139" i="16" s="1"/>
  <c r="DM139" i="16"/>
  <c r="FA139" i="16" s="1"/>
  <c r="CB140" i="16"/>
  <c r="CC140" i="16"/>
  <c r="CD140" i="16"/>
  <c r="CE140" i="16"/>
  <c r="CF140" i="16"/>
  <c r="CG140" i="16"/>
  <c r="CH140" i="16"/>
  <c r="CI140" i="16"/>
  <c r="CJ140" i="16"/>
  <c r="CK140" i="16"/>
  <c r="CL140" i="16"/>
  <c r="CM140" i="16"/>
  <c r="CN140" i="16"/>
  <c r="CO140" i="16"/>
  <c r="CP140" i="16"/>
  <c r="CQ140" i="16" s="1"/>
  <c r="CB141" i="16"/>
  <c r="FD141" i="16" s="1"/>
  <c r="GR141" i="16" s="1"/>
  <c r="CC141" i="16"/>
  <c r="FE141" i="16" s="1"/>
  <c r="GS141" i="16" s="1"/>
  <c r="CD141" i="16"/>
  <c r="FF141" i="16" s="1"/>
  <c r="GT141" i="16" s="1"/>
  <c r="CE141" i="16"/>
  <c r="FG141" i="16" s="1"/>
  <c r="GU141" i="16" s="1"/>
  <c r="CF141" i="16"/>
  <c r="FH141" i="16" s="1"/>
  <c r="GV141" i="16" s="1"/>
  <c r="CG141" i="16"/>
  <c r="FI141" i="16" s="1"/>
  <c r="GW141" i="16" s="1"/>
  <c r="CH141" i="16"/>
  <c r="FJ141" i="16" s="1"/>
  <c r="GX141" i="16" s="1"/>
  <c r="CI141" i="16"/>
  <c r="FK141" i="16" s="1"/>
  <c r="GY141" i="16" s="1"/>
  <c r="CJ141" i="16"/>
  <c r="FL141" i="16" s="1"/>
  <c r="GZ141" i="16" s="1"/>
  <c r="CK141" i="16"/>
  <c r="FM141" i="16" s="1"/>
  <c r="HA141" i="16" s="1"/>
  <c r="CL141" i="16"/>
  <c r="FN141" i="16" s="1"/>
  <c r="HB141" i="16" s="1"/>
  <c r="CM141" i="16"/>
  <c r="FO141" i="16" s="1"/>
  <c r="HC141" i="16" s="1"/>
  <c r="CN141" i="16"/>
  <c r="FP141" i="16" s="1"/>
  <c r="HD141" i="16" s="1"/>
  <c r="CO141" i="16"/>
  <c r="FQ141" i="16" s="1"/>
  <c r="HE141" i="16" s="1"/>
  <c r="CP141" i="16"/>
  <c r="CQ141" i="16" s="1"/>
  <c r="CR141" i="16" s="1"/>
  <c r="CB142" i="16"/>
  <c r="CC142" i="16"/>
  <c r="CD142" i="16"/>
  <c r="CE142" i="16"/>
  <c r="CF142" i="16"/>
  <c r="CG142" i="16"/>
  <c r="CH142" i="16"/>
  <c r="CI142" i="16"/>
  <c r="CJ142" i="16"/>
  <c r="CK142" i="16"/>
  <c r="CL142" i="16"/>
  <c r="CM142" i="16"/>
  <c r="CN142" i="16"/>
  <c r="CO142" i="16"/>
  <c r="CP142" i="16"/>
  <c r="CQ142" i="16" s="1"/>
  <c r="CB143" i="16"/>
  <c r="CC143" i="16"/>
  <c r="CD143" i="16"/>
  <c r="CE143" i="16"/>
  <c r="CF143" i="16"/>
  <c r="CG143" i="16"/>
  <c r="CH143" i="16"/>
  <c r="CI143" i="16"/>
  <c r="CJ143" i="16"/>
  <c r="CK143" i="16"/>
  <c r="CL143" i="16"/>
  <c r="CM143" i="16"/>
  <c r="CN143" i="16"/>
  <c r="CO143" i="16"/>
  <c r="CP143" i="16"/>
  <c r="CQ143" i="16" s="1"/>
  <c r="CB144" i="16"/>
  <c r="CC144" i="16"/>
  <c r="CD144" i="16"/>
  <c r="CE144" i="16"/>
  <c r="CF144" i="16"/>
  <c r="CG144" i="16"/>
  <c r="CH144" i="16"/>
  <c r="CI144" i="16"/>
  <c r="CJ144" i="16"/>
  <c r="CK144" i="16"/>
  <c r="CL144" i="16"/>
  <c r="CM144" i="16"/>
  <c r="CN144" i="16"/>
  <c r="CO144" i="16"/>
  <c r="CP144" i="16"/>
  <c r="CB145" i="16"/>
  <c r="CC145" i="16"/>
  <c r="FE145" i="16" s="1"/>
  <c r="GS145" i="16" s="1"/>
  <c r="CD145" i="16"/>
  <c r="FF145" i="16" s="1"/>
  <c r="GT145" i="16" s="1"/>
  <c r="CE145" i="16"/>
  <c r="CF145" i="16"/>
  <c r="CG145" i="16"/>
  <c r="FI145" i="16" s="1"/>
  <c r="GW145" i="16" s="1"/>
  <c r="CH145" i="16"/>
  <c r="FJ145" i="16" s="1"/>
  <c r="GX145" i="16" s="1"/>
  <c r="CI145" i="16"/>
  <c r="CJ145" i="16"/>
  <c r="CK145" i="16"/>
  <c r="FM145" i="16" s="1"/>
  <c r="HA145" i="16" s="1"/>
  <c r="CL145" i="16"/>
  <c r="FN145" i="16" s="1"/>
  <c r="HB145" i="16" s="1"/>
  <c r="CM145" i="16"/>
  <c r="CN145" i="16"/>
  <c r="CO145" i="16"/>
  <c r="FQ145" i="16" s="1"/>
  <c r="HE145" i="16" s="1"/>
  <c r="CP145" i="16"/>
  <c r="CQ145" i="16" s="1"/>
  <c r="CR145" i="16" s="1"/>
  <c r="CB146" i="16"/>
  <c r="CC146" i="16"/>
  <c r="CD146" i="16"/>
  <c r="CE146" i="16"/>
  <c r="CF146" i="16"/>
  <c r="CG146" i="16"/>
  <c r="CH146" i="16"/>
  <c r="CI146" i="16"/>
  <c r="CJ146" i="16"/>
  <c r="CK146" i="16"/>
  <c r="CL146" i="16"/>
  <c r="CM146" i="16"/>
  <c r="CN146" i="16"/>
  <c r="CO146" i="16"/>
  <c r="CP146" i="16"/>
  <c r="CQ146" i="16" s="1"/>
  <c r="CB147" i="16"/>
  <c r="CC147" i="16"/>
  <c r="CD147" i="16"/>
  <c r="CE147" i="16"/>
  <c r="CF147" i="16"/>
  <c r="CG147" i="16"/>
  <c r="CH147" i="16"/>
  <c r="CI147" i="16"/>
  <c r="CJ147" i="16"/>
  <c r="CK147" i="16"/>
  <c r="CL147" i="16"/>
  <c r="CM147" i="16"/>
  <c r="CN147" i="16"/>
  <c r="CO147" i="16"/>
  <c r="CP147" i="16"/>
  <c r="CQ147" i="16" s="1"/>
  <c r="CP139" i="16"/>
  <c r="CQ139" i="16" s="1"/>
  <c r="CR139" i="16" s="1"/>
  <c r="FT139" i="16" s="1"/>
  <c r="HH139" i="16" s="1"/>
  <c r="CO139" i="16"/>
  <c r="CN139" i="16"/>
  <c r="CM139" i="16"/>
  <c r="CL139" i="16"/>
  <c r="FN139" i="16" s="1"/>
  <c r="HB139" i="16" s="1"/>
  <c r="CK139" i="16"/>
  <c r="CJ139" i="16"/>
  <c r="CI139" i="16"/>
  <c r="CH139" i="16"/>
  <c r="FJ139" i="16" s="1"/>
  <c r="GX139" i="16" s="1"/>
  <c r="CG139" i="16"/>
  <c r="CF139" i="16"/>
  <c r="CE139" i="16"/>
  <c r="CD139" i="16"/>
  <c r="FF139" i="16" s="1"/>
  <c r="GT139" i="16" s="1"/>
  <c r="CC139" i="16"/>
  <c r="CB139" i="16"/>
  <c r="DY101" i="16"/>
  <c r="DX101" i="16"/>
  <c r="DP101" i="16"/>
  <c r="DQ101" i="16"/>
  <c r="DR101" i="16"/>
  <c r="DS101" i="16"/>
  <c r="DT101" i="16"/>
  <c r="DU101" i="16"/>
  <c r="DV101" i="16"/>
  <c r="DW101" i="16"/>
  <c r="DO101" i="16"/>
  <c r="DM101" i="16"/>
  <c r="DN101" i="16"/>
  <c r="CA101" i="16"/>
  <c r="CI101" i="16" s="1"/>
  <c r="BY101" i="16"/>
  <c r="BZ101" i="16"/>
  <c r="DZ100" i="16"/>
  <c r="DY100" i="16"/>
  <c r="DP100" i="16"/>
  <c r="DQ100" i="16"/>
  <c r="DR100" i="16"/>
  <c r="DS100" i="16"/>
  <c r="DT100" i="16"/>
  <c r="DU100" i="16"/>
  <c r="DV100" i="16"/>
  <c r="DW100" i="16"/>
  <c r="DX100" i="16"/>
  <c r="DO100" i="16"/>
  <c r="DM100" i="16"/>
  <c r="DN100" i="16"/>
  <c r="CA100" i="16"/>
  <c r="CG100" i="16" s="1"/>
  <c r="BY100" i="16"/>
  <c r="BZ100" i="16"/>
  <c r="AF343" i="16" l="1"/>
  <c r="AA343" i="16" s="1"/>
  <c r="W343" i="16" s="1"/>
  <c r="V204" i="16"/>
  <c r="U204" i="16"/>
  <c r="AF342" i="16"/>
  <c r="AA342" i="16" s="1"/>
  <c r="W342" i="16" s="1"/>
  <c r="AB344" i="16"/>
  <c r="AF344" i="16"/>
  <c r="AA344" i="16" s="1"/>
  <c r="W344" i="16" s="1"/>
  <c r="AB342" i="16"/>
  <c r="CH342" i="16"/>
  <c r="FJ342" i="16" s="1"/>
  <c r="GX342" i="16" s="1"/>
  <c r="CL342" i="16"/>
  <c r="FN342" i="16" s="1"/>
  <c r="HB342" i="16" s="1"/>
  <c r="CP342" i="16"/>
  <c r="FR342" i="16" s="1"/>
  <c r="HF342" i="16" s="1"/>
  <c r="FH342" i="16"/>
  <c r="CG342" i="16"/>
  <c r="FI342" i="16" s="1"/>
  <c r="GW342" i="16" s="1"/>
  <c r="CK342" i="16"/>
  <c r="FM342" i="16" s="1"/>
  <c r="HA342" i="16" s="1"/>
  <c r="CI342" i="16"/>
  <c r="FK342" i="16" s="1"/>
  <c r="GY342" i="16" s="1"/>
  <c r="CM342" i="16"/>
  <c r="FO342" i="16" s="1"/>
  <c r="HC342" i="16" s="1"/>
  <c r="CQ342" i="16"/>
  <c r="FS342" i="16" s="1"/>
  <c r="HG342" i="16" s="1"/>
  <c r="CJ342" i="16"/>
  <c r="FL342" i="16" s="1"/>
  <c r="GZ342" i="16" s="1"/>
  <c r="CN342" i="16"/>
  <c r="FP342" i="16" s="1"/>
  <c r="HD342" i="16" s="1"/>
  <c r="CR342" i="16"/>
  <c r="CO342" i="16"/>
  <c r="FQ342" i="16" s="1"/>
  <c r="HE342" i="16" s="1"/>
  <c r="FR144" i="16"/>
  <c r="HF144" i="16" s="1"/>
  <c r="FN144" i="16"/>
  <c r="HB144" i="16" s="1"/>
  <c r="FJ144" i="16"/>
  <c r="GX144" i="16" s="1"/>
  <c r="FF144" i="16"/>
  <c r="GT144" i="16" s="1"/>
  <c r="FN140" i="16"/>
  <c r="HB140" i="16" s="1"/>
  <c r="FJ140" i="16"/>
  <c r="GX140" i="16" s="1"/>
  <c r="FF140" i="16"/>
  <c r="GT140" i="16" s="1"/>
  <c r="CH343" i="16"/>
  <c r="FJ343" i="16" s="1"/>
  <c r="GX343" i="16" s="1"/>
  <c r="CL343" i="16"/>
  <c r="FN343" i="16" s="1"/>
  <c r="HB343" i="16" s="1"/>
  <c r="CP343" i="16"/>
  <c r="FR343" i="16" s="1"/>
  <c r="HF343" i="16" s="1"/>
  <c r="FH343" i="16"/>
  <c r="CJ343" i="16"/>
  <c r="FL343" i="16" s="1"/>
  <c r="GZ343" i="16" s="1"/>
  <c r="CR343" i="16"/>
  <c r="CG343" i="16"/>
  <c r="FI343" i="16" s="1"/>
  <c r="GW343" i="16" s="1"/>
  <c r="CO343" i="16"/>
  <c r="FQ343" i="16" s="1"/>
  <c r="HE343" i="16" s="1"/>
  <c r="CI343" i="16"/>
  <c r="FK343" i="16" s="1"/>
  <c r="GY343" i="16" s="1"/>
  <c r="CM343" i="16"/>
  <c r="FO343" i="16" s="1"/>
  <c r="HC343" i="16" s="1"/>
  <c r="CQ343" i="16"/>
  <c r="FS343" i="16" s="1"/>
  <c r="HG343" i="16" s="1"/>
  <c r="CN343" i="16"/>
  <c r="FP343" i="16" s="1"/>
  <c r="HD343" i="16" s="1"/>
  <c r="CK343" i="16"/>
  <c r="FM343" i="16" s="1"/>
  <c r="HA343" i="16" s="1"/>
  <c r="FP146" i="16"/>
  <c r="HD146" i="16" s="1"/>
  <c r="FL146" i="16"/>
  <c r="GZ146" i="16" s="1"/>
  <c r="FD146" i="16"/>
  <c r="GR146" i="16" s="1"/>
  <c r="FH146" i="16"/>
  <c r="GV146" i="16" s="1"/>
  <c r="CH344" i="16"/>
  <c r="FJ344" i="16" s="1"/>
  <c r="GX344" i="16" s="1"/>
  <c r="CL344" i="16"/>
  <c r="FN344" i="16" s="1"/>
  <c r="HB344" i="16" s="1"/>
  <c r="CP344" i="16"/>
  <c r="FR344" i="16" s="1"/>
  <c r="HF344" i="16" s="1"/>
  <c r="CT344" i="16"/>
  <c r="FV344" i="16" s="1"/>
  <c r="HJ344" i="16" s="1"/>
  <c r="CI344" i="16"/>
  <c r="FK344" i="16" s="1"/>
  <c r="GY344" i="16" s="1"/>
  <c r="CM344" i="16"/>
  <c r="FO344" i="16" s="1"/>
  <c r="HC344" i="16" s="1"/>
  <c r="CQ344" i="16"/>
  <c r="FS344" i="16" s="1"/>
  <c r="HG344" i="16" s="1"/>
  <c r="CU344" i="16"/>
  <c r="CF344" i="16"/>
  <c r="FH344" i="16" s="1"/>
  <c r="GV344" i="16" s="1"/>
  <c r="CJ344" i="16"/>
  <c r="FL344" i="16" s="1"/>
  <c r="GZ344" i="16" s="1"/>
  <c r="CN344" i="16"/>
  <c r="FP344" i="16" s="1"/>
  <c r="HD344" i="16" s="1"/>
  <c r="CR344" i="16"/>
  <c r="FT344" i="16" s="1"/>
  <c r="HH344" i="16" s="1"/>
  <c r="CG344" i="16"/>
  <c r="FI344" i="16" s="1"/>
  <c r="GW344" i="16" s="1"/>
  <c r="CK344" i="16"/>
  <c r="FM344" i="16" s="1"/>
  <c r="HA344" i="16" s="1"/>
  <c r="CO344" i="16"/>
  <c r="FQ344" i="16" s="1"/>
  <c r="HE344" i="16" s="1"/>
  <c r="CS344" i="16"/>
  <c r="FU344" i="16" s="1"/>
  <c r="HI344" i="16" s="1"/>
  <c r="FG344" i="16"/>
  <c r="GU344" i="16" s="1"/>
  <c r="FN146" i="16"/>
  <c r="HB146" i="16" s="1"/>
  <c r="FF146" i="16"/>
  <c r="GT146" i="16" s="1"/>
  <c r="FN142" i="16"/>
  <c r="HB142" i="16" s="1"/>
  <c r="FJ142" i="16"/>
  <c r="GX142" i="16" s="1"/>
  <c r="FF142" i="16"/>
  <c r="GT142" i="16" s="1"/>
  <c r="FJ146" i="16"/>
  <c r="GX146" i="16" s="1"/>
  <c r="FG139" i="16"/>
  <c r="GU139" i="16" s="1"/>
  <c r="FK139" i="16"/>
  <c r="GY139" i="16" s="1"/>
  <c r="FO139" i="16"/>
  <c r="HC139" i="16" s="1"/>
  <c r="FN147" i="16"/>
  <c r="HB147" i="16" s="1"/>
  <c r="FJ147" i="16"/>
  <c r="GX147" i="16" s="1"/>
  <c r="FF147" i="16"/>
  <c r="GT147" i="16" s="1"/>
  <c r="FN143" i="16"/>
  <c r="HB143" i="16" s="1"/>
  <c r="FJ143" i="16"/>
  <c r="GX143" i="16" s="1"/>
  <c r="FF143" i="16"/>
  <c r="GT143" i="16" s="1"/>
  <c r="CH100" i="16"/>
  <c r="FJ100" i="16" s="1"/>
  <c r="GX100" i="16" s="1"/>
  <c r="FA101" i="16"/>
  <c r="GO101" i="16" s="1"/>
  <c r="CF101" i="16"/>
  <c r="FH101" i="16" s="1"/>
  <c r="GV101" i="16" s="1"/>
  <c r="FA100" i="16"/>
  <c r="GO100" i="16" s="1"/>
  <c r="CD100" i="16"/>
  <c r="FF100" i="16" s="1"/>
  <c r="GT100" i="16" s="1"/>
  <c r="FO146" i="16"/>
  <c r="HC146" i="16" s="1"/>
  <c r="FK146" i="16"/>
  <c r="GY146" i="16" s="1"/>
  <c r="FG146" i="16"/>
  <c r="GU146" i="16" s="1"/>
  <c r="FC100" i="16"/>
  <c r="GQ100" i="16" s="1"/>
  <c r="FQ146" i="16"/>
  <c r="HE146" i="16" s="1"/>
  <c r="FM146" i="16"/>
  <c r="HA146" i="16" s="1"/>
  <c r="FI146" i="16"/>
  <c r="GW146" i="16" s="1"/>
  <c r="FE146" i="16"/>
  <c r="GS146" i="16" s="1"/>
  <c r="FQ142" i="16"/>
  <c r="HE142" i="16" s="1"/>
  <c r="FM142" i="16"/>
  <c r="HA142" i="16" s="1"/>
  <c r="FI142" i="16"/>
  <c r="GW142" i="16" s="1"/>
  <c r="FE142" i="16"/>
  <c r="GS142" i="16" s="1"/>
  <c r="FQ147" i="16"/>
  <c r="HE147" i="16" s="1"/>
  <c r="FM147" i="16"/>
  <c r="HA147" i="16" s="1"/>
  <c r="FI147" i="16"/>
  <c r="GW147" i="16" s="1"/>
  <c r="FE147" i="16"/>
  <c r="GS147" i="16" s="1"/>
  <c r="FQ143" i="16"/>
  <c r="HE143" i="16" s="1"/>
  <c r="FM143" i="16"/>
  <c r="HA143" i="16" s="1"/>
  <c r="FI143" i="16"/>
  <c r="GW143" i="16" s="1"/>
  <c r="FE143" i="16"/>
  <c r="GS143" i="16" s="1"/>
  <c r="CB101" i="16"/>
  <c r="FD101" i="16" s="1"/>
  <c r="GR101" i="16" s="1"/>
  <c r="FQ144" i="16"/>
  <c r="HE144" i="16" s="1"/>
  <c r="FM144" i="16"/>
  <c r="HA144" i="16" s="1"/>
  <c r="FI144" i="16"/>
  <c r="GW144" i="16" s="1"/>
  <c r="FE144" i="16"/>
  <c r="GS144" i="16" s="1"/>
  <c r="FQ140" i="16"/>
  <c r="HE140" i="16" s="1"/>
  <c r="FM140" i="16"/>
  <c r="HA140" i="16" s="1"/>
  <c r="FI140" i="16"/>
  <c r="GW140" i="16" s="1"/>
  <c r="FE140" i="16"/>
  <c r="GS140" i="16" s="1"/>
  <c r="FB100" i="16"/>
  <c r="GP100" i="16" s="1"/>
  <c r="FB101" i="16"/>
  <c r="GP101" i="16" s="1"/>
  <c r="FO147" i="16"/>
  <c r="HC147" i="16" s="1"/>
  <c r="FK147" i="16"/>
  <c r="GY147" i="16" s="1"/>
  <c r="FG147" i="16"/>
  <c r="GU147" i="16" s="1"/>
  <c r="FO142" i="16"/>
  <c r="HC142" i="16" s="1"/>
  <c r="FK142" i="16"/>
  <c r="GY142" i="16" s="1"/>
  <c r="FG142" i="16"/>
  <c r="GU142" i="16" s="1"/>
  <c r="FO143" i="16"/>
  <c r="HC143" i="16" s="1"/>
  <c r="FK143" i="16"/>
  <c r="GY143" i="16" s="1"/>
  <c r="FG143" i="16"/>
  <c r="GU143" i="16" s="1"/>
  <c r="FI100" i="16"/>
  <c r="GW100" i="16" s="1"/>
  <c r="FD139" i="16"/>
  <c r="GR139" i="16" s="1"/>
  <c r="FH139" i="16"/>
  <c r="GV139" i="16" s="1"/>
  <c r="FL139" i="16"/>
  <c r="GZ139" i="16" s="1"/>
  <c r="FP139" i="16"/>
  <c r="HD139" i="16" s="1"/>
  <c r="FO145" i="16"/>
  <c r="HC145" i="16" s="1"/>
  <c r="FK145" i="16"/>
  <c r="GY145" i="16" s="1"/>
  <c r="FG145" i="16"/>
  <c r="GU145" i="16" s="1"/>
  <c r="CQ144" i="16"/>
  <c r="CR144" i="16" s="1"/>
  <c r="FT144" i="16" s="1"/>
  <c r="HH144" i="16" s="1"/>
  <c r="FO144" i="16"/>
  <c r="HC144" i="16" s="1"/>
  <c r="FK144" i="16"/>
  <c r="GY144" i="16" s="1"/>
  <c r="FG144" i="16"/>
  <c r="GU144" i="16" s="1"/>
  <c r="FO140" i="16"/>
  <c r="HC140" i="16" s="1"/>
  <c r="FK140" i="16"/>
  <c r="GY140" i="16" s="1"/>
  <c r="FG140" i="16"/>
  <c r="GU140" i="16" s="1"/>
  <c r="CE100" i="16"/>
  <c r="FG100" i="16" s="1"/>
  <c r="GU100" i="16" s="1"/>
  <c r="CI100" i="16"/>
  <c r="FK100" i="16" s="1"/>
  <c r="GY100" i="16" s="1"/>
  <c r="CC101" i="16"/>
  <c r="FE101" i="16" s="1"/>
  <c r="GS101" i="16" s="1"/>
  <c r="CG101" i="16"/>
  <c r="FI101" i="16" s="1"/>
  <c r="GW101" i="16" s="1"/>
  <c r="FC101" i="16"/>
  <c r="GQ101" i="16" s="1"/>
  <c r="FE139" i="16"/>
  <c r="GS139" i="16" s="1"/>
  <c r="FI139" i="16"/>
  <c r="GW139" i="16" s="1"/>
  <c r="FM139" i="16"/>
  <c r="HA139" i="16" s="1"/>
  <c r="FQ139" i="16"/>
  <c r="HE139" i="16" s="1"/>
  <c r="FP147" i="16"/>
  <c r="HD147" i="16" s="1"/>
  <c r="FL147" i="16"/>
  <c r="GZ147" i="16" s="1"/>
  <c r="FH147" i="16"/>
  <c r="GV147" i="16" s="1"/>
  <c r="FD147" i="16"/>
  <c r="GR147" i="16" s="1"/>
  <c r="FT145" i="16"/>
  <c r="HH145" i="16" s="1"/>
  <c r="FP142" i="16"/>
  <c r="HD142" i="16" s="1"/>
  <c r="FL142" i="16"/>
  <c r="GZ142" i="16" s="1"/>
  <c r="FH142" i="16"/>
  <c r="GV142" i="16" s="1"/>
  <c r="FD142" i="16"/>
  <c r="GR142" i="16" s="1"/>
  <c r="CB100" i="16"/>
  <c r="FD100" i="16" s="1"/>
  <c r="GR100" i="16" s="1"/>
  <c r="CF100" i="16"/>
  <c r="FH100" i="16" s="1"/>
  <c r="GV100" i="16" s="1"/>
  <c r="CJ100" i="16"/>
  <c r="CD101" i="16"/>
  <c r="FF101" i="16" s="1"/>
  <c r="GT101" i="16" s="1"/>
  <c r="CH101" i="16"/>
  <c r="FJ101" i="16" s="1"/>
  <c r="GX101" i="16" s="1"/>
  <c r="FP143" i="16"/>
  <c r="HD143" i="16" s="1"/>
  <c r="FL143" i="16"/>
  <c r="GZ143" i="16" s="1"/>
  <c r="FH143" i="16"/>
  <c r="GV143" i="16" s="1"/>
  <c r="FD143" i="16"/>
  <c r="GR143" i="16" s="1"/>
  <c r="FT141" i="16"/>
  <c r="HH141" i="16" s="1"/>
  <c r="CC100" i="16"/>
  <c r="FE100" i="16" s="1"/>
  <c r="GS100" i="16" s="1"/>
  <c r="CE101" i="16"/>
  <c r="FG101" i="16" s="1"/>
  <c r="GU101" i="16" s="1"/>
  <c r="FP145" i="16"/>
  <c r="HD145" i="16" s="1"/>
  <c r="FL145" i="16"/>
  <c r="GZ145" i="16" s="1"/>
  <c r="FH145" i="16"/>
  <c r="GV145" i="16" s="1"/>
  <c r="FD145" i="16"/>
  <c r="GR145" i="16" s="1"/>
  <c r="FP144" i="16"/>
  <c r="HD144" i="16" s="1"/>
  <c r="FL144" i="16"/>
  <c r="GZ144" i="16" s="1"/>
  <c r="FH144" i="16"/>
  <c r="GV144" i="16" s="1"/>
  <c r="FD144" i="16"/>
  <c r="GR144" i="16" s="1"/>
  <c r="FP140" i="16"/>
  <c r="HD140" i="16" s="1"/>
  <c r="FL140" i="16"/>
  <c r="GZ140" i="16" s="1"/>
  <c r="FH140" i="16"/>
  <c r="GV140" i="16" s="1"/>
  <c r="FD140" i="16"/>
  <c r="GR140" i="16" s="1"/>
  <c r="FR143" i="16"/>
  <c r="HF143" i="16" s="1"/>
  <c r="FS147" i="16"/>
  <c r="HG147" i="16" s="1"/>
  <c r="CR147" i="16"/>
  <c r="FT147" i="16" s="1"/>
  <c r="HH147" i="16" s="1"/>
  <c r="FR145" i="16"/>
  <c r="HF145" i="16" s="1"/>
  <c r="FR140" i="16"/>
  <c r="HF140" i="16" s="1"/>
  <c r="FR147" i="16"/>
  <c r="HF147" i="16" s="1"/>
  <c r="FS139" i="16"/>
  <c r="HG139" i="16" s="1"/>
  <c r="FR146" i="16"/>
  <c r="HF146" i="16" s="1"/>
  <c r="FR142" i="16"/>
  <c r="HF142" i="16" s="1"/>
  <c r="FR141" i="16"/>
  <c r="HF141" i="16" s="1"/>
  <c r="FS146" i="16"/>
  <c r="HG146" i="16" s="1"/>
  <c r="CR146" i="16"/>
  <c r="FT146" i="16" s="1"/>
  <c r="HH146" i="16" s="1"/>
  <c r="FS143" i="16"/>
  <c r="HG143" i="16" s="1"/>
  <c r="CR143" i="16"/>
  <c r="FT143" i="16" s="1"/>
  <c r="HH143" i="16" s="1"/>
  <c r="FK101" i="16"/>
  <c r="GY101" i="16" s="1"/>
  <c r="CJ101" i="16"/>
  <c r="FS142" i="16"/>
  <c r="HG142" i="16" s="1"/>
  <c r="CR142" i="16"/>
  <c r="FT142" i="16" s="1"/>
  <c r="HH142" i="16" s="1"/>
  <c r="CR140" i="16"/>
  <c r="FT140" i="16" s="1"/>
  <c r="HH140" i="16" s="1"/>
  <c r="FS140" i="16"/>
  <c r="HG140" i="16" s="1"/>
  <c r="V145" i="16"/>
  <c r="V141" i="16"/>
  <c r="FR139" i="16"/>
  <c r="HF139" i="16" s="1"/>
  <c r="V146" i="16"/>
  <c r="V142" i="16"/>
  <c r="FS145" i="16"/>
  <c r="HG145" i="16" s="1"/>
  <c r="FS141" i="16"/>
  <c r="HG141" i="16" s="1"/>
  <c r="GO147" i="16"/>
  <c r="GO146" i="16"/>
  <c r="GO144" i="16"/>
  <c r="GO143" i="16"/>
  <c r="GO142" i="16"/>
  <c r="GO139" i="16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2" i="18"/>
  <c r="GV342" i="16" l="1"/>
  <c r="FT342" i="16"/>
  <c r="HH342" i="16" s="1"/>
  <c r="CS342" i="16"/>
  <c r="GV343" i="16"/>
  <c r="FT343" i="16"/>
  <c r="HH343" i="16" s="1"/>
  <c r="CS343" i="16"/>
  <c r="CV344" i="16"/>
  <c r="FW344" i="16"/>
  <c r="HK344" i="16" s="1"/>
  <c r="FS144" i="16"/>
  <c r="HG144" i="16" s="1"/>
  <c r="FL100" i="16"/>
  <c r="GZ100" i="16" s="1"/>
  <c r="CK100" i="16"/>
  <c r="FL101" i="16"/>
  <c r="GZ101" i="16" s="1"/>
  <c r="CK101" i="16"/>
  <c r="FM101" i="16" s="1"/>
  <c r="HA101" i="16" s="1"/>
  <c r="BD246" i="16"/>
  <c r="CT342" i="16" l="1"/>
  <c r="FV342" i="16" s="1"/>
  <c r="HJ342" i="16" s="1"/>
  <c r="CX342" i="16"/>
  <c r="FZ342" i="16" s="1"/>
  <c r="HN342" i="16" s="1"/>
  <c r="CV342" i="16"/>
  <c r="FX342" i="16" s="1"/>
  <c r="HL342" i="16" s="1"/>
  <c r="CW342" i="16"/>
  <c r="FY342" i="16" s="1"/>
  <c r="HM342" i="16" s="1"/>
  <c r="CU342" i="16"/>
  <c r="FW342" i="16" s="1"/>
  <c r="HK342" i="16" s="1"/>
  <c r="CY342" i="16"/>
  <c r="GA342" i="16" s="1"/>
  <c r="HO342" i="16" s="1"/>
  <c r="FU342" i="16"/>
  <c r="HI342" i="16" s="1"/>
  <c r="CT343" i="16"/>
  <c r="FV343" i="16" s="1"/>
  <c r="HJ343" i="16" s="1"/>
  <c r="CX343" i="16"/>
  <c r="FZ343" i="16" s="1"/>
  <c r="HN343" i="16" s="1"/>
  <c r="CW343" i="16"/>
  <c r="FY343" i="16" s="1"/>
  <c r="HM343" i="16" s="1"/>
  <c r="CU343" i="16"/>
  <c r="FW343" i="16" s="1"/>
  <c r="HK343" i="16" s="1"/>
  <c r="CY343" i="16"/>
  <c r="GA343" i="16" s="1"/>
  <c r="HO343" i="16" s="1"/>
  <c r="FU343" i="16"/>
  <c r="HI343" i="16" s="1"/>
  <c r="CV343" i="16"/>
  <c r="FX343" i="16" s="1"/>
  <c r="HL343" i="16" s="1"/>
  <c r="CX344" i="16"/>
  <c r="FZ344" i="16" s="1"/>
  <c r="HN344" i="16" s="1"/>
  <c r="FX344" i="16"/>
  <c r="HL344" i="16" s="1"/>
  <c r="CY344" i="16"/>
  <c r="GA344" i="16" s="1"/>
  <c r="HO344" i="16" s="1"/>
  <c r="CZ344" i="16"/>
  <c r="GB344" i="16" s="1"/>
  <c r="HP344" i="16" s="1"/>
  <c r="CW344" i="16"/>
  <c r="FY344" i="16" s="1"/>
  <c r="HM344" i="16" s="1"/>
  <c r="DA344" i="16"/>
  <c r="GC344" i="16" s="1"/>
  <c r="HQ344" i="16" s="1"/>
  <c r="CL100" i="16"/>
  <c r="FN100" i="16" s="1"/>
  <c r="HB100" i="16" s="1"/>
  <c r="FM100" i="16"/>
  <c r="HA100" i="16" s="1"/>
  <c r="BI304" i="16"/>
  <c r="BI302" i="16"/>
  <c r="BQ342" i="16" l="1"/>
  <c r="BR342" i="16"/>
  <c r="BP342" i="16" s="1"/>
  <c r="T342" i="16" s="1"/>
  <c r="BR343" i="16"/>
  <c r="BP343" i="16" s="1"/>
  <c r="BQ343" i="16"/>
  <c r="BQ344" i="16"/>
  <c r="BR344" i="16"/>
  <c r="BP344" i="16" s="1"/>
  <c r="AZ247" i="16"/>
  <c r="AZ240" i="16"/>
  <c r="AZ239" i="16"/>
  <c r="V342" i="16" l="1"/>
  <c r="U342" i="16"/>
  <c r="T343" i="16"/>
  <c r="V343" i="16"/>
  <c r="U343" i="16"/>
  <c r="T344" i="16"/>
  <c r="U344" i="16"/>
  <c r="V344" i="16"/>
  <c r="AZ209" i="16"/>
  <c r="AZ208" i="16"/>
  <c r="AZ171" i="16"/>
  <c r="AZ170" i="16"/>
  <c r="AZ275" i="16"/>
  <c r="AZ276" i="16"/>
  <c r="AZ277" i="16"/>
  <c r="AZ278" i="16"/>
  <c r="AZ279" i="16"/>
  <c r="AZ280" i="16"/>
  <c r="AZ281" i="16"/>
  <c r="AZ282" i="16"/>
  <c r="AZ283" i="16"/>
  <c r="AZ284" i="16"/>
  <c r="AZ289" i="16"/>
  <c r="AZ290" i="16"/>
  <c r="AZ294" i="16"/>
  <c r="AZ295" i="16"/>
  <c r="AZ296" i="16"/>
  <c r="AZ297" i="16"/>
  <c r="AZ350" i="16"/>
  <c r="AZ363" i="16"/>
  <c r="AZ383" i="16"/>
  <c r="AZ384" i="16"/>
  <c r="AZ392" i="16"/>
  <c r="AZ393" i="16"/>
  <c r="AZ394" i="16"/>
  <c r="AZ395" i="16"/>
  <c r="AZ404" i="16"/>
  <c r="AZ405" i="16"/>
  <c r="AZ406" i="16"/>
  <c r="AZ416" i="16"/>
  <c r="AZ270" i="16"/>
  <c r="AZ272" i="16"/>
  <c r="AZ285" i="16"/>
  <c r="AZ286" i="16"/>
  <c r="AZ287" i="16"/>
  <c r="AZ288" i="16"/>
  <c r="AZ291" i="16"/>
  <c r="AZ292" i="16"/>
  <c r="AZ293" i="16"/>
  <c r="AZ298" i="16"/>
  <c r="AZ299" i="16"/>
  <c r="AZ300" i="16"/>
  <c r="AZ316" i="16"/>
  <c r="AZ317" i="16"/>
  <c r="AZ318" i="16"/>
  <c r="AZ338" i="16"/>
  <c r="AZ339" i="16"/>
  <c r="AZ340" i="16"/>
  <c r="AZ341" i="16"/>
  <c r="AZ346" i="16"/>
  <c r="AZ347" i="16"/>
  <c r="AZ348" i="16"/>
  <c r="AZ349" i="16"/>
  <c r="AZ351" i="16"/>
  <c r="AZ352" i="16"/>
  <c r="AZ355" i="16"/>
  <c r="AZ356" i="16"/>
  <c r="AZ357" i="16"/>
  <c r="AZ358" i="16"/>
  <c r="AZ361" i="16"/>
  <c r="AZ362" i="16"/>
  <c r="AZ364" i="16"/>
  <c r="AZ365" i="16"/>
  <c r="AZ366" i="16"/>
  <c r="AZ377" i="16"/>
  <c r="AZ378" i="16"/>
  <c r="AZ379" i="16"/>
  <c r="AZ385" i="16"/>
  <c r="AZ386" i="16"/>
  <c r="AZ387" i="16"/>
  <c r="AZ388" i="16"/>
  <c r="AZ396" i="16"/>
  <c r="AZ397" i="16"/>
  <c r="AZ398" i="16"/>
  <c r="AZ399" i="16"/>
  <c r="AZ400" i="16"/>
  <c r="AZ401" i="16"/>
  <c r="AZ402" i="16"/>
  <c r="AZ403" i="16"/>
  <c r="AZ413" i="16"/>
  <c r="AZ414" i="16"/>
  <c r="AZ415" i="16"/>
  <c r="AZ417" i="16"/>
  <c r="AZ418" i="16"/>
  <c r="AZ419" i="16"/>
  <c r="AZ420" i="16"/>
  <c r="AZ421" i="16"/>
  <c r="AZ422" i="16"/>
  <c r="AZ423" i="16"/>
  <c r="AZ424" i="16"/>
  <c r="AZ425" i="16"/>
  <c r="AZ426" i="16"/>
  <c r="AZ118" i="16"/>
  <c r="AZ119" i="16"/>
  <c r="AZ120" i="16"/>
  <c r="AZ121" i="16"/>
  <c r="AZ122" i="16"/>
  <c r="AZ123" i="16"/>
  <c r="AZ261" i="16"/>
  <c r="AZ263" i="16"/>
  <c r="AZ264" i="16"/>
  <c r="AZ265" i="16"/>
  <c r="AZ266" i="16"/>
  <c r="AZ267" i="16"/>
  <c r="AZ268" i="16"/>
  <c r="AZ269" i="16"/>
  <c r="AZ271" i="16"/>
  <c r="AZ273" i="16"/>
  <c r="AZ274" i="16"/>
  <c r="AZ301" i="16"/>
  <c r="AZ312" i="16"/>
  <c r="AZ313" i="16"/>
  <c r="AZ314" i="16"/>
  <c r="AZ315" i="16"/>
  <c r="AZ320" i="16"/>
  <c r="AZ321" i="16"/>
  <c r="AZ322" i="16"/>
  <c r="AZ323" i="16"/>
  <c r="AZ324" i="16"/>
  <c r="AZ325" i="16"/>
  <c r="AZ326" i="16"/>
  <c r="AZ327" i="16"/>
  <c r="AZ328" i="16"/>
  <c r="AZ329" i="16"/>
  <c r="AZ330" i="16"/>
  <c r="AZ331" i="16"/>
  <c r="AZ332" i="16"/>
  <c r="AZ333" i="16"/>
  <c r="AZ334" i="16"/>
  <c r="AZ335" i="16"/>
  <c r="AZ336" i="16"/>
  <c r="AZ337" i="16"/>
  <c r="AZ353" i="16"/>
  <c r="AZ354" i="16"/>
  <c r="AZ359" i="16"/>
  <c r="AZ360" i="16"/>
  <c r="AZ367" i="16"/>
  <c r="AZ368" i="16"/>
  <c r="AZ369" i="16"/>
  <c r="AZ370" i="16"/>
  <c r="AZ371" i="16"/>
  <c r="AZ372" i="16"/>
  <c r="AZ373" i="16"/>
  <c r="AZ374" i="16"/>
  <c r="AZ375" i="16"/>
  <c r="AZ376" i="16"/>
  <c r="AZ389" i="16"/>
  <c r="AZ390" i="16"/>
  <c r="AZ391" i="16"/>
  <c r="AZ262" i="16"/>
  <c r="AZ305" i="16"/>
  <c r="AZ306" i="16"/>
  <c r="AZ307" i="16"/>
  <c r="AZ309" i="16"/>
  <c r="AZ310" i="16"/>
  <c r="AZ311" i="16"/>
  <c r="AZ407" i="16"/>
  <c r="AZ408" i="16"/>
  <c r="AZ409" i="16"/>
  <c r="AZ410" i="16"/>
  <c r="AZ380" i="16"/>
  <c r="AZ381" i="16"/>
  <c r="AZ382" i="16"/>
  <c r="AZ411" i="16"/>
  <c r="AZ412" i="16"/>
  <c r="AX3" i="16" l="1"/>
  <c r="AX4" i="16"/>
  <c r="AX5" i="16"/>
  <c r="AX6" i="16"/>
  <c r="AX7" i="16"/>
  <c r="AX8" i="16"/>
  <c r="AX9" i="16"/>
  <c r="AX10" i="16"/>
  <c r="AX11" i="16"/>
  <c r="AX12" i="16"/>
  <c r="AX13" i="16"/>
  <c r="AX14" i="16"/>
  <c r="AX15" i="16"/>
  <c r="AX16" i="16"/>
  <c r="AX17" i="16"/>
  <c r="AX18" i="16"/>
  <c r="AX19" i="16"/>
  <c r="AX23" i="16"/>
  <c r="AX24" i="16"/>
  <c r="AX28" i="16"/>
  <c r="AX29" i="16"/>
  <c r="AX30" i="16"/>
  <c r="AX38" i="16"/>
  <c r="AX59" i="16"/>
  <c r="AX60" i="16"/>
  <c r="AX61" i="16"/>
  <c r="AX80" i="16"/>
  <c r="AX82" i="16"/>
  <c r="AX83" i="16"/>
  <c r="AX84" i="16"/>
  <c r="AX85" i="16"/>
  <c r="AX86" i="16"/>
  <c r="AX87" i="16"/>
  <c r="AX88" i="16"/>
  <c r="AX89" i="16"/>
  <c r="AX114" i="16"/>
  <c r="AX115" i="16"/>
  <c r="AX116" i="16"/>
  <c r="AX117" i="16"/>
  <c r="AX156" i="16"/>
  <c r="AX157" i="16"/>
  <c r="AX158" i="16"/>
  <c r="AX159" i="16"/>
  <c r="AX160" i="16"/>
  <c r="AX161" i="16"/>
  <c r="AX162" i="16"/>
  <c r="AX163" i="16"/>
  <c r="AX168" i="16"/>
  <c r="AX169" i="16"/>
  <c r="AX170" i="16"/>
  <c r="AX171" i="16"/>
  <c r="AX173" i="16"/>
  <c r="AX174" i="16"/>
  <c r="AX175" i="16"/>
  <c r="AX176" i="16"/>
  <c r="AX177" i="16"/>
  <c r="AX200" i="16"/>
  <c r="AX210" i="16"/>
  <c r="AX212" i="16"/>
  <c r="AX213" i="16"/>
  <c r="AX214" i="16"/>
  <c r="AX215" i="16"/>
  <c r="AX217" i="16"/>
  <c r="AX218" i="16"/>
  <c r="AX219" i="16"/>
  <c r="AX220" i="16"/>
  <c r="AX221" i="16"/>
  <c r="AX222" i="16"/>
  <c r="AX223" i="16"/>
  <c r="AX224" i="16"/>
  <c r="AX225" i="16"/>
  <c r="AX226" i="16"/>
  <c r="AX228" i="16"/>
  <c r="AX229" i="16"/>
  <c r="AX230" i="16"/>
  <c r="AX231" i="16"/>
  <c r="AX232" i="16"/>
  <c r="AX233" i="16"/>
  <c r="AX234" i="16"/>
  <c r="AX235" i="16"/>
  <c r="AX236" i="16"/>
  <c r="AX237" i="16"/>
  <c r="AX241" i="16"/>
  <c r="AX242" i="16"/>
  <c r="AX243" i="16"/>
  <c r="AX244" i="16"/>
  <c r="AX275" i="16"/>
  <c r="AX276" i="16"/>
  <c r="AX277" i="16"/>
  <c r="AX278" i="16"/>
  <c r="AX279" i="16"/>
  <c r="AX280" i="16"/>
  <c r="AX281" i="16"/>
  <c r="AX282" i="16"/>
  <c r="AX283" i="16"/>
  <c r="AX284" i="16"/>
  <c r="AX289" i="16"/>
  <c r="AX290" i="16"/>
  <c r="AX295" i="16"/>
  <c r="AX296" i="16"/>
  <c r="AX297" i="16"/>
  <c r="AX350" i="16"/>
  <c r="AX363" i="16"/>
  <c r="AX380" i="16"/>
  <c r="AX381" i="16"/>
  <c r="AX382" i="16"/>
  <c r="AX383" i="16"/>
  <c r="AX384" i="16"/>
  <c r="AX392" i="16"/>
  <c r="AX393" i="16"/>
  <c r="AX394" i="16"/>
  <c r="AX395" i="16"/>
  <c r="AX404" i="16"/>
  <c r="AX405" i="16"/>
  <c r="AX406" i="16"/>
  <c r="AX416" i="16"/>
  <c r="AX21" i="16"/>
  <c r="AX22" i="16"/>
  <c r="AX40" i="16"/>
  <c r="AX71" i="16"/>
  <c r="AX75" i="16"/>
  <c r="AX81" i="16"/>
  <c r="AX110" i="16"/>
  <c r="AX112" i="16"/>
  <c r="AX113" i="16"/>
  <c r="AX164" i="16"/>
  <c r="AX165" i="16"/>
  <c r="AX166" i="16"/>
  <c r="AX167" i="16"/>
  <c r="AX172" i="16"/>
  <c r="AX184" i="16"/>
  <c r="AX185" i="16"/>
  <c r="AX186" i="16"/>
  <c r="AX187" i="16"/>
  <c r="AX188" i="16"/>
  <c r="AX189" i="16"/>
  <c r="AX190" i="16"/>
  <c r="AX191" i="16"/>
  <c r="AX192" i="16"/>
  <c r="AX193" i="16"/>
  <c r="AX194" i="16"/>
  <c r="AX195" i="16"/>
  <c r="AX196" i="16"/>
  <c r="AX197" i="16"/>
  <c r="AX198" i="16"/>
  <c r="AX199" i="16"/>
  <c r="AX201" i="16"/>
  <c r="AX211" i="16"/>
  <c r="AX216" i="16"/>
  <c r="AX227" i="16"/>
  <c r="AX238" i="16"/>
  <c r="AX248" i="16"/>
  <c r="AX249" i="16"/>
  <c r="AX250" i="16"/>
  <c r="AX251" i="16"/>
  <c r="AX252" i="16"/>
  <c r="AX253" i="16"/>
  <c r="AX254" i="16"/>
  <c r="AX255" i="16"/>
  <c r="AX256" i="16"/>
  <c r="AX257" i="16"/>
  <c r="AX258" i="16"/>
  <c r="AX259" i="16"/>
  <c r="AX260" i="16"/>
  <c r="AX270" i="16"/>
  <c r="AX272" i="16"/>
  <c r="AX285" i="16"/>
  <c r="AX286" i="16"/>
  <c r="AX287" i="16"/>
  <c r="AX288" i="16"/>
  <c r="AX291" i="16"/>
  <c r="AX292" i="16"/>
  <c r="AX293" i="16"/>
  <c r="AX298" i="16"/>
  <c r="AX299" i="16"/>
  <c r="AX300" i="16"/>
  <c r="AX316" i="16"/>
  <c r="AX317" i="16"/>
  <c r="AX318" i="16"/>
  <c r="AX319" i="16"/>
  <c r="AX338" i="16"/>
  <c r="AX339" i="16"/>
  <c r="AX340" i="16"/>
  <c r="AX341" i="16"/>
  <c r="AX346" i="16"/>
  <c r="AX347" i="16"/>
  <c r="AX348" i="16"/>
  <c r="AX349" i="16"/>
  <c r="AX351" i="16"/>
  <c r="AX352" i="16"/>
  <c r="AX355" i="16"/>
  <c r="AX356" i="16"/>
  <c r="AX357" i="16"/>
  <c r="AX358" i="16"/>
  <c r="AX361" i="16"/>
  <c r="AX362" i="16"/>
  <c r="AX364" i="16"/>
  <c r="AX365" i="16"/>
  <c r="AX366" i="16"/>
  <c r="AX377" i="16"/>
  <c r="AX378" i="16"/>
  <c r="AX379" i="16"/>
  <c r="AX385" i="16"/>
  <c r="AX386" i="16"/>
  <c r="AX387" i="16"/>
  <c r="AX388" i="16"/>
  <c r="AX396" i="16"/>
  <c r="AX397" i="16"/>
  <c r="AX398" i="16"/>
  <c r="AX399" i="16"/>
  <c r="AX400" i="16"/>
  <c r="AX401" i="16"/>
  <c r="AX402" i="16"/>
  <c r="AX403" i="16"/>
  <c r="AX413" i="16"/>
  <c r="AX414" i="16"/>
  <c r="AX415" i="16"/>
  <c r="AX417" i="16"/>
  <c r="AX418" i="16"/>
  <c r="AX419" i="16"/>
  <c r="AX420" i="16"/>
  <c r="AX421" i="16"/>
  <c r="AX422" i="16"/>
  <c r="AX423" i="16"/>
  <c r="AX424" i="16"/>
  <c r="AX425" i="16"/>
  <c r="AX426" i="16"/>
  <c r="AX20" i="16"/>
  <c r="AX31" i="16"/>
  <c r="AX32" i="16"/>
  <c r="AX33" i="16"/>
  <c r="AX34" i="16"/>
  <c r="AX35" i="16"/>
  <c r="AX36" i="16"/>
  <c r="AX37" i="16"/>
  <c r="AX39" i="16"/>
  <c r="AX41" i="16"/>
  <c r="AX42" i="16"/>
  <c r="AX67" i="16"/>
  <c r="AX69" i="16"/>
  <c r="AX70" i="16"/>
  <c r="AX72" i="16"/>
  <c r="AX73" i="16"/>
  <c r="AX74" i="16"/>
  <c r="AX90" i="16"/>
  <c r="AX91" i="16"/>
  <c r="AX92" i="16"/>
  <c r="AX93" i="16"/>
  <c r="AX94" i="16"/>
  <c r="AX95" i="16"/>
  <c r="AX96" i="16"/>
  <c r="AX97" i="16"/>
  <c r="AX98" i="16"/>
  <c r="AX99" i="16"/>
  <c r="AX100" i="16"/>
  <c r="AX101" i="16"/>
  <c r="AX102" i="16"/>
  <c r="AX103" i="16"/>
  <c r="AX104" i="16"/>
  <c r="AX105" i="16"/>
  <c r="AX106" i="16"/>
  <c r="AX107" i="16"/>
  <c r="AX108" i="16"/>
  <c r="AX109" i="16"/>
  <c r="AX111" i="16"/>
  <c r="AX118" i="16"/>
  <c r="AX119" i="16"/>
  <c r="AX120" i="16"/>
  <c r="AX121" i="16"/>
  <c r="AX122" i="16"/>
  <c r="AX123" i="16"/>
  <c r="AX124" i="16"/>
  <c r="AX125" i="16"/>
  <c r="AX126" i="16"/>
  <c r="AX127" i="16"/>
  <c r="AX128" i="16"/>
  <c r="AX129" i="16"/>
  <c r="AX130" i="16"/>
  <c r="AX131" i="16"/>
  <c r="AX132" i="16"/>
  <c r="AX133" i="16"/>
  <c r="AX134" i="16"/>
  <c r="AX135" i="16"/>
  <c r="AX136" i="16"/>
  <c r="AX137" i="16"/>
  <c r="AX138" i="16"/>
  <c r="AX139" i="16"/>
  <c r="AX140" i="16"/>
  <c r="AX141" i="16"/>
  <c r="AX142" i="16"/>
  <c r="AX143" i="16"/>
  <c r="AX144" i="16"/>
  <c r="AX145" i="16"/>
  <c r="AX146" i="16"/>
  <c r="AX147" i="16"/>
  <c r="AX148" i="16"/>
  <c r="AX149" i="16"/>
  <c r="AX150" i="16"/>
  <c r="AX151" i="16"/>
  <c r="AX152" i="16"/>
  <c r="AX153" i="16"/>
  <c r="AX154" i="16"/>
  <c r="AX155" i="16"/>
  <c r="AX178" i="16"/>
  <c r="AX179" i="16"/>
  <c r="AX180" i="16"/>
  <c r="AX181" i="16"/>
  <c r="AX182" i="16"/>
  <c r="AX183" i="16"/>
  <c r="AX202" i="16"/>
  <c r="AX203" i="16"/>
  <c r="AX205" i="16"/>
  <c r="AX206" i="16"/>
  <c r="AX207" i="16"/>
  <c r="AX261" i="16"/>
  <c r="AX263" i="16"/>
  <c r="AX264" i="16"/>
  <c r="AX265" i="16"/>
  <c r="AX266" i="16"/>
  <c r="AX267" i="16"/>
  <c r="AX268" i="16"/>
  <c r="AX269" i="16"/>
  <c r="AX271" i="16"/>
  <c r="AX273" i="16"/>
  <c r="AX274" i="16"/>
  <c r="AX301" i="16"/>
  <c r="AX312" i="16"/>
  <c r="AX313" i="16"/>
  <c r="AX314" i="16"/>
  <c r="AX315" i="16"/>
  <c r="AX320" i="16"/>
  <c r="AX321" i="16"/>
  <c r="AX322" i="16"/>
  <c r="AX323" i="16"/>
  <c r="AX324" i="16"/>
  <c r="AX325" i="16"/>
  <c r="AX326" i="16"/>
  <c r="AX327" i="16"/>
  <c r="AX328" i="16"/>
  <c r="AX329" i="16"/>
  <c r="AX330" i="16"/>
  <c r="AX331" i="16"/>
  <c r="AX332" i="16"/>
  <c r="AX333" i="16"/>
  <c r="AX334" i="16"/>
  <c r="AX335" i="16"/>
  <c r="AX336" i="16"/>
  <c r="AX337" i="16"/>
  <c r="AX353" i="16"/>
  <c r="AX354" i="16"/>
  <c r="AX359" i="16"/>
  <c r="AX360" i="16"/>
  <c r="AX374" i="16"/>
  <c r="AX375" i="16"/>
  <c r="AX376" i="16"/>
  <c r="AX389" i="16"/>
  <c r="AX390" i="16"/>
  <c r="AX391" i="16"/>
  <c r="AX25" i="16"/>
  <c r="AX26" i="16"/>
  <c r="AX27" i="16"/>
  <c r="AX68" i="16"/>
  <c r="AX208" i="16"/>
  <c r="AX209" i="16"/>
  <c r="AX239" i="16"/>
  <c r="AX240" i="16"/>
  <c r="AX245" i="16"/>
  <c r="AX246" i="16"/>
  <c r="AX247" i="16"/>
  <c r="AX262" i="16"/>
  <c r="AX305" i="16"/>
  <c r="AX306" i="16"/>
  <c r="AX307" i="16"/>
  <c r="AX308" i="16"/>
  <c r="AX309" i="16"/>
  <c r="AX310" i="16"/>
  <c r="AX311" i="16"/>
  <c r="AX407" i="16"/>
  <c r="AX408" i="16"/>
  <c r="AX409" i="16"/>
  <c r="AX410" i="16"/>
  <c r="AX2" i="16"/>
  <c r="AQ355" i="16" l="1"/>
  <c r="AV182" i="16"/>
  <c r="AV183" i="16"/>
  <c r="AV184" i="16"/>
  <c r="AV185" i="16"/>
  <c r="AV186" i="16"/>
  <c r="AV187" i="16"/>
  <c r="AV188" i="16"/>
  <c r="AV189" i="16"/>
  <c r="AV190" i="16"/>
  <c r="AV191" i="16"/>
  <c r="AV192" i="16"/>
  <c r="AV193" i="16"/>
  <c r="AV194" i="16"/>
  <c r="AV195" i="16"/>
  <c r="AV196" i="16"/>
  <c r="AV197" i="16"/>
  <c r="AV198" i="16"/>
  <c r="AV199" i="16"/>
  <c r="AV178" i="16"/>
  <c r="AV179" i="16"/>
  <c r="AV180" i="16"/>
  <c r="AV181" i="16"/>
  <c r="AC139" i="16"/>
  <c r="Z139" i="16" s="1"/>
  <c r="AD139" i="16"/>
  <c r="AE139" i="16"/>
  <c r="AC140" i="16"/>
  <c r="Z140" i="16" s="1"/>
  <c r="AD140" i="16"/>
  <c r="AE140" i="16"/>
  <c r="AC141" i="16"/>
  <c r="Z141" i="16" s="1"/>
  <c r="AD141" i="16"/>
  <c r="AE141" i="16"/>
  <c r="AC142" i="16"/>
  <c r="Z142" i="16" s="1"/>
  <c r="AD142" i="16"/>
  <c r="AE142" i="16"/>
  <c r="AC143" i="16"/>
  <c r="Z143" i="16" s="1"/>
  <c r="AD143" i="16"/>
  <c r="AE143" i="16"/>
  <c r="AC144" i="16"/>
  <c r="Z144" i="16" s="1"/>
  <c r="AD144" i="16"/>
  <c r="AE144" i="16"/>
  <c r="AC145" i="16"/>
  <c r="Z145" i="16" s="1"/>
  <c r="AD145" i="16"/>
  <c r="AE145" i="16"/>
  <c r="AC146" i="16"/>
  <c r="Z146" i="16" s="1"/>
  <c r="AD146" i="16"/>
  <c r="AE146" i="16"/>
  <c r="AC147" i="16"/>
  <c r="Z147" i="16" s="1"/>
  <c r="AD147" i="16"/>
  <c r="AE147" i="16"/>
  <c r="AE96" i="16"/>
  <c r="AE97" i="16"/>
  <c r="AE98" i="16"/>
  <c r="AE99" i="16"/>
  <c r="AE100" i="16"/>
  <c r="AE101" i="16"/>
  <c r="AD96" i="16"/>
  <c r="AD97" i="16"/>
  <c r="AD98" i="16"/>
  <c r="AD99" i="16"/>
  <c r="AD100" i="16"/>
  <c r="AD101" i="16"/>
  <c r="AC96" i="16"/>
  <c r="AC97" i="16"/>
  <c r="AC98" i="16"/>
  <c r="AC99" i="16"/>
  <c r="AC100" i="16"/>
  <c r="Z100" i="16" s="1"/>
  <c r="X100" i="16" s="1"/>
  <c r="AC101" i="16"/>
  <c r="Z101" i="16" s="1"/>
  <c r="X101" i="16" s="1"/>
  <c r="T1" i="17"/>
  <c r="R2" i="17"/>
  <c r="R3" i="17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1" i="17"/>
  <c r="P2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1" i="17"/>
  <c r="N2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1" i="17"/>
  <c r="A236" i="17"/>
  <c r="A237" i="17"/>
  <c r="A238" i="17"/>
  <c r="A239" i="17"/>
  <c r="A240" i="17"/>
  <c r="A241" i="17"/>
  <c r="A242" i="17"/>
  <c r="A243" i="17"/>
  <c r="A244" i="17"/>
  <c r="A245" i="17"/>
  <c r="A246" i="17"/>
  <c r="A247" i="17"/>
  <c r="A248" i="17"/>
  <c r="A249" i="17"/>
  <c r="A250" i="17"/>
  <c r="A251" i="17"/>
  <c r="A252" i="17"/>
  <c r="A253" i="17"/>
  <c r="A254" i="17"/>
  <c r="A235" i="17"/>
  <c r="S1" i="17" s="1"/>
  <c r="A234" i="17"/>
  <c r="Q26" i="17" s="1"/>
  <c r="A231" i="17"/>
  <c r="Q23" i="17" s="1"/>
  <c r="A232" i="17"/>
  <c r="Q24" i="17" s="1"/>
  <c r="A233" i="17"/>
  <c r="Q25" i="17" s="1"/>
  <c r="A210" i="17"/>
  <c r="Q2" i="17" s="1"/>
  <c r="A211" i="17"/>
  <c r="Q3" i="17" s="1"/>
  <c r="A212" i="17"/>
  <c r="Q4" i="17" s="1"/>
  <c r="A213" i="17"/>
  <c r="Q5" i="17" s="1"/>
  <c r="A214" i="17"/>
  <c r="Q6" i="17" s="1"/>
  <c r="A215" i="17"/>
  <c r="Q7" i="17" s="1"/>
  <c r="A216" i="17"/>
  <c r="Q8" i="17" s="1"/>
  <c r="A217" i="17"/>
  <c r="Q9" i="17" s="1"/>
  <c r="A218" i="17"/>
  <c r="Q10" i="17" s="1"/>
  <c r="A219" i="17"/>
  <c r="Q11" i="17" s="1"/>
  <c r="A220" i="17"/>
  <c r="Q12" i="17" s="1"/>
  <c r="A221" i="17"/>
  <c r="Q13" i="17" s="1"/>
  <c r="A222" i="17"/>
  <c r="Q14" i="17" s="1"/>
  <c r="A223" i="17"/>
  <c r="Q15" i="17" s="1"/>
  <c r="A224" i="17"/>
  <c r="Q16" i="17" s="1"/>
  <c r="A225" i="17"/>
  <c r="Q17" i="17" s="1"/>
  <c r="A226" i="17"/>
  <c r="Q18" i="17" s="1"/>
  <c r="A227" i="17"/>
  <c r="Q19" i="17" s="1"/>
  <c r="A228" i="17"/>
  <c r="Q20" i="17" s="1"/>
  <c r="A229" i="17"/>
  <c r="Q21" i="17" s="1"/>
  <c r="A230" i="17"/>
  <c r="Q22" i="17" s="1"/>
  <c r="A209" i="17"/>
  <c r="Q1" i="17" s="1"/>
  <c r="A184" i="17"/>
  <c r="O2" i="17" s="1"/>
  <c r="A185" i="17"/>
  <c r="O3" i="17" s="1"/>
  <c r="A186" i="17"/>
  <c r="O4" i="17" s="1"/>
  <c r="A187" i="17"/>
  <c r="O5" i="17" s="1"/>
  <c r="A188" i="17"/>
  <c r="O6" i="17" s="1"/>
  <c r="A189" i="17"/>
  <c r="O7" i="17" s="1"/>
  <c r="A190" i="17"/>
  <c r="O8" i="17" s="1"/>
  <c r="A191" i="17"/>
  <c r="O9" i="17" s="1"/>
  <c r="A192" i="17"/>
  <c r="O10" i="17" s="1"/>
  <c r="A193" i="17"/>
  <c r="O11" i="17" s="1"/>
  <c r="A194" i="17"/>
  <c r="O12" i="17" s="1"/>
  <c r="A195" i="17"/>
  <c r="O13" i="17" s="1"/>
  <c r="A196" i="17"/>
  <c r="O14" i="17" s="1"/>
  <c r="A197" i="17"/>
  <c r="O15" i="17" s="1"/>
  <c r="A198" i="17"/>
  <c r="O16" i="17" s="1"/>
  <c r="A199" i="17"/>
  <c r="O17" i="17" s="1"/>
  <c r="A200" i="17"/>
  <c r="O18" i="17" s="1"/>
  <c r="A201" i="17"/>
  <c r="O19" i="17" s="1"/>
  <c r="A202" i="17"/>
  <c r="O20" i="17" s="1"/>
  <c r="A203" i="17"/>
  <c r="O21" i="17" s="1"/>
  <c r="A204" i="17"/>
  <c r="O22" i="17" s="1"/>
  <c r="A205" i="17"/>
  <c r="O23" i="17" s="1"/>
  <c r="A206" i="17"/>
  <c r="O24" i="17" s="1"/>
  <c r="A207" i="17"/>
  <c r="O25" i="17" s="1"/>
  <c r="A208" i="17"/>
  <c r="O26" i="17" s="1"/>
  <c r="A183" i="17"/>
  <c r="O1" i="17" s="1"/>
  <c r="A182" i="17"/>
  <c r="M26" i="17" s="1"/>
  <c r="BM149" i="16"/>
  <c r="BO149" i="16" s="1"/>
  <c r="BM150" i="16"/>
  <c r="BO150" i="16" s="1"/>
  <c r="BM151" i="16"/>
  <c r="BO151" i="16" s="1"/>
  <c r="BM152" i="16"/>
  <c r="BO152" i="16" s="1"/>
  <c r="BM153" i="16"/>
  <c r="BO153" i="16" s="1"/>
  <c r="BM154" i="16"/>
  <c r="BO154" i="16" s="1"/>
  <c r="BM155" i="16"/>
  <c r="BO155" i="16" s="1"/>
  <c r="BM148" i="16"/>
  <c r="BO148" i="16" s="1"/>
  <c r="AR148" i="16"/>
  <c r="AV148" i="16" s="1"/>
  <c r="AR149" i="16"/>
  <c r="AV149" i="16" s="1"/>
  <c r="AR150" i="16"/>
  <c r="BL150" i="16" s="1"/>
  <c r="AR151" i="16"/>
  <c r="AV151" i="16" s="1"/>
  <c r="AR152" i="16"/>
  <c r="AV152" i="16" s="1"/>
  <c r="AR153" i="16"/>
  <c r="AV153" i="16" s="1"/>
  <c r="AR154" i="16"/>
  <c r="BL154" i="16" s="1"/>
  <c r="AR155" i="16"/>
  <c r="AV155" i="16" s="1"/>
  <c r="BL174" i="16"/>
  <c r="BL178" i="16"/>
  <c r="BL179" i="16"/>
  <c r="BL180" i="16"/>
  <c r="BL181" i="16"/>
  <c r="BL182" i="16"/>
  <c r="BL183" i="16"/>
  <c r="BL184" i="16"/>
  <c r="BL185" i="16"/>
  <c r="BL186" i="16"/>
  <c r="BL187" i="16"/>
  <c r="BL188" i="16"/>
  <c r="BL189" i="16"/>
  <c r="BL190" i="16"/>
  <c r="BL191" i="16"/>
  <c r="BL192" i="16"/>
  <c r="BL193" i="16"/>
  <c r="BL194" i="16"/>
  <c r="BL195" i="16"/>
  <c r="BL196" i="16"/>
  <c r="BL197" i="16"/>
  <c r="BL198" i="16"/>
  <c r="BL199" i="16"/>
  <c r="BL225" i="16"/>
  <c r="BL226" i="16"/>
  <c r="BL227" i="16"/>
  <c r="BL228" i="16"/>
  <c r="BL248" i="16"/>
  <c r="BL249" i="16"/>
  <c r="BL250" i="16"/>
  <c r="BL251" i="16"/>
  <c r="BL252" i="16"/>
  <c r="BL267" i="16"/>
  <c r="BL268" i="16"/>
  <c r="BL269" i="16"/>
  <c r="BL270" i="16"/>
  <c r="BL271" i="16"/>
  <c r="BL272" i="16"/>
  <c r="BL273" i="16"/>
  <c r="BL274" i="16"/>
  <c r="BL275" i="16"/>
  <c r="BL276" i="16"/>
  <c r="BL282" i="16"/>
  <c r="BL293" i="16"/>
  <c r="BL308" i="16"/>
  <c r="BL309" i="16"/>
  <c r="BL310" i="16"/>
  <c r="BL311" i="16"/>
  <c r="BL320" i="16"/>
  <c r="BL321" i="16"/>
  <c r="BL326" i="16"/>
  <c r="BL327" i="16"/>
  <c r="BL339" i="16"/>
  <c r="BL341" i="16"/>
  <c r="BL354" i="16"/>
  <c r="BM139" i="16"/>
  <c r="BO139" i="16" s="1"/>
  <c r="BM140" i="16"/>
  <c r="BO140" i="16" s="1"/>
  <c r="BM141" i="16"/>
  <c r="BO141" i="16" s="1"/>
  <c r="BM142" i="16"/>
  <c r="BO142" i="16" s="1"/>
  <c r="BM143" i="16"/>
  <c r="BO143" i="16" s="1"/>
  <c r="BM144" i="16"/>
  <c r="BO144" i="16" s="1"/>
  <c r="BM145" i="16"/>
  <c r="BO145" i="16" s="1"/>
  <c r="BM146" i="16"/>
  <c r="BO146" i="16" s="1"/>
  <c r="BM147" i="16"/>
  <c r="BO147" i="16" s="1"/>
  <c r="AR139" i="16"/>
  <c r="BL139" i="16" s="1"/>
  <c r="AR140" i="16"/>
  <c r="BL140" i="16" s="1"/>
  <c r="AR141" i="16"/>
  <c r="BL141" i="16" s="1"/>
  <c r="AR142" i="16"/>
  <c r="BL142" i="16" s="1"/>
  <c r="AR143" i="16"/>
  <c r="BL143" i="16" s="1"/>
  <c r="AR144" i="16"/>
  <c r="BL144" i="16" s="1"/>
  <c r="AR145" i="16"/>
  <c r="BL145" i="16" s="1"/>
  <c r="AR146" i="16"/>
  <c r="BL146" i="16" s="1"/>
  <c r="AR147" i="16"/>
  <c r="BL147" i="16" s="1"/>
  <c r="BM133" i="16"/>
  <c r="BO133" i="16" s="1"/>
  <c r="BM134" i="16"/>
  <c r="BO134" i="16" s="1"/>
  <c r="BM135" i="16"/>
  <c r="BO135" i="16" s="1"/>
  <c r="BM136" i="16"/>
  <c r="BO136" i="16" s="1"/>
  <c r="BM137" i="16"/>
  <c r="BO137" i="16" s="1"/>
  <c r="BM138" i="16"/>
  <c r="BO138" i="16" s="1"/>
  <c r="BI134" i="16"/>
  <c r="BK134" i="16" s="1"/>
  <c r="BI135" i="16"/>
  <c r="BK135" i="16" s="1"/>
  <c r="BI136" i="16"/>
  <c r="BK136" i="16" s="1"/>
  <c r="BI137" i="16"/>
  <c r="BK137" i="16" s="1"/>
  <c r="BI138" i="16"/>
  <c r="BK138" i="16" s="1"/>
  <c r="BI133" i="16"/>
  <c r="BK133" i="16" s="1"/>
  <c r="AW134" i="16"/>
  <c r="AW135" i="16"/>
  <c r="AW136" i="16"/>
  <c r="AW137" i="16"/>
  <c r="AW138" i="16"/>
  <c r="AW133" i="16"/>
  <c r="AR133" i="16"/>
  <c r="BL133" i="16" s="1"/>
  <c r="AR134" i="16"/>
  <c r="BL134" i="16" s="1"/>
  <c r="AR135" i="16"/>
  <c r="AV135" i="16" s="1"/>
  <c r="AR136" i="16"/>
  <c r="AV136" i="16" s="1"/>
  <c r="AR137" i="16"/>
  <c r="AV137" i="16" s="1"/>
  <c r="AR138" i="16"/>
  <c r="BL138" i="16" s="1"/>
  <c r="BM122" i="16"/>
  <c r="BO122" i="16" s="1"/>
  <c r="BM123" i="16"/>
  <c r="BO123" i="16" s="1"/>
  <c r="BM124" i="16"/>
  <c r="BO124" i="16" s="1"/>
  <c r="BM125" i="16"/>
  <c r="BO125" i="16" s="1"/>
  <c r="BM126" i="16"/>
  <c r="BO126" i="16" s="1"/>
  <c r="BM127" i="16"/>
  <c r="BO127" i="16" s="1"/>
  <c r="BM128" i="16"/>
  <c r="BO128" i="16" s="1"/>
  <c r="BM129" i="16"/>
  <c r="BO129" i="16" s="1"/>
  <c r="BM130" i="16"/>
  <c r="BO130" i="16" s="1"/>
  <c r="BM131" i="16"/>
  <c r="BO131" i="16" s="1"/>
  <c r="BM132" i="16"/>
  <c r="BO132" i="16" s="1"/>
  <c r="BM121" i="16"/>
  <c r="BO121" i="16" s="1"/>
  <c r="AW122" i="16"/>
  <c r="AW123" i="16"/>
  <c r="AW124" i="16"/>
  <c r="AW125" i="16"/>
  <c r="AW126" i="16"/>
  <c r="AW127" i="16"/>
  <c r="AW128" i="16"/>
  <c r="AW129" i="16"/>
  <c r="AW130" i="16"/>
  <c r="AW131" i="16"/>
  <c r="AW132" i="16"/>
  <c r="AW121" i="16"/>
  <c r="AR121" i="16"/>
  <c r="BL121" i="16" s="1"/>
  <c r="AR122" i="16"/>
  <c r="BL122" i="16" s="1"/>
  <c r="AR123" i="16"/>
  <c r="BL123" i="16" s="1"/>
  <c r="AR124" i="16"/>
  <c r="BL124" i="16" s="1"/>
  <c r="AR125" i="16"/>
  <c r="AV125" i="16" s="1"/>
  <c r="AR126" i="16"/>
  <c r="BL126" i="16" s="1"/>
  <c r="AR127" i="16"/>
  <c r="BL127" i="16" s="1"/>
  <c r="AR128" i="16"/>
  <c r="BL128" i="16" s="1"/>
  <c r="AR129" i="16"/>
  <c r="BL129" i="16" s="1"/>
  <c r="AR130" i="16"/>
  <c r="BL130" i="16" s="1"/>
  <c r="AR131" i="16"/>
  <c r="BL131" i="16" s="1"/>
  <c r="AR132" i="16"/>
  <c r="BL132" i="16" s="1"/>
  <c r="BM119" i="16"/>
  <c r="BO119" i="16" s="1"/>
  <c r="BM120" i="16"/>
  <c r="BO120" i="16" s="1"/>
  <c r="BM118" i="16"/>
  <c r="BO118" i="16" s="1"/>
  <c r="AW119" i="16"/>
  <c r="AW120" i="16"/>
  <c r="AW118" i="16"/>
  <c r="AR119" i="16"/>
  <c r="BL119" i="16" s="1"/>
  <c r="AR120" i="16"/>
  <c r="AV120" i="16" s="1"/>
  <c r="AR118" i="16"/>
  <c r="BL118" i="16" s="1"/>
  <c r="BM116" i="16"/>
  <c r="BO116" i="16" s="1"/>
  <c r="BM117" i="16"/>
  <c r="BO117" i="16" s="1"/>
  <c r="BM115" i="16"/>
  <c r="BO115" i="16" s="1"/>
  <c r="AV115" i="16"/>
  <c r="AV116" i="16"/>
  <c r="AV117" i="16"/>
  <c r="AR115" i="16"/>
  <c r="BL115" i="16" s="1"/>
  <c r="AR116" i="16"/>
  <c r="BL116" i="16" s="1"/>
  <c r="AR117" i="16"/>
  <c r="BL117" i="16" s="1"/>
  <c r="BM111" i="16"/>
  <c r="BO111" i="16" s="1"/>
  <c r="BM112" i="16"/>
  <c r="BO112" i="16" s="1"/>
  <c r="BM113" i="16"/>
  <c r="BO113" i="16" s="1"/>
  <c r="BM114" i="16"/>
  <c r="BO114" i="16" s="1"/>
  <c r="BM110" i="16"/>
  <c r="BO110" i="16" s="1"/>
  <c r="AV111" i="16"/>
  <c r="AV112" i="16"/>
  <c r="AV113" i="16"/>
  <c r="AV114" i="16"/>
  <c r="AR111" i="16"/>
  <c r="BL111" i="16" s="1"/>
  <c r="AR112" i="16"/>
  <c r="BL112" i="16" s="1"/>
  <c r="AR113" i="16"/>
  <c r="BL113" i="16" s="1"/>
  <c r="AR114" i="16"/>
  <c r="BL114" i="16" s="1"/>
  <c r="AR110" i="16"/>
  <c r="BL110" i="16" s="1"/>
  <c r="AV110" i="16"/>
  <c r="BM102" i="16"/>
  <c r="BO102" i="16" s="1"/>
  <c r="BM103" i="16"/>
  <c r="BO103" i="16" s="1"/>
  <c r="BM104" i="16"/>
  <c r="BO104" i="16" s="1"/>
  <c r="BM105" i="16"/>
  <c r="BO105" i="16" s="1"/>
  <c r="BM106" i="16"/>
  <c r="BO106" i="16" s="1"/>
  <c r="BM107" i="16"/>
  <c r="BO107" i="16" s="1"/>
  <c r="BM108" i="16"/>
  <c r="BO108" i="16" s="1"/>
  <c r="BM109" i="16"/>
  <c r="BO109" i="16" s="1"/>
  <c r="AW103" i="16"/>
  <c r="AW104" i="16"/>
  <c r="AW105" i="16"/>
  <c r="AW106" i="16"/>
  <c r="AW107" i="16"/>
  <c r="AW108" i="16"/>
  <c r="AW109" i="16"/>
  <c r="AW102" i="16"/>
  <c r="AR103" i="16"/>
  <c r="AV103" i="16" s="1"/>
  <c r="AR104" i="16"/>
  <c r="BL104" i="16" s="1"/>
  <c r="AR105" i="16"/>
  <c r="BL105" i="16" s="1"/>
  <c r="AR106" i="16"/>
  <c r="BL106" i="16" s="1"/>
  <c r="AR107" i="16"/>
  <c r="AV107" i="16" s="1"/>
  <c r="AR108" i="16"/>
  <c r="BL108" i="16" s="1"/>
  <c r="AR109" i="16"/>
  <c r="BL109" i="16" s="1"/>
  <c r="AR102" i="16"/>
  <c r="BL102" i="16" s="1"/>
  <c r="BM96" i="16"/>
  <c r="BO96" i="16" s="1"/>
  <c r="BM97" i="16"/>
  <c r="BO97" i="16" s="1"/>
  <c r="BM98" i="16"/>
  <c r="BO98" i="16" s="1"/>
  <c r="BM99" i="16"/>
  <c r="BO99" i="16" s="1"/>
  <c r="BM100" i="16"/>
  <c r="BO100" i="16" s="1"/>
  <c r="BM101" i="16"/>
  <c r="BO101" i="16" s="1"/>
  <c r="AW97" i="16"/>
  <c r="AW98" i="16"/>
  <c r="AW99" i="16"/>
  <c r="AW100" i="16"/>
  <c r="AW101" i="16"/>
  <c r="AW96" i="16"/>
  <c r="AR101" i="16"/>
  <c r="BL101" i="16" s="1"/>
  <c r="AR100" i="16"/>
  <c r="BL100" i="16" s="1"/>
  <c r="AR99" i="16"/>
  <c r="BL99" i="16" s="1"/>
  <c r="AR98" i="16"/>
  <c r="AV98" i="16" s="1"/>
  <c r="AR97" i="16"/>
  <c r="BL97" i="16" s="1"/>
  <c r="AR96" i="16"/>
  <c r="AV96" i="16" s="1"/>
  <c r="BM91" i="16"/>
  <c r="BO91" i="16" s="1"/>
  <c r="BM92" i="16"/>
  <c r="BO92" i="16" s="1"/>
  <c r="BM93" i="16"/>
  <c r="BO93" i="16" s="1"/>
  <c r="BM94" i="16"/>
  <c r="BO94" i="16" s="1"/>
  <c r="BM95" i="16"/>
  <c r="BO95" i="16" s="1"/>
  <c r="BM90" i="16"/>
  <c r="BO90" i="16" s="1"/>
  <c r="AW91" i="16"/>
  <c r="AW92" i="16"/>
  <c r="AW93" i="16"/>
  <c r="AW94" i="16"/>
  <c r="AW95" i="16"/>
  <c r="AW90" i="16"/>
  <c r="AR95" i="16"/>
  <c r="BL95" i="16" s="1"/>
  <c r="AR94" i="16"/>
  <c r="AV94" i="16" s="1"/>
  <c r="AR93" i="16"/>
  <c r="BL93" i="16" s="1"/>
  <c r="AR92" i="16"/>
  <c r="AV92" i="16" s="1"/>
  <c r="AR91" i="16"/>
  <c r="AV91" i="16" s="1"/>
  <c r="AR90" i="16"/>
  <c r="BL90" i="16" s="1"/>
  <c r="AW88" i="16"/>
  <c r="AW89" i="16"/>
  <c r="AW87" i="16"/>
  <c r="AR87" i="16"/>
  <c r="BL87" i="16" s="1"/>
  <c r="AR88" i="16"/>
  <c r="AV88" i="16" s="1"/>
  <c r="AR89" i="16"/>
  <c r="BL89" i="16" s="1"/>
  <c r="AW84" i="16"/>
  <c r="AW85" i="16"/>
  <c r="AW86" i="16"/>
  <c r="AW83" i="16"/>
  <c r="BM82" i="16"/>
  <c r="BO82" i="16" s="1"/>
  <c r="BM81" i="16"/>
  <c r="BO81" i="16" s="1"/>
  <c r="BI82" i="16"/>
  <c r="BK82" i="16" s="1"/>
  <c r="BI81" i="16"/>
  <c r="BK81" i="16" s="1"/>
  <c r="AW82" i="16"/>
  <c r="AW81" i="16"/>
  <c r="AR81" i="16"/>
  <c r="BL81" i="16" s="1"/>
  <c r="AR82" i="16"/>
  <c r="BL82" i="16" s="1"/>
  <c r="BI154" i="16"/>
  <c r="BK154" i="16" s="1"/>
  <c r="BI153" i="16"/>
  <c r="BK153" i="16" s="1"/>
  <c r="BI152" i="16"/>
  <c r="BK152" i="16" s="1"/>
  <c r="BI149" i="16"/>
  <c r="BK149" i="16" s="1"/>
  <c r="BI150" i="16"/>
  <c r="BK150" i="16" s="1"/>
  <c r="BI148" i="16"/>
  <c r="BK148" i="16" s="1"/>
  <c r="BI151" i="16"/>
  <c r="BK151" i="16" s="1"/>
  <c r="AW140" i="16"/>
  <c r="AW141" i="16"/>
  <c r="AW142" i="16"/>
  <c r="AW143" i="16"/>
  <c r="AW144" i="16"/>
  <c r="AW145" i="16"/>
  <c r="AW146" i="16"/>
  <c r="AW147" i="16"/>
  <c r="AW139" i="16"/>
  <c r="AW149" i="16"/>
  <c r="AW150" i="16"/>
  <c r="AW151" i="16"/>
  <c r="AW152" i="16"/>
  <c r="AW153" i="16"/>
  <c r="AW154" i="16"/>
  <c r="AW155" i="16"/>
  <c r="AW148" i="16"/>
  <c r="BI140" i="16"/>
  <c r="BK140" i="16" s="1"/>
  <c r="BI141" i="16"/>
  <c r="BK141" i="16" s="1"/>
  <c r="BI142" i="16"/>
  <c r="BK142" i="16" s="1"/>
  <c r="BI143" i="16"/>
  <c r="BK143" i="16" s="1"/>
  <c r="BI144" i="16"/>
  <c r="BK144" i="16" s="1"/>
  <c r="BI145" i="16"/>
  <c r="BK145" i="16" s="1"/>
  <c r="BI146" i="16"/>
  <c r="BK146" i="16" s="1"/>
  <c r="BI147" i="16"/>
  <c r="BK147" i="16" s="1"/>
  <c r="BI139" i="16"/>
  <c r="BK139" i="16" s="1"/>
  <c r="DM99" i="16"/>
  <c r="DN99" i="16"/>
  <c r="DO99" i="16"/>
  <c r="DP99" i="16"/>
  <c r="DQ99" i="16"/>
  <c r="DR99" i="16"/>
  <c r="DS99" i="16"/>
  <c r="DT99" i="16"/>
  <c r="DU99" i="16"/>
  <c r="DV99" i="16"/>
  <c r="DW99" i="16"/>
  <c r="DX99" i="16"/>
  <c r="DY99" i="16"/>
  <c r="DZ99" i="16"/>
  <c r="EA99" i="16"/>
  <c r="EB99" i="16"/>
  <c r="EC99" i="16"/>
  <c r="BY99" i="16"/>
  <c r="BZ99" i="16"/>
  <c r="CA99" i="16"/>
  <c r="CC99" i="16" s="1"/>
  <c r="DP98" i="16"/>
  <c r="DQ98" i="16"/>
  <c r="DR98" i="16"/>
  <c r="DS98" i="16"/>
  <c r="DT98" i="16"/>
  <c r="DU98" i="16"/>
  <c r="DV98" i="16"/>
  <c r="DW98" i="16"/>
  <c r="DX98" i="16"/>
  <c r="DY98" i="16"/>
  <c r="DZ98" i="16"/>
  <c r="EA98" i="16"/>
  <c r="DO98" i="16"/>
  <c r="DM98" i="16"/>
  <c r="DN98" i="16"/>
  <c r="EB98" i="16"/>
  <c r="EC98" i="16"/>
  <c r="BY98" i="16"/>
  <c r="FA98" i="16" s="1"/>
  <c r="GO98" i="16" s="1"/>
  <c r="BZ98" i="16"/>
  <c r="FB98" i="16" s="1"/>
  <c r="GP98" i="16" s="1"/>
  <c r="CA98" i="16"/>
  <c r="CE98" i="16" s="1"/>
  <c r="DM97" i="16"/>
  <c r="DN97" i="16"/>
  <c r="DO97" i="16"/>
  <c r="DP97" i="16"/>
  <c r="DQ97" i="16"/>
  <c r="DR97" i="16"/>
  <c r="DS97" i="16"/>
  <c r="DT97" i="16"/>
  <c r="DU97" i="16"/>
  <c r="DV97" i="16"/>
  <c r="DW97" i="16"/>
  <c r="DX97" i="16"/>
  <c r="DY97" i="16"/>
  <c r="DZ97" i="16"/>
  <c r="EA97" i="16"/>
  <c r="EB97" i="16"/>
  <c r="EC97" i="16"/>
  <c r="EC96" i="16"/>
  <c r="EB96" i="16"/>
  <c r="DP96" i="16"/>
  <c r="DQ96" i="16"/>
  <c r="DR96" i="16"/>
  <c r="DS96" i="16"/>
  <c r="DT96" i="16"/>
  <c r="DU96" i="16"/>
  <c r="DV96" i="16"/>
  <c r="DW96" i="16"/>
  <c r="DX96" i="16"/>
  <c r="DY96" i="16"/>
  <c r="DZ96" i="16"/>
  <c r="EA96" i="16"/>
  <c r="DO96" i="16"/>
  <c r="DN96" i="16"/>
  <c r="DM96" i="16"/>
  <c r="BY97" i="16"/>
  <c r="BZ97" i="16"/>
  <c r="CA97" i="16"/>
  <c r="CE97" i="16" s="1"/>
  <c r="CA96" i="16"/>
  <c r="BZ96" i="16"/>
  <c r="BY96" i="16"/>
  <c r="BT145" i="16" l="1"/>
  <c r="BT141" i="16"/>
  <c r="BT96" i="16"/>
  <c r="BT147" i="16"/>
  <c r="BT143" i="16"/>
  <c r="BT101" i="16"/>
  <c r="BT97" i="16"/>
  <c r="BT100" i="16"/>
  <c r="BT146" i="16"/>
  <c r="BT142" i="16"/>
  <c r="BT99" i="16"/>
  <c r="BT139" i="16"/>
  <c r="BT98" i="16"/>
  <c r="BT144" i="16"/>
  <c r="BT140" i="16"/>
  <c r="FG97" i="16"/>
  <c r="GU97" i="16" s="1"/>
  <c r="CM97" i="16"/>
  <c r="FO97" i="16" s="1"/>
  <c r="HC97" i="16" s="1"/>
  <c r="FE99" i="16"/>
  <c r="GS99" i="16" s="1"/>
  <c r="FA97" i="16"/>
  <c r="GO97" i="16" s="1"/>
  <c r="CI97" i="16"/>
  <c r="FK97" i="16" s="1"/>
  <c r="GY97" i="16" s="1"/>
  <c r="FA99" i="16"/>
  <c r="GO99" i="16" s="1"/>
  <c r="CM98" i="16"/>
  <c r="CN98" i="16" s="1"/>
  <c r="CO98" i="16" s="1"/>
  <c r="FQ98" i="16" s="1"/>
  <c r="HE98" i="16" s="1"/>
  <c r="CI98" i="16"/>
  <c r="FK98" i="16" s="1"/>
  <c r="GY98" i="16" s="1"/>
  <c r="FC96" i="16"/>
  <c r="GQ96" i="16" s="1"/>
  <c r="FC97" i="16"/>
  <c r="GQ97" i="16" s="1"/>
  <c r="CL97" i="16"/>
  <c r="FN97" i="16" s="1"/>
  <c r="HB97" i="16" s="1"/>
  <c r="CH97" i="16"/>
  <c r="FJ97" i="16" s="1"/>
  <c r="GX97" i="16" s="1"/>
  <c r="CD97" i="16"/>
  <c r="FF97" i="16" s="1"/>
  <c r="GT97" i="16" s="1"/>
  <c r="FB97" i="16"/>
  <c r="GP97" i="16" s="1"/>
  <c r="FC98" i="16"/>
  <c r="GQ98" i="16" s="1"/>
  <c r="CM99" i="16"/>
  <c r="CN99" i="16" s="1"/>
  <c r="CO99" i="16" s="1"/>
  <c r="FQ99" i="16" s="1"/>
  <c r="HE99" i="16" s="1"/>
  <c r="FB96" i="16"/>
  <c r="GP96" i="16" s="1"/>
  <c r="CK97" i="16"/>
  <c r="FM97" i="16" s="1"/>
  <c r="HA97" i="16" s="1"/>
  <c r="CG97" i="16"/>
  <c r="FI97" i="16" s="1"/>
  <c r="GW97" i="16" s="1"/>
  <c r="CC97" i="16"/>
  <c r="FE97" i="16" s="1"/>
  <c r="GS97" i="16" s="1"/>
  <c r="CI99" i="16"/>
  <c r="FK99" i="16" s="1"/>
  <c r="GY99" i="16" s="1"/>
  <c r="CJ97" i="16"/>
  <c r="FL97" i="16" s="1"/>
  <c r="GZ97" i="16" s="1"/>
  <c r="CF97" i="16"/>
  <c r="FH97" i="16" s="1"/>
  <c r="GV97" i="16" s="1"/>
  <c r="CB97" i="16"/>
  <c r="FD97" i="16" s="1"/>
  <c r="GR97" i="16" s="1"/>
  <c r="CF99" i="16"/>
  <c r="FH99" i="16" s="1"/>
  <c r="GV99" i="16" s="1"/>
  <c r="CK99" i="16"/>
  <c r="FM99" i="16" s="1"/>
  <c r="HA99" i="16" s="1"/>
  <c r="CB99" i="16"/>
  <c r="FD99" i="16" s="1"/>
  <c r="GR99" i="16" s="1"/>
  <c r="FA96" i="16"/>
  <c r="GO96" i="16" s="1"/>
  <c r="CG99" i="16"/>
  <c r="FI99" i="16" s="1"/>
  <c r="GW99" i="16" s="1"/>
  <c r="FB99" i="16"/>
  <c r="GP99" i="16" s="1"/>
  <c r="CE96" i="16"/>
  <c r="FG96" i="16" s="1"/>
  <c r="GU96" i="16" s="1"/>
  <c r="CI96" i="16"/>
  <c r="FK96" i="16" s="1"/>
  <c r="GY96" i="16" s="1"/>
  <c r="CB96" i="16"/>
  <c r="FD96" i="16" s="1"/>
  <c r="GR96" i="16" s="1"/>
  <c r="CF96" i="16"/>
  <c r="FH96" i="16" s="1"/>
  <c r="GV96" i="16" s="1"/>
  <c r="CJ96" i="16"/>
  <c r="FL96" i="16" s="1"/>
  <c r="GZ96" i="16" s="1"/>
  <c r="CL98" i="16"/>
  <c r="FN98" i="16" s="1"/>
  <c r="HB98" i="16" s="1"/>
  <c r="CH98" i="16"/>
  <c r="FJ98" i="16" s="1"/>
  <c r="GX98" i="16" s="1"/>
  <c r="CD98" i="16"/>
  <c r="FF98" i="16" s="1"/>
  <c r="GT98" i="16" s="1"/>
  <c r="CJ99" i="16"/>
  <c r="FL99" i="16" s="1"/>
  <c r="GZ99" i="16" s="1"/>
  <c r="CE99" i="16"/>
  <c r="FG99" i="16" s="1"/>
  <c r="GU99" i="16" s="1"/>
  <c r="CK98" i="16"/>
  <c r="FM98" i="16" s="1"/>
  <c r="HA98" i="16" s="1"/>
  <c r="CG98" i="16"/>
  <c r="FI98" i="16" s="1"/>
  <c r="GW98" i="16" s="1"/>
  <c r="CC98" i="16"/>
  <c r="FE98" i="16" s="1"/>
  <c r="GS98" i="16" s="1"/>
  <c r="CM96" i="16"/>
  <c r="FO96" i="16" s="1"/>
  <c r="HC96" i="16" s="1"/>
  <c r="CC96" i="16"/>
  <c r="FE96" i="16" s="1"/>
  <c r="GS96" i="16" s="1"/>
  <c r="CG96" i="16"/>
  <c r="FI96" i="16" s="1"/>
  <c r="GW96" i="16" s="1"/>
  <c r="CK96" i="16"/>
  <c r="FM96" i="16" s="1"/>
  <c r="HA96" i="16" s="1"/>
  <c r="CD96" i="16"/>
  <c r="FF96" i="16" s="1"/>
  <c r="GT96" i="16" s="1"/>
  <c r="CH96" i="16"/>
  <c r="FJ96" i="16" s="1"/>
  <c r="GX96" i="16" s="1"/>
  <c r="CL96" i="16"/>
  <c r="FN96" i="16" s="1"/>
  <c r="HB96" i="16" s="1"/>
  <c r="CJ98" i="16"/>
  <c r="FL98" i="16" s="1"/>
  <c r="GZ98" i="16" s="1"/>
  <c r="CF98" i="16"/>
  <c r="FH98" i="16" s="1"/>
  <c r="GV98" i="16" s="1"/>
  <c r="CB98" i="16"/>
  <c r="FD98" i="16" s="1"/>
  <c r="GR98" i="16" s="1"/>
  <c r="FC99" i="16"/>
  <c r="GQ99" i="16" s="1"/>
  <c r="X145" i="16"/>
  <c r="U145" i="16"/>
  <c r="X141" i="16"/>
  <c r="U141" i="16"/>
  <c r="X140" i="16"/>
  <c r="U140" i="16"/>
  <c r="X146" i="16"/>
  <c r="U146" i="16"/>
  <c r="X142" i="16"/>
  <c r="U142" i="16"/>
  <c r="X144" i="16"/>
  <c r="U144" i="16"/>
  <c r="X147" i="16"/>
  <c r="U147" i="16"/>
  <c r="X143" i="16"/>
  <c r="U143" i="16"/>
  <c r="X139" i="16"/>
  <c r="U139" i="16"/>
  <c r="BL149" i="16"/>
  <c r="BL153" i="16"/>
  <c r="BL148" i="16"/>
  <c r="AV90" i="16"/>
  <c r="AV95" i="16"/>
  <c r="AV97" i="16"/>
  <c r="BL152" i="16"/>
  <c r="Z99" i="16"/>
  <c r="X99" i="16" s="1"/>
  <c r="AV81" i="16"/>
  <c r="Z96" i="16"/>
  <c r="X96" i="16" s="1"/>
  <c r="Z98" i="16"/>
  <c r="X98" i="16" s="1"/>
  <c r="Z97" i="16"/>
  <c r="X97" i="16" s="1"/>
  <c r="AV93" i="16"/>
  <c r="AV133" i="16"/>
  <c r="BL151" i="16"/>
  <c r="AV99" i="16"/>
  <c r="AV141" i="16"/>
  <c r="AV87" i="16"/>
  <c r="AV106" i="16"/>
  <c r="AV118" i="16"/>
  <c r="AV82" i="16"/>
  <c r="FG98" i="16"/>
  <c r="GU98" i="16" s="1"/>
  <c r="AV119" i="16"/>
  <c r="BL155" i="16"/>
  <c r="BL137" i="16"/>
  <c r="BL88" i="16"/>
  <c r="BL92" i="16"/>
  <c r="AV138" i="16"/>
  <c r="AV101" i="16"/>
  <c r="AV102" i="16"/>
  <c r="AV134" i="16"/>
  <c r="AV145" i="16"/>
  <c r="AV129" i="16"/>
  <c r="AV121" i="16"/>
  <c r="BL125" i="16"/>
  <c r="BL107" i="16"/>
  <c r="AV109" i="16"/>
  <c r="AV105" i="16"/>
  <c r="AV132" i="16"/>
  <c r="AV128" i="16"/>
  <c r="AV124" i="16"/>
  <c r="AV144" i="16"/>
  <c r="AV140" i="16"/>
  <c r="BL136" i="16"/>
  <c r="BL120" i="16"/>
  <c r="BL98" i="16"/>
  <c r="BL94" i="16"/>
  <c r="BL91" i="16"/>
  <c r="AV154" i="16"/>
  <c r="AV150" i="16"/>
  <c r="AV108" i="16"/>
  <c r="AV104" i="16"/>
  <c r="AV131" i="16"/>
  <c r="AV127" i="16"/>
  <c r="AV123" i="16"/>
  <c r="AV147" i="16"/>
  <c r="AV143" i="16"/>
  <c r="AV139" i="16"/>
  <c r="BL135" i="16"/>
  <c r="BL103" i="16"/>
  <c r="AV89" i="16"/>
  <c r="AV100" i="16"/>
  <c r="AV130" i="16"/>
  <c r="AV126" i="16"/>
  <c r="AV122" i="16"/>
  <c r="AV146" i="16"/>
  <c r="AV142" i="16"/>
  <c r="BL96" i="16"/>
  <c r="CL99" i="16"/>
  <c r="FN99" i="16" s="1"/>
  <c r="HB99" i="16" s="1"/>
  <c r="CH99" i="16"/>
  <c r="FJ99" i="16" s="1"/>
  <c r="GX99" i="16" s="1"/>
  <c r="CD99" i="16"/>
  <c r="FF99" i="16" s="1"/>
  <c r="GT99" i="16" s="1"/>
  <c r="FO98" i="16" l="1"/>
  <c r="HC98" i="16" s="1"/>
  <c r="CN97" i="16"/>
  <c r="CO97" i="16" s="1"/>
  <c r="FQ97" i="16" s="1"/>
  <c r="HE97" i="16" s="1"/>
  <c r="FP98" i="16"/>
  <c r="HD98" i="16" s="1"/>
  <c r="CN96" i="16"/>
  <c r="CO96" i="16" s="1"/>
  <c r="FQ96" i="16" s="1"/>
  <c r="HE96" i="16" s="1"/>
  <c r="FO99" i="16"/>
  <c r="HC99" i="16" s="1"/>
  <c r="FP97" i="16"/>
  <c r="HD97" i="16" s="1"/>
  <c r="FP99" i="16"/>
  <c r="HD99" i="16" s="1"/>
  <c r="AC149" i="16"/>
  <c r="AD149" i="16"/>
  <c r="AE149" i="16"/>
  <c r="BT149" i="16" s="1"/>
  <c r="AC150" i="16"/>
  <c r="AD150" i="16"/>
  <c r="AE150" i="16"/>
  <c r="BT150" i="16" s="1"/>
  <c r="AC151" i="16"/>
  <c r="AD151" i="16"/>
  <c r="AE151" i="16"/>
  <c r="BT151" i="16" s="1"/>
  <c r="AC152" i="16"/>
  <c r="AD152" i="16"/>
  <c r="AE152" i="16"/>
  <c r="BT152" i="16" s="1"/>
  <c r="AC153" i="16"/>
  <c r="AD153" i="16"/>
  <c r="AE153" i="16"/>
  <c r="BT153" i="16" s="1"/>
  <c r="AC154" i="16"/>
  <c r="AD154" i="16"/>
  <c r="AE154" i="16"/>
  <c r="BT154" i="16" s="1"/>
  <c r="AC155" i="16"/>
  <c r="AD155" i="16"/>
  <c r="AE155" i="16"/>
  <c r="BT155" i="16" s="1"/>
  <c r="AE148" i="16"/>
  <c r="BT148" i="16" s="1"/>
  <c r="AD148" i="16"/>
  <c r="AC148" i="16"/>
  <c r="AC118" i="16"/>
  <c r="AD118" i="16"/>
  <c r="AE118" i="16"/>
  <c r="BT118" i="16" s="1"/>
  <c r="AC119" i="16"/>
  <c r="AD119" i="16"/>
  <c r="AE119" i="16"/>
  <c r="BT119" i="16" s="1"/>
  <c r="AC120" i="16"/>
  <c r="AD120" i="16"/>
  <c r="AE120" i="16"/>
  <c r="BT120" i="16" s="1"/>
  <c r="AC121" i="16"/>
  <c r="AD121" i="16"/>
  <c r="AE121" i="16"/>
  <c r="BT121" i="16" s="1"/>
  <c r="AC122" i="16"/>
  <c r="AD122" i="16"/>
  <c r="AE122" i="16"/>
  <c r="BT122" i="16" s="1"/>
  <c r="AC123" i="16"/>
  <c r="AD123" i="16"/>
  <c r="AE123" i="16"/>
  <c r="BT123" i="16" s="1"/>
  <c r="AC124" i="16"/>
  <c r="AD124" i="16"/>
  <c r="AE124" i="16"/>
  <c r="BT124" i="16" s="1"/>
  <c r="AC125" i="16"/>
  <c r="AD125" i="16"/>
  <c r="AE125" i="16"/>
  <c r="BT125" i="16" s="1"/>
  <c r="AC126" i="16"/>
  <c r="AD126" i="16"/>
  <c r="AE126" i="16"/>
  <c r="BT126" i="16" s="1"/>
  <c r="AC127" i="16"/>
  <c r="AD127" i="16"/>
  <c r="AE127" i="16"/>
  <c r="BT127" i="16" s="1"/>
  <c r="AC128" i="16"/>
  <c r="AD128" i="16"/>
  <c r="AE128" i="16"/>
  <c r="BT128" i="16" s="1"/>
  <c r="AC129" i="16"/>
  <c r="AD129" i="16"/>
  <c r="AE129" i="16"/>
  <c r="BT129" i="16" s="1"/>
  <c r="AC130" i="16"/>
  <c r="AD130" i="16"/>
  <c r="AE130" i="16"/>
  <c r="BT130" i="16" s="1"/>
  <c r="AC131" i="16"/>
  <c r="AD131" i="16"/>
  <c r="AE131" i="16"/>
  <c r="BT131" i="16" s="1"/>
  <c r="AC132" i="16"/>
  <c r="AD132" i="16"/>
  <c r="AE132" i="16"/>
  <c r="BT132" i="16" s="1"/>
  <c r="AC133" i="16"/>
  <c r="AD133" i="16"/>
  <c r="AE133" i="16"/>
  <c r="BT133" i="16" s="1"/>
  <c r="AC134" i="16"/>
  <c r="AD134" i="16"/>
  <c r="AE134" i="16"/>
  <c r="BT134" i="16" s="1"/>
  <c r="AC135" i="16"/>
  <c r="AD135" i="16"/>
  <c r="AE135" i="16"/>
  <c r="BT135" i="16" s="1"/>
  <c r="AC136" i="16"/>
  <c r="AD136" i="16"/>
  <c r="AE136" i="16"/>
  <c r="BT136" i="16" s="1"/>
  <c r="AC137" i="16"/>
  <c r="AD137" i="16"/>
  <c r="AE137" i="16"/>
  <c r="BT137" i="16" s="1"/>
  <c r="AC138" i="16"/>
  <c r="AD138" i="16"/>
  <c r="AE138" i="16"/>
  <c r="BT138" i="16" s="1"/>
  <c r="AC103" i="16"/>
  <c r="AD103" i="16"/>
  <c r="AE103" i="16"/>
  <c r="BT103" i="16" s="1"/>
  <c r="AC104" i="16"/>
  <c r="AD104" i="16"/>
  <c r="AE104" i="16"/>
  <c r="BT104" i="16" s="1"/>
  <c r="AC105" i="16"/>
  <c r="AD105" i="16"/>
  <c r="AE105" i="16"/>
  <c r="BT105" i="16" s="1"/>
  <c r="AC106" i="16"/>
  <c r="AD106" i="16"/>
  <c r="AE106" i="16"/>
  <c r="BT106" i="16" s="1"/>
  <c r="AC107" i="16"/>
  <c r="AD107" i="16"/>
  <c r="AE107" i="16"/>
  <c r="BT107" i="16" s="1"/>
  <c r="AC108" i="16"/>
  <c r="AD108" i="16"/>
  <c r="AE108" i="16"/>
  <c r="BT108" i="16" s="1"/>
  <c r="AC109" i="16"/>
  <c r="AD109" i="16"/>
  <c r="AE109" i="16"/>
  <c r="BT109" i="16" s="1"/>
  <c r="AC110" i="16"/>
  <c r="AD110" i="16"/>
  <c r="AE110" i="16"/>
  <c r="BT110" i="16" s="1"/>
  <c r="AC111" i="16"/>
  <c r="AD111" i="16"/>
  <c r="AE111" i="16"/>
  <c r="BT111" i="16" s="1"/>
  <c r="AC112" i="16"/>
  <c r="AD112" i="16"/>
  <c r="AE112" i="16"/>
  <c r="BT112" i="16" s="1"/>
  <c r="AC113" i="16"/>
  <c r="AD113" i="16"/>
  <c r="AE113" i="16"/>
  <c r="BT113" i="16" s="1"/>
  <c r="AC114" i="16"/>
  <c r="AD114" i="16"/>
  <c r="AE114" i="16"/>
  <c r="BT114" i="16" s="1"/>
  <c r="AC115" i="16"/>
  <c r="AD115" i="16"/>
  <c r="AE115" i="16"/>
  <c r="BT115" i="16" s="1"/>
  <c r="AC116" i="16"/>
  <c r="AD116" i="16"/>
  <c r="AE116" i="16"/>
  <c r="BT116" i="16" s="1"/>
  <c r="AC117" i="16"/>
  <c r="AD117" i="16"/>
  <c r="AE117" i="16"/>
  <c r="BT117" i="16" s="1"/>
  <c r="AE102" i="16"/>
  <c r="BT102" i="16" s="1"/>
  <c r="AD102" i="16"/>
  <c r="AC102" i="16"/>
  <c r="AC81" i="16"/>
  <c r="AD81" i="16"/>
  <c r="AE81" i="16"/>
  <c r="BT81" i="16" s="1"/>
  <c r="AC82" i="16"/>
  <c r="AD82" i="16"/>
  <c r="AE82" i="16"/>
  <c r="BT82" i="16" s="1"/>
  <c r="AC83" i="16"/>
  <c r="AD83" i="16"/>
  <c r="AE83" i="16"/>
  <c r="BT83" i="16" s="1"/>
  <c r="AC84" i="16"/>
  <c r="AD84" i="16"/>
  <c r="AE84" i="16"/>
  <c r="BT84" i="16" s="1"/>
  <c r="AC85" i="16"/>
  <c r="AD85" i="16"/>
  <c r="AE85" i="16"/>
  <c r="BT85" i="16" s="1"/>
  <c r="AC86" i="16"/>
  <c r="AD86" i="16"/>
  <c r="AE86" i="16"/>
  <c r="BT86" i="16" s="1"/>
  <c r="AC87" i="16"/>
  <c r="AD87" i="16"/>
  <c r="AE87" i="16"/>
  <c r="BT87" i="16" s="1"/>
  <c r="AC88" i="16"/>
  <c r="AD88" i="16"/>
  <c r="AE88" i="16"/>
  <c r="BT88" i="16" s="1"/>
  <c r="AC89" i="16"/>
  <c r="AD89" i="16"/>
  <c r="AE89" i="16"/>
  <c r="BT89" i="16" s="1"/>
  <c r="AC90" i="16"/>
  <c r="AD90" i="16"/>
  <c r="AE90" i="16"/>
  <c r="BT90" i="16" s="1"/>
  <c r="AC91" i="16"/>
  <c r="AD91" i="16"/>
  <c r="AE91" i="16"/>
  <c r="BT91" i="16" s="1"/>
  <c r="AC92" i="16"/>
  <c r="AD92" i="16"/>
  <c r="AE92" i="16"/>
  <c r="BT92" i="16" s="1"/>
  <c r="AC93" i="16"/>
  <c r="AD93" i="16"/>
  <c r="AE93" i="16"/>
  <c r="BT93" i="16" s="1"/>
  <c r="AC94" i="16"/>
  <c r="AD94" i="16"/>
  <c r="AE94" i="16"/>
  <c r="BT94" i="16" s="1"/>
  <c r="AC95" i="16"/>
  <c r="AD95" i="16"/>
  <c r="AE95" i="16"/>
  <c r="BT95" i="16" s="1"/>
  <c r="AQ82" i="16"/>
  <c r="AS82" i="16" s="1"/>
  <c r="AG82" i="16" s="1"/>
  <c r="AQ83" i="16"/>
  <c r="AS83" i="16" s="1"/>
  <c r="AQ84" i="16"/>
  <c r="AS84" i="16" s="1"/>
  <c r="AQ85" i="16"/>
  <c r="AS85" i="16" s="1"/>
  <c r="AQ86" i="16"/>
  <c r="AS86" i="16" s="1"/>
  <c r="AQ87" i="16"/>
  <c r="AS87" i="16" s="1"/>
  <c r="AQ88" i="16"/>
  <c r="AS88" i="16" s="1"/>
  <c r="AQ89" i="16"/>
  <c r="AS89" i="16" s="1"/>
  <c r="AQ90" i="16"/>
  <c r="AS90" i="16" s="1"/>
  <c r="AG90" i="16" s="1"/>
  <c r="AQ91" i="16"/>
  <c r="AS91" i="16" s="1"/>
  <c r="AG91" i="16" s="1"/>
  <c r="AQ92" i="16"/>
  <c r="AS92" i="16" s="1"/>
  <c r="AG92" i="16" s="1"/>
  <c r="AQ93" i="16"/>
  <c r="AS93" i="16" s="1"/>
  <c r="AG93" i="16" s="1"/>
  <c r="AQ94" i="16"/>
  <c r="AS94" i="16" s="1"/>
  <c r="AG94" i="16" s="1"/>
  <c r="AQ95" i="16"/>
  <c r="AS95" i="16" s="1"/>
  <c r="AG95" i="16" s="1"/>
  <c r="AQ96" i="16"/>
  <c r="AS96" i="16" s="1"/>
  <c r="AG96" i="16" s="1"/>
  <c r="AQ97" i="16"/>
  <c r="AS97" i="16" s="1"/>
  <c r="AG97" i="16" s="1"/>
  <c r="AQ98" i="16"/>
  <c r="AS98" i="16" s="1"/>
  <c r="AG98" i="16" s="1"/>
  <c r="AQ99" i="16"/>
  <c r="AS99" i="16" s="1"/>
  <c r="AG99" i="16" s="1"/>
  <c r="AQ100" i="16"/>
  <c r="AS100" i="16" s="1"/>
  <c r="AG100" i="16" s="1"/>
  <c r="AQ101" i="16"/>
  <c r="AS101" i="16" s="1"/>
  <c r="AG101" i="16" s="1"/>
  <c r="AQ102" i="16"/>
  <c r="AS102" i="16" s="1"/>
  <c r="AG102" i="16" s="1"/>
  <c r="AQ103" i="16"/>
  <c r="AS103" i="16" s="1"/>
  <c r="AG103" i="16" s="1"/>
  <c r="AQ104" i="16"/>
  <c r="AS104" i="16" s="1"/>
  <c r="AG104" i="16" s="1"/>
  <c r="AQ105" i="16"/>
  <c r="AS105" i="16" s="1"/>
  <c r="AG105" i="16" s="1"/>
  <c r="AQ106" i="16"/>
  <c r="AS106" i="16" s="1"/>
  <c r="AG106" i="16" s="1"/>
  <c r="AQ107" i="16"/>
  <c r="AS107" i="16" s="1"/>
  <c r="AG107" i="16" s="1"/>
  <c r="AQ108" i="16"/>
  <c r="AS108" i="16" s="1"/>
  <c r="AG108" i="16" s="1"/>
  <c r="AQ109" i="16"/>
  <c r="AS109" i="16" s="1"/>
  <c r="AG109" i="16" s="1"/>
  <c r="AQ110" i="16"/>
  <c r="AS110" i="16" s="1"/>
  <c r="AG110" i="16" s="1"/>
  <c r="AQ111" i="16"/>
  <c r="AS111" i="16" s="1"/>
  <c r="AG111" i="16" s="1"/>
  <c r="AQ112" i="16"/>
  <c r="AS112" i="16" s="1"/>
  <c r="AG112" i="16" s="1"/>
  <c r="AQ113" i="16"/>
  <c r="AS113" i="16" s="1"/>
  <c r="AG113" i="16" s="1"/>
  <c r="AQ114" i="16"/>
  <c r="AS114" i="16" s="1"/>
  <c r="AG114" i="16" s="1"/>
  <c r="AQ115" i="16"/>
  <c r="AS115" i="16" s="1"/>
  <c r="AG115" i="16" s="1"/>
  <c r="AQ116" i="16"/>
  <c r="AS116" i="16" s="1"/>
  <c r="AG116" i="16" s="1"/>
  <c r="AQ117" i="16"/>
  <c r="AS117" i="16" s="1"/>
  <c r="AG117" i="16" s="1"/>
  <c r="AQ118" i="16"/>
  <c r="AS118" i="16" s="1"/>
  <c r="AG118" i="16" s="1"/>
  <c r="AQ119" i="16"/>
  <c r="AS119" i="16" s="1"/>
  <c r="AG119" i="16" s="1"/>
  <c r="AQ120" i="16"/>
  <c r="AS120" i="16" s="1"/>
  <c r="AG120" i="16" s="1"/>
  <c r="AQ121" i="16"/>
  <c r="AS121" i="16" s="1"/>
  <c r="AG121" i="16" s="1"/>
  <c r="AQ122" i="16"/>
  <c r="AS122" i="16" s="1"/>
  <c r="AG122" i="16" s="1"/>
  <c r="AQ123" i="16"/>
  <c r="AS123" i="16" s="1"/>
  <c r="AG123" i="16" s="1"/>
  <c r="AQ124" i="16"/>
  <c r="AS124" i="16" s="1"/>
  <c r="AG124" i="16" s="1"/>
  <c r="AQ125" i="16"/>
  <c r="AS125" i="16" s="1"/>
  <c r="AG125" i="16" s="1"/>
  <c r="AQ126" i="16"/>
  <c r="AS126" i="16" s="1"/>
  <c r="AG126" i="16" s="1"/>
  <c r="AQ127" i="16"/>
  <c r="AS127" i="16" s="1"/>
  <c r="AG127" i="16" s="1"/>
  <c r="AQ128" i="16"/>
  <c r="AS128" i="16" s="1"/>
  <c r="AG128" i="16" s="1"/>
  <c r="AQ129" i="16"/>
  <c r="AS129" i="16" s="1"/>
  <c r="AG129" i="16" s="1"/>
  <c r="AQ130" i="16"/>
  <c r="AS130" i="16" s="1"/>
  <c r="AG130" i="16" s="1"/>
  <c r="AQ131" i="16"/>
  <c r="AS131" i="16" s="1"/>
  <c r="AG131" i="16" s="1"/>
  <c r="AQ132" i="16"/>
  <c r="AS132" i="16" s="1"/>
  <c r="AG132" i="16" s="1"/>
  <c r="AQ133" i="16"/>
  <c r="AS133" i="16" s="1"/>
  <c r="AG133" i="16" s="1"/>
  <c r="AQ134" i="16"/>
  <c r="AS134" i="16" s="1"/>
  <c r="AG134" i="16" s="1"/>
  <c r="AQ135" i="16"/>
  <c r="AS135" i="16" s="1"/>
  <c r="AG135" i="16" s="1"/>
  <c r="AQ136" i="16"/>
  <c r="AS136" i="16" s="1"/>
  <c r="AG136" i="16" s="1"/>
  <c r="AQ137" i="16"/>
  <c r="AS137" i="16" s="1"/>
  <c r="AG137" i="16" s="1"/>
  <c r="AQ138" i="16"/>
  <c r="AS138" i="16" s="1"/>
  <c r="AG138" i="16" s="1"/>
  <c r="AQ139" i="16"/>
  <c r="AS139" i="16" s="1"/>
  <c r="AQ140" i="16"/>
  <c r="AS140" i="16" s="1"/>
  <c r="AQ141" i="16"/>
  <c r="AS141" i="16" s="1"/>
  <c r="AQ142" i="16"/>
  <c r="AS142" i="16" s="1"/>
  <c r="AQ143" i="16"/>
  <c r="AS143" i="16" s="1"/>
  <c r="AQ144" i="16"/>
  <c r="AS144" i="16" s="1"/>
  <c r="AQ145" i="16"/>
  <c r="AS145" i="16" s="1"/>
  <c r="AQ146" i="16"/>
  <c r="AS146" i="16" s="1"/>
  <c r="AQ147" i="16"/>
  <c r="AS147" i="16" s="1"/>
  <c r="AQ148" i="16"/>
  <c r="AS148" i="16" s="1"/>
  <c r="AG148" i="16" s="1"/>
  <c r="AQ149" i="16"/>
  <c r="AS149" i="16" s="1"/>
  <c r="AG149" i="16" s="1"/>
  <c r="AQ150" i="16"/>
  <c r="AS150" i="16" s="1"/>
  <c r="AG150" i="16" s="1"/>
  <c r="AQ151" i="16"/>
  <c r="AS151" i="16" s="1"/>
  <c r="AG151" i="16" s="1"/>
  <c r="AQ152" i="16"/>
  <c r="AS152" i="16" s="1"/>
  <c r="AQ153" i="16"/>
  <c r="AS153" i="16" s="1"/>
  <c r="AG153" i="16" s="1"/>
  <c r="AQ154" i="16"/>
  <c r="AS154" i="16" s="1"/>
  <c r="AG154" i="16" s="1"/>
  <c r="AQ155" i="16"/>
  <c r="AS155" i="16" s="1"/>
  <c r="AG155" i="16" s="1"/>
  <c r="AM82" i="16"/>
  <c r="AM81" i="16"/>
  <c r="ED156" i="16"/>
  <c r="EC156" i="16"/>
  <c r="EB156" i="16"/>
  <c r="EA156" i="16"/>
  <c r="DZ156" i="16"/>
  <c r="DY156" i="16"/>
  <c r="DX156" i="16"/>
  <c r="DW156" i="16"/>
  <c r="DV156" i="16"/>
  <c r="DU156" i="16"/>
  <c r="DT156" i="16"/>
  <c r="DS156" i="16"/>
  <c r="DR156" i="16"/>
  <c r="DQ156" i="16"/>
  <c r="DP156" i="16"/>
  <c r="DN156" i="16"/>
  <c r="DO156" i="16"/>
  <c r="DM156" i="16"/>
  <c r="FZ153" i="16"/>
  <c r="HN153" i="16" s="1"/>
  <c r="GA153" i="16"/>
  <c r="HO153" i="16" s="1"/>
  <c r="FZ154" i="16"/>
  <c r="HN154" i="16" s="1"/>
  <c r="GA154" i="16"/>
  <c r="HO154" i="16" s="1"/>
  <c r="FZ155" i="16"/>
  <c r="HN155" i="16" s="1"/>
  <c r="GA155" i="16"/>
  <c r="HO155" i="16" s="1"/>
  <c r="FY154" i="16"/>
  <c r="HM154" i="16" s="1"/>
  <c r="FY155" i="16"/>
  <c r="HM155" i="16" s="1"/>
  <c r="FY153" i="16"/>
  <c r="HM153" i="16" s="1"/>
  <c r="FE153" i="16"/>
  <c r="GS153" i="16" s="1"/>
  <c r="FF153" i="16"/>
  <c r="GT153" i="16" s="1"/>
  <c r="FG153" i="16"/>
  <c r="GU153" i="16" s="1"/>
  <c r="FH153" i="16"/>
  <c r="GV153" i="16" s="1"/>
  <c r="FI153" i="16"/>
  <c r="GW153" i="16" s="1"/>
  <c r="FJ153" i="16"/>
  <c r="GX153" i="16" s="1"/>
  <c r="FK153" i="16"/>
  <c r="GY153" i="16" s="1"/>
  <c r="FL153" i="16"/>
  <c r="GZ153" i="16" s="1"/>
  <c r="FM153" i="16"/>
  <c r="HA153" i="16" s="1"/>
  <c r="FN153" i="16"/>
  <c r="HB153" i="16" s="1"/>
  <c r="FO153" i="16"/>
  <c r="HC153" i="16" s="1"/>
  <c r="FP153" i="16"/>
  <c r="HD153" i="16" s="1"/>
  <c r="FQ153" i="16"/>
  <c r="HE153" i="16" s="1"/>
  <c r="FR153" i="16"/>
  <c r="HF153" i="16" s="1"/>
  <c r="FS153" i="16"/>
  <c r="HG153" i="16" s="1"/>
  <c r="FT153" i="16"/>
  <c r="HH153" i="16" s="1"/>
  <c r="FU153" i="16"/>
  <c r="HI153" i="16" s="1"/>
  <c r="FV153" i="16"/>
  <c r="HJ153" i="16" s="1"/>
  <c r="FW153" i="16"/>
  <c r="HK153" i="16" s="1"/>
  <c r="FX153" i="16"/>
  <c r="HL153" i="16" s="1"/>
  <c r="FE154" i="16"/>
  <c r="GS154" i="16" s="1"/>
  <c r="FF154" i="16"/>
  <c r="GT154" i="16" s="1"/>
  <c r="FG154" i="16"/>
  <c r="GU154" i="16" s="1"/>
  <c r="FH154" i="16"/>
  <c r="GV154" i="16" s="1"/>
  <c r="FI154" i="16"/>
  <c r="GW154" i="16" s="1"/>
  <c r="FJ154" i="16"/>
  <c r="GX154" i="16" s="1"/>
  <c r="FK154" i="16"/>
  <c r="GY154" i="16" s="1"/>
  <c r="FL154" i="16"/>
  <c r="GZ154" i="16" s="1"/>
  <c r="FM154" i="16"/>
  <c r="HA154" i="16" s="1"/>
  <c r="FN154" i="16"/>
  <c r="HB154" i="16" s="1"/>
  <c r="FO154" i="16"/>
  <c r="HC154" i="16" s="1"/>
  <c r="FP154" i="16"/>
  <c r="HD154" i="16" s="1"/>
  <c r="FQ154" i="16"/>
  <c r="HE154" i="16" s="1"/>
  <c r="FR154" i="16"/>
  <c r="HF154" i="16" s="1"/>
  <c r="FS154" i="16"/>
  <c r="HG154" i="16" s="1"/>
  <c r="FT154" i="16"/>
  <c r="HH154" i="16" s="1"/>
  <c r="FU154" i="16"/>
  <c r="HI154" i="16" s="1"/>
  <c r="FV154" i="16"/>
  <c r="HJ154" i="16" s="1"/>
  <c r="FW154" i="16"/>
  <c r="HK154" i="16" s="1"/>
  <c r="FX154" i="16"/>
  <c r="HL154" i="16" s="1"/>
  <c r="FE155" i="16"/>
  <c r="GS155" i="16" s="1"/>
  <c r="FF155" i="16"/>
  <c r="GT155" i="16" s="1"/>
  <c r="FG155" i="16"/>
  <c r="GU155" i="16" s="1"/>
  <c r="FH155" i="16"/>
  <c r="GV155" i="16" s="1"/>
  <c r="FI155" i="16"/>
  <c r="GW155" i="16" s="1"/>
  <c r="FJ155" i="16"/>
  <c r="GX155" i="16" s="1"/>
  <c r="FK155" i="16"/>
  <c r="GY155" i="16" s="1"/>
  <c r="FL155" i="16"/>
  <c r="GZ155" i="16" s="1"/>
  <c r="FM155" i="16"/>
  <c r="HA155" i="16" s="1"/>
  <c r="FN155" i="16"/>
  <c r="HB155" i="16" s="1"/>
  <c r="FO155" i="16"/>
  <c r="HC155" i="16" s="1"/>
  <c r="FP155" i="16"/>
  <c r="HD155" i="16" s="1"/>
  <c r="FQ155" i="16"/>
  <c r="HE155" i="16" s="1"/>
  <c r="FR155" i="16"/>
  <c r="HF155" i="16" s="1"/>
  <c r="FS155" i="16"/>
  <c r="HG155" i="16" s="1"/>
  <c r="FT155" i="16"/>
  <c r="HH155" i="16" s="1"/>
  <c r="FU155" i="16"/>
  <c r="HI155" i="16" s="1"/>
  <c r="FV155" i="16"/>
  <c r="HJ155" i="16" s="1"/>
  <c r="FW155" i="16"/>
  <c r="HK155" i="16" s="1"/>
  <c r="FX155" i="16"/>
  <c r="HL155" i="16" s="1"/>
  <c r="FD155" i="16"/>
  <c r="GR155" i="16" s="1"/>
  <c r="FA153" i="16"/>
  <c r="GO153" i="16" s="1"/>
  <c r="FB153" i="16"/>
  <c r="GP153" i="16" s="1"/>
  <c r="FC153" i="16"/>
  <c r="GQ153" i="16" s="1"/>
  <c r="FD153" i="16"/>
  <c r="GR153" i="16" s="1"/>
  <c r="FA154" i="16"/>
  <c r="GO154" i="16" s="1"/>
  <c r="FB154" i="16"/>
  <c r="GP154" i="16" s="1"/>
  <c r="FC154" i="16"/>
  <c r="GQ154" i="16" s="1"/>
  <c r="FD154" i="16"/>
  <c r="GR154" i="16" s="1"/>
  <c r="FA155" i="16"/>
  <c r="GO155" i="16" s="1"/>
  <c r="FB155" i="16"/>
  <c r="GP155" i="16" s="1"/>
  <c r="FC155" i="16"/>
  <c r="GQ155" i="16" s="1"/>
  <c r="FA149" i="16"/>
  <c r="GO149" i="16" s="1"/>
  <c r="FB149" i="16"/>
  <c r="GP149" i="16" s="1"/>
  <c r="FC149" i="16"/>
  <c r="GQ149" i="16" s="1"/>
  <c r="FD149" i="16"/>
  <c r="GR149" i="16" s="1"/>
  <c r="FE149" i="16"/>
  <c r="GS149" i="16" s="1"/>
  <c r="FF149" i="16"/>
  <c r="GT149" i="16" s="1"/>
  <c r="FG149" i="16"/>
  <c r="GU149" i="16" s="1"/>
  <c r="FH149" i="16"/>
  <c r="GV149" i="16" s="1"/>
  <c r="FI149" i="16"/>
  <c r="GW149" i="16" s="1"/>
  <c r="FJ149" i="16"/>
  <c r="GX149" i="16" s="1"/>
  <c r="FK149" i="16"/>
  <c r="GY149" i="16" s="1"/>
  <c r="FL149" i="16"/>
  <c r="GZ149" i="16" s="1"/>
  <c r="FM149" i="16"/>
  <c r="HA149" i="16" s="1"/>
  <c r="FN149" i="16"/>
  <c r="HB149" i="16" s="1"/>
  <c r="FO149" i="16"/>
  <c r="HC149" i="16" s="1"/>
  <c r="FP149" i="16"/>
  <c r="HD149" i="16" s="1"/>
  <c r="FQ149" i="16"/>
  <c r="HE149" i="16" s="1"/>
  <c r="FR149" i="16"/>
  <c r="HF149" i="16" s="1"/>
  <c r="FS149" i="16"/>
  <c r="HG149" i="16" s="1"/>
  <c r="FT149" i="16"/>
  <c r="HH149" i="16" s="1"/>
  <c r="FU149" i="16"/>
  <c r="HI149" i="16" s="1"/>
  <c r="FV149" i="16"/>
  <c r="HJ149" i="16" s="1"/>
  <c r="FW149" i="16"/>
  <c r="HK149" i="16" s="1"/>
  <c r="FX149" i="16"/>
  <c r="HL149" i="16" s="1"/>
  <c r="FY149" i="16"/>
  <c r="HM149" i="16" s="1"/>
  <c r="FZ149" i="16"/>
  <c r="HN149" i="16" s="1"/>
  <c r="FA150" i="16"/>
  <c r="GO150" i="16" s="1"/>
  <c r="FB150" i="16"/>
  <c r="GP150" i="16" s="1"/>
  <c r="FC150" i="16"/>
  <c r="GQ150" i="16" s="1"/>
  <c r="FD150" i="16"/>
  <c r="GR150" i="16" s="1"/>
  <c r="FE150" i="16"/>
  <c r="GS150" i="16" s="1"/>
  <c r="FF150" i="16"/>
  <c r="GT150" i="16" s="1"/>
  <c r="FG150" i="16"/>
  <c r="GU150" i="16" s="1"/>
  <c r="FH150" i="16"/>
  <c r="GV150" i="16" s="1"/>
  <c r="FI150" i="16"/>
  <c r="GW150" i="16" s="1"/>
  <c r="FJ150" i="16"/>
  <c r="GX150" i="16" s="1"/>
  <c r="FK150" i="16"/>
  <c r="GY150" i="16" s="1"/>
  <c r="FL150" i="16"/>
  <c r="GZ150" i="16" s="1"/>
  <c r="FM150" i="16"/>
  <c r="HA150" i="16" s="1"/>
  <c r="FN150" i="16"/>
  <c r="HB150" i="16" s="1"/>
  <c r="FO150" i="16"/>
  <c r="HC150" i="16" s="1"/>
  <c r="FP150" i="16"/>
  <c r="HD150" i="16" s="1"/>
  <c r="FQ150" i="16"/>
  <c r="HE150" i="16" s="1"/>
  <c r="FR150" i="16"/>
  <c r="HF150" i="16" s="1"/>
  <c r="FS150" i="16"/>
  <c r="HG150" i="16" s="1"/>
  <c r="FT150" i="16"/>
  <c r="HH150" i="16" s="1"/>
  <c r="FU150" i="16"/>
  <c r="HI150" i="16" s="1"/>
  <c r="FV150" i="16"/>
  <c r="HJ150" i="16" s="1"/>
  <c r="FW150" i="16"/>
  <c r="HK150" i="16" s="1"/>
  <c r="FX150" i="16"/>
  <c r="HL150" i="16" s="1"/>
  <c r="FY150" i="16"/>
  <c r="HM150" i="16" s="1"/>
  <c r="FZ150" i="16"/>
  <c r="HN150" i="16" s="1"/>
  <c r="FA151" i="16"/>
  <c r="GO151" i="16" s="1"/>
  <c r="FB151" i="16"/>
  <c r="GP151" i="16" s="1"/>
  <c r="FC151" i="16"/>
  <c r="GQ151" i="16" s="1"/>
  <c r="FD151" i="16"/>
  <c r="GR151" i="16" s="1"/>
  <c r="FE151" i="16"/>
  <c r="GS151" i="16" s="1"/>
  <c r="FF151" i="16"/>
  <c r="GT151" i="16" s="1"/>
  <c r="FG151" i="16"/>
  <c r="GU151" i="16" s="1"/>
  <c r="FH151" i="16"/>
  <c r="GV151" i="16" s="1"/>
  <c r="FI151" i="16"/>
  <c r="GW151" i="16" s="1"/>
  <c r="FJ151" i="16"/>
  <c r="GX151" i="16" s="1"/>
  <c r="FK151" i="16"/>
  <c r="GY151" i="16" s="1"/>
  <c r="FL151" i="16"/>
  <c r="GZ151" i="16" s="1"/>
  <c r="FM151" i="16"/>
  <c r="HA151" i="16" s="1"/>
  <c r="FN151" i="16"/>
  <c r="HB151" i="16" s="1"/>
  <c r="FO151" i="16"/>
  <c r="HC151" i="16" s="1"/>
  <c r="FP151" i="16"/>
  <c r="HD151" i="16" s="1"/>
  <c r="FQ151" i="16"/>
  <c r="HE151" i="16" s="1"/>
  <c r="FR151" i="16"/>
  <c r="HF151" i="16" s="1"/>
  <c r="FS151" i="16"/>
  <c r="HG151" i="16" s="1"/>
  <c r="FT151" i="16"/>
  <c r="HH151" i="16" s="1"/>
  <c r="FU151" i="16"/>
  <c r="HI151" i="16" s="1"/>
  <c r="FV151" i="16"/>
  <c r="HJ151" i="16" s="1"/>
  <c r="FW151" i="16"/>
  <c r="HK151" i="16" s="1"/>
  <c r="FX151" i="16"/>
  <c r="HL151" i="16" s="1"/>
  <c r="FY151" i="16"/>
  <c r="HM151" i="16" s="1"/>
  <c r="FZ151" i="16"/>
  <c r="HN151" i="16" s="1"/>
  <c r="FA152" i="16"/>
  <c r="GO152" i="16" s="1"/>
  <c r="FB152" i="16"/>
  <c r="GP152" i="16" s="1"/>
  <c r="FC152" i="16"/>
  <c r="GQ152" i="16" s="1"/>
  <c r="FD152" i="16"/>
  <c r="GR152" i="16" s="1"/>
  <c r="FE152" i="16"/>
  <c r="GS152" i="16" s="1"/>
  <c r="FF152" i="16"/>
  <c r="GT152" i="16" s="1"/>
  <c r="FG152" i="16"/>
  <c r="GU152" i="16" s="1"/>
  <c r="FH152" i="16"/>
  <c r="GV152" i="16" s="1"/>
  <c r="FI152" i="16"/>
  <c r="GW152" i="16" s="1"/>
  <c r="FJ152" i="16"/>
  <c r="GX152" i="16" s="1"/>
  <c r="FK152" i="16"/>
  <c r="GY152" i="16" s="1"/>
  <c r="FL152" i="16"/>
  <c r="GZ152" i="16" s="1"/>
  <c r="FM152" i="16"/>
  <c r="HA152" i="16" s="1"/>
  <c r="FN152" i="16"/>
  <c r="HB152" i="16" s="1"/>
  <c r="FO152" i="16"/>
  <c r="HC152" i="16" s="1"/>
  <c r="FP152" i="16"/>
  <c r="HD152" i="16" s="1"/>
  <c r="FQ152" i="16"/>
  <c r="HE152" i="16" s="1"/>
  <c r="FR152" i="16"/>
  <c r="HF152" i="16" s="1"/>
  <c r="FS152" i="16"/>
  <c r="HG152" i="16" s="1"/>
  <c r="FT152" i="16"/>
  <c r="HH152" i="16" s="1"/>
  <c r="FU152" i="16"/>
  <c r="HI152" i="16" s="1"/>
  <c r="FV152" i="16"/>
  <c r="HJ152" i="16" s="1"/>
  <c r="FW152" i="16"/>
  <c r="HK152" i="16" s="1"/>
  <c r="FX152" i="16"/>
  <c r="HL152" i="16" s="1"/>
  <c r="FY152" i="16"/>
  <c r="HM152" i="16" s="1"/>
  <c r="FZ152" i="16"/>
  <c r="HN152" i="16" s="1"/>
  <c r="FY148" i="16"/>
  <c r="HM148" i="16" s="1"/>
  <c r="FZ148" i="16"/>
  <c r="HN148" i="16" s="1"/>
  <c r="FX148" i="16"/>
  <c r="HL148" i="16" s="1"/>
  <c r="FE148" i="16"/>
  <c r="GS148" i="16" s="1"/>
  <c r="FF148" i="16"/>
  <c r="GT148" i="16" s="1"/>
  <c r="FG148" i="16"/>
  <c r="GU148" i="16" s="1"/>
  <c r="FH148" i="16"/>
  <c r="GV148" i="16" s="1"/>
  <c r="FI148" i="16"/>
  <c r="GW148" i="16" s="1"/>
  <c r="FJ148" i="16"/>
  <c r="GX148" i="16" s="1"/>
  <c r="FK148" i="16"/>
  <c r="GY148" i="16" s="1"/>
  <c r="FL148" i="16"/>
  <c r="GZ148" i="16" s="1"/>
  <c r="FM148" i="16"/>
  <c r="HA148" i="16" s="1"/>
  <c r="FN148" i="16"/>
  <c r="HB148" i="16" s="1"/>
  <c r="FO148" i="16"/>
  <c r="HC148" i="16" s="1"/>
  <c r="FP148" i="16"/>
  <c r="HD148" i="16" s="1"/>
  <c r="FQ148" i="16"/>
  <c r="HE148" i="16" s="1"/>
  <c r="FR148" i="16"/>
  <c r="HF148" i="16" s="1"/>
  <c r="FS148" i="16"/>
  <c r="HG148" i="16" s="1"/>
  <c r="FT148" i="16"/>
  <c r="HH148" i="16" s="1"/>
  <c r="FU148" i="16"/>
  <c r="HI148" i="16" s="1"/>
  <c r="FV148" i="16"/>
  <c r="HJ148" i="16" s="1"/>
  <c r="FW148" i="16"/>
  <c r="HK148" i="16" s="1"/>
  <c r="FC148" i="16"/>
  <c r="GQ148" i="16" s="1"/>
  <c r="FD148" i="16"/>
  <c r="GR148" i="16" s="1"/>
  <c r="FA148" i="16"/>
  <c r="GO148" i="16" s="1"/>
  <c r="FB148" i="16"/>
  <c r="GP148" i="16" s="1"/>
  <c r="FA134" i="16"/>
  <c r="GO134" i="16" s="1"/>
  <c r="FB134" i="16"/>
  <c r="GP134" i="16" s="1"/>
  <c r="FC134" i="16"/>
  <c r="GQ134" i="16" s="1"/>
  <c r="FD134" i="16"/>
  <c r="GR134" i="16" s="1"/>
  <c r="FE134" i="16"/>
  <c r="GS134" i="16" s="1"/>
  <c r="FF134" i="16"/>
  <c r="GT134" i="16" s="1"/>
  <c r="FG134" i="16"/>
  <c r="GU134" i="16" s="1"/>
  <c r="FH134" i="16"/>
  <c r="GV134" i="16" s="1"/>
  <c r="FI134" i="16"/>
  <c r="GW134" i="16" s="1"/>
  <c r="FJ134" i="16"/>
  <c r="GX134" i="16" s="1"/>
  <c r="FK134" i="16"/>
  <c r="GY134" i="16" s="1"/>
  <c r="FL134" i="16"/>
  <c r="GZ134" i="16" s="1"/>
  <c r="FM134" i="16"/>
  <c r="HA134" i="16" s="1"/>
  <c r="FN134" i="16"/>
  <c r="HB134" i="16" s="1"/>
  <c r="FO134" i="16"/>
  <c r="HC134" i="16" s="1"/>
  <c r="FP134" i="16"/>
  <c r="HD134" i="16" s="1"/>
  <c r="FQ134" i="16"/>
  <c r="HE134" i="16" s="1"/>
  <c r="FR134" i="16"/>
  <c r="HF134" i="16" s="1"/>
  <c r="FS134" i="16"/>
  <c r="HG134" i="16" s="1"/>
  <c r="FA135" i="16"/>
  <c r="GO135" i="16" s="1"/>
  <c r="FB135" i="16"/>
  <c r="GP135" i="16" s="1"/>
  <c r="FC135" i="16"/>
  <c r="GQ135" i="16" s="1"/>
  <c r="FD135" i="16"/>
  <c r="GR135" i="16" s="1"/>
  <c r="FE135" i="16"/>
  <c r="GS135" i="16" s="1"/>
  <c r="FF135" i="16"/>
  <c r="GT135" i="16" s="1"/>
  <c r="FG135" i="16"/>
  <c r="GU135" i="16" s="1"/>
  <c r="FH135" i="16"/>
  <c r="GV135" i="16" s="1"/>
  <c r="FI135" i="16"/>
  <c r="GW135" i="16" s="1"/>
  <c r="FJ135" i="16"/>
  <c r="GX135" i="16" s="1"/>
  <c r="FK135" i="16"/>
  <c r="GY135" i="16" s="1"/>
  <c r="FL135" i="16"/>
  <c r="GZ135" i="16" s="1"/>
  <c r="FM135" i="16"/>
  <c r="HA135" i="16" s="1"/>
  <c r="FN135" i="16"/>
  <c r="HB135" i="16" s="1"/>
  <c r="FO135" i="16"/>
  <c r="HC135" i="16" s="1"/>
  <c r="FP135" i="16"/>
  <c r="HD135" i="16" s="1"/>
  <c r="FQ135" i="16"/>
  <c r="HE135" i="16" s="1"/>
  <c r="FR135" i="16"/>
  <c r="HF135" i="16" s="1"/>
  <c r="FS135" i="16"/>
  <c r="HG135" i="16" s="1"/>
  <c r="FA136" i="16"/>
  <c r="GO136" i="16" s="1"/>
  <c r="FB136" i="16"/>
  <c r="GP136" i="16" s="1"/>
  <c r="FC136" i="16"/>
  <c r="GQ136" i="16" s="1"/>
  <c r="FD136" i="16"/>
  <c r="GR136" i="16" s="1"/>
  <c r="FE136" i="16"/>
  <c r="GS136" i="16" s="1"/>
  <c r="FF136" i="16"/>
  <c r="GT136" i="16" s="1"/>
  <c r="FG136" i="16"/>
  <c r="GU136" i="16" s="1"/>
  <c r="FH136" i="16"/>
  <c r="GV136" i="16" s="1"/>
  <c r="FI136" i="16"/>
  <c r="GW136" i="16" s="1"/>
  <c r="FJ136" i="16"/>
  <c r="GX136" i="16" s="1"/>
  <c r="FK136" i="16"/>
  <c r="GY136" i="16" s="1"/>
  <c r="FL136" i="16"/>
  <c r="GZ136" i="16" s="1"/>
  <c r="FM136" i="16"/>
  <c r="HA136" i="16" s="1"/>
  <c r="FN136" i="16"/>
  <c r="HB136" i="16" s="1"/>
  <c r="FO136" i="16"/>
  <c r="HC136" i="16" s="1"/>
  <c r="FP136" i="16"/>
  <c r="HD136" i="16" s="1"/>
  <c r="FQ136" i="16"/>
  <c r="HE136" i="16" s="1"/>
  <c r="FR136" i="16"/>
  <c r="HF136" i="16" s="1"/>
  <c r="FS136" i="16"/>
  <c r="HG136" i="16" s="1"/>
  <c r="FA137" i="16"/>
  <c r="GO137" i="16" s="1"/>
  <c r="FB137" i="16"/>
  <c r="GP137" i="16" s="1"/>
  <c r="FC137" i="16"/>
  <c r="GQ137" i="16" s="1"/>
  <c r="FD137" i="16"/>
  <c r="GR137" i="16" s="1"/>
  <c r="FE137" i="16"/>
  <c r="GS137" i="16" s="1"/>
  <c r="FF137" i="16"/>
  <c r="GT137" i="16" s="1"/>
  <c r="FG137" i="16"/>
  <c r="GU137" i="16" s="1"/>
  <c r="FH137" i="16"/>
  <c r="GV137" i="16" s="1"/>
  <c r="FI137" i="16"/>
  <c r="GW137" i="16" s="1"/>
  <c r="FJ137" i="16"/>
  <c r="GX137" i="16" s="1"/>
  <c r="FK137" i="16"/>
  <c r="GY137" i="16" s="1"/>
  <c r="FL137" i="16"/>
  <c r="GZ137" i="16" s="1"/>
  <c r="FM137" i="16"/>
  <c r="HA137" i="16" s="1"/>
  <c r="FN137" i="16"/>
  <c r="HB137" i="16" s="1"/>
  <c r="FO137" i="16"/>
  <c r="HC137" i="16" s="1"/>
  <c r="FP137" i="16"/>
  <c r="HD137" i="16" s="1"/>
  <c r="FQ137" i="16"/>
  <c r="HE137" i="16" s="1"/>
  <c r="FR137" i="16"/>
  <c r="HF137" i="16" s="1"/>
  <c r="FS137" i="16"/>
  <c r="HG137" i="16" s="1"/>
  <c r="FA138" i="16"/>
  <c r="GO138" i="16" s="1"/>
  <c r="FB138" i="16"/>
  <c r="GP138" i="16" s="1"/>
  <c r="FC138" i="16"/>
  <c r="GQ138" i="16" s="1"/>
  <c r="FD138" i="16"/>
  <c r="GR138" i="16" s="1"/>
  <c r="FE138" i="16"/>
  <c r="GS138" i="16" s="1"/>
  <c r="FF138" i="16"/>
  <c r="GT138" i="16" s="1"/>
  <c r="FG138" i="16"/>
  <c r="GU138" i="16" s="1"/>
  <c r="FH138" i="16"/>
  <c r="GV138" i="16" s="1"/>
  <c r="FI138" i="16"/>
  <c r="GW138" i="16" s="1"/>
  <c r="FJ138" i="16"/>
  <c r="GX138" i="16" s="1"/>
  <c r="FK138" i="16"/>
  <c r="GY138" i="16" s="1"/>
  <c r="FL138" i="16"/>
  <c r="GZ138" i="16" s="1"/>
  <c r="FM138" i="16"/>
  <c r="HA138" i="16" s="1"/>
  <c r="FN138" i="16"/>
  <c r="HB138" i="16" s="1"/>
  <c r="FO138" i="16"/>
  <c r="HC138" i="16" s="1"/>
  <c r="FP138" i="16"/>
  <c r="HD138" i="16" s="1"/>
  <c r="FQ138" i="16"/>
  <c r="HE138" i="16" s="1"/>
  <c r="FR138" i="16"/>
  <c r="HF138" i="16" s="1"/>
  <c r="FS138" i="16"/>
  <c r="HG138" i="16" s="1"/>
  <c r="FS133" i="16"/>
  <c r="HG133" i="16" s="1"/>
  <c r="FR133" i="16"/>
  <c r="HF133" i="16" s="1"/>
  <c r="FD133" i="16"/>
  <c r="GR133" i="16" s="1"/>
  <c r="FE133" i="16"/>
  <c r="GS133" i="16" s="1"/>
  <c r="FF133" i="16"/>
  <c r="GT133" i="16" s="1"/>
  <c r="FG133" i="16"/>
  <c r="GU133" i="16" s="1"/>
  <c r="FH133" i="16"/>
  <c r="GV133" i="16" s="1"/>
  <c r="FI133" i="16"/>
  <c r="GW133" i="16" s="1"/>
  <c r="FJ133" i="16"/>
  <c r="GX133" i="16" s="1"/>
  <c r="FK133" i="16"/>
  <c r="GY133" i="16" s="1"/>
  <c r="FL133" i="16"/>
  <c r="GZ133" i="16" s="1"/>
  <c r="FM133" i="16"/>
  <c r="HA133" i="16" s="1"/>
  <c r="FN133" i="16"/>
  <c r="HB133" i="16" s="1"/>
  <c r="FO133" i="16"/>
  <c r="HC133" i="16" s="1"/>
  <c r="FP133" i="16"/>
  <c r="HD133" i="16" s="1"/>
  <c r="FQ133" i="16"/>
  <c r="HE133" i="16" s="1"/>
  <c r="FA133" i="16"/>
  <c r="GO133" i="16" s="1"/>
  <c r="FB133" i="16"/>
  <c r="GP133" i="16" s="1"/>
  <c r="FC133" i="16"/>
  <c r="GQ133" i="16" s="1"/>
  <c r="FA125" i="16"/>
  <c r="GO125" i="16" s="1"/>
  <c r="FB125" i="16"/>
  <c r="GP125" i="16" s="1"/>
  <c r="FC125" i="16"/>
  <c r="GQ125" i="16" s="1"/>
  <c r="FD125" i="16"/>
  <c r="GR125" i="16" s="1"/>
  <c r="FE125" i="16"/>
  <c r="GS125" i="16" s="1"/>
  <c r="FF125" i="16"/>
  <c r="GT125" i="16" s="1"/>
  <c r="FG125" i="16"/>
  <c r="GU125" i="16" s="1"/>
  <c r="FH125" i="16"/>
  <c r="GV125" i="16" s="1"/>
  <c r="FI125" i="16"/>
  <c r="GW125" i="16" s="1"/>
  <c r="FJ125" i="16"/>
  <c r="GX125" i="16" s="1"/>
  <c r="FK125" i="16"/>
  <c r="GY125" i="16" s="1"/>
  <c r="FL125" i="16"/>
  <c r="GZ125" i="16" s="1"/>
  <c r="FM125" i="16"/>
  <c r="HA125" i="16" s="1"/>
  <c r="FN125" i="16"/>
  <c r="HB125" i="16" s="1"/>
  <c r="FO125" i="16"/>
  <c r="HC125" i="16" s="1"/>
  <c r="FP125" i="16"/>
  <c r="HD125" i="16" s="1"/>
  <c r="FQ125" i="16"/>
  <c r="HE125" i="16" s="1"/>
  <c r="FR125" i="16"/>
  <c r="HF125" i="16" s="1"/>
  <c r="FS125" i="16"/>
  <c r="HG125" i="16" s="1"/>
  <c r="FT125" i="16"/>
  <c r="HH125" i="16" s="1"/>
  <c r="FU125" i="16"/>
  <c r="HI125" i="16" s="1"/>
  <c r="FV125" i="16"/>
  <c r="HJ125" i="16" s="1"/>
  <c r="FW125" i="16"/>
  <c r="HK125" i="16" s="1"/>
  <c r="FX125" i="16"/>
  <c r="HL125" i="16" s="1"/>
  <c r="FY125" i="16"/>
  <c r="HM125" i="16" s="1"/>
  <c r="FZ125" i="16"/>
  <c r="HN125" i="16" s="1"/>
  <c r="GA125" i="16"/>
  <c r="HO125" i="16" s="1"/>
  <c r="GB125" i="16"/>
  <c r="HP125" i="16" s="1"/>
  <c r="GC125" i="16"/>
  <c r="HQ125" i="16" s="1"/>
  <c r="GD125" i="16"/>
  <c r="HR125" i="16" s="1"/>
  <c r="GE125" i="16"/>
  <c r="HS125" i="16" s="1"/>
  <c r="GF125" i="16"/>
  <c r="HT125" i="16" s="1"/>
  <c r="GG125" i="16"/>
  <c r="HU125" i="16" s="1"/>
  <c r="GH125" i="16"/>
  <c r="HV125" i="16" s="1"/>
  <c r="FA126" i="16"/>
  <c r="GO126" i="16" s="1"/>
  <c r="FB126" i="16"/>
  <c r="GP126" i="16" s="1"/>
  <c r="FC126" i="16"/>
  <c r="GQ126" i="16" s="1"/>
  <c r="FD126" i="16"/>
  <c r="GR126" i="16" s="1"/>
  <c r="FE126" i="16"/>
  <c r="GS126" i="16" s="1"/>
  <c r="FF126" i="16"/>
  <c r="GT126" i="16" s="1"/>
  <c r="FG126" i="16"/>
  <c r="GU126" i="16" s="1"/>
  <c r="FH126" i="16"/>
  <c r="GV126" i="16" s="1"/>
  <c r="FI126" i="16"/>
  <c r="GW126" i="16" s="1"/>
  <c r="FJ126" i="16"/>
  <c r="GX126" i="16" s="1"/>
  <c r="FK126" i="16"/>
  <c r="GY126" i="16" s="1"/>
  <c r="FL126" i="16"/>
  <c r="GZ126" i="16" s="1"/>
  <c r="FM126" i="16"/>
  <c r="HA126" i="16" s="1"/>
  <c r="FN126" i="16"/>
  <c r="HB126" i="16" s="1"/>
  <c r="FO126" i="16"/>
  <c r="HC126" i="16" s="1"/>
  <c r="FP126" i="16"/>
  <c r="HD126" i="16" s="1"/>
  <c r="FQ126" i="16"/>
  <c r="HE126" i="16" s="1"/>
  <c r="FR126" i="16"/>
  <c r="HF126" i="16" s="1"/>
  <c r="FS126" i="16"/>
  <c r="HG126" i="16" s="1"/>
  <c r="FT126" i="16"/>
  <c r="HH126" i="16" s="1"/>
  <c r="FU126" i="16"/>
  <c r="HI126" i="16" s="1"/>
  <c r="FV126" i="16"/>
  <c r="HJ126" i="16" s="1"/>
  <c r="FW126" i="16"/>
  <c r="HK126" i="16" s="1"/>
  <c r="FX126" i="16"/>
  <c r="HL126" i="16" s="1"/>
  <c r="FY126" i="16"/>
  <c r="HM126" i="16" s="1"/>
  <c r="FZ126" i="16"/>
  <c r="HN126" i="16" s="1"/>
  <c r="GA126" i="16"/>
  <c r="HO126" i="16" s="1"/>
  <c r="GB126" i="16"/>
  <c r="HP126" i="16" s="1"/>
  <c r="GC126" i="16"/>
  <c r="HQ126" i="16" s="1"/>
  <c r="GD126" i="16"/>
  <c r="HR126" i="16" s="1"/>
  <c r="GE126" i="16"/>
  <c r="HS126" i="16" s="1"/>
  <c r="GF126" i="16"/>
  <c r="HT126" i="16" s="1"/>
  <c r="GG126" i="16"/>
  <c r="HU126" i="16" s="1"/>
  <c r="GH126" i="16"/>
  <c r="HV126" i="16" s="1"/>
  <c r="FA127" i="16"/>
  <c r="GO127" i="16" s="1"/>
  <c r="FB127" i="16"/>
  <c r="GP127" i="16" s="1"/>
  <c r="FC127" i="16"/>
  <c r="GQ127" i="16" s="1"/>
  <c r="FD127" i="16"/>
  <c r="GR127" i="16" s="1"/>
  <c r="FE127" i="16"/>
  <c r="GS127" i="16" s="1"/>
  <c r="FF127" i="16"/>
  <c r="GT127" i="16" s="1"/>
  <c r="FG127" i="16"/>
  <c r="GU127" i="16" s="1"/>
  <c r="FH127" i="16"/>
  <c r="GV127" i="16" s="1"/>
  <c r="FI127" i="16"/>
  <c r="GW127" i="16" s="1"/>
  <c r="FJ127" i="16"/>
  <c r="GX127" i="16" s="1"/>
  <c r="FK127" i="16"/>
  <c r="GY127" i="16" s="1"/>
  <c r="FL127" i="16"/>
  <c r="GZ127" i="16" s="1"/>
  <c r="FM127" i="16"/>
  <c r="HA127" i="16" s="1"/>
  <c r="FN127" i="16"/>
  <c r="HB127" i="16" s="1"/>
  <c r="FO127" i="16"/>
  <c r="HC127" i="16" s="1"/>
  <c r="FP127" i="16"/>
  <c r="HD127" i="16" s="1"/>
  <c r="FQ127" i="16"/>
  <c r="HE127" i="16" s="1"/>
  <c r="FR127" i="16"/>
  <c r="HF127" i="16" s="1"/>
  <c r="FS127" i="16"/>
  <c r="HG127" i="16" s="1"/>
  <c r="FT127" i="16"/>
  <c r="HH127" i="16" s="1"/>
  <c r="FU127" i="16"/>
  <c r="HI127" i="16" s="1"/>
  <c r="FV127" i="16"/>
  <c r="HJ127" i="16" s="1"/>
  <c r="FW127" i="16"/>
  <c r="HK127" i="16" s="1"/>
  <c r="FX127" i="16"/>
  <c r="HL127" i="16" s="1"/>
  <c r="FY127" i="16"/>
  <c r="HM127" i="16" s="1"/>
  <c r="FZ127" i="16"/>
  <c r="HN127" i="16" s="1"/>
  <c r="GA127" i="16"/>
  <c r="HO127" i="16" s="1"/>
  <c r="GB127" i="16"/>
  <c r="HP127" i="16" s="1"/>
  <c r="GC127" i="16"/>
  <c r="HQ127" i="16" s="1"/>
  <c r="GD127" i="16"/>
  <c r="HR127" i="16" s="1"/>
  <c r="GE127" i="16"/>
  <c r="HS127" i="16" s="1"/>
  <c r="GF127" i="16"/>
  <c r="HT127" i="16" s="1"/>
  <c r="GG127" i="16"/>
  <c r="HU127" i="16" s="1"/>
  <c r="GH127" i="16"/>
  <c r="HV127" i="16" s="1"/>
  <c r="FA128" i="16"/>
  <c r="GO128" i="16" s="1"/>
  <c r="FB128" i="16"/>
  <c r="GP128" i="16" s="1"/>
  <c r="FC128" i="16"/>
  <c r="GQ128" i="16" s="1"/>
  <c r="FD128" i="16"/>
  <c r="GR128" i="16" s="1"/>
  <c r="FE128" i="16"/>
  <c r="GS128" i="16" s="1"/>
  <c r="FF128" i="16"/>
  <c r="GT128" i="16" s="1"/>
  <c r="FG128" i="16"/>
  <c r="GU128" i="16" s="1"/>
  <c r="FH128" i="16"/>
  <c r="GV128" i="16" s="1"/>
  <c r="FI128" i="16"/>
  <c r="GW128" i="16" s="1"/>
  <c r="FJ128" i="16"/>
  <c r="GX128" i="16" s="1"/>
  <c r="FK128" i="16"/>
  <c r="GY128" i="16" s="1"/>
  <c r="FL128" i="16"/>
  <c r="GZ128" i="16" s="1"/>
  <c r="FM128" i="16"/>
  <c r="HA128" i="16" s="1"/>
  <c r="FN128" i="16"/>
  <c r="HB128" i="16" s="1"/>
  <c r="FO128" i="16"/>
  <c r="HC128" i="16" s="1"/>
  <c r="FP128" i="16"/>
  <c r="HD128" i="16" s="1"/>
  <c r="FQ128" i="16"/>
  <c r="HE128" i="16" s="1"/>
  <c r="FR128" i="16"/>
  <c r="HF128" i="16" s="1"/>
  <c r="FS128" i="16"/>
  <c r="HG128" i="16" s="1"/>
  <c r="FT128" i="16"/>
  <c r="HH128" i="16" s="1"/>
  <c r="FU128" i="16"/>
  <c r="HI128" i="16" s="1"/>
  <c r="FV128" i="16"/>
  <c r="HJ128" i="16" s="1"/>
  <c r="FW128" i="16"/>
  <c r="HK128" i="16" s="1"/>
  <c r="FX128" i="16"/>
  <c r="HL128" i="16" s="1"/>
  <c r="FY128" i="16"/>
  <c r="HM128" i="16" s="1"/>
  <c r="FZ128" i="16"/>
  <c r="HN128" i="16" s="1"/>
  <c r="GA128" i="16"/>
  <c r="HO128" i="16" s="1"/>
  <c r="GB128" i="16"/>
  <c r="HP128" i="16" s="1"/>
  <c r="GC128" i="16"/>
  <c r="HQ128" i="16" s="1"/>
  <c r="GD128" i="16"/>
  <c r="HR128" i="16" s="1"/>
  <c r="GE128" i="16"/>
  <c r="HS128" i="16" s="1"/>
  <c r="GF128" i="16"/>
  <c r="HT128" i="16" s="1"/>
  <c r="GG128" i="16"/>
  <c r="HU128" i="16" s="1"/>
  <c r="GH128" i="16"/>
  <c r="HV128" i="16" s="1"/>
  <c r="FA129" i="16"/>
  <c r="GO129" i="16" s="1"/>
  <c r="FB129" i="16"/>
  <c r="GP129" i="16" s="1"/>
  <c r="FC129" i="16"/>
  <c r="GQ129" i="16" s="1"/>
  <c r="FD129" i="16"/>
  <c r="GR129" i="16" s="1"/>
  <c r="FE129" i="16"/>
  <c r="GS129" i="16" s="1"/>
  <c r="FF129" i="16"/>
  <c r="GT129" i="16" s="1"/>
  <c r="FG129" i="16"/>
  <c r="GU129" i="16" s="1"/>
  <c r="FH129" i="16"/>
  <c r="GV129" i="16" s="1"/>
  <c r="FI129" i="16"/>
  <c r="GW129" i="16" s="1"/>
  <c r="FJ129" i="16"/>
  <c r="GX129" i="16" s="1"/>
  <c r="FK129" i="16"/>
  <c r="GY129" i="16" s="1"/>
  <c r="FL129" i="16"/>
  <c r="GZ129" i="16" s="1"/>
  <c r="FM129" i="16"/>
  <c r="HA129" i="16" s="1"/>
  <c r="FN129" i="16"/>
  <c r="HB129" i="16" s="1"/>
  <c r="FO129" i="16"/>
  <c r="HC129" i="16" s="1"/>
  <c r="FP129" i="16"/>
  <c r="HD129" i="16" s="1"/>
  <c r="FQ129" i="16"/>
  <c r="HE129" i="16" s="1"/>
  <c r="FR129" i="16"/>
  <c r="HF129" i="16" s="1"/>
  <c r="FS129" i="16"/>
  <c r="HG129" i="16" s="1"/>
  <c r="FT129" i="16"/>
  <c r="HH129" i="16" s="1"/>
  <c r="FU129" i="16"/>
  <c r="HI129" i="16" s="1"/>
  <c r="FV129" i="16"/>
  <c r="HJ129" i="16" s="1"/>
  <c r="FW129" i="16"/>
  <c r="HK129" i="16" s="1"/>
  <c r="FX129" i="16"/>
  <c r="HL129" i="16" s="1"/>
  <c r="FY129" i="16"/>
  <c r="HM129" i="16" s="1"/>
  <c r="FZ129" i="16"/>
  <c r="HN129" i="16" s="1"/>
  <c r="GA129" i="16"/>
  <c r="HO129" i="16" s="1"/>
  <c r="GB129" i="16"/>
  <c r="HP129" i="16" s="1"/>
  <c r="GC129" i="16"/>
  <c r="HQ129" i="16" s="1"/>
  <c r="GD129" i="16"/>
  <c r="HR129" i="16" s="1"/>
  <c r="GE129" i="16"/>
  <c r="HS129" i="16" s="1"/>
  <c r="GF129" i="16"/>
  <c r="HT129" i="16" s="1"/>
  <c r="GG129" i="16"/>
  <c r="HU129" i="16" s="1"/>
  <c r="GH129" i="16"/>
  <c r="HV129" i="16" s="1"/>
  <c r="FA130" i="16"/>
  <c r="GO130" i="16" s="1"/>
  <c r="FB130" i="16"/>
  <c r="GP130" i="16" s="1"/>
  <c r="FC130" i="16"/>
  <c r="GQ130" i="16" s="1"/>
  <c r="FD130" i="16"/>
  <c r="GR130" i="16" s="1"/>
  <c r="FE130" i="16"/>
  <c r="GS130" i="16" s="1"/>
  <c r="FF130" i="16"/>
  <c r="GT130" i="16" s="1"/>
  <c r="FG130" i="16"/>
  <c r="GU130" i="16" s="1"/>
  <c r="FH130" i="16"/>
  <c r="GV130" i="16" s="1"/>
  <c r="FI130" i="16"/>
  <c r="GW130" i="16" s="1"/>
  <c r="FJ130" i="16"/>
  <c r="GX130" i="16" s="1"/>
  <c r="FK130" i="16"/>
  <c r="GY130" i="16" s="1"/>
  <c r="FL130" i="16"/>
  <c r="GZ130" i="16" s="1"/>
  <c r="FM130" i="16"/>
  <c r="HA130" i="16" s="1"/>
  <c r="FN130" i="16"/>
  <c r="HB130" i="16" s="1"/>
  <c r="FO130" i="16"/>
  <c r="HC130" i="16" s="1"/>
  <c r="FP130" i="16"/>
  <c r="HD130" i="16" s="1"/>
  <c r="FQ130" i="16"/>
  <c r="HE130" i="16" s="1"/>
  <c r="FR130" i="16"/>
  <c r="HF130" i="16" s="1"/>
  <c r="FS130" i="16"/>
  <c r="HG130" i="16" s="1"/>
  <c r="FT130" i="16"/>
  <c r="HH130" i="16" s="1"/>
  <c r="FU130" i="16"/>
  <c r="HI130" i="16" s="1"/>
  <c r="FV130" i="16"/>
  <c r="HJ130" i="16" s="1"/>
  <c r="FW130" i="16"/>
  <c r="HK130" i="16" s="1"/>
  <c r="FX130" i="16"/>
  <c r="HL130" i="16" s="1"/>
  <c r="FY130" i="16"/>
  <c r="HM130" i="16" s="1"/>
  <c r="FZ130" i="16"/>
  <c r="HN130" i="16" s="1"/>
  <c r="GA130" i="16"/>
  <c r="HO130" i="16" s="1"/>
  <c r="GB130" i="16"/>
  <c r="HP130" i="16" s="1"/>
  <c r="GC130" i="16"/>
  <c r="HQ130" i="16" s="1"/>
  <c r="GD130" i="16"/>
  <c r="HR130" i="16" s="1"/>
  <c r="GE130" i="16"/>
  <c r="HS130" i="16" s="1"/>
  <c r="GF130" i="16"/>
  <c r="HT130" i="16" s="1"/>
  <c r="GG130" i="16"/>
  <c r="HU130" i="16" s="1"/>
  <c r="GH130" i="16"/>
  <c r="HV130" i="16" s="1"/>
  <c r="FA131" i="16"/>
  <c r="GO131" i="16" s="1"/>
  <c r="FB131" i="16"/>
  <c r="GP131" i="16" s="1"/>
  <c r="FC131" i="16"/>
  <c r="GQ131" i="16" s="1"/>
  <c r="FD131" i="16"/>
  <c r="GR131" i="16" s="1"/>
  <c r="FE131" i="16"/>
  <c r="GS131" i="16" s="1"/>
  <c r="FF131" i="16"/>
  <c r="GT131" i="16" s="1"/>
  <c r="FG131" i="16"/>
  <c r="GU131" i="16" s="1"/>
  <c r="FH131" i="16"/>
  <c r="GV131" i="16" s="1"/>
  <c r="FI131" i="16"/>
  <c r="GW131" i="16" s="1"/>
  <c r="FJ131" i="16"/>
  <c r="GX131" i="16" s="1"/>
  <c r="FK131" i="16"/>
  <c r="GY131" i="16" s="1"/>
  <c r="FL131" i="16"/>
  <c r="GZ131" i="16" s="1"/>
  <c r="FM131" i="16"/>
  <c r="HA131" i="16" s="1"/>
  <c r="FN131" i="16"/>
  <c r="HB131" i="16" s="1"/>
  <c r="FO131" i="16"/>
  <c r="HC131" i="16" s="1"/>
  <c r="FP131" i="16"/>
  <c r="HD131" i="16" s="1"/>
  <c r="FQ131" i="16"/>
  <c r="HE131" i="16" s="1"/>
  <c r="FR131" i="16"/>
  <c r="HF131" i="16" s="1"/>
  <c r="FS131" i="16"/>
  <c r="HG131" i="16" s="1"/>
  <c r="FT131" i="16"/>
  <c r="HH131" i="16" s="1"/>
  <c r="FU131" i="16"/>
  <c r="HI131" i="16" s="1"/>
  <c r="FV131" i="16"/>
  <c r="HJ131" i="16" s="1"/>
  <c r="FW131" i="16"/>
  <c r="HK131" i="16" s="1"/>
  <c r="FX131" i="16"/>
  <c r="HL131" i="16" s="1"/>
  <c r="FY131" i="16"/>
  <c r="HM131" i="16" s="1"/>
  <c r="FZ131" i="16"/>
  <c r="HN131" i="16" s="1"/>
  <c r="GA131" i="16"/>
  <c r="HO131" i="16" s="1"/>
  <c r="GB131" i="16"/>
  <c r="HP131" i="16" s="1"/>
  <c r="GC131" i="16"/>
  <c r="HQ131" i="16" s="1"/>
  <c r="GD131" i="16"/>
  <c r="HR131" i="16" s="1"/>
  <c r="GE131" i="16"/>
  <c r="HS131" i="16" s="1"/>
  <c r="GF131" i="16"/>
  <c r="HT131" i="16" s="1"/>
  <c r="GG131" i="16"/>
  <c r="HU131" i="16" s="1"/>
  <c r="GH131" i="16"/>
  <c r="HV131" i="16" s="1"/>
  <c r="FA132" i="16"/>
  <c r="GO132" i="16" s="1"/>
  <c r="FB132" i="16"/>
  <c r="GP132" i="16" s="1"/>
  <c r="FC132" i="16"/>
  <c r="GQ132" i="16" s="1"/>
  <c r="FD132" i="16"/>
  <c r="GR132" i="16" s="1"/>
  <c r="FE132" i="16"/>
  <c r="GS132" i="16" s="1"/>
  <c r="FF132" i="16"/>
  <c r="GT132" i="16" s="1"/>
  <c r="FG132" i="16"/>
  <c r="GU132" i="16" s="1"/>
  <c r="FH132" i="16"/>
  <c r="GV132" i="16" s="1"/>
  <c r="FI132" i="16"/>
  <c r="GW132" i="16" s="1"/>
  <c r="FJ132" i="16"/>
  <c r="GX132" i="16" s="1"/>
  <c r="FK132" i="16"/>
  <c r="GY132" i="16" s="1"/>
  <c r="FL132" i="16"/>
  <c r="GZ132" i="16" s="1"/>
  <c r="FM132" i="16"/>
  <c r="HA132" i="16" s="1"/>
  <c r="FN132" i="16"/>
  <c r="HB132" i="16" s="1"/>
  <c r="FO132" i="16"/>
  <c r="HC132" i="16" s="1"/>
  <c r="FP132" i="16"/>
  <c r="HD132" i="16" s="1"/>
  <c r="FQ132" i="16"/>
  <c r="HE132" i="16" s="1"/>
  <c r="FR132" i="16"/>
  <c r="HF132" i="16" s="1"/>
  <c r="FS132" i="16"/>
  <c r="HG132" i="16" s="1"/>
  <c r="FT132" i="16"/>
  <c r="HH132" i="16" s="1"/>
  <c r="FU132" i="16"/>
  <c r="HI132" i="16" s="1"/>
  <c r="FV132" i="16"/>
  <c r="HJ132" i="16" s="1"/>
  <c r="FW132" i="16"/>
  <c r="HK132" i="16" s="1"/>
  <c r="FX132" i="16"/>
  <c r="HL132" i="16" s="1"/>
  <c r="FY132" i="16"/>
  <c r="HM132" i="16" s="1"/>
  <c r="FZ132" i="16"/>
  <c r="HN132" i="16" s="1"/>
  <c r="GA132" i="16"/>
  <c r="HO132" i="16" s="1"/>
  <c r="GB132" i="16"/>
  <c r="HP132" i="16" s="1"/>
  <c r="GC132" i="16"/>
  <c r="HQ132" i="16" s="1"/>
  <c r="GD132" i="16"/>
  <c r="HR132" i="16" s="1"/>
  <c r="GE132" i="16"/>
  <c r="HS132" i="16" s="1"/>
  <c r="GF132" i="16"/>
  <c r="HT132" i="16" s="1"/>
  <c r="GG132" i="16"/>
  <c r="HU132" i="16" s="1"/>
  <c r="GH132" i="16"/>
  <c r="HV132" i="16" s="1"/>
  <c r="GH124" i="16"/>
  <c r="HV124" i="16" s="1"/>
  <c r="GG124" i="16"/>
  <c r="HU124" i="16" s="1"/>
  <c r="FD124" i="16"/>
  <c r="GR124" i="16" s="1"/>
  <c r="FE124" i="16"/>
  <c r="GS124" i="16" s="1"/>
  <c r="FF124" i="16"/>
  <c r="GT124" i="16" s="1"/>
  <c r="FG124" i="16"/>
  <c r="GU124" i="16" s="1"/>
  <c r="FH124" i="16"/>
  <c r="GV124" i="16" s="1"/>
  <c r="FI124" i="16"/>
  <c r="GW124" i="16" s="1"/>
  <c r="FJ124" i="16"/>
  <c r="GX124" i="16" s="1"/>
  <c r="FK124" i="16"/>
  <c r="GY124" i="16" s="1"/>
  <c r="FL124" i="16"/>
  <c r="GZ124" i="16" s="1"/>
  <c r="FM124" i="16"/>
  <c r="HA124" i="16" s="1"/>
  <c r="FN124" i="16"/>
  <c r="HB124" i="16" s="1"/>
  <c r="FO124" i="16"/>
  <c r="HC124" i="16" s="1"/>
  <c r="FP124" i="16"/>
  <c r="HD124" i="16" s="1"/>
  <c r="FQ124" i="16"/>
  <c r="HE124" i="16" s="1"/>
  <c r="FR124" i="16"/>
  <c r="HF124" i="16" s="1"/>
  <c r="FS124" i="16"/>
  <c r="HG124" i="16" s="1"/>
  <c r="FT124" i="16"/>
  <c r="HH124" i="16" s="1"/>
  <c r="FU124" i="16"/>
  <c r="HI124" i="16" s="1"/>
  <c r="FV124" i="16"/>
  <c r="HJ124" i="16" s="1"/>
  <c r="FW124" i="16"/>
  <c r="HK124" i="16" s="1"/>
  <c r="FX124" i="16"/>
  <c r="HL124" i="16" s="1"/>
  <c r="FY124" i="16"/>
  <c r="HM124" i="16" s="1"/>
  <c r="FZ124" i="16"/>
  <c r="HN124" i="16" s="1"/>
  <c r="GA124" i="16"/>
  <c r="HO124" i="16" s="1"/>
  <c r="GB124" i="16"/>
  <c r="HP124" i="16" s="1"/>
  <c r="GC124" i="16"/>
  <c r="HQ124" i="16" s="1"/>
  <c r="GD124" i="16"/>
  <c r="HR124" i="16" s="1"/>
  <c r="GE124" i="16"/>
  <c r="HS124" i="16" s="1"/>
  <c r="GF124" i="16"/>
  <c r="HT124" i="16" s="1"/>
  <c r="FC124" i="16"/>
  <c r="GQ124" i="16" s="1"/>
  <c r="FA124" i="16"/>
  <c r="GO124" i="16" s="1"/>
  <c r="FB124" i="16"/>
  <c r="GP124" i="16" s="1"/>
  <c r="DM122" i="16"/>
  <c r="FA122" i="16" s="1"/>
  <c r="DN122" i="16"/>
  <c r="FB122" i="16" s="1"/>
  <c r="GP122" i="16" s="1"/>
  <c r="DO122" i="16"/>
  <c r="FC122" i="16" s="1"/>
  <c r="GQ122" i="16" s="1"/>
  <c r="DP122" i="16"/>
  <c r="FD122" i="16" s="1"/>
  <c r="GR122" i="16" s="1"/>
  <c r="DM123" i="16"/>
  <c r="FA123" i="16" s="1"/>
  <c r="DN123" i="16"/>
  <c r="FB123" i="16" s="1"/>
  <c r="GP123" i="16" s="1"/>
  <c r="DO123" i="16"/>
  <c r="FC123" i="16" s="1"/>
  <c r="GQ123" i="16" s="1"/>
  <c r="DP123" i="16"/>
  <c r="FD123" i="16" s="1"/>
  <c r="GR123" i="16" s="1"/>
  <c r="DN121" i="16"/>
  <c r="FB121" i="16" s="1"/>
  <c r="GP121" i="16" s="1"/>
  <c r="DO121" i="16"/>
  <c r="FC121" i="16" s="1"/>
  <c r="GQ121" i="16" s="1"/>
  <c r="DP121" i="16"/>
  <c r="FD121" i="16" s="1"/>
  <c r="GR121" i="16" s="1"/>
  <c r="DM121" i="16"/>
  <c r="FA121" i="16" s="1"/>
  <c r="DM119" i="16"/>
  <c r="DN119" i="16"/>
  <c r="DO119" i="16"/>
  <c r="DP119" i="16"/>
  <c r="DM120" i="16"/>
  <c r="DN120" i="16"/>
  <c r="DO120" i="16"/>
  <c r="DP120" i="16"/>
  <c r="DN118" i="16"/>
  <c r="DO118" i="16"/>
  <c r="DP118" i="16"/>
  <c r="DM118" i="16"/>
  <c r="BY119" i="16"/>
  <c r="FA119" i="16" s="1"/>
  <c r="BZ119" i="16"/>
  <c r="CA119" i="16" s="1"/>
  <c r="BY120" i="16"/>
  <c r="CB120" i="16" s="1"/>
  <c r="BZ120" i="16"/>
  <c r="CA120" i="16" s="1"/>
  <c r="BZ118" i="16"/>
  <c r="FB118" i="16" s="1"/>
  <c r="GP118" i="16" s="1"/>
  <c r="BY118" i="16"/>
  <c r="CB118" i="16" s="1"/>
  <c r="EC95" i="16"/>
  <c r="EB95" i="16"/>
  <c r="EA95" i="16"/>
  <c r="DZ95" i="16"/>
  <c r="DY95" i="16"/>
  <c r="DX95" i="16"/>
  <c r="DW95" i="16"/>
  <c r="DV95" i="16"/>
  <c r="DU95" i="16"/>
  <c r="DT95" i="16"/>
  <c r="DS95" i="16"/>
  <c r="DR95" i="16"/>
  <c r="DQ95" i="16"/>
  <c r="DP95" i="16"/>
  <c r="DO95" i="16"/>
  <c r="DN95" i="16"/>
  <c r="DM95" i="16"/>
  <c r="EC94" i="16"/>
  <c r="EB94" i="16"/>
  <c r="EA94" i="16"/>
  <c r="DZ94" i="16"/>
  <c r="DY94" i="16"/>
  <c r="DX94" i="16"/>
  <c r="DW94" i="16"/>
  <c r="DV94" i="16"/>
  <c r="DU94" i="16"/>
  <c r="DT94" i="16"/>
  <c r="DS94" i="16"/>
  <c r="DR94" i="16"/>
  <c r="DQ94" i="16"/>
  <c r="DP94" i="16"/>
  <c r="DO94" i="16"/>
  <c r="DN94" i="16"/>
  <c r="DM94" i="16"/>
  <c r="EC93" i="16"/>
  <c r="EB93" i="16"/>
  <c r="EA93" i="16"/>
  <c r="DZ93" i="16"/>
  <c r="DY93" i="16"/>
  <c r="DX93" i="16"/>
  <c r="DW93" i="16"/>
  <c r="DV93" i="16"/>
  <c r="DU93" i="16"/>
  <c r="DT93" i="16"/>
  <c r="DS93" i="16"/>
  <c r="DR93" i="16"/>
  <c r="DQ93" i="16"/>
  <c r="DP93" i="16"/>
  <c r="DO93" i="16"/>
  <c r="DN93" i="16"/>
  <c r="DM93" i="16"/>
  <c r="EC92" i="16"/>
  <c r="EB92" i="16"/>
  <c r="EA92" i="16"/>
  <c r="DZ92" i="16"/>
  <c r="DY92" i="16"/>
  <c r="DX92" i="16"/>
  <c r="DW92" i="16"/>
  <c r="DV92" i="16"/>
  <c r="DU92" i="16"/>
  <c r="DT92" i="16"/>
  <c r="DS92" i="16"/>
  <c r="DR92" i="16"/>
  <c r="DQ92" i="16"/>
  <c r="DP92" i="16"/>
  <c r="DO92" i="16"/>
  <c r="DN92" i="16"/>
  <c r="DM92" i="16"/>
  <c r="BY95" i="16"/>
  <c r="BZ95" i="16" s="1"/>
  <c r="CA95" i="16"/>
  <c r="CC95" i="16" s="1"/>
  <c r="BY92" i="16"/>
  <c r="BZ92" i="16" s="1"/>
  <c r="FB92" i="16" s="1"/>
  <c r="GP92" i="16" s="1"/>
  <c r="CA92" i="16"/>
  <c r="CC92" i="16" s="1"/>
  <c r="BY93" i="16"/>
  <c r="BZ93" i="16" s="1"/>
  <c r="CA93" i="16"/>
  <c r="CB93" i="16" s="1"/>
  <c r="BY94" i="16"/>
  <c r="BZ94" i="16" s="1"/>
  <c r="CA94" i="16"/>
  <c r="CD94" i="16" s="1"/>
  <c r="EC91" i="16"/>
  <c r="EB91" i="16"/>
  <c r="DP91" i="16"/>
  <c r="DQ91" i="16"/>
  <c r="DR91" i="16"/>
  <c r="DS91" i="16"/>
  <c r="DT91" i="16"/>
  <c r="DU91" i="16"/>
  <c r="DV91" i="16"/>
  <c r="DW91" i="16"/>
  <c r="DX91" i="16"/>
  <c r="DY91" i="16"/>
  <c r="DZ91" i="16"/>
  <c r="EA91" i="16"/>
  <c r="DO91" i="16"/>
  <c r="DM91" i="16"/>
  <c r="DN91" i="16"/>
  <c r="CA91" i="16"/>
  <c r="BY91" i="16"/>
  <c r="BZ91" i="16" s="1"/>
  <c r="DO90" i="16"/>
  <c r="DP90" i="16"/>
  <c r="DN90" i="16"/>
  <c r="DM90" i="16"/>
  <c r="CA90" i="16"/>
  <c r="CB90" i="16" s="1"/>
  <c r="BY90" i="16"/>
  <c r="BZ90" i="16" s="1"/>
  <c r="EG82" i="16"/>
  <c r="EF82" i="16"/>
  <c r="DP82" i="16"/>
  <c r="DQ82" i="16"/>
  <c r="DR82" i="16"/>
  <c r="DS82" i="16"/>
  <c r="DT82" i="16"/>
  <c r="DU82" i="16"/>
  <c r="DV82" i="16"/>
  <c r="DW82" i="16"/>
  <c r="DX82" i="16"/>
  <c r="DY82" i="16"/>
  <c r="DZ82" i="16"/>
  <c r="EA82" i="16"/>
  <c r="EB82" i="16"/>
  <c r="EC82" i="16"/>
  <c r="ED82" i="16"/>
  <c r="EE82" i="16"/>
  <c r="DO82" i="16"/>
  <c r="DP81" i="16"/>
  <c r="DQ81" i="16"/>
  <c r="DR81" i="16"/>
  <c r="DS81" i="16"/>
  <c r="DT81" i="16"/>
  <c r="DU81" i="16"/>
  <c r="DV81" i="16"/>
  <c r="DO81" i="16"/>
  <c r="DM82" i="16"/>
  <c r="DN82" i="16"/>
  <c r="CA82" i="16"/>
  <c r="CP82" i="16" s="1"/>
  <c r="BY82" i="16"/>
  <c r="BZ82" i="16" s="1"/>
  <c r="FZ109" i="16"/>
  <c r="HN109" i="16" s="1"/>
  <c r="GA109" i="16"/>
  <c r="HO109" i="16" s="1"/>
  <c r="GB109" i="16"/>
  <c r="HP109" i="16" s="1"/>
  <c r="GC109" i="16"/>
  <c r="HQ109" i="16" s="1"/>
  <c r="FY109" i="16"/>
  <c r="HM109" i="16" s="1"/>
  <c r="FY108" i="16"/>
  <c r="HM108" i="16" s="1"/>
  <c r="GA108" i="16"/>
  <c r="HO108" i="16" s="1"/>
  <c r="GB108" i="16"/>
  <c r="HP108" i="16" s="1"/>
  <c r="GC108" i="16"/>
  <c r="HQ108" i="16" s="1"/>
  <c r="FZ108" i="16"/>
  <c r="HN108" i="16" s="1"/>
  <c r="FG108" i="16"/>
  <c r="GU108" i="16" s="1"/>
  <c r="FH108" i="16"/>
  <c r="GV108" i="16" s="1"/>
  <c r="FI108" i="16"/>
  <c r="GW108" i="16" s="1"/>
  <c r="FJ108" i="16"/>
  <c r="GX108" i="16" s="1"/>
  <c r="FK108" i="16"/>
  <c r="GY108" i="16" s="1"/>
  <c r="FL108" i="16"/>
  <c r="GZ108" i="16" s="1"/>
  <c r="FM108" i="16"/>
  <c r="HA108" i="16" s="1"/>
  <c r="FN108" i="16"/>
  <c r="HB108" i="16" s="1"/>
  <c r="FO108" i="16"/>
  <c r="HC108" i="16" s="1"/>
  <c r="FP108" i="16"/>
  <c r="HD108" i="16" s="1"/>
  <c r="FQ108" i="16"/>
  <c r="HE108" i="16" s="1"/>
  <c r="FR108" i="16"/>
  <c r="HF108" i="16" s="1"/>
  <c r="FS108" i="16"/>
  <c r="HG108" i="16" s="1"/>
  <c r="FT108" i="16"/>
  <c r="HH108" i="16" s="1"/>
  <c r="FU108" i="16"/>
  <c r="HI108" i="16" s="1"/>
  <c r="FV108" i="16"/>
  <c r="HJ108" i="16" s="1"/>
  <c r="FW108" i="16"/>
  <c r="HK108" i="16" s="1"/>
  <c r="FX108" i="16"/>
  <c r="HL108" i="16" s="1"/>
  <c r="FG109" i="16"/>
  <c r="GU109" i="16" s="1"/>
  <c r="FH109" i="16"/>
  <c r="GV109" i="16" s="1"/>
  <c r="FI109" i="16"/>
  <c r="GW109" i="16" s="1"/>
  <c r="FJ109" i="16"/>
  <c r="GX109" i="16" s="1"/>
  <c r="FK109" i="16"/>
  <c r="GY109" i="16" s="1"/>
  <c r="FL109" i="16"/>
  <c r="GZ109" i="16" s="1"/>
  <c r="FM109" i="16"/>
  <c r="HA109" i="16" s="1"/>
  <c r="FN109" i="16"/>
  <c r="HB109" i="16" s="1"/>
  <c r="FO109" i="16"/>
  <c r="HC109" i="16" s="1"/>
  <c r="FP109" i="16"/>
  <c r="HD109" i="16" s="1"/>
  <c r="FQ109" i="16"/>
  <c r="HE109" i="16" s="1"/>
  <c r="FR109" i="16"/>
  <c r="HF109" i="16" s="1"/>
  <c r="FS109" i="16"/>
  <c r="HG109" i="16" s="1"/>
  <c r="FT109" i="16"/>
  <c r="HH109" i="16" s="1"/>
  <c r="FU109" i="16"/>
  <c r="HI109" i="16" s="1"/>
  <c r="FV109" i="16"/>
  <c r="HJ109" i="16" s="1"/>
  <c r="FW109" i="16"/>
  <c r="HK109" i="16" s="1"/>
  <c r="FX109" i="16"/>
  <c r="HL109" i="16" s="1"/>
  <c r="FF108" i="16"/>
  <c r="GT108" i="16" s="1"/>
  <c r="FF109" i="16"/>
  <c r="GT109" i="16" s="1"/>
  <c r="FF105" i="16"/>
  <c r="GT105" i="16" s="1"/>
  <c r="FG105" i="16"/>
  <c r="GU105" i="16" s="1"/>
  <c r="FH105" i="16"/>
  <c r="GV105" i="16" s="1"/>
  <c r="FI105" i="16"/>
  <c r="GW105" i="16" s="1"/>
  <c r="FJ105" i="16"/>
  <c r="GX105" i="16" s="1"/>
  <c r="FK105" i="16"/>
  <c r="GY105" i="16" s="1"/>
  <c r="FL105" i="16"/>
  <c r="GZ105" i="16" s="1"/>
  <c r="FM105" i="16"/>
  <c r="HA105" i="16" s="1"/>
  <c r="FN105" i="16"/>
  <c r="HB105" i="16" s="1"/>
  <c r="FO105" i="16"/>
  <c r="HC105" i="16" s="1"/>
  <c r="FP105" i="16"/>
  <c r="HD105" i="16" s="1"/>
  <c r="FQ105" i="16"/>
  <c r="HE105" i="16" s="1"/>
  <c r="FR105" i="16"/>
  <c r="HF105" i="16" s="1"/>
  <c r="FS105" i="16"/>
  <c r="HG105" i="16" s="1"/>
  <c r="FT105" i="16"/>
  <c r="HH105" i="16" s="1"/>
  <c r="FU105" i="16"/>
  <c r="HI105" i="16" s="1"/>
  <c r="FV105" i="16"/>
  <c r="HJ105" i="16" s="1"/>
  <c r="FW105" i="16"/>
  <c r="HK105" i="16" s="1"/>
  <c r="FF106" i="16"/>
  <c r="GT106" i="16" s="1"/>
  <c r="FG106" i="16"/>
  <c r="GU106" i="16" s="1"/>
  <c r="FH106" i="16"/>
  <c r="GV106" i="16" s="1"/>
  <c r="FI106" i="16"/>
  <c r="GW106" i="16" s="1"/>
  <c r="FJ106" i="16"/>
  <c r="GX106" i="16" s="1"/>
  <c r="FK106" i="16"/>
  <c r="GY106" i="16" s="1"/>
  <c r="FL106" i="16"/>
  <c r="GZ106" i="16" s="1"/>
  <c r="FM106" i="16"/>
  <c r="HA106" i="16" s="1"/>
  <c r="FN106" i="16"/>
  <c r="HB106" i="16" s="1"/>
  <c r="FO106" i="16"/>
  <c r="HC106" i="16" s="1"/>
  <c r="FP106" i="16"/>
  <c r="HD106" i="16" s="1"/>
  <c r="FQ106" i="16"/>
  <c r="HE106" i="16" s="1"/>
  <c r="FR106" i="16"/>
  <c r="HF106" i="16" s="1"/>
  <c r="FS106" i="16"/>
  <c r="HG106" i="16" s="1"/>
  <c r="FT106" i="16"/>
  <c r="HH106" i="16" s="1"/>
  <c r="FU106" i="16"/>
  <c r="HI106" i="16" s="1"/>
  <c r="FV106" i="16"/>
  <c r="HJ106" i="16" s="1"/>
  <c r="FW106" i="16"/>
  <c r="HK106" i="16" s="1"/>
  <c r="FF107" i="16"/>
  <c r="GT107" i="16" s="1"/>
  <c r="FG107" i="16"/>
  <c r="GU107" i="16" s="1"/>
  <c r="FH107" i="16"/>
  <c r="GV107" i="16" s="1"/>
  <c r="FI107" i="16"/>
  <c r="GW107" i="16" s="1"/>
  <c r="FJ107" i="16"/>
  <c r="GX107" i="16" s="1"/>
  <c r="FK107" i="16"/>
  <c r="GY107" i="16" s="1"/>
  <c r="FL107" i="16"/>
  <c r="GZ107" i="16" s="1"/>
  <c r="FM107" i="16"/>
  <c r="HA107" i="16" s="1"/>
  <c r="FN107" i="16"/>
  <c r="HB107" i="16" s="1"/>
  <c r="FO107" i="16"/>
  <c r="HC107" i="16" s="1"/>
  <c r="FP107" i="16"/>
  <c r="HD107" i="16" s="1"/>
  <c r="FQ107" i="16"/>
  <c r="HE107" i="16" s="1"/>
  <c r="FR107" i="16"/>
  <c r="HF107" i="16" s="1"/>
  <c r="FS107" i="16"/>
  <c r="HG107" i="16" s="1"/>
  <c r="FT107" i="16"/>
  <c r="HH107" i="16" s="1"/>
  <c r="FU107" i="16"/>
  <c r="HI107" i="16" s="1"/>
  <c r="FV107" i="16"/>
  <c r="HJ107" i="16" s="1"/>
  <c r="FW107" i="16"/>
  <c r="HK107" i="16" s="1"/>
  <c r="FT104" i="16"/>
  <c r="HH104" i="16" s="1"/>
  <c r="FU104" i="16"/>
  <c r="HI104" i="16" s="1"/>
  <c r="FV104" i="16"/>
  <c r="HJ104" i="16" s="1"/>
  <c r="FW104" i="16"/>
  <c r="HK104" i="16" s="1"/>
  <c r="FS104" i="16"/>
  <c r="HG104" i="16" s="1"/>
  <c r="FG104" i="16"/>
  <c r="GU104" i="16" s="1"/>
  <c r="FH104" i="16"/>
  <c r="GV104" i="16" s="1"/>
  <c r="FI104" i="16"/>
  <c r="GW104" i="16" s="1"/>
  <c r="FJ104" i="16"/>
  <c r="GX104" i="16" s="1"/>
  <c r="FK104" i="16"/>
  <c r="GY104" i="16" s="1"/>
  <c r="FL104" i="16"/>
  <c r="GZ104" i="16" s="1"/>
  <c r="FM104" i="16"/>
  <c r="HA104" i="16" s="1"/>
  <c r="FN104" i="16"/>
  <c r="HB104" i="16" s="1"/>
  <c r="FO104" i="16"/>
  <c r="HC104" i="16" s="1"/>
  <c r="FP104" i="16"/>
  <c r="HD104" i="16" s="1"/>
  <c r="FQ104" i="16"/>
  <c r="HE104" i="16" s="1"/>
  <c r="FR104" i="16"/>
  <c r="HF104" i="16" s="1"/>
  <c r="FF104" i="16"/>
  <c r="GT104" i="16" s="1"/>
  <c r="FA104" i="16"/>
  <c r="GO104" i="16" s="1"/>
  <c r="FB104" i="16"/>
  <c r="GP104" i="16" s="1"/>
  <c r="FC104" i="16"/>
  <c r="GQ104" i="16" s="1"/>
  <c r="FD104" i="16"/>
  <c r="GR104" i="16" s="1"/>
  <c r="FE104" i="16"/>
  <c r="GS104" i="16" s="1"/>
  <c r="FA105" i="16"/>
  <c r="GO105" i="16" s="1"/>
  <c r="FB105" i="16"/>
  <c r="GP105" i="16" s="1"/>
  <c r="FC105" i="16"/>
  <c r="GQ105" i="16" s="1"/>
  <c r="FD105" i="16"/>
  <c r="GR105" i="16" s="1"/>
  <c r="FE105" i="16"/>
  <c r="GS105" i="16" s="1"/>
  <c r="FA106" i="16"/>
  <c r="GO106" i="16" s="1"/>
  <c r="FB106" i="16"/>
  <c r="GP106" i="16" s="1"/>
  <c r="FC106" i="16"/>
  <c r="GQ106" i="16" s="1"/>
  <c r="FD106" i="16"/>
  <c r="GR106" i="16" s="1"/>
  <c r="FE106" i="16"/>
  <c r="GS106" i="16" s="1"/>
  <c r="FA107" i="16"/>
  <c r="GO107" i="16" s="1"/>
  <c r="FB107" i="16"/>
  <c r="GP107" i="16" s="1"/>
  <c r="FC107" i="16"/>
  <c r="GQ107" i="16" s="1"/>
  <c r="FD107" i="16"/>
  <c r="GR107" i="16" s="1"/>
  <c r="FE107" i="16"/>
  <c r="GS107" i="16" s="1"/>
  <c r="FA108" i="16"/>
  <c r="GO108" i="16" s="1"/>
  <c r="FB108" i="16"/>
  <c r="GP108" i="16" s="1"/>
  <c r="FC108" i="16"/>
  <c r="GQ108" i="16" s="1"/>
  <c r="FD108" i="16"/>
  <c r="GR108" i="16" s="1"/>
  <c r="FE108" i="16"/>
  <c r="GS108" i="16" s="1"/>
  <c r="FA109" i="16"/>
  <c r="GO109" i="16" s="1"/>
  <c r="FB109" i="16"/>
  <c r="GP109" i="16" s="1"/>
  <c r="FC109" i="16"/>
  <c r="GQ109" i="16" s="1"/>
  <c r="FD109" i="16"/>
  <c r="GR109" i="16" s="1"/>
  <c r="FE109" i="16"/>
  <c r="GS109" i="16" s="1"/>
  <c r="FA103" i="16"/>
  <c r="FB103" i="16"/>
  <c r="GP103" i="16" s="1"/>
  <c r="FC103" i="16"/>
  <c r="GQ103" i="16" s="1"/>
  <c r="FD103" i="16"/>
  <c r="GR103" i="16" s="1"/>
  <c r="FE103" i="16"/>
  <c r="GS103" i="16" s="1"/>
  <c r="FF103" i="16"/>
  <c r="GT103" i="16" s="1"/>
  <c r="FG103" i="16"/>
  <c r="GU103" i="16" s="1"/>
  <c r="FH103" i="16"/>
  <c r="GV103" i="16" s="1"/>
  <c r="FI103" i="16"/>
  <c r="GW103" i="16" s="1"/>
  <c r="FJ103" i="16"/>
  <c r="GX103" i="16" s="1"/>
  <c r="FB102" i="16"/>
  <c r="GP102" i="16" s="1"/>
  <c r="FC102" i="16"/>
  <c r="GQ102" i="16" s="1"/>
  <c r="FD102" i="16"/>
  <c r="GR102" i="16" s="1"/>
  <c r="FE102" i="16"/>
  <c r="GS102" i="16" s="1"/>
  <c r="FF102" i="16"/>
  <c r="GT102" i="16" s="1"/>
  <c r="FG102" i="16"/>
  <c r="GU102" i="16" s="1"/>
  <c r="FH102" i="16"/>
  <c r="GV102" i="16" s="1"/>
  <c r="FI102" i="16"/>
  <c r="GW102" i="16" s="1"/>
  <c r="FJ102" i="16"/>
  <c r="GX102" i="16" s="1"/>
  <c r="FA102" i="16"/>
  <c r="FP96" i="16" l="1"/>
  <c r="HD96" i="16" s="1"/>
  <c r="FC120" i="16"/>
  <c r="GQ120" i="16" s="1"/>
  <c r="FD93" i="16"/>
  <c r="GR93" i="16" s="1"/>
  <c r="CJ92" i="16"/>
  <c r="FL92" i="16" s="1"/>
  <c r="GZ92" i="16" s="1"/>
  <c r="FB93" i="16"/>
  <c r="GP93" i="16" s="1"/>
  <c r="FC90" i="16"/>
  <c r="GQ90" i="16" s="1"/>
  <c r="FA91" i="16"/>
  <c r="GO91" i="16" s="1"/>
  <c r="CG94" i="16"/>
  <c r="FI94" i="16" s="1"/>
  <c r="GW94" i="16" s="1"/>
  <c r="CI92" i="16"/>
  <c r="FK92" i="16" s="1"/>
  <c r="GY92" i="16" s="1"/>
  <c r="FC95" i="16"/>
  <c r="GQ95" i="16" s="1"/>
  <c r="FD120" i="16"/>
  <c r="GR120" i="16" s="1"/>
  <c r="FF94" i="16"/>
  <c r="GT94" i="16" s="1"/>
  <c r="CE92" i="16"/>
  <c r="FG92" i="16" s="1"/>
  <c r="GU92" i="16" s="1"/>
  <c r="CB95" i="16"/>
  <c r="FD95" i="16" s="1"/>
  <c r="GR95" i="16" s="1"/>
  <c r="FD118" i="16"/>
  <c r="GR118" i="16" s="1"/>
  <c r="FC119" i="16"/>
  <c r="GQ119" i="16" s="1"/>
  <c r="FB94" i="16"/>
  <c r="GP94" i="16" s="1"/>
  <c r="CM92" i="16"/>
  <c r="CN92" i="16" s="1"/>
  <c r="FP92" i="16" s="1"/>
  <c r="HD92" i="16" s="1"/>
  <c r="CB92" i="16"/>
  <c r="FD92" i="16" s="1"/>
  <c r="GR92" i="16" s="1"/>
  <c r="FE95" i="16"/>
  <c r="GS95" i="16" s="1"/>
  <c r="FB90" i="16"/>
  <c r="GP90" i="16" s="1"/>
  <c r="CM94" i="16"/>
  <c r="CF94" i="16"/>
  <c r="FA93" i="16"/>
  <c r="GO93" i="16" s="1"/>
  <c r="FA95" i="16"/>
  <c r="GO95" i="16" s="1"/>
  <c r="FD90" i="16"/>
  <c r="GR90" i="16" s="1"/>
  <c r="FC91" i="16"/>
  <c r="GQ91" i="16" s="1"/>
  <c r="CK94" i="16"/>
  <c r="FM94" i="16" s="1"/>
  <c r="HA94" i="16" s="1"/>
  <c r="CC94" i="16"/>
  <c r="FE94" i="16" s="1"/>
  <c r="GS94" i="16" s="1"/>
  <c r="CM93" i="16"/>
  <c r="FO93" i="16" s="1"/>
  <c r="HC93" i="16" s="1"/>
  <c r="CF92" i="16"/>
  <c r="FH92" i="16" s="1"/>
  <c r="GV92" i="16" s="1"/>
  <c r="FC92" i="16"/>
  <c r="GQ92" i="16" s="1"/>
  <c r="FR82" i="16"/>
  <c r="HF82" i="16" s="1"/>
  <c r="CI94" i="16"/>
  <c r="FK94" i="16" s="1"/>
  <c r="GY94" i="16" s="1"/>
  <c r="CB94" i="16"/>
  <c r="FD94" i="16" s="1"/>
  <c r="GR94" i="16" s="1"/>
  <c r="CI93" i="16"/>
  <c r="FK93" i="16" s="1"/>
  <c r="GY93" i="16" s="1"/>
  <c r="FA92" i="16"/>
  <c r="GO92" i="16" s="1"/>
  <c r="CE82" i="16"/>
  <c r="FG82" i="16" s="1"/>
  <c r="GU82" i="16" s="1"/>
  <c r="CQ82" i="16"/>
  <c r="CR82" i="16" s="1"/>
  <c r="FT82" i="16" s="1"/>
  <c r="HH82" i="16" s="1"/>
  <c r="FA90" i="16"/>
  <c r="GO90" i="16" s="1"/>
  <c r="CM91" i="16"/>
  <c r="CN91" i="16" s="1"/>
  <c r="CO91" i="16" s="1"/>
  <c r="FQ91" i="16" s="1"/>
  <c r="HE91" i="16" s="1"/>
  <c r="FB120" i="16"/>
  <c r="GP120" i="16" s="1"/>
  <c r="CB82" i="16"/>
  <c r="FD82" i="16" s="1"/>
  <c r="GR82" i="16" s="1"/>
  <c r="CF82" i="16"/>
  <c r="FH82" i="16" s="1"/>
  <c r="GV82" i="16" s="1"/>
  <c r="CJ82" i="16"/>
  <c r="FL82" i="16" s="1"/>
  <c r="GZ82" i="16" s="1"/>
  <c r="CN82" i="16"/>
  <c r="FP82" i="16" s="1"/>
  <c r="HD82" i="16" s="1"/>
  <c r="CB91" i="16"/>
  <c r="FD91" i="16" s="1"/>
  <c r="GR91" i="16" s="1"/>
  <c r="CF91" i="16"/>
  <c r="FH91" i="16" s="1"/>
  <c r="GV91" i="16" s="1"/>
  <c r="CJ91" i="16"/>
  <c r="FL91" i="16" s="1"/>
  <c r="GZ91" i="16" s="1"/>
  <c r="FO94" i="16"/>
  <c r="HC94" i="16" s="1"/>
  <c r="CL93" i="16"/>
  <c r="FN93" i="16" s="1"/>
  <c r="HB93" i="16" s="1"/>
  <c r="CH93" i="16"/>
  <c r="FJ93" i="16" s="1"/>
  <c r="GX93" i="16" s="1"/>
  <c r="CD93" i="16"/>
  <c r="FF93" i="16" s="1"/>
  <c r="GT93" i="16" s="1"/>
  <c r="FA120" i="16"/>
  <c r="GO120" i="16" s="1"/>
  <c r="CI82" i="16"/>
  <c r="FK82" i="16" s="1"/>
  <c r="GY82" i="16" s="1"/>
  <c r="CI91" i="16"/>
  <c r="FK91" i="16" s="1"/>
  <c r="GY91" i="16" s="1"/>
  <c r="FC93" i="16"/>
  <c r="GQ93" i="16" s="1"/>
  <c r="CC82" i="16"/>
  <c r="FE82" i="16" s="1"/>
  <c r="GS82" i="16" s="1"/>
  <c r="CG82" i="16"/>
  <c r="FI82" i="16" s="1"/>
  <c r="GW82" i="16" s="1"/>
  <c r="CK82" i="16"/>
  <c r="FM82" i="16" s="1"/>
  <c r="HA82" i="16" s="1"/>
  <c r="CO82" i="16"/>
  <c r="FQ82" i="16" s="1"/>
  <c r="HE82" i="16" s="1"/>
  <c r="FC82" i="16"/>
  <c r="GQ82" i="16" s="1"/>
  <c r="FB91" i="16"/>
  <c r="GP91" i="16" s="1"/>
  <c r="CC91" i="16"/>
  <c r="FE91" i="16" s="1"/>
  <c r="GS91" i="16" s="1"/>
  <c r="CG91" i="16"/>
  <c r="FI91" i="16" s="1"/>
  <c r="GW91" i="16" s="1"/>
  <c r="CK91" i="16"/>
  <c r="FM91" i="16" s="1"/>
  <c r="HA91" i="16" s="1"/>
  <c r="FH94" i="16"/>
  <c r="GV94" i="16" s="1"/>
  <c r="CK93" i="16"/>
  <c r="FM93" i="16" s="1"/>
  <c r="HA93" i="16" s="1"/>
  <c r="CG93" i="16"/>
  <c r="FI93" i="16" s="1"/>
  <c r="GW93" i="16" s="1"/>
  <c r="CC93" i="16"/>
  <c r="FE93" i="16" s="1"/>
  <c r="GS93" i="16" s="1"/>
  <c r="CJ95" i="16"/>
  <c r="FL95" i="16" s="1"/>
  <c r="GZ95" i="16" s="1"/>
  <c r="FB95" i="16"/>
  <c r="GP95" i="16" s="1"/>
  <c r="FC94" i="16"/>
  <c r="GQ94" i="16" s="1"/>
  <c r="CA118" i="16"/>
  <c r="FC118" i="16" s="1"/>
  <c r="GQ118" i="16" s="1"/>
  <c r="CB119" i="16"/>
  <c r="FD119" i="16" s="1"/>
  <c r="GR119" i="16" s="1"/>
  <c r="FA118" i="16"/>
  <c r="GO118" i="16" s="1"/>
  <c r="FB119" i="16"/>
  <c r="GP119" i="16" s="1"/>
  <c r="CM82" i="16"/>
  <c r="FO82" i="16" s="1"/>
  <c r="HC82" i="16" s="1"/>
  <c r="CE91" i="16"/>
  <c r="FG91" i="16" s="1"/>
  <c r="GU91" i="16" s="1"/>
  <c r="CE93" i="16"/>
  <c r="FG93" i="16" s="1"/>
  <c r="GU93" i="16" s="1"/>
  <c r="FB82" i="16"/>
  <c r="GP82" i="16" s="1"/>
  <c r="CD82" i="16"/>
  <c r="FF82" i="16" s="1"/>
  <c r="GT82" i="16" s="1"/>
  <c r="CH82" i="16"/>
  <c r="FJ82" i="16" s="1"/>
  <c r="GX82" i="16" s="1"/>
  <c r="CL82" i="16"/>
  <c r="FN82" i="16" s="1"/>
  <c r="HB82" i="16" s="1"/>
  <c r="FA82" i="16"/>
  <c r="GO82" i="16" s="1"/>
  <c r="CD91" i="16"/>
  <c r="FF91" i="16" s="1"/>
  <c r="GT91" i="16" s="1"/>
  <c r="CH91" i="16"/>
  <c r="FJ91" i="16" s="1"/>
  <c r="GX91" i="16" s="1"/>
  <c r="CL91" i="16"/>
  <c r="FN91" i="16" s="1"/>
  <c r="HB91" i="16" s="1"/>
  <c r="CJ94" i="16"/>
  <c r="FL94" i="16" s="1"/>
  <c r="GZ94" i="16" s="1"/>
  <c r="CE94" i="16"/>
  <c r="FG94" i="16" s="1"/>
  <c r="GU94" i="16" s="1"/>
  <c r="CJ93" i="16"/>
  <c r="FL93" i="16" s="1"/>
  <c r="GZ93" i="16" s="1"/>
  <c r="CF93" i="16"/>
  <c r="FH93" i="16" s="1"/>
  <c r="GV93" i="16" s="1"/>
  <c r="FE92" i="16"/>
  <c r="GS92" i="16" s="1"/>
  <c r="CF95" i="16"/>
  <c r="FH95" i="16" s="1"/>
  <c r="GV95" i="16" s="1"/>
  <c r="FA94" i="16"/>
  <c r="GO94" i="16" s="1"/>
  <c r="AG145" i="16"/>
  <c r="AI145" i="16"/>
  <c r="AG141" i="16"/>
  <c r="AI141" i="16"/>
  <c r="AG144" i="16"/>
  <c r="AI144" i="16"/>
  <c r="AG140" i="16"/>
  <c r="AI140" i="16"/>
  <c r="AG146" i="16"/>
  <c r="AI146" i="16"/>
  <c r="AG142" i="16"/>
  <c r="AI142" i="16"/>
  <c r="AG147" i="16"/>
  <c r="AI147" i="16"/>
  <c r="AG143" i="16"/>
  <c r="AI143" i="16"/>
  <c r="AG139" i="16"/>
  <c r="AI139" i="16"/>
  <c r="AI152" i="16"/>
  <c r="AG152" i="16"/>
  <c r="Z150" i="16"/>
  <c r="X150" i="16" s="1"/>
  <c r="Z154" i="16"/>
  <c r="X154" i="16" s="1"/>
  <c r="Z95" i="16"/>
  <c r="X95" i="16" s="1"/>
  <c r="Z92" i="16"/>
  <c r="X92" i="16" s="1"/>
  <c r="Z88" i="16"/>
  <c r="X88" i="16" s="1"/>
  <c r="Z84" i="16"/>
  <c r="X84" i="16" s="1"/>
  <c r="Z115" i="16"/>
  <c r="X115" i="16" s="1"/>
  <c r="Z112" i="16"/>
  <c r="X112" i="16" s="1"/>
  <c r="Z108" i="16"/>
  <c r="X108" i="16" s="1"/>
  <c r="Z104" i="16"/>
  <c r="X104" i="16" s="1"/>
  <c r="Z136" i="16"/>
  <c r="X136" i="16" s="1"/>
  <c r="Z132" i="16"/>
  <c r="X132" i="16" s="1"/>
  <c r="Z128" i="16"/>
  <c r="X128" i="16" s="1"/>
  <c r="Z124" i="16"/>
  <c r="X124" i="16" s="1"/>
  <c r="Z120" i="16"/>
  <c r="X120" i="16" s="1"/>
  <c r="Z155" i="16"/>
  <c r="X155" i="16" s="1"/>
  <c r="Z151" i="16"/>
  <c r="X151" i="16" s="1"/>
  <c r="Z87" i="16"/>
  <c r="X87" i="16" s="1"/>
  <c r="Z83" i="16"/>
  <c r="X83" i="16" s="1"/>
  <c r="Z117" i="16"/>
  <c r="X117" i="16" s="1"/>
  <c r="Z111" i="16"/>
  <c r="X111" i="16" s="1"/>
  <c r="Z135" i="16"/>
  <c r="X135" i="16" s="1"/>
  <c r="Z127" i="16"/>
  <c r="X127" i="16" s="1"/>
  <c r="Z119" i="16"/>
  <c r="X119" i="16" s="1"/>
  <c r="Z148" i="16"/>
  <c r="X148" i="16" s="1"/>
  <c r="Z89" i="16"/>
  <c r="X89" i="16" s="1"/>
  <c r="Z85" i="16"/>
  <c r="X85" i="16" s="1"/>
  <c r="Z81" i="16"/>
  <c r="X81" i="16" s="1"/>
  <c r="Z109" i="16"/>
  <c r="X109" i="16" s="1"/>
  <c r="Z105" i="16"/>
  <c r="X105" i="16" s="1"/>
  <c r="Z137" i="16"/>
  <c r="X137" i="16" s="1"/>
  <c r="Z133" i="16"/>
  <c r="X133" i="16" s="1"/>
  <c r="Z129" i="16"/>
  <c r="X129" i="16" s="1"/>
  <c r="Z125" i="16"/>
  <c r="X125" i="16" s="1"/>
  <c r="Z121" i="16"/>
  <c r="X121" i="16" s="1"/>
  <c r="Z152" i="16"/>
  <c r="X152" i="16" s="1"/>
  <c r="Z94" i="16"/>
  <c r="X94" i="16" s="1"/>
  <c r="Z91" i="16"/>
  <c r="X91" i="16" s="1"/>
  <c r="Z114" i="16"/>
  <c r="X114" i="16" s="1"/>
  <c r="Z107" i="16"/>
  <c r="X107" i="16" s="1"/>
  <c r="Z103" i="16"/>
  <c r="X103" i="16" s="1"/>
  <c r="Z131" i="16"/>
  <c r="X131" i="16" s="1"/>
  <c r="Z123" i="16"/>
  <c r="X123" i="16" s="1"/>
  <c r="Z93" i="16"/>
  <c r="X93" i="16" s="1"/>
  <c r="Z90" i="16"/>
  <c r="X90" i="16" s="1"/>
  <c r="Z86" i="16"/>
  <c r="X86" i="16" s="1"/>
  <c r="Z82" i="16"/>
  <c r="X82" i="16" s="1"/>
  <c r="Z102" i="16"/>
  <c r="X102" i="16" s="1"/>
  <c r="Z116" i="16"/>
  <c r="X116" i="16" s="1"/>
  <c r="Z113" i="16"/>
  <c r="X113" i="16" s="1"/>
  <c r="Z110" i="16"/>
  <c r="X110" i="16" s="1"/>
  <c r="Z106" i="16"/>
  <c r="X106" i="16" s="1"/>
  <c r="Z138" i="16"/>
  <c r="X138" i="16" s="1"/>
  <c r="Z134" i="16"/>
  <c r="X134" i="16" s="1"/>
  <c r="Z130" i="16"/>
  <c r="X130" i="16" s="1"/>
  <c r="Z126" i="16"/>
  <c r="X126" i="16" s="1"/>
  <c r="Z122" i="16"/>
  <c r="X122" i="16" s="1"/>
  <c r="Z118" i="16"/>
  <c r="X118" i="16" s="1"/>
  <c r="Z153" i="16"/>
  <c r="X153" i="16" s="1"/>
  <c r="Z149" i="16"/>
  <c r="X149" i="16" s="1"/>
  <c r="CN94" i="16"/>
  <c r="CO94" i="16" s="1"/>
  <c r="FQ94" i="16" s="1"/>
  <c r="HE94" i="16" s="1"/>
  <c r="AI136" i="16"/>
  <c r="AI132" i="16"/>
  <c r="AI128" i="16"/>
  <c r="AI124" i="16"/>
  <c r="AI120" i="16"/>
  <c r="AI91" i="16"/>
  <c r="CO92" i="16"/>
  <c r="FQ92" i="16" s="1"/>
  <c r="HE92" i="16" s="1"/>
  <c r="AI93" i="16"/>
  <c r="AI90" i="16"/>
  <c r="AI94" i="16"/>
  <c r="AI154" i="16"/>
  <c r="AI150" i="16"/>
  <c r="AI138" i="16"/>
  <c r="AI134" i="16"/>
  <c r="AI130" i="16"/>
  <c r="AI126" i="16"/>
  <c r="AI122" i="16"/>
  <c r="AI118" i="16"/>
  <c r="AI115" i="16"/>
  <c r="AI112" i="16"/>
  <c r="AI108" i="16"/>
  <c r="AI104" i="16"/>
  <c r="AI153" i="16"/>
  <c r="AI149" i="16"/>
  <c r="AI137" i="16"/>
  <c r="AI133" i="16"/>
  <c r="AI129" i="16"/>
  <c r="AI125" i="16"/>
  <c r="AI121" i="16"/>
  <c r="AI117" i="16"/>
  <c r="AI114" i="16"/>
  <c r="AI111" i="16"/>
  <c r="AI107" i="16"/>
  <c r="AI103" i="16"/>
  <c r="AI95" i="16"/>
  <c r="AI92" i="16"/>
  <c r="AI116" i="16"/>
  <c r="AI113" i="16"/>
  <c r="AI110" i="16"/>
  <c r="AI106" i="16"/>
  <c r="AI135" i="16"/>
  <c r="AI131" i="16"/>
  <c r="AI127" i="16"/>
  <c r="AI123" i="16"/>
  <c r="AI119" i="16"/>
  <c r="AI148" i="16"/>
  <c r="AI102" i="16"/>
  <c r="AI155" i="16"/>
  <c r="AI151" i="16"/>
  <c r="AI109" i="16"/>
  <c r="AI105" i="16"/>
  <c r="AH82" i="16"/>
  <c r="AI82" i="16"/>
  <c r="GO103" i="16"/>
  <c r="GO102" i="16"/>
  <c r="GO123" i="16"/>
  <c r="GO122" i="16"/>
  <c r="GO121" i="16"/>
  <c r="GO119" i="16"/>
  <c r="CM95" i="16"/>
  <c r="CI95" i="16"/>
  <c r="FK95" i="16" s="1"/>
  <c r="GY95" i="16" s="1"/>
  <c r="CE95" i="16"/>
  <c r="FG95" i="16" s="1"/>
  <c r="GU95" i="16" s="1"/>
  <c r="CL95" i="16"/>
  <c r="FN95" i="16" s="1"/>
  <c r="HB95" i="16" s="1"/>
  <c r="CH95" i="16"/>
  <c r="FJ95" i="16" s="1"/>
  <c r="GX95" i="16" s="1"/>
  <c r="CD95" i="16"/>
  <c r="FF95" i="16" s="1"/>
  <c r="GT95" i="16" s="1"/>
  <c r="CK95" i="16"/>
  <c r="FM95" i="16" s="1"/>
  <c r="HA95" i="16" s="1"/>
  <c r="CG95" i="16"/>
  <c r="FI95" i="16" s="1"/>
  <c r="GW95" i="16" s="1"/>
  <c r="CL92" i="16"/>
  <c r="FN92" i="16" s="1"/>
  <c r="HB92" i="16" s="1"/>
  <c r="CH92" i="16"/>
  <c r="FJ92" i="16" s="1"/>
  <c r="GX92" i="16" s="1"/>
  <c r="CD92" i="16"/>
  <c r="FF92" i="16" s="1"/>
  <c r="GT92" i="16" s="1"/>
  <c r="CL94" i="16"/>
  <c r="FN94" i="16" s="1"/>
  <c r="HB94" i="16" s="1"/>
  <c r="CH94" i="16"/>
  <c r="FJ94" i="16" s="1"/>
  <c r="GX94" i="16" s="1"/>
  <c r="CK92" i="16"/>
  <c r="FM92" i="16" s="1"/>
  <c r="HA92" i="16" s="1"/>
  <c r="CG92" i="16"/>
  <c r="FI92" i="16" s="1"/>
  <c r="GW92" i="16" s="1"/>
  <c r="BP138" i="16"/>
  <c r="DX81" i="16"/>
  <c r="DW81" i="16"/>
  <c r="DN81" i="16"/>
  <c r="DM81" i="16"/>
  <c r="BY81" i="16"/>
  <c r="FC116" i="16"/>
  <c r="GQ116" i="16" s="1"/>
  <c r="FD116" i="16"/>
  <c r="GR116" i="16" s="1"/>
  <c r="FE116" i="16"/>
  <c r="GS116" i="16" s="1"/>
  <c r="FF116" i="16"/>
  <c r="GT116" i="16" s="1"/>
  <c r="FG116" i="16"/>
  <c r="GU116" i="16" s="1"/>
  <c r="FH116" i="16"/>
  <c r="GV116" i="16" s="1"/>
  <c r="FI116" i="16"/>
  <c r="GW116" i="16" s="1"/>
  <c r="FJ116" i="16"/>
  <c r="GX116" i="16" s="1"/>
  <c r="FK116" i="16"/>
  <c r="GY116" i="16" s="1"/>
  <c r="FC117" i="16"/>
  <c r="GQ117" i="16" s="1"/>
  <c r="FD117" i="16"/>
  <c r="GR117" i="16" s="1"/>
  <c r="FE117" i="16"/>
  <c r="GS117" i="16" s="1"/>
  <c r="FF117" i="16"/>
  <c r="GT117" i="16" s="1"/>
  <c r="FG117" i="16"/>
  <c r="GU117" i="16" s="1"/>
  <c r="FH117" i="16"/>
  <c r="GV117" i="16" s="1"/>
  <c r="FI117" i="16"/>
  <c r="GW117" i="16" s="1"/>
  <c r="FJ117" i="16"/>
  <c r="GX117" i="16" s="1"/>
  <c r="FK117" i="16"/>
  <c r="GY117" i="16" s="1"/>
  <c r="FD115" i="16"/>
  <c r="GR115" i="16" s="1"/>
  <c r="FE115" i="16"/>
  <c r="GS115" i="16" s="1"/>
  <c r="FF115" i="16"/>
  <c r="GT115" i="16" s="1"/>
  <c r="FG115" i="16"/>
  <c r="GU115" i="16" s="1"/>
  <c r="FH115" i="16"/>
  <c r="GV115" i="16" s="1"/>
  <c r="FI115" i="16"/>
  <c r="GW115" i="16" s="1"/>
  <c r="FJ115" i="16"/>
  <c r="GX115" i="16" s="1"/>
  <c r="FK115" i="16"/>
  <c r="GY115" i="16" s="1"/>
  <c r="FC115" i="16"/>
  <c r="GQ115" i="16" s="1"/>
  <c r="DY116" i="16"/>
  <c r="FM116" i="16" s="1"/>
  <c r="HA116" i="16" s="1"/>
  <c r="DY117" i="16"/>
  <c r="FM117" i="16" s="1"/>
  <c r="HA117" i="16" s="1"/>
  <c r="DY115" i="16"/>
  <c r="FM115" i="16" s="1"/>
  <c r="HA115" i="16" s="1"/>
  <c r="DX116" i="16"/>
  <c r="FL116" i="16" s="1"/>
  <c r="GZ116" i="16" s="1"/>
  <c r="DX117" i="16"/>
  <c r="FL117" i="16" s="1"/>
  <c r="GZ117" i="16" s="1"/>
  <c r="DX115" i="16"/>
  <c r="FL115" i="16" s="1"/>
  <c r="GZ115" i="16" s="1"/>
  <c r="DM116" i="16"/>
  <c r="FA116" i="16" s="1"/>
  <c r="GO116" i="16" s="1"/>
  <c r="DN116" i="16"/>
  <c r="FB116" i="16" s="1"/>
  <c r="GP116" i="16" s="1"/>
  <c r="DM117" i="16"/>
  <c r="FA117" i="16" s="1"/>
  <c r="GO117" i="16" s="1"/>
  <c r="DN117" i="16"/>
  <c r="FB117" i="16" s="1"/>
  <c r="GP117" i="16" s="1"/>
  <c r="DN115" i="16"/>
  <c r="FB115" i="16" s="1"/>
  <c r="GP115" i="16" s="1"/>
  <c r="DM115" i="16"/>
  <c r="FA115" i="16" s="1"/>
  <c r="GO115" i="16" s="1"/>
  <c r="FA111" i="16"/>
  <c r="GO111" i="16" s="1"/>
  <c r="FB111" i="16"/>
  <c r="GP111" i="16" s="1"/>
  <c r="FC111" i="16"/>
  <c r="GQ111" i="16" s="1"/>
  <c r="FD111" i="16"/>
  <c r="FE111" i="16"/>
  <c r="GS111" i="16" s="1"/>
  <c r="FF111" i="16"/>
  <c r="GT111" i="16" s="1"/>
  <c r="FG111" i="16"/>
  <c r="GU111" i="16" s="1"/>
  <c r="FH111" i="16"/>
  <c r="GV111" i="16" s="1"/>
  <c r="FI111" i="16"/>
  <c r="GW111" i="16" s="1"/>
  <c r="FJ111" i="16"/>
  <c r="GX111" i="16" s="1"/>
  <c r="FK111" i="16"/>
  <c r="GY111" i="16" s="1"/>
  <c r="FL111" i="16"/>
  <c r="GZ111" i="16" s="1"/>
  <c r="FM111" i="16"/>
  <c r="HA111" i="16" s="1"/>
  <c r="FN111" i="16"/>
  <c r="HB111" i="16" s="1"/>
  <c r="FO111" i="16"/>
  <c r="HC111" i="16" s="1"/>
  <c r="FA112" i="16"/>
  <c r="GO112" i="16" s="1"/>
  <c r="FB112" i="16"/>
  <c r="GP112" i="16" s="1"/>
  <c r="FC112" i="16"/>
  <c r="GQ112" i="16" s="1"/>
  <c r="FD112" i="16"/>
  <c r="GR112" i="16" s="1"/>
  <c r="FE112" i="16"/>
  <c r="GS112" i="16" s="1"/>
  <c r="FF112" i="16"/>
  <c r="GT112" i="16" s="1"/>
  <c r="FG112" i="16"/>
  <c r="GU112" i="16" s="1"/>
  <c r="FH112" i="16"/>
  <c r="GV112" i="16" s="1"/>
  <c r="FI112" i="16"/>
  <c r="GW112" i="16" s="1"/>
  <c r="FJ112" i="16"/>
  <c r="GX112" i="16" s="1"/>
  <c r="FK112" i="16"/>
  <c r="GY112" i="16" s="1"/>
  <c r="FL112" i="16"/>
  <c r="GZ112" i="16" s="1"/>
  <c r="FM112" i="16"/>
  <c r="HA112" i="16" s="1"/>
  <c r="FN112" i="16"/>
  <c r="FO112" i="16"/>
  <c r="HC112" i="16" s="1"/>
  <c r="FA113" i="16"/>
  <c r="GO113" i="16" s="1"/>
  <c r="FB113" i="16"/>
  <c r="GP113" i="16" s="1"/>
  <c r="FC113" i="16"/>
  <c r="GQ113" i="16" s="1"/>
  <c r="FD113" i="16"/>
  <c r="GR113" i="16" s="1"/>
  <c r="FE113" i="16"/>
  <c r="GS113" i="16" s="1"/>
  <c r="FF113" i="16"/>
  <c r="GT113" i="16" s="1"/>
  <c r="FG113" i="16"/>
  <c r="GU113" i="16" s="1"/>
  <c r="FH113" i="16"/>
  <c r="GV113" i="16" s="1"/>
  <c r="FI113" i="16"/>
  <c r="GW113" i="16" s="1"/>
  <c r="FJ113" i="16"/>
  <c r="GX113" i="16" s="1"/>
  <c r="FK113" i="16"/>
  <c r="GY113" i="16" s="1"/>
  <c r="FL113" i="16"/>
  <c r="GZ113" i="16" s="1"/>
  <c r="FM113" i="16"/>
  <c r="HA113" i="16" s="1"/>
  <c r="FN113" i="16"/>
  <c r="FO113" i="16"/>
  <c r="HC113" i="16" s="1"/>
  <c r="FA114" i="16"/>
  <c r="GO114" i="16" s="1"/>
  <c r="FB114" i="16"/>
  <c r="GP114" i="16" s="1"/>
  <c r="FC114" i="16"/>
  <c r="GQ114" i="16" s="1"/>
  <c r="FD114" i="16"/>
  <c r="GR114" i="16" s="1"/>
  <c r="FE114" i="16"/>
  <c r="GS114" i="16" s="1"/>
  <c r="FF114" i="16"/>
  <c r="GT114" i="16" s="1"/>
  <c r="FG114" i="16"/>
  <c r="GU114" i="16" s="1"/>
  <c r="FH114" i="16"/>
  <c r="GV114" i="16" s="1"/>
  <c r="FI114" i="16"/>
  <c r="GW114" i="16" s="1"/>
  <c r="FJ114" i="16"/>
  <c r="GX114" i="16" s="1"/>
  <c r="FK114" i="16"/>
  <c r="GY114" i="16" s="1"/>
  <c r="FL114" i="16"/>
  <c r="GZ114" i="16" s="1"/>
  <c r="FM114" i="16"/>
  <c r="HA114" i="16" s="1"/>
  <c r="FN114" i="16"/>
  <c r="HB114" i="16" s="1"/>
  <c r="FO114" i="16"/>
  <c r="HC114" i="16" s="1"/>
  <c r="FN110" i="16"/>
  <c r="HB110" i="16" s="1"/>
  <c r="FO110" i="16"/>
  <c r="HC110" i="16" s="1"/>
  <c r="FM110" i="16"/>
  <c r="HA110" i="16" s="1"/>
  <c r="FE110" i="16"/>
  <c r="GS110" i="16" s="1"/>
  <c r="FF110" i="16"/>
  <c r="GT110" i="16" s="1"/>
  <c r="FG110" i="16"/>
  <c r="GU110" i="16" s="1"/>
  <c r="FH110" i="16"/>
  <c r="GV110" i="16" s="1"/>
  <c r="FI110" i="16"/>
  <c r="GW110" i="16" s="1"/>
  <c r="FJ110" i="16"/>
  <c r="GX110" i="16" s="1"/>
  <c r="FK110" i="16"/>
  <c r="GY110" i="16" s="1"/>
  <c r="FL110" i="16"/>
  <c r="GZ110" i="16" s="1"/>
  <c r="FD110" i="16"/>
  <c r="GR110" i="16" s="1"/>
  <c r="FB110" i="16"/>
  <c r="GP110" i="16" s="1"/>
  <c r="FC110" i="16"/>
  <c r="GQ110" i="16" s="1"/>
  <c r="FA110" i="16"/>
  <c r="FA87" i="16"/>
  <c r="GO87" i="16" s="1"/>
  <c r="FB87" i="16"/>
  <c r="GP87" i="16" s="1"/>
  <c r="FC87" i="16"/>
  <c r="GQ87" i="16" s="1"/>
  <c r="FD87" i="16"/>
  <c r="GR87" i="16" s="1"/>
  <c r="FE87" i="16"/>
  <c r="GS87" i="16" s="1"/>
  <c r="FF87" i="16"/>
  <c r="GT87" i="16" s="1"/>
  <c r="FG87" i="16"/>
  <c r="GU87" i="16" s="1"/>
  <c r="FH87" i="16"/>
  <c r="GV87" i="16" s="1"/>
  <c r="FI87" i="16"/>
  <c r="GW87" i="16" s="1"/>
  <c r="FJ87" i="16"/>
  <c r="GX87" i="16" s="1"/>
  <c r="FK87" i="16"/>
  <c r="GY87" i="16" s="1"/>
  <c r="FL87" i="16"/>
  <c r="GZ87" i="16" s="1"/>
  <c r="FM87" i="16"/>
  <c r="HA87" i="16" s="1"/>
  <c r="FN87" i="16"/>
  <c r="HB87" i="16" s="1"/>
  <c r="FO87" i="16"/>
  <c r="HC87" i="16" s="1"/>
  <c r="FP87" i="16"/>
  <c r="HD87" i="16" s="1"/>
  <c r="FQ87" i="16"/>
  <c r="HE87" i="16" s="1"/>
  <c r="FR87" i="16"/>
  <c r="HF87" i="16" s="1"/>
  <c r="FS87" i="16"/>
  <c r="HG87" i="16" s="1"/>
  <c r="FT87" i="16"/>
  <c r="HH87" i="16" s="1"/>
  <c r="FU87" i="16"/>
  <c r="HI87" i="16" s="1"/>
  <c r="FV87" i="16"/>
  <c r="HJ87" i="16" s="1"/>
  <c r="FA88" i="16"/>
  <c r="FB88" i="16"/>
  <c r="GP88" i="16" s="1"/>
  <c r="FC88" i="16"/>
  <c r="GQ88" i="16" s="1"/>
  <c r="FD88" i="16"/>
  <c r="GR88" i="16" s="1"/>
  <c r="FE88" i="16"/>
  <c r="GS88" i="16" s="1"/>
  <c r="FF88" i="16"/>
  <c r="GT88" i="16" s="1"/>
  <c r="FG88" i="16"/>
  <c r="GU88" i="16" s="1"/>
  <c r="FH88" i="16"/>
  <c r="GV88" i="16" s="1"/>
  <c r="FI88" i="16"/>
  <c r="GW88" i="16" s="1"/>
  <c r="FJ88" i="16"/>
  <c r="GX88" i="16" s="1"/>
  <c r="FK88" i="16"/>
  <c r="GY88" i="16" s="1"/>
  <c r="FL88" i="16"/>
  <c r="GZ88" i="16" s="1"/>
  <c r="FM88" i="16"/>
  <c r="HA88" i="16" s="1"/>
  <c r="FN88" i="16"/>
  <c r="HB88" i="16" s="1"/>
  <c r="FO88" i="16"/>
  <c r="HC88" i="16" s="1"/>
  <c r="FP88" i="16"/>
  <c r="HD88" i="16" s="1"/>
  <c r="FQ88" i="16"/>
  <c r="HE88" i="16" s="1"/>
  <c r="FR88" i="16"/>
  <c r="HF88" i="16" s="1"/>
  <c r="FS88" i="16"/>
  <c r="HG88" i="16" s="1"/>
  <c r="FT88" i="16"/>
  <c r="HH88" i="16" s="1"/>
  <c r="FU88" i="16"/>
  <c r="HI88" i="16" s="1"/>
  <c r="FV88" i="16"/>
  <c r="HJ88" i="16" s="1"/>
  <c r="FA89" i="16"/>
  <c r="FB89" i="16"/>
  <c r="GP89" i="16" s="1"/>
  <c r="FC89" i="16"/>
  <c r="GQ89" i="16" s="1"/>
  <c r="FD89" i="16"/>
  <c r="GR89" i="16" s="1"/>
  <c r="FE89" i="16"/>
  <c r="GS89" i="16" s="1"/>
  <c r="FF89" i="16"/>
  <c r="GT89" i="16" s="1"/>
  <c r="FG89" i="16"/>
  <c r="GU89" i="16" s="1"/>
  <c r="FH89" i="16"/>
  <c r="GV89" i="16" s="1"/>
  <c r="FI89" i="16"/>
  <c r="GW89" i="16" s="1"/>
  <c r="FJ89" i="16"/>
  <c r="GX89" i="16" s="1"/>
  <c r="FK89" i="16"/>
  <c r="GY89" i="16" s="1"/>
  <c r="FL89" i="16"/>
  <c r="GZ89" i="16" s="1"/>
  <c r="FM89" i="16"/>
  <c r="HA89" i="16" s="1"/>
  <c r="FN89" i="16"/>
  <c r="HB89" i="16" s="1"/>
  <c r="FO89" i="16"/>
  <c r="HC89" i="16" s="1"/>
  <c r="FP89" i="16"/>
  <c r="HD89" i="16" s="1"/>
  <c r="FQ89" i="16"/>
  <c r="HE89" i="16" s="1"/>
  <c r="FR89" i="16"/>
  <c r="HF89" i="16" s="1"/>
  <c r="FS89" i="16"/>
  <c r="HG89" i="16" s="1"/>
  <c r="FT89" i="16"/>
  <c r="HH89" i="16" s="1"/>
  <c r="FU89" i="16"/>
  <c r="HI89" i="16" s="1"/>
  <c r="FV89" i="16"/>
  <c r="HJ89" i="16" s="1"/>
  <c r="FA84" i="16"/>
  <c r="GO84" i="16" s="1"/>
  <c r="FB84" i="16"/>
  <c r="GP84" i="16" s="1"/>
  <c r="FC84" i="16"/>
  <c r="GQ84" i="16" s="1"/>
  <c r="FD84" i="16"/>
  <c r="GR84" i="16" s="1"/>
  <c r="FE84" i="16"/>
  <c r="GS84" i="16" s="1"/>
  <c r="FF84" i="16"/>
  <c r="GT84" i="16" s="1"/>
  <c r="FG84" i="16"/>
  <c r="GU84" i="16" s="1"/>
  <c r="FH84" i="16"/>
  <c r="GV84" i="16" s="1"/>
  <c r="FI84" i="16"/>
  <c r="GW84" i="16" s="1"/>
  <c r="FJ84" i="16"/>
  <c r="GX84" i="16" s="1"/>
  <c r="FK84" i="16"/>
  <c r="GY84" i="16" s="1"/>
  <c r="FL84" i="16"/>
  <c r="GZ84" i="16" s="1"/>
  <c r="FM84" i="16"/>
  <c r="HA84" i="16" s="1"/>
  <c r="FN84" i="16"/>
  <c r="HB84" i="16" s="1"/>
  <c r="FO84" i="16"/>
  <c r="HC84" i="16" s="1"/>
  <c r="FP84" i="16"/>
  <c r="HD84" i="16" s="1"/>
  <c r="FQ84" i="16"/>
  <c r="HE84" i="16" s="1"/>
  <c r="FR84" i="16"/>
  <c r="HF84" i="16" s="1"/>
  <c r="FS84" i="16"/>
  <c r="HG84" i="16" s="1"/>
  <c r="FT84" i="16"/>
  <c r="HH84" i="16" s="1"/>
  <c r="FU84" i="16"/>
  <c r="HI84" i="16" s="1"/>
  <c r="FV84" i="16"/>
  <c r="HJ84" i="16" s="1"/>
  <c r="FA85" i="16"/>
  <c r="FB85" i="16"/>
  <c r="GP85" i="16" s="1"/>
  <c r="FC85" i="16"/>
  <c r="GQ85" i="16" s="1"/>
  <c r="FD85" i="16"/>
  <c r="GR85" i="16" s="1"/>
  <c r="FE85" i="16"/>
  <c r="GS85" i="16" s="1"/>
  <c r="FF85" i="16"/>
  <c r="GT85" i="16" s="1"/>
  <c r="FG85" i="16"/>
  <c r="GU85" i="16" s="1"/>
  <c r="FH85" i="16"/>
  <c r="GV85" i="16" s="1"/>
  <c r="FI85" i="16"/>
  <c r="GW85" i="16" s="1"/>
  <c r="FJ85" i="16"/>
  <c r="GX85" i="16" s="1"/>
  <c r="FK85" i="16"/>
  <c r="GY85" i="16" s="1"/>
  <c r="FL85" i="16"/>
  <c r="GZ85" i="16" s="1"/>
  <c r="FM85" i="16"/>
  <c r="HA85" i="16" s="1"/>
  <c r="FN85" i="16"/>
  <c r="HB85" i="16" s="1"/>
  <c r="FO85" i="16"/>
  <c r="HC85" i="16" s="1"/>
  <c r="FP85" i="16"/>
  <c r="HD85" i="16" s="1"/>
  <c r="FQ85" i="16"/>
  <c r="HE85" i="16" s="1"/>
  <c r="FR85" i="16"/>
  <c r="HF85" i="16" s="1"/>
  <c r="FS85" i="16"/>
  <c r="HG85" i="16" s="1"/>
  <c r="FT85" i="16"/>
  <c r="HH85" i="16" s="1"/>
  <c r="FU85" i="16"/>
  <c r="HI85" i="16" s="1"/>
  <c r="FV85" i="16"/>
  <c r="HJ85" i="16" s="1"/>
  <c r="FA86" i="16"/>
  <c r="FB86" i="16"/>
  <c r="GP86" i="16" s="1"/>
  <c r="FC86" i="16"/>
  <c r="GQ86" i="16" s="1"/>
  <c r="FD86" i="16"/>
  <c r="GR86" i="16" s="1"/>
  <c r="FE86" i="16"/>
  <c r="GS86" i="16" s="1"/>
  <c r="FF86" i="16"/>
  <c r="GT86" i="16" s="1"/>
  <c r="FG86" i="16"/>
  <c r="GU86" i="16" s="1"/>
  <c r="FH86" i="16"/>
  <c r="GV86" i="16" s="1"/>
  <c r="FI86" i="16"/>
  <c r="GW86" i="16" s="1"/>
  <c r="FJ86" i="16"/>
  <c r="GX86" i="16" s="1"/>
  <c r="FK86" i="16"/>
  <c r="GY86" i="16" s="1"/>
  <c r="FL86" i="16"/>
  <c r="GZ86" i="16" s="1"/>
  <c r="FM86" i="16"/>
  <c r="HA86" i="16" s="1"/>
  <c r="FN86" i="16"/>
  <c r="HB86" i="16" s="1"/>
  <c r="FO86" i="16"/>
  <c r="HC86" i="16" s="1"/>
  <c r="FP86" i="16"/>
  <c r="HD86" i="16" s="1"/>
  <c r="FQ86" i="16"/>
  <c r="HE86" i="16" s="1"/>
  <c r="FR86" i="16"/>
  <c r="HF86" i="16" s="1"/>
  <c r="FS86" i="16"/>
  <c r="HG86" i="16" s="1"/>
  <c r="FT86" i="16"/>
  <c r="HH86" i="16" s="1"/>
  <c r="FU86" i="16"/>
  <c r="HI86" i="16" s="1"/>
  <c r="FV86" i="16"/>
  <c r="HJ86" i="16" s="1"/>
  <c r="FQ83" i="16"/>
  <c r="HE83" i="16" s="1"/>
  <c r="FR83" i="16"/>
  <c r="HF83" i="16" s="1"/>
  <c r="FS83" i="16"/>
  <c r="HG83" i="16" s="1"/>
  <c r="FT83" i="16"/>
  <c r="HH83" i="16" s="1"/>
  <c r="FU83" i="16"/>
  <c r="HI83" i="16" s="1"/>
  <c r="FV83" i="16"/>
  <c r="HJ83" i="16" s="1"/>
  <c r="FP83" i="16"/>
  <c r="HD83" i="16" s="1"/>
  <c r="FI83" i="16"/>
  <c r="GW83" i="16" s="1"/>
  <c r="FJ83" i="16"/>
  <c r="GX83" i="16" s="1"/>
  <c r="FK83" i="16"/>
  <c r="GY83" i="16" s="1"/>
  <c r="FL83" i="16"/>
  <c r="GZ83" i="16" s="1"/>
  <c r="FM83" i="16"/>
  <c r="HA83" i="16" s="1"/>
  <c r="FN83" i="16"/>
  <c r="HB83" i="16" s="1"/>
  <c r="FO83" i="16"/>
  <c r="HC83" i="16" s="1"/>
  <c r="FH83" i="16"/>
  <c r="GV83" i="16" s="1"/>
  <c r="FB83" i="16"/>
  <c r="GP83" i="16" s="1"/>
  <c r="FC83" i="16"/>
  <c r="GQ83" i="16" s="1"/>
  <c r="FD83" i="16"/>
  <c r="GR83" i="16" s="1"/>
  <c r="FE83" i="16"/>
  <c r="GS83" i="16" s="1"/>
  <c r="FF83" i="16"/>
  <c r="GT83" i="16" s="1"/>
  <c r="FG83" i="16"/>
  <c r="GU83" i="16" s="1"/>
  <c r="FA83" i="16"/>
  <c r="AQ81" i="16"/>
  <c r="AS81" i="16" s="1"/>
  <c r="AG81" i="16" s="1"/>
  <c r="FO92" i="16" l="1"/>
  <c r="HC92" i="16" s="1"/>
  <c r="CN93" i="16"/>
  <c r="FA81" i="16"/>
  <c r="GO81" i="16" s="1"/>
  <c r="CS82" i="16"/>
  <c r="FU82" i="16" s="1"/>
  <c r="HI82" i="16" s="1"/>
  <c r="FS82" i="16"/>
  <c r="HG82" i="16" s="1"/>
  <c r="BZ81" i="16"/>
  <c r="FB81" i="16" s="1"/>
  <c r="GP81" i="16" s="1"/>
  <c r="FO91" i="16"/>
  <c r="HC91" i="16" s="1"/>
  <c r="FP91" i="16"/>
  <c r="HD91" i="16" s="1"/>
  <c r="FP94" i="16"/>
  <c r="HD94" i="16" s="1"/>
  <c r="FP93" i="16"/>
  <c r="HD93" i="16" s="1"/>
  <c r="CO93" i="16"/>
  <c r="FQ93" i="16" s="1"/>
  <c r="HE93" i="16" s="1"/>
  <c r="U138" i="16"/>
  <c r="V138" i="16"/>
  <c r="CN95" i="16"/>
  <c r="FO95" i="16"/>
  <c r="HC95" i="16" s="1"/>
  <c r="AB82" i="16"/>
  <c r="AH81" i="16"/>
  <c r="AI81" i="16"/>
  <c r="GO110" i="16"/>
  <c r="GO89" i="16"/>
  <c r="GO88" i="16"/>
  <c r="GO86" i="16"/>
  <c r="GO85" i="16"/>
  <c r="GO83" i="16"/>
  <c r="GR111" i="16"/>
  <c r="HB113" i="16"/>
  <c r="HB112" i="16"/>
  <c r="BR82" i="16" l="1"/>
  <c r="BP82" i="16" s="1"/>
  <c r="V82" i="16" s="1"/>
  <c r="BQ82" i="16"/>
  <c r="CA81" i="16"/>
  <c r="CH81" i="16" s="1"/>
  <c r="FJ81" i="16" s="1"/>
  <c r="GX81" i="16" s="1"/>
  <c r="U82" i="16"/>
  <c r="CO95" i="16"/>
  <c r="FQ95" i="16" s="1"/>
  <c r="HE95" i="16" s="1"/>
  <c r="FP95" i="16"/>
  <c r="HD95" i="16" s="1"/>
  <c r="AB81" i="16"/>
  <c r="AB178" i="16"/>
  <c r="AC178" i="16"/>
  <c r="AD178" i="16"/>
  <c r="AE178" i="16"/>
  <c r="BT178" i="16" s="1"/>
  <c r="AC179" i="16"/>
  <c r="AD179" i="16"/>
  <c r="AE179" i="16"/>
  <c r="BT179" i="16" s="1"/>
  <c r="AB179" i="16"/>
  <c r="AB180" i="16"/>
  <c r="AC180" i="16"/>
  <c r="AD180" i="16"/>
  <c r="AE180" i="16"/>
  <c r="BT180" i="16" s="1"/>
  <c r="AC181" i="16"/>
  <c r="AD181" i="16"/>
  <c r="AE181" i="16"/>
  <c r="BT181" i="16" s="1"/>
  <c r="AB181" i="16"/>
  <c r="AB182" i="16"/>
  <c r="AC182" i="16"/>
  <c r="AD182" i="16"/>
  <c r="AE182" i="16"/>
  <c r="BT182" i="16" s="1"/>
  <c r="AC183" i="16"/>
  <c r="AD183" i="16"/>
  <c r="AE183" i="16"/>
  <c r="BT183" i="16" s="1"/>
  <c r="AB183" i="16"/>
  <c r="AB184" i="16"/>
  <c r="AC184" i="16"/>
  <c r="AD184" i="16"/>
  <c r="AE184" i="16"/>
  <c r="BT184" i="16" s="1"/>
  <c r="AC185" i="16"/>
  <c r="AD185" i="16"/>
  <c r="AE185" i="16"/>
  <c r="BT185" i="16" s="1"/>
  <c r="AB185" i="16"/>
  <c r="AB186" i="16"/>
  <c r="AC186" i="16"/>
  <c r="AD186" i="16"/>
  <c r="AE186" i="16"/>
  <c r="BT186" i="16" s="1"/>
  <c r="AC187" i="16"/>
  <c r="AD187" i="16"/>
  <c r="AE187" i="16"/>
  <c r="BT187" i="16" s="1"/>
  <c r="AB187" i="16"/>
  <c r="AB188" i="16"/>
  <c r="AC188" i="16"/>
  <c r="AD188" i="16"/>
  <c r="AE188" i="16"/>
  <c r="BT188" i="16" s="1"/>
  <c r="AC189" i="16"/>
  <c r="AD189" i="16"/>
  <c r="AE189" i="16"/>
  <c r="BT189" i="16" s="1"/>
  <c r="AB189" i="16"/>
  <c r="AB190" i="16"/>
  <c r="AC190" i="16"/>
  <c r="AD190" i="16"/>
  <c r="AE190" i="16"/>
  <c r="BT190" i="16" s="1"/>
  <c r="AC191" i="16"/>
  <c r="AD191" i="16"/>
  <c r="AE191" i="16"/>
  <c r="BT191" i="16" s="1"/>
  <c r="AB191" i="16"/>
  <c r="AB192" i="16"/>
  <c r="AC192" i="16"/>
  <c r="AD192" i="16"/>
  <c r="AE192" i="16"/>
  <c r="BT192" i="16" s="1"/>
  <c r="AC193" i="16"/>
  <c r="AD193" i="16"/>
  <c r="AE193" i="16"/>
  <c r="BT193" i="16" s="1"/>
  <c r="AB193" i="16"/>
  <c r="AB194" i="16"/>
  <c r="AC194" i="16"/>
  <c r="AD194" i="16"/>
  <c r="AE194" i="16"/>
  <c r="BT194" i="16" s="1"/>
  <c r="AC195" i="16"/>
  <c r="AD195" i="16"/>
  <c r="AE195" i="16"/>
  <c r="BT195" i="16" s="1"/>
  <c r="AB195" i="16"/>
  <c r="AB196" i="16"/>
  <c r="AC196" i="16"/>
  <c r="AD196" i="16"/>
  <c r="AE196" i="16"/>
  <c r="BT196" i="16" s="1"/>
  <c r="AC197" i="16"/>
  <c r="AD197" i="16"/>
  <c r="AE197" i="16"/>
  <c r="BT197" i="16" s="1"/>
  <c r="AB197" i="16"/>
  <c r="AB198" i="16"/>
  <c r="AC198" i="16"/>
  <c r="AD198" i="16"/>
  <c r="AE198" i="16"/>
  <c r="BT198" i="16" s="1"/>
  <c r="AC199" i="16"/>
  <c r="AD199" i="16"/>
  <c r="AE199" i="16"/>
  <c r="BT199" i="16" s="1"/>
  <c r="AB199" i="16"/>
  <c r="AQ179" i="16"/>
  <c r="AS179" i="16" s="1"/>
  <c r="AG179" i="16" s="1"/>
  <c r="AQ180" i="16"/>
  <c r="AS180" i="16" s="1"/>
  <c r="AG180" i="16" s="1"/>
  <c r="AQ181" i="16"/>
  <c r="AS181" i="16" s="1"/>
  <c r="AG181" i="16" s="1"/>
  <c r="AQ182" i="16"/>
  <c r="AS182" i="16" s="1"/>
  <c r="AG182" i="16" s="1"/>
  <c r="AQ183" i="16"/>
  <c r="AS183" i="16" s="1"/>
  <c r="AG183" i="16" s="1"/>
  <c r="AQ184" i="16"/>
  <c r="AS184" i="16" s="1"/>
  <c r="AG184" i="16" s="1"/>
  <c r="AQ185" i="16"/>
  <c r="AS185" i="16" s="1"/>
  <c r="AG185" i="16" s="1"/>
  <c r="AQ186" i="16"/>
  <c r="AS186" i="16" s="1"/>
  <c r="AG186" i="16" s="1"/>
  <c r="AQ187" i="16"/>
  <c r="AS187" i="16" s="1"/>
  <c r="AG187" i="16" s="1"/>
  <c r="AQ188" i="16"/>
  <c r="AS188" i="16" s="1"/>
  <c r="AG188" i="16" s="1"/>
  <c r="AQ189" i="16"/>
  <c r="AS189" i="16" s="1"/>
  <c r="AG189" i="16" s="1"/>
  <c r="AQ190" i="16"/>
  <c r="AS190" i="16" s="1"/>
  <c r="AG190" i="16" s="1"/>
  <c r="AQ191" i="16"/>
  <c r="AS191" i="16" s="1"/>
  <c r="AG191" i="16" s="1"/>
  <c r="AQ192" i="16"/>
  <c r="AS192" i="16" s="1"/>
  <c r="AG192" i="16" s="1"/>
  <c r="AQ193" i="16"/>
  <c r="AS193" i="16" s="1"/>
  <c r="AG193" i="16" s="1"/>
  <c r="AQ194" i="16"/>
  <c r="AS194" i="16" s="1"/>
  <c r="AG194" i="16" s="1"/>
  <c r="AQ195" i="16"/>
  <c r="AS195" i="16" s="1"/>
  <c r="AG195" i="16" s="1"/>
  <c r="AQ196" i="16"/>
  <c r="AS196" i="16" s="1"/>
  <c r="AG196" i="16" s="1"/>
  <c r="AQ197" i="16"/>
  <c r="AS197" i="16" s="1"/>
  <c r="AG197" i="16" s="1"/>
  <c r="AQ198" i="16"/>
  <c r="AS198" i="16" s="1"/>
  <c r="AG198" i="16" s="1"/>
  <c r="AQ199" i="16"/>
  <c r="AS199" i="16" s="1"/>
  <c r="AG199" i="16" s="1"/>
  <c r="FA198" i="16"/>
  <c r="GO198" i="16" s="1"/>
  <c r="FF199" i="16"/>
  <c r="GT199" i="16" s="1"/>
  <c r="FE199" i="16"/>
  <c r="GS199" i="16" s="1"/>
  <c r="FD199" i="16"/>
  <c r="GR199" i="16" s="1"/>
  <c r="FC199" i="16"/>
  <c r="FB199" i="16"/>
  <c r="GP199" i="16" s="1"/>
  <c r="FA199" i="16"/>
  <c r="GO199" i="16" s="1"/>
  <c r="FP198" i="16"/>
  <c r="HD198" i="16" s="1"/>
  <c r="FO198" i="16"/>
  <c r="HC198" i="16" s="1"/>
  <c r="FN198" i="16"/>
  <c r="HB198" i="16" s="1"/>
  <c r="FM198" i="16"/>
  <c r="HA198" i="16" s="1"/>
  <c r="FL198" i="16"/>
  <c r="GZ198" i="16" s="1"/>
  <c r="FK198" i="16"/>
  <c r="GY198" i="16" s="1"/>
  <c r="FJ198" i="16"/>
  <c r="GX198" i="16" s="1"/>
  <c r="FI198" i="16"/>
  <c r="GW198" i="16" s="1"/>
  <c r="FH198" i="16"/>
  <c r="GV198" i="16" s="1"/>
  <c r="FG198" i="16"/>
  <c r="GU198" i="16" s="1"/>
  <c r="FF198" i="16"/>
  <c r="GT198" i="16" s="1"/>
  <c r="FE198" i="16"/>
  <c r="GS198" i="16" s="1"/>
  <c r="FD198" i="16"/>
  <c r="FC198" i="16"/>
  <c r="GQ198" i="16" s="1"/>
  <c r="FB198" i="16"/>
  <c r="GP198" i="16" s="1"/>
  <c r="FH197" i="16"/>
  <c r="GV197" i="16" s="1"/>
  <c r="FG197" i="16"/>
  <c r="GU197" i="16" s="1"/>
  <c r="FF197" i="16"/>
  <c r="GT197" i="16" s="1"/>
  <c r="FE197" i="16"/>
  <c r="GS197" i="16" s="1"/>
  <c r="FD197" i="16"/>
  <c r="GR197" i="16" s="1"/>
  <c r="FC197" i="16"/>
  <c r="GQ197" i="16" s="1"/>
  <c r="FB197" i="16"/>
  <c r="GP197" i="16" s="1"/>
  <c r="FA197" i="16"/>
  <c r="FA195" i="16"/>
  <c r="FF196" i="16"/>
  <c r="GT196" i="16" s="1"/>
  <c r="FE196" i="16"/>
  <c r="GS196" i="16" s="1"/>
  <c r="FD196" i="16"/>
  <c r="FC196" i="16"/>
  <c r="GQ196" i="16" s="1"/>
  <c r="FB196" i="16"/>
  <c r="GP196" i="16" s="1"/>
  <c r="FA196" i="16"/>
  <c r="GO196" i="16" s="1"/>
  <c r="FF195" i="16"/>
  <c r="GT195" i="16" s="1"/>
  <c r="FE195" i="16"/>
  <c r="GS195" i="16" s="1"/>
  <c r="FD195" i="16"/>
  <c r="GR195" i="16" s="1"/>
  <c r="FC195" i="16"/>
  <c r="GQ195" i="16" s="1"/>
  <c r="FB195" i="16"/>
  <c r="GP195" i="16" s="1"/>
  <c r="FN194" i="16"/>
  <c r="HB194" i="16" s="1"/>
  <c r="FO194" i="16"/>
  <c r="HC194" i="16" s="1"/>
  <c r="FM194" i="16"/>
  <c r="HA194" i="16" s="1"/>
  <c r="FE194" i="16"/>
  <c r="GS194" i="16" s="1"/>
  <c r="FF194" i="16"/>
  <c r="GT194" i="16" s="1"/>
  <c r="FG194" i="16"/>
  <c r="GU194" i="16" s="1"/>
  <c r="FH194" i="16"/>
  <c r="GV194" i="16" s="1"/>
  <c r="FI194" i="16"/>
  <c r="GW194" i="16" s="1"/>
  <c r="FJ194" i="16"/>
  <c r="GX194" i="16" s="1"/>
  <c r="FK194" i="16"/>
  <c r="GY194" i="16" s="1"/>
  <c r="FL194" i="16"/>
  <c r="GZ194" i="16" s="1"/>
  <c r="FD194" i="16"/>
  <c r="FC194" i="16"/>
  <c r="GQ194" i="16" s="1"/>
  <c r="FA194" i="16"/>
  <c r="GO194" i="16" s="1"/>
  <c r="FB194" i="16"/>
  <c r="GP194" i="16" s="1"/>
  <c r="FA193" i="16"/>
  <c r="FJ193" i="16"/>
  <c r="GX193" i="16" s="1"/>
  <c r="FI193" i="16"/>
  <c r="GW193" i="16" s="1"/>
  <c r="FH193" i="16"/>
  <c r="GV193" i="16" s="1"/>
  <c r="FG193" i="16"/>
  <c r="GU193" i="16" s="1"/>
  <c r="FF193" i="16"/>
  <c r="GT193" i="16" s="1"/>
  <c r="FE193" i="16"/>
  <c r="GS193" i="16" s="1"/>
  <c r="FD193" i="16"/>
  <c r="GR193" i="16" s="1"/>
  <c r="FC193" i="16"/>
  <c r="GQ193" i="16" s="1"/>
  <c r="FB193" i="16"/>
  <c r="GP193" i="16" s="1"/>
  <c r="FB192" i="16"/>
  <c r="GP192" i="16" s="1"/>
  <c r="FC192" i="16"/>
  <c r="FD192" i="16"/>
  <c r="GR192" i="16" s="1"/>
  <c r="FE192" i="16"/>
  <c r="GS192" i="16" s="1"/>
  <c r="FF192" i="16"/>
  <c r="GT192" i="16" s="1"/>
  <c r="FA192" i="16"/>
  <c r="GO192" i="16" s="1"/>
  <c r="FJ190" i="16"/>
  <c r="GX190" i="16" s="1"/>
  <c r="FK190" i="16"/>
  <c r="GY190" i="16" s="1"/>
  <c r="FI190" i="16"/>
  <c r="GW190" i="16" s="1"/>
  <c r="FE190" i="16"/>
  <c r="GS190" i="16" s="1"/>
  <c r="FF190" i="16"/>
  <c r="GT190" i="16" s="1"/>
  <c r="FG190" i="16"/>
  <c r="GU190" i="16" s="1"/>
  <c r="FH190" i="16"/>
  <c r="GV190" i="16" s="1"/>
  <c r="FA190" i="16"/>
  <c r="FB190" i="16"/>
  <c r="GP190" i="16" s="1"/>
  <c r="FC190" i="16"/>
  <c r="GQ190" i="16" s="1"/>
  <c r="FD190" i="16"/>
  <c r="GR190" i="16" s="1"/>
  <c r="FP191" i="16"/>
  <c r="HD191" i="16" s="1"/>
  <c r="FO191" i="16"/>
  <c r="HC191" i="16" s="1"/>
  <c r="FN191" i="16"/>
  <c r="HB191" i="16" s="1"/>
  <c r="FM191" i="16"/>
  <c r="HA191" i="16" s="1"/>
  <c r="FL191" i="16"/>
  <c r="GZ191" i="16" s="1"/>
  <c r="FK191" i="16"/>
  <c r="GY191" i="16" s="1"/>
  <c r="FJ191" i="16"/>
  <c r="GX191" i="16" s="1"/>
  <c r="FI191" i="16"/>
  <c r="GW191" i="16" s="1"/>
  <c r="FH191" i="16"/>
  <c r="GV191" i="16" s="1"/>
  <c r="FG191" i="16"/>
  <c r="GU191" i="16" s="1"/>
  <c r="FF191" i="16"/>
  <c r="GT191" i="16" s="1"/>
  <c r="FE191" i="16"/>
  <c r="GS191" i="16" s="1"/>
  <c r="FD191" i="16"/>
  <c r="GR191" i="16" s="1"/>
  <c r="FC191" i="16"/>
  <c r="GQ191" i="16" s="1"/>
  <c r="FB191" i="16"/>
  <c r="GP191" i="16" s="1"/>
  <c r="FA191" i="16"/>
  <c r="FO189" i="16"/>
  <c r="HC189" i="16" s="1"/>
  <c r="FP189" i="16"/>
  <c r="HD189" i="16" s="1"/>
  <c r="FN189" i="16"/>
  <c r="HB189" i="16" s="1"/>
  <c r="FE189" i="16"/>
  <c r="GS189" i="16" s="1"/>
  <c r="FF189" i="16"/>
  <c r="GT189" i="16" s="1"/>
  <c r="FG189" i="16"/>
  <c r="GU189" i="16" s="1"/>
  <c r="FH189" i="16"/>
  <c r="GV189" i="16" s="1"/>
  <c r="FI189" i="16"/>
  <c r="GW189" i="16" s="1"/>
  <c r="FJ189" i="16"/>
  <c r="GX189" i="16" s="1"/>
  <c r="FK189" i="16"/>
  <c r="GY189" i="16" s="1"/>
  <c r="FL189" i="16"/>
  <c r="GZ189" i="16" s="1"/>
  <c r="FM189" i="16"/>
  <c r="HA189" i="16" s="1"/>
  <c r="FD189" i="16"/>
  <c r="FC189" i="16"/>
  <c r="GQ189" i="16" s="1"/>
  <c r="FA189" i="16"/>
  <c r="GO189" i="16" s="1"/>
  <c r="FB189" i="16"/>
  <c r="GP189" i="16" s="1"/>
  <c r="FN188" i="16"/>
  <c r="HB188" i="16" s="1"/>
  <c r="FM188" i="16"/>
  <c r="HA188" i="16" s="1"/>
  <c r="FL188" i="16"/>
  <c r="GZ188" i="16" s="1"/>
  <c r="FK188" i="16"/>
  <c r="GY188" i="16" s="1"/>
  <c r="FJ188" i="16"/>
  <c r="GX188" i="16" s="1"/>
  <c r="FI188" i="16"/>
  <c r="GW188" i="16" s="1"/>
  <c r="FH188" i="16"/>
  <c r="GV188" i="16" s="1"/>
  <c r="FG188" i="16"/>
  <c r="GU188" i="16" s="1"/>
  <c r="FF188" i="16"/>
  <c r="GT188" i="16" s="1"/>
  <c r="FE188" i="16"/>
  <c r="GS188" i="16" s="1"/>
  <c r="FD188" i="16"/>
  <c r="GR188" i="16" s="1"/>
  <c r="FC188" i="16"/>
  <c r="GQ188" i="16" s="1"/>
  <c r="FB188" i="16"/>
  <c r="GP188" i="16" s="1"/>
  <c r="FA188" i="16"/>
  <c r="FI187" i="16"/>
  <c r="GW187" i="16" s="1"/>
  <c r="FH187" i="16"/>
  <c r="GV187" i="16" s="1"/>
  <c r="FD187" i="16"/>
  <c r="GR187" i="16" s="1"/>
  <c r="FE187" i="16"/>
  <c r="GS187" i="16" s="1"/>
  <c r="FF187" i="16"/>
  <c r="GT187" i="16" s="1"/>
  <c r="FG187" i="16"/>
  <c r="GU187" i="16" s="1"/>
  <c r="FA187" i="16"/>
  <c r="FB187" i="16"/>
  <c r="GP187" i="16" s="1"/>
  <c r="FC187" i="16"/>
  <c r="GQ187" i="16" s="1"/>
  <c r="FN186" i="16"/>
  <c r="HB186" i="16" s="1"/>
  <c r="FM186" i="16"/>
  <c r="HA186" i="16" s="1"/>
  <c r="FD186" i="16"/>
  <c r="GR186" i="16" s="1"/>
  <c r="FE186" i="16"/>
  <c r="GS186" i="16" s="1"/>
  <c r="FF186" i="16"/>
  <c r="GT186" i="16" s="1"/>
  <c r="FG186" i="16"/>
  <c r="GU186" i="16" s="1"/>
  <c r="FH186" i="16"/>
  <c r="GV186" i="16" s="1"/>
  <c r="FI186" i="16"/>
  <c r="FJ186" i="16"/>
  <c r="GX186" i="16" s="1"/>
  <c r="FK186" i="16"/>
  <c r="GY186" i="16" s="1"/>
  <c r="FL186" i="16"/>
  <c r="GZ186" i="16" s="1"/>
  <c r="FA186" i="16"/>
  <c r="GO186" i="16" s="1"/>
  <c r="FB186" i="16"/>
  <c r="GP186" i="16" s="1"/>
  <c r="FC186" i="16"/>
  <c r="GQ186" i="16" s="1"/>
  <c r="FA185" i="16"/>
  <c r="FB185" i="16"/>
  <c r="GP185" i="16" s="1"/>
  <c r="FC185" i="16"/>
  <c r="GQ185" i="16" s="1"/>
  <c r="FD185" i="16"/>
  <c r="GR185" i="16" s="1"/>
  <c r="FE185" i="16"/>
  <c r="GS185" i="16" s="1"/>
  <c r="FF185" i="16"/>
  <c r="GT185" i="16" s="1"/>
  <c r="FG185" i="16"/>
  <c r="GU185" i="16" s="1"/>
  <c r="FH185" i="16"/>
  <c r="GV185" i="16" s="1"/>
  <c r="FI185" i="16"/>
  <c r="GW185" i="16" s="1"/>
  <c r="FJ185" i="16"/>
  <c r="GX185" i="16" s="1"/>
  <c r="FK185" i="16"/>
  <c r="GY185" i="16" s="1"/>
  <c r="FL185" i="16"/>
  <c r="GZ185" i="16" s="1"/>
  <c r="FM185" i="16"/>
  <c r="HA185" i="16" s="1"/>
  <c r="FM184" i="16"/>
  <c r="HA184" i="16" s="1"/>
  <c r="FL184" i="16"/>
  <c r="GZ184" i="16" s="1"/>
  <c r="FD184" i="16"/>
  <c r="GR184" i="16" s="1"/>
  <c r="FE184" i="16"/>
  <c r="GS184" i="16" s="1"/>
  <c r="FF184" i="16"/>
  <c r="GT184" i="16" s="1"/>
  <c r="FG184" i="16"/>
  <c r="GU184" i="16" s="1"/>
  <c r="FH184" i="16"/>
  <c r="GV184" i="16" s="1"/>
  <c r="FI184" i="16"/>
  <c r="GW184" i="16" s="1"/>
  <c r="FJ184" i="16"/>
  <c r="GX184" i="16" s="1"/>
  <c r="FK184" i="16"/>
  <c r="GY184" i="16" s="1"/>
  <c r="FA184" i="16"/>
  <c r="GO184" i="16" s="1"/>
  <c r="FB184" i="16"/>
  <c r="GP184" i="16" s="1"/>
  <c r="FC184" i="16"/>
  <c r="GQ184" i="16" s="1"/>
  <c r="FA182" i="16"/>
  <c r="FB182" i="16"/>
  <c r="GP182" i="16" s="1"/>
  <c r="FC182" i="16"/>
  <c r="GQ182" i="16" s="1"/>
  <c r="FD182" i="16"/>
  <c r="GR182" i="16" s="1"/>
  <c r="FE182" i="16"/>
  <c r="GS182" i="16" s="1"/>
  <c r="FF182" i="16"/>
  <c r="GT182" i="16" s="1"/>
  <c r="FG182" i="16"/>
  <c r="GU182" i="16" s="1"/>
  <c r="FH182" i="16"/>
  <c r="GV182" i="16" s="1"/>
  <c r="FI182" i="16"/>
  <c r="GW182" i="16" s="1"/>
  <c r="FJ182" i="16"/>
  <c r="GX182" i="16" s="1"/>
  <c r="FA183" i="16"/>
  <c r="FB183" i="16"/>
  <c r="GP183" i="16" s="1"/>
  <c r="FC183" i="16"/>
  <c r="GQ183" i="16" s="1"/>
  <c r="FD183" i="16"/>
  <c r="GR183" i="16" s="1"/>
  <c r="FE183" i="16"/>
  <c r="GS183" i="16" s="1"/>
  <c r="FF183" i="16"/>
  <c r="GT183" i="16" s="1"/>
  <c r="FG183" i="16"/>
  <c r="GU183" i="16" s="1"/>
  <c r="FH183" i="16"/>
  <c r="GV183" i="16" s="1"/>
  <c r="FI183" i="16"/>
  <c r="GW183" i="16" s="1"/>
  <c r="FJ183" i="16"/>
  <c r="GX183" i="16" s="1"/>
  <c r="FJ181" i="16"/>
  <c r="GX181" i="16" s="1"/>
  <c r="FI181" i="16"/>
  <c r="GW181" i="16" s="1"/>
  <c r="FD181" i="16"/>
  <c r="GR181" i="16" s="1"/>
  <c r="FE181" i="16"/>
  <c r="GS181" i="16" s="1"/>
  <c r="FF181" i="16"/>
  <c r="GT181" i="16" s="1"/>
  <c r="FG181" i="16"/>
  <c r="GU181" i="16" s="1"/>
  <c r="FH181" i="16"/>
  <c r="GV181" i="16" s="1"/>
  <c r="FA181" i="16"/>
  <c r="FB181" i="16"/>
  <c r="GP181" i="16" s="1"/>
  <c r="FC181" i="16"/>
  <c r="GQ181" i="16" s="1"/>
  <c r="FA179" i="16"/>
  <c r="FB179" i="16"/>
  <c r="GP179" i="16" s="1"/>
  <c r="FC179" i="16"/>
  <c r="GQ179" i="16" s="1"/>
  <c r="FD179" i="16"/>
  <c r="GR179" i="16" s="1"/>
  <c r="FE179" i="16"/>
  <c r="GS179" i="16" s="1"/>
  <c r="FF179" i="16"/>
  <c r="GT179" i="16" s="1"/>
  <c r="FG179" i="16"/>
  <c r="GU179" i="16" s="1"/>
  <c r="FH179" i="16"/>
  <c r="GV179" i="16" s="1"/>
  <c r="FA180" i="16"/>
  <c r="FB180" i="16"/>
  <c r="GP180" i="16" s="1"/>
  <c r="FC180" i="16"/>
  <c r="GQ180" i="16" s="1"/>
  <c r="FD180" i="16"/>
  <c r="GR180" i="16" s="1"/>
  <c r="FE180" i="16"/>
  <c r="GS180" i="16" s="1"/>
  <c r="FF180" i="16"/>
  <c r="GT180" i="16" s="1"/>
  <c r="FG180" i="16"/>
  <c r="GU180" i="16" s="1"/>
  <c r="FH180" i="16"/>
  <c r="GV180" i="16" s="1"/>
  <c r="FH178" i="16"/>
  <c r="GV178" i="16" s="1"/>
  <c r="FG178" i="16"/>
  <c r="GU178" i="16" s="1"/>
  <c r="FD178" i="16"/>
  <c r="GR178" i="16" s="1"/>
  <c r="FE178" i="16"/>
  <c r="GS178" i="16" s="1"/>
  <c r="FF178" i="16"/>
  <c r="GT178" i="16" s="1"/>
  <c r="FC178" i="16"/>
  <c r="GQ178" i="16" s="1"/>
  <c r="FB178" i="16"/>
  <c r="GP178" i="16" s="1"/>
  <c r="AQ178" i="16"/>
  <c r="AS178" i="16" s="1"/>
  <c r="AG178" i="16" s="1"/>
  <c r="FA178" i="16"/>
  <c r="CG81" i="16" l="1"/>
  <c r="FI81" i="16" s="1"/>
  <c r="GW81" i="16" s="1"/>
  <c r="CB81" i="16"/>
  <c r="FD81" i="16" s="1"/>
  <c r="GR81" i="16" s="1"/>
  <c r="CE81" i="16"/>
  <c r="FG81" i="16" s="1"/>
  <c r="GU81" i="16" s="1"/>
  <c r="CD81" i="16"/>
  <c r="FF81" i="16" s="1"/>
  <c r="GT81" i="16" s="1"/>
  <c r="FC81" i="16"/>
  <c r="GQ81" i="16" s="1"/>
  <c r="CF81" i="16"/>
  <c r="FH81" i="16" s="1"/>
  <c r="GV81" i="16" s="1"/>
  <c r="CI81" i="16"/>
  <c r="FK81" i="16" s="1"/>
  <c r="GY81" i="16" s="1"/>
  <c r="CC81" i="16"/>
  <c r="FE81" i="16" s="1"/>
  <c r="GS81" i="16" s="1"/>
  <c r="Z198" i="16"/>
  <c r="X198" i="16" s="1"/>
  <c r="Z196" i="16"/>
  <c r="X196" i="16" s="1"/>
  <c r="Z194" i="16"/>
  <c r="X194" i="16" s="1"/>
  <c r="Z192" i="16"/>
  <c r="X192" i="16" s="1"/>
  <c r="Z190" i="16"/>
  <c r="X190" i="16" s="1"/>
  <c r="Z188" i="16"/>
  <c r="X188" i="16" s="1"/>
  <c r="Z186" i="16"/>
  <c r="X186" i="16" s="1"/>
  <c r="Z184" i="16"/>
  <c r="X184" i="16" s="1"/>
  <c r="Z182" i="16"/>
  <c r="X182" i="16" s="1"/>
  <c r="Z180" i="16"/>
  <c r="X180" i="16" s="1"/>
  <c r="Z178" i="16"/>
  <c r="X178" i="16" s="1"/>
  <c r="Z199" i="16"/>
  <c r="X199" i="16" s="1"/>
  <c r="Z197" i="16"/>
  <c r="X197" i="16" s="1"/>
  <c r="Z195" i="16"/>
  <c r="X195" i="16" s="1"/>
  <c r="Z193" i="16"/>
  <c r="X193" i="16" s="1"/>
  <c r="Z191" i="16"/>
  <c r="X191" i="16" s="1"/>
  <c r="Z189" i="16"/>
  <c r="X189" i="16" s="1"/>
  <c r="Z187" i="16"/>
  <c r="X187" i="16" s="1"/>
  <c r="Z185" i="16"/>
  <c r="X185" i="16" s="1"/>
  <c r="Z183" i="16"/>
  <c r="X183" i="16" s="1"/>
  <c r="Z181" i="16"/>
  <c r="X181" i="16" s="1"/>
  <c r="Z179" i="16"/>
  <c r="X179" i="16" s="1"/>
  <c r="CJ81" i="16"/>
  <c r="FL81" i="16" s="1"/>
  <c r="GZ81" i="16" s="1"/>
  <c r="GQ199" i="16"/>
  <c r="GR198" i="16"/>
  <c r="GO197" i="16"/>
  <c r="GR196" i="16"/>
  <c r="GO195" i="16"/>
  <c r="GR194" i="16"/>
  <c r="GO193" i="16"/>
  <c r="GQ192" i="16"/>
  <c r="GO191" i="16"/>
  <c r="GO190" i="16"/>
  <c r="GR189" i="16"/>
  <c r="GO188" i="16"/>
  <c r="GO187" i="16"/>
  <c r="GW186" i="16"/>
  <c r="GO185" i="16"/>
  <c r="GO183" i="16"/>
  <c r="GO182" i="16"/>
  <c r="GO181" i="16"/>
  <c r="GO180" i="16"/>
  <c r="GO179" i="16"/>
  <c r="GO178" i="16"/>
  <c r="BR81" i="16" l="1"/>
  <c r="BP81" i="16" s="1"/>
  <c r="V81" i="16" s="1"/>
  <c r="BQ81" i="16"/>
  <c r="BM87" i="16"/>
  <c r="BO87" i="16" s="1"/>
  <c r="AI87" i="16" s="1"/>
  <c r="BM88" i="16"/>
  <c r="BO88" i="16" s="1"/>
  <c r="AI88" i="16" s="1"/>
  <c r="BM89" i="16"/>
  <c r="BO89" i="16" s="1"/>
  <c r="AI89" i="16" s="1"/>
  <c r="BI87" i="16"/>
  <c r="BI88" i="16"/>
  <c r="BI89" i="16"/>
  <c r="U81" i="16" l="1"/>
  <c r="BK87" i="16"/>
  <c r="AG87" i="16" s="1"/>
  <c r="BK88" i="16"/>
  <c r="AG88" i="16" s="1"/>
  <c r="BK89" i="16"/>
  <c r="AG89" i="16" s="1"/>
  <c r="BI84" i="16"/>
  <c r="BK84" i="16" s="1"/>
  <c r="AG84" i="16" s="1"/>
  <c r="BI85" i="16"/>
  <c r="BK85" i="16" s="1"/>
  <c r="AG85" i="16" s="1"/>
  <c r="BI86" i="16"/>
  <c r="BK86" i="16" s="1"/>
  <c r="AG86" i="16" s="1"/>
  <c r="BI83" i="16"/>
  <c r="BK83" i="16" s="1"/>
  <c r="AG83" i="16" s="1"/>
  <c r="BM84" i="16"/>
  <c r="BO84" i="16" s="1"/>
  <c r="AI84" i="16" s="1"/>
  <c r="BM85" i="16"/>
  <c r="BO85" i="16" s="1"/>
  <c r="AI85" i="16" s="1"/>
  <c r="BM86" i="16"/>
  <c r="BO86" i="16" s="1"/>
  <c r="AI86" i="16" s="1"/>
  <c r="BM83" i="16"/>
  <c r="BO83" i="16" s="1"/>
  <c r="AI83" i="16" s="1"/>
  <c r="AR84" i="16"/>
  <c r="AR85" i="16"/>
  <c r="AR86" i="16"/>
  <c r="AR83" i="16"/>
  <c r="BL84" i="16" l="1"/>
  <c r="AV84" i="16"/>
  <c r="AV83" i="16"/>
  <c r="BL83" i="16"/>
  <c r="BL86" i="16"/>
  <c r="AV86" i="16"/>
  <c r="BL85" i="16"/>
  <c r="AV85" i="16"/>
  <c r="AL83" i="16"/>
  <c r="AL84" i="16"/>
  <c r="AL85" i="16"/>
  <c r="AL86" i="16"/>
  <c r="AL87" i="16"/>
  <c r="AL88" i="16"/>
  <c r="AL89" i="16"/>
  <c r="AL90" i="16"/>
  <c r="AL91" i="16"/>
  <c r="AL92" i="16"/>
  <c r="AL93" i="16"/>
  <c r="AL94" i="16"/>
  <c r="AL95" i="16"/>
  <c r="AL96" i="16"/>
  <c r="AL97" i="16"/>
  <c r="AL98" i="16"/>
  <c r="AL99" i="16"/>
  <c r="AL100" i="16"/>
  <c r="AF100" i="16" s="1"/>
  <c r="AA100" i="16" s="1"/>
  <c r="W100" i="16" s="1"/>
  <c r="AL101" i="16"/>
  <c r="AF101" i="16" s="1"/>
  <c r="AA101" i="16" s="1"/>
  <c r="W101" i="16" s="1"/>
  <c r="AL102" i="16"/>
  <c r="AL103" i="16"/>
  <c r="AL104" i="16"/>
  <c r="AL105" i="16"/>
  <c r="AL106" i="16"/>
  <c r="AL107" i="16"/>
  <c r="AL108" i="16"/>
  <c r="AL109" i="16"/>
  <c r="AL110" i="16"/>
  <c r="AL111" i="16"/>
  <c r="AL112" i="16"/>
  <c r="AL113" i="16"/>
  <c r="AL114" i="16"/>
  <c r="AL115" i="16"/>
  <c r="AL116" i="16"/>
  <c r="AL117" i="16"/>
  <c r="AL118" i="16"/>
  <c r="AL119" i="16"/>
  <c r="AL120" i="16"/>
  <c r="AL121" i="16"/>
  <c r="AL122" i="16"/>
  <c r="AL123" i="16"/>
  <c r="AL124" i="16"/>
  <c r="AL125" i="16"/>
  <c r="AL126" i="16"/>
  <c r="AL127" i="16"/>
  <c r="AL128" i="16"/>
  <c r="AL129" i="16"/>
  <c r="AL130" i="16"/>
  <c r="AL131" i="16"/>
  <c r="AL132" i="16"/>
  <c r="AL133" i="16"/>
  <c r="AL134" i="16"/>
  <c r="AL135" i="16"/>
  <c r="AL136" i="16"/>
  <c r="AL137" i="16"/>
  <c r="AL138" i="16"/>
  <c r="AL139" i="16"/>
  <c r="AF139" i="16" s="1"/>
  <c r="AA139" i="16" s="1"/>
  <c r="AL140" i="16"/>
  <c r="AF140" i="16" s="1"/>
  <c r="AA140" i="16" s="1"/>
  <c r="AL141" i="16"/>
  <c r="AF141" i="16" s="1"/>
  <c r="AA141" i="16" s="1"/>
  <c r="AL142" i="16"/>
  <c r="AF142" i="16" s="1"/>
  <c r="AA142" i="16" s="1"/>
  <c r="AL143" i="16"/>
  <c r="AF143" i="16" s="1"/>
  <c r="AA143" i="16" s="1"/>
  <c r="AL144" i="16"/>
  <c r="AF144" i="16" s="1"/>
  <c r="AA144" i="16" s="1"/>
  <c r="AL145" i="16"/>
  <c r="AF145" i="16" s="1"/>
  <c r="AA145" i="16" s="1"/>
  <c r="AL146" i="16"/>
  <c r="AF146" i="16" s="1"/>
  <c r="AA146" i="16" s="1"/>
  <c r="AL147" i="16"/>
  <c r="AF147" i="16" s="1"/>
  <c r="AA147" i="16" s="1"/>
  <c r="AL148" i="16"/>
  <c r="AL149" i="16"/>
  <c r="AL150" i="16"/>
  <c r="AL151" i="16"/>
  <c r="AL152" i="16"/>
  <c r="AL153" i="16"/>
  <c r="AL154" i="16"/>
  <c r="AL155" i="16"/>
  <c r="W145" i="16" l="1"/>
  <c r="T145" i="16"/>
  <c r="W144" i="16"/>
  <c r="T144" i="16"/>
  <c r="W140" i="16"/>
  <c r="T140" i="16"/>
  <c r="W147" i="16"/>
  <c r="T147" i="16"/>
  <c r="W139" i="16"/>
  <c r="T139" i="16"/>
  <c r="W141" i="16"/>
  <c r="T141" i="16"/>
  <c r="W143" i="16"/>
  <c r="T143" i="16"/>
  <c r="T146" i="16"/>
  <c r="W146" i="16"/>
  <c r="T142" i="16"/>
  <c r="W142" i="16"/>
  <c r="AF153" i="16"/>
  <c r="AA153" i="16" s="1"/>
  <c r="W153" i="16" s="1"/>
  <c r="AF148" i="16"/>
  <c r="AA148" i="16" s="1"/>
  <c r="W148" i="16" s="1"/>
  <c r="AF149" i="16"/>
  <c r="AA149" i="16" s="1"/>
  <c r="W149" i="16" s="1"/>
  <c r="AF152" i="16"/>
  <c r="AA152" i="16" s="1"/>
  <c r="W152" i="16" s="1"/>
  <c r="AF155" i="16"/>
  <c r="AA155" i="16" s="1"/>
  <c r="W155" i="16" s="1"/>
  <c r="AF151" i="16"/>
  <c r="AA151" i="16" s="1"/>
  <c r="W151" i="16" s="1"/>
  <c r="AF154" i="16"/>
  <c r="AA154" i="16" s="1"/>
  <c r="W154" i="16" s="1"/>
  <c r="AF150" i="16"/>
  <c r="AA150" i="16" s="1"/>
  <c r="W150" i="16" s="1"/>
  <c r="AF133" i="16"/>
  <c r="AA133" i="16" s="1"/>
  <c r="W133" i="16" s="1"/>
  <c r="AF121" i="16"/>
  <c r="AA121" i="16" s="1"/>
  <c r="W121" i="16" s="1"/>
  <c r="AF117" i="16"/>
  <c r="AA117" i="16" s="1"/>
  <c r="W117" i="16" s="1"/>
  <c r="AF111" i="16"/>
  <c r="AA111" i="16" s="1"/>
  <c r="W111" i="16" s="1"/>
  <c r="AF103" i="16"/>
  <c r="AA103" i="16" s="1"/>
  <c r="W103" i="16" s="1"/>
  <c r="AF95" i="16"/>
  <c r="AA95" i="16" s="1"/>
  <c r="W95" i="16" s="1"/>
  <c r="AF88" i="16"/>
  <c r="AA88" i="16" s="1"/>
  <c r="W88" i="16" s="1"/>
  <c r="AF84" i="16"/>
  <c r="AA84" i="16" s="1"/>
  <c r="W84" i="16" s="1"/>
  <c r="AF136" i="16"/>
  <c r="AA136" i="16" s="1"/>
  <c r="W136" i="16" s="1"/>
  <c r="AF132" i="16"/>
  <c r="AA132" i="16" s="1"/>
  <c r="W132" i="16" s="1"/>
  <c r="AF128" i="16"/>
  <c r="AA128" i="16" s="1"/>
  <c r="W128" i="16" s="1"/>
  <c r="AF124" i="16"/>
  <c r="AA124" i="16" s="1"/>
  <c r="W124" i="16" s="1"/>
  <c r="AF120" i="16"/>
  <c r="AA120" i="16" s="1"/>
  <c r="W120" i="16" s="1"/>
  <c r="AF116" i="16"/>
  <c r="AA116" i="16" s="1"/>
  <c r="W116" i="16" s="1"/>
  <c r="AF113" i="16"/>
  <c r="AA113" i="16" s="1"/>
  <c r="W113" i="16" s="1"/>
  <c r="AF110" i="16"/>
  <c r="AA110" i="16" s="1"/>
  <c r="W110" i="16" s="1"/>
  <c r="AF106" i="16"/>
  <c r="AA106" i="16" s="1"/>
  <c r="W106" i="16" s="1"/>
  <c r="AF102" i="16"/>
  <c r="AA102" i="16" s="1"/>
  <c r="W102" i="16" s="1"/>
  <c r="AF98" i="16"/>
  <c r="AA98" i="16" s="1"/>
  <c r="W98" i="16" s="1"/>
  <c r="AF94" i="16"/>
  <c r="AA94" i="16" s="1"/>
  <c r="W94" i="16" s="1"/>
  <c r="AF91" i="16"/>
  <c r="AA91" i="16" s="1"/>
  <c r="W91" i="16" s="1"/>
  <c r="AF87" i="16"/>
  <c r="AA87" i="16" s="1"/>
  <c r="W87" i="16" s="1"/>
  <c r="AF83" i="16"/>
  <c r="AA83" i="16" s="1"/>
  <c r="W83" i="16" s="1"/>
  <c r="AF137" i="16"/>
  <c r="AA137" i="16" s="1"/>
  <c r="W137" i="16" s="1"/>
  <c r="AF125" i="16"/>
  <c r="AA125" i="16" s="1"/>
  <c r="W125" i="16" s="1"/>
  <c r="AF107" i="16"/>
  <c r="AA107" i="16" s="1"/>
  <c r="W107" i="16" s="1"/>
  <c r="AF99" i="16"/>
  <c r="AA99" i="16" s="1"/>
  <c r="W99" i="16" s="1"/>
  <c r="AF92" i="16"/>
  <c r="AA92" i="16" s="1"/>
  <c r="W92" i="16" s="1"/>
  <c r="AF127" i="16"/>
  <c r="AA127" i="16" s="1"/>
  <c r="W127" i="16" s="1"/>
  <c r="AF119" i="16"/>
  <c r="AA119" i="16" s="1"/>
  <c r="W119" i="16" s="1"/>
  <c r="AF109" i="16"/>
  <c r="AA109" i="16" s="1"/>
  <c r="W109" i="16" s="1"/>
  <c r="AF105" i="16"/>
  <c r="AA105" i="16" s="1"/>
  <c r="W105" i="16" s="1"/>
  <c r="AF97" i="16"/>
  <c r="AA97" i="16" s="1"/>
  <c r="W97" i="16" s="1"/>
  <c r="AF93" i="16"/>
  <c r="AA93" i="16" s="1"/>
  <c r="W93" i="16" s="1"/>
  <c r="AF90" i="16"/>
  <c r="AA90" i="16" s="1"/>
  <c r="W90" i="16" s="1"/>
  <c r="AF86" i="16"/>
  <c r="AA86" i="16" s="1"/>
  <c r="AF129" i="16"/>
  <c r="AA129" i="16" s="1"/>
  <c r="W129" i="16" s="1"/>
  <c r="AF114" i="16"/>
  <c r="AA114" i="16" s="1"/>
  <c r="W114" i="16" s="1"/>
  <c r="AF135" i="16"/>
  <c r="AA135" i="16" s="1"/>
  <c r="W135" i="16" s="1"/>
  <c r="AF131" i="16"/>
  <c r="AA131" i="16" s="1"/>
  <c r="W131" i="16" s="1"/>
  <c r="AF123" i="16"/>
  <c r="AA123" i="16" s="1"/>
  <c r="W123" i="16" s="1"/>
  <c r="AF138" i="16"/>
  <c r="AA138" i="16" s="1"/>
  <c r="T138" i="16" s="1"/>
  <c r="AF134" i="16"/>
  <c r="AA134" i="16" s="1"/>
  <c r="W134" i="16" s="1"/>
  <c r="AF130" i="16"/>
  <c r="AA130" i="16" s="1"/>
  <c r="W130" i="16" s="1"/>
  <c r="AF126" i="16"/>
  <c r="AA126" i="16" s="1"/>
  <c r="W126" i="16" s="1"/>
  <c r="AF122" i="16"/>
  <c r="AA122" i="16" s="1"/>
  <c r="W122" i="16" s="1"/>
  <c r="AF118" i="16"/>
  <c r="AA118" i="16" s="1"/>
  <c r="W118" i="16" s="1"/>
  <c r="AF115" i="16"/>
  <c r="AA115" i="16" s="1"/>
  <c r="W115" i="16" s="1"/>
  <c r="AF112" i="16"/>
  <c r="AA112" i="16" s="1"/>
  <c r="W112" i="16" s="1"/>
  <c r="AF108" i="16"/>
  <c r="AA108" i="16" s="1"/>
  <c r="W108" i="16" s="1"/>
  <c r="AF104" i="16"/>
  <c r="AA104" i="16" s="1"/>
  <c r="W104" i="16" s="1"/>
  <c r="AF96" i="16"/>
  <c r="AA96" i="16" s="1"/>
  <c r="W96" i="16" s="1"/>
  <c r="AF89" i="16"/>
  <c r="AA89" i="16" s="1"/>
  <c r="W89" i="16" s="1"/>
  <c r="AF85" i="16"/>
  <c r="AA85" i="16" s="1"/>
  <c r="AQ80" i="16"/>
  <c r="DS80" i="16"/>
  <c r="DR80" i="16"/>
  <c r="DP80" i="16"/>
  <c r="DQ80" i="16"/>
  <c r="DO80" i="16"/>
  <c r="DN80" i="16"/>
  <c r="DM80" i="16"/>
  <c r="BY80" i="16"/>
  <c r="AQ77" i="16"/>
  <c r="AQ78" i="16"/>
  <c r="AQ79" i="16"/>
  <c r="AQ76" i="16"/>
  <c r="DX78" i="16"/>
  <c r="DW78" i="16"/>
  <c r="DV78" i="16"/>
  <c r="DU78" i="16"/>
  <c r="DT78" i="16"/>
  <c r="DS78" i="16"/>
  <c r="DR78" i="16"/>
  <c r="DQ78" i="16"/>
  <c r="DP78" i="16"/>
  <c r="DO78" i="16"/>
  <c r="DN78" i="16"/>
  <c r="DM78" i="16"/>
  <c r="DV79" i="16"/>
  <c r="DU79" i="16"/>
  <c r="DT79" i="16"/>
  <c r="DS79" i="16"/>
  <c r="DR79" i="16"/>
  <c r="DQ79" i="16"/>
  <c r="DP79" i="16"/>
  <c r="DO79" i="16"/>
  <c r="DN79" i="16"/>
  <c r="DM79" i="16"/>
  <c r="DV77" i="16"/>
  <c r="DU77" i="16"/>
  <c r="DT77" i="16"/>
  <c r="DS77" i="16"/>
  <c r="DR77" i="16"/>
  <c r="DQ77" i="16"/>
  <c r="DP77" i="16"/>
  <c r="DO77" i="16"/>
  <c r="DN77" i="16"/>
  <c r="DM77" i="16"/>
  <c r="DV76" i="16"/>
  <c r="DU76" i="16"/>
  <c r="DT76" i="16"/>
  <c r="DS76" i="16"/>
  <c r="DR76" i="16"/>
  <c r="DQ76" i="16"/>
  <c r="DP76" i="16"/>
  <c r="DO76" i="16"/>
  <c r="DN76" i="16"/>
  <c r="DM76" i="16"/>
  <c r="CC78" i="16"/>
  <c r="BY78" i="16"/>
  <c r="BZ78" i="16" s="1"/>
  <c r="CB79" i="16"/>
  <c r="CD79" i="16" s="1"/>
  <c r="BY79" i="16"/>
  <c r="BZ79" i="16" s="1"/>
  <c r="CA79" i="16" s="1"/>
  <c r="CB77" i="16"/>
  <c r="CD77" i="16" s="1"/>
  <c r="FF77" i="16" s="1"/>
  <c r="BY77" i="16"/>
  <c r="BZ77" i="16" s="1"/>
  <c r="CA77" i="16" s="1"/>
  <c r="CB76" i="16"/>
  <c r="CE76" i="16" s="1"/>
  <c r="BY76" i="16"/>
  <c r="AQ68" i="16"/>
  <c r="AQ69" i="16"/>
  <c r="AQ70" i="16"/>
  <c r="AQ71" i="16"/>
  <c r="AQ72" i="16"/>
  <c r="AQ73" i="16"/>
  <c r="AQ74" i="16"/>
  <c r="AQ75" i="16"/>
  <c r="AQ67" i="16"/>
  <c r="DV75" i="16"/>
  <c r="DU75" i="16"/>
  <c r="DP75" i="16"/>
  <c r="DQ75" i="16"/>
  <c r="DR75" i="16"/>
  <c r="DS75" i="16"/>
  <c r="DT75" i="16"/>
  <c r="DO75" i="16"/>
  <c r="EC74" i="16"/>
  <c r="EB74" i="16"/>
  <c r="DP74" i="16"/>
  <c r="DQ74" i="16"/>
  <c r="DR74" i="16"/>
  <c r="DS74" i="16"/>
  <c r="DT74" i="16"/>
  <c r="DU74" i="16"/>
  <c r="DV74" i="16"/>
  <c r="DW74" i="16"/>
  <c r="DX74" i="16"/>
  <c r="DY74" i="16"/>
  <c r="DZ74" i="16"/>
  <c r="EA74" i="16"/>
  <c r="DO74" i="16"/>
  <c r="EC73" i="16"/>
  <c r="EB73" i="16"/>
  <c r="DP73" i="16"/>
  <c r="DQ73" i="16"/>
  <c r="DR73" i="16"/>
  <c r="DS73" i="16"/>
  <c r="DT73" i="16"/>
  <c r="DU73" i="16"/>
  <c r="DV73" i="16"/>
  <c r="DW73" i="16"/>
  <c r="DX73" i="16"/>
  <c r="DY73" i="16"/>
  <c r="DZ73" i="16"/>
  <c r="EA73" i="16"/>
  <c r="DO73" i="16"/>
  <c r="DV72" i="16"/>
  <c r="DU72" i="16"/>
  <c r="DT72" i="16"/>
  <c r="DQ72" i="16"/>
  <c r="DR72" i="16"/>
  <c r="DS72" i="16"/>
  <c r="DP72" i="16"/>
  <c r="DX71" i="16"/>
  <c r="DW71" i="16"/>
  <c r="DV71" i="16"/>
  <c r="DQ71" i="16"/>
  <c r="DR71" i="16"/>
  <c r="DS71" i="16"/>
  <c r="DT71" i="16"/>
  <c r="DU71" i="16"/>
  <c r="DP71" i="16"/>
  <c r="EE70" i="16"/>
  <c r="ED70" i="16"/>
  <c r="EC70" i="16"/>
  <c r="DQ70" i="16"/>
  <c r="DR70" i="16"/>
  <c r="DS70" i="16"/>
  <c r="DT70" i="16"/>
  <c r="DU70" i="16"/>
  <c r="DV70" i="16"/>
  <c r="DW70" i="16"/>
  <c r="DX70" i="16"/>
  <c r="DY70" i="16"/>
  <c r="DZ70" i="16"/>
  <c r="EA70" i="16"/>
  <c r="EB70" i="16"/>
  <c r="DP70" i="16"/>
  <c r="EA69" i="16"/>
  <c r="DZ69" i="16"/>
  <c r="DY69" i="16"/>
  <c r="DQ69" i="16"/>
  <c r="DR69" i="16"/>
  <c r="DS69" i="16"/>
  <c r="DT69" i="16"/>
  <c r="DU69" i="16"/>
  <c r="DV69" i="16"/>
  <c r="DW69" i="16"/>
  <c r="DX69" i="16"/>
  <c r="DP69" i="16"/>
  <c r="EC68" i="16"/>
  <c r="EB68" i="16"/>
  <c r="EA68" i="16"/>
  <c r="EE67" i="16"/>
  <c r="EB67" i="16"/>
  <c r="DP68" i="16"/>
  <c r="DQ68" i="16"/>
  <c r="DR68" i="16"/>
  <c r="DS68" i="16"/>
  <c r="DT68" i="16"/>
  <c r="DU68" i="16"/>
  <c r="DV68" i="16"/>
  <c r="DW68" i="16"/>
  <c r="DX68" i="16"/>
  <c r="DY68" i="16"/>
  <c r="DZ68" i="16"/>
  <c r="DO68" i="16"/>
  <c r="ED67" i="16"/>
  <c r="EC67" i="16"/>
  <c r="DQ67" i="16"/>
  <c r="DR67" i="16"/>
  <c r="DS67" i="16"/>
  <c r="DT67" i="16"/>
  <c r="DU67" i="16"/>
  <c r="DV67" i="16"/>
  <c r="DW67" i="16"/>
  <c r="DX67" i="16"/>
  <c r="DY67" i="16"/>
  <c r="DZ67" i="16"/>
  <c r="EA67" i="16"/>
  <c r="DP67" i="16"/>
  <c r="DM74" i="16"/>
  <c r="DN74" i="16"/>
  <c r="DM75" i="16"/>
  <c r="DN75" i="16"/>
  <c r="DN73" i="16"/>
  <c r="DM73" i="16"/>
  <c r="DO72" i="16"/>
  <c r="DN72" i="16"/>
  <c r="DM72" i="16"/>
  <c r="DO71" i="16"/>
  <c r="DN71" i="16"/>
  <c r="DM71" i="16"/>
  <c r="DO70" i="16"/>
  <c r="DN70" i="16"/>
  <c r="DM70" i="16"/>
  <c r="DO69" i="16"/>
  <c r="DN69" i="16"/>
  <c r="DM69" i="16"/>
  <c r="DN68" i="16"/>
  <c r="DM68" i="16"/>
  <c r="DN67" i="16"/>
  <c r="DO67" i="16"/>
  <c r="DM67" i="16"/>
  <c r="BY70" i="16"/>
  <c r="BZ70" i="16" s="1"/>
  <c r="BY68" i="16"/>
  <c r="BZ68" i="16" s="1"/>
  <c r="BY69" i="16"/>
  <c r="BY71" i="16"/>
  <c r="BZ71" i="16" s="1"/>
  <c r="BY72" i="16"/>
  <c r="CA72" i="16" s="1"/>
  <c r="BY73" i="16"/>
  <c r="BY74" i="16"/>
  <c r="BZ74" i="16" s="1"/>
  <c r="BY75" i="16"/>
  <c r="BY67" i="16"/>
  <c r="BZ67" i="16" s="1"/>
  <c r="AQ63" i="16"/>
  <c r="AQ64" i="16"/>
  <c r="AQ65" i="16"/>
  <c r="AQ66" i="16"/>
  <c r="AQ62" i="16"/>
  <c r="DY66" i="16"/>
  <c r="DX66" i="16"/>
  <c r="DW66" i="16"/>
  <c r="DV66" i="16"/>
  <c r="DQ66" i="16"/>
  <c r="DR66" i="16"/>
  <c r="DS66" i="16"/>
  <c r="DT66" i="16"/>
  <c r="DU66" i="16"/>
  <c r="DM66" i="16"/>
  <c r="DN66" i="16"/>
  <c r="DO66" i="16"/>
  <c r="DP66" i="16"/>
  <c r="DZ65" i="16"/>
  <c r="DY65" i="16"/>
  <c r="DX65" i="16"/>
  <c r="DW65" i="16"/>
  <c r="DR65" i="16"/>
  <c r="DS65" i="16"/>
  <c r="DT65" i="16"/>
  <c r="DU65" i="16"/>
  <c r="DV65" i="16"/>
  <c r="DQ65" i="16"/>
  <c r="DP65" i="16"/>
  <c r="DO65" i="16"/>
  <c r="DN65" i="16"/>
  <c r="DM65" i="16"/>
  <c r="EA64" i="16"/>
  <c r="DZ64" i="16"/>
  <c r="DY64" i="16"/>
  <c r="DX64" i="16"/>
  <c r="DR64" i="16"/>
  <c r="DS64" i="16"/>
  <c r="DT64" i="16"/>
  <c r="DU64" i="16"/>
  <c r="DV64" i="16"/>
  <c r="DW64" i="16"/>
  <c r="DQ64" i="16"/>
  <c r="DO64" i="16"/>
  <c r="DP64" i="16"/>
  <c r="DN64" i="16"/>
  <c r="DM64" i="16"/>
  <c r="DY63" i="16"/>
  <c r="DX63" i="16"/>
  <c r="DW63" i="16"/>
  <c r="DV63" i="16"/>
  <c r="DS63" i="16"/>
  <c r="DT63" i="16"/>
  <c r="DU63" i="16"/>
  <c r="DR63" i="16"/>
  <c r="DQ63" i="16"/>
  <c r="DO63" i="16"/>
  <c r="DP63" i="16"/>
  <c r="DN63" i="16"/>
  <c r="DM63" i="16"/>
  <c r="DZ62" i="16"/>
  <c r="DY62" i="16"/>
  <c r="DX62" i="16"/>
  <c r="DW62" i="16"/>
  <c r="DR62" i="16"/>
  <c r="DS62" i="16"/>
  <c r="DT62" i="16"/>
  <c r="DU62" i="16"/>
  <c r="DV62" i="16"/>
  <c r="DQ62" i="16"/>
  <c r="DO62" i="16"/>
  <c r="DP62" i="16"/>
  <c r="DN62" i="16"/>
  <c r="DM62" i="16"/>
  <c r="BY63" i="16"/>
  <c r="BZ63" i="16" s="1"/>
  <c r="FB63" i="16" s="1"/>
  <c r="BY64" i="16"/>
  <c r="BY65" i="16"/>
  <c r="BY66" i="16"/>
  <c r="CB66" i="16" s="1"/>
  <c r="BY62" i="16"/>
  <c r="CB62" i="16" s="1"/>
  <c r="CC62" i="16" s="1"/>
  <c r="AQ60" i="16"/>
  <c r="AQ61" i="16"/>
  <c r="AQ59" i="16"/>
  <c r="DM60" i="16"/>
  <c r="DN60" i="16"/>
  <c r="DO60" i="16"/>
  <c r="DP60" i="16"/>
  <c r="DQ60" i="16"/>
  <c r="DR60" i="16"/>
  <c r="DS60" i="16"/>
  <c r="DM61" i="16"/>
  <c r="DN61" i="16"/>
  <c r="DO61" i="16"/>
  <c r="DP61" i="16"/>
  <c r="DQ61" i="16"/>
  <c r="DR61" i="16"/>
  <c r="DS61" i="16"/>
  <c r="DS59" i="16"/>
  <c r="DR59" i="16"/>
  <c r="DP59" i="16"/>
  <c r="DQ59" i="16"/>
  <c r="DO59" i="16"/>
  <c r="DN59" i="16"/>
  <c r="DM59" i="16"/>
  <c r="BY60" i="16"/>
  <c r="BZ60" i="16" s="1"/>
  <c r="CA60" i="16" s="1"/>
  <c r="CB60" i="16" s="1"/>
  <c r="CC60" i="16" s="1"/>
  <c r="CD60" i="16" s="1"/>
  <c r="CE60" i="16" s="1"/>
  <c r="BY61" i="16"/>
  <c r="BZ61" i="16" s="1"/>
  <c r="CA61" i="16" s="1"/>
  <c r="CB61" i="16" s="1"/>
  <c r="CC61" i="16" s="1"/>
  <c r="CD61" i="16" s="1"/>
  <c r="CE61" i="16" s="1"/>
  <c r="BY59" i="16"/>
  <c r="AQ55" i="16"/>
  <c r="AQ56" i="16"/>
  <c r="AQ57" i="16"/>
  <c r="AQ58" i="16"/>
  <c r="AQ54" i="16"/>
  <c r="EA58" i="16"/>
  <c r="DZ58" i="16"/>
  <c r="DY58" i="16"/>
  <c r="DS58" i="16"/>
  <c r="DT58" i="16"/>
  <c r="DU58" i="16"/>
  <c r="DV58" i="16"/>
  <c r="DW58" i="16"/>
  <c r="DX58" i="16"/>
  <c r="DP58" i="16"/>
  <c r="DQ58" i="16"/>
  <c r="DR58" i="16"/>
  <c r="DO58" i="16"/>
  <c r="DN58" i="16"/>
  <c r="DM58" i="16"/>
  <c r="DW57" i="16"/>
  <c r="DV57" i="16"/>
  <c r="DU57" i="16"/>
  <c r="DP57" i="16"/>
  <c r="DQ57" i="16"/>
  <c r="DR57" i="16"/>
  <c r="DS57" i="16"/>
  <c r="DT57" i="16"/>
  <c r="DO57" i="16"/>
  <c r="DN57" i="16"/>
  <c r="DM57" i="16"/>
  <c r="EA56" i="16"/>
  <c r="DZ56" i="16"/>
  <c r="DY56" i="16"/>
  <c r="DQ56" i="16"/>
  <c r="DR56" i="16"/>
  <c r="DS56" i="16"/>
  <c r="DT56" i="16"/>
  <c r="DU56" i="16"/>
  <c r="DV56" i="16"/>
  <c r="DW56" i="16"/>
  <c r="DX56" i="16"/>
  <c r="DP56" i="16"/>
  <c r="DO56" i="16"/>
  <c r="DN56" i="16"/>
  <c r="DM56" i="16"/>
  <c r="DU55" i="16"/>
  <c r="DT55" i="16"/>
  <c r="DS55" i="16"/>
  <c r="DQ55" i="16"/>
  <c r="DR55" i="16"/>
  <c r="DP55" i="16"/>
  <c r="DO55" i="16"/>
  <c r="DN55" i="16"/>
  <c r="DM55" i="16"/>
  <c r="DX54" i="16"/>
  <c r="DW54" i="16"/>
  <c r="DV54" i="16"/>
  <c r="DQ54" i="16"/>
  <c r="DR54" i="16"/>
  <c r="DS54" i="16"/>
  <c r="DT54" i="16"/>
  <c r="DU54" i="16"/>
  <c r="DP54" i="16"/>
  <c r="DO54" i="16"/>
  <c r="DN54" i="16"/>
  <c r="DM54" i="16"/>
  <c r="BY58" i="16"/>
  <c r="BZ58" i="16" s="1"/>
  <c r="CA58" i="16" s="1"/>
  <c r="CB58" i="16" s="1"/>
  <c r="BY57" i="16"/>
  <c r="BZ57" i="16" s="1"/>
  <c r="CA57" i="16" s="1"/>
  <c r="BY56" i="16"/>
  <c r="BY55" i="16"/>
  <c r="FA55" i="16" s="1"/>
  <c r="BY54" i="16"/>
  <c r="AQ44" i="16"/>
  <c r="AQ45" i="16"/>
  <c r="AQ46" i="16"/>
  <c r="AQ47" i="16"/>
  <c r="AQ48" i="16"/>
  <c r="AQ49" i="16"/>
  <c r="AQ50" i="16"/>
  <c r="AQ51" i="16"/>
  <c r="AQ52" i="16"/>
  <c r="AQ53" i="16"/>
  <c r="AQ43" i="16"/>
  <c r="ED53" i="16"/>
  <c r="EC53" i="16"/>
  <c r="EB53" i="16"/>
  <c r="EA53" i="16"/>
  <c r="DZ53" i="16"/>
  <c r="DY53" i="16"/>
  <c r="DT53" i="16"/>
  <c r="DU53" i="16"/>
  <c r="DV53" i="16"/>
  <c r="DW53" i="16"/>
  <c r="DX53" i="16"/>
  <c r="DS53" i="16"/>
  <c r="DR53" i="16"/>
  <c r="DQ53" i="16"/>
  <c r="DP53" i="16"/>
  <c r="DO53" i="16"/>
  <c r="DN53" i="16"/>
  <c r="DM53" i="16"/>
  <c r="DZ51" i="16"/>
  <c r="DY51" i="16"/>
  <c r="DX51" i="16"/>
  <c r="DW51" i="16"/>
  <c r="DV51" i="16"/>
  <c r="DU51" i="16"/>
  <c r="DT51" i="16"/>
  <c r="DS51" i="16"/>
  <c r="DR51" i="16"/>
  <c r="DQ51" i="16"/>
  <c r="DP51" i="16"/>
  <c r="DO51" i="16"/>
  <c r="DN51" i="16"/>
  <c r="DM51" i="16"/>
  <c r="DZ52" i="16"/>
  <c r="DY52" i="16"/>
  <c r="DX52" i="16"/>
  <c r="DW52" i="16"/>
  <c r="DV52" i="16"/>
  <c r="DU52" i="16"/>
  <c r="DT52" i="16"/>
  <c r="DS52" i="16"/>
  <c r="DR52" i="16"/>
  <c r="DQ52" i="16"/>
  <c r="DP52" i="16"/>
  <c r="DO52" i="16"/>
  <c r="DN52" i="16"/>
  <c r="DM52" i="16"/>
  <c r="DZ50" i="16"/>
  <c r="DY50" i="16"/>
  <c r="DX50" i="16"/>
  <c r="DW50" i="16"/>
  <c r="DV50" i="16"/>
  <c r="DU50" i="16"/>
  <c r="DT50" i="16"/>
  <c r="DS50" i="16"/>
  <c r="DR50" i="16"/>
  <c r="DQ50" i="16"/>
  <c r="DP50" i="16"/>
  <c r="DO50" i="16"/>
  <c r="DN50" i="16"/>
  <c r="DM50" i="16"/>
  <c r="DZ49" i="16"/>
  <c r="DY49" i="16"/>
  <c r="DX49" i="16"/>
  <c r="DW49" i="16"/>
  <c r="DV49" i="16"/>
  <c r="DU49" i="16"/>
  <c r="DT49" i="16"/>
  <c r="DS49" i="16"/>
  <c r="DR49" i="16"/>
  <c r="DQ49" i="16"/>
  <c r="DP49" i="16"/>
  <c r="DO49" i="16"/>
  <c r="DN49" i="16"/>
  <c r="DM49" i="16"/>
  <c r="DX48" i="16"/>
  <c r="DW48" i="16"/>
  <c r="DP48" i="16"/>
  <c r="DQ48" i="16"/>
  <c r="DR48" i="16"/>
  <c r="DS48" i="16"/>
  <c r="DT48" i="16"/>
  <c r="DU48" i="16"/>
  <c r="DV48" i="16"/>
  <c r="DO48" i="16"/>
  <c r="DN48" i="16"/>
  <c r="DM48" i="16"/>
  <c r="DM47" i="16"/>
  <c r="DN47" i="16"/>
  <c r="DO47" i="16"/>
  <c r="DP47" i="16"/>
  <c r="DQ47" i="16"/>
  <c r="DR47" i="16"/>
  <c r="DS47" i="16"/>
  <c r="DT47" i="16"/>
  <c r="DU47" i="16"/>
  <c r="DV47" i="16"/>
  <c r="DW47" i="16"/>
  <c r="DX47" i="16"/>
  <c r="DY47" i="16"/>
  <c r="DZ47" i="16"/>
  <c r="DZ46" i="16"/>
  <c r="DY46" i="16"/>
  <c r="DX46" i="16"/>
  <c r="DW46" i="16"/>
  <c r="DR46" i="16"/>
  <c r="DS46" i="16"/>
  <c r="DT46" i="16"/>
  <c r="DU46" i="16"/>
  <c r="DV46" i="16"/>
  <c r="DQ46" i="16"/>
  <c r="DP46" i="16"/>
  <c r="DO46" i="16"/>
  <c r="DN46" i="16"/>
  <c r="DM46" i="16"/>
  <c r="DX45" i="16"/>
  <c r="DW45" i="16"/>
  <c r="DV45" i="16"/>
  <c r="DP45" i="16"/>
  <c r="DQ45" i="16"/>
  <c r="DR45" i="16"/>
  <c r="DS45" i="16"/>
  <c r="DT45" i="16"/>
  <c r="DU45" i="16"/>
  <c r="DO45" i="16"/>
  <c r="DN45" i="16"/>
  <c r="DM45" i="16"/>
  <c r="DX44" i="16"/>
  <c r="DW44" i="16"/>
  <c r="DV44" i="16"/>
  <c r="DQ44" i="16"/>
  <c r="DR44" i="16"/>
  <c r="DS44" i="16"/>
  <c r="DT44" i="16"/>
  <c r="DU44" i="16"/>
  <c r="DP44" i="16"/>
  <c r="DO44" i="16"/>
  <c r="DN44" i="16"/>
  <c r="DM44" i="16"/>
  <c r="DV43" i="16"/>
  <c r="DU43" i="16"/>
  <c r="DT43" i="16"/>
  <c r="DP43" i="16"/>
  <c r="DQ43" i="16"/>
  <c r="DR43" i="16"/>
  <c r="DS43" i="16"/>
  <c r="DO43" i="16"/>
  <c r="DN43" i="16"/>
  <c r="DM43" i="16"/>
  <c r="BY53" i="16"/>
  <c r="BY52" i="16"/>
  <c r="BZ52" i="16" s="1"/>
  <c r="BY51" i="16"/>
  <c r="BZ51" i="16" s="1"/>
  <c r="BY50" i="16"/>
  <c r="BZ50" i="16" s="1"/>
  <c r="BY49" i="16"/>
  <c r="BZ49" i="16" s="1"/>
  <c r="CA49" i="16" s="1"/>
  <c r="CB49" i="16" s="1"/>
  <c r="CC49" i="16" s="1"/>
  <c r="BY48" i="16"/>
  <c r="BY47" i="16"/>
  <c r="BZ47" i="16" s="1"/>
  <c r="CA47" i="16" s="1"/>
  <c r="CB47" i="16" s="1"/>
  <c r="CC47" i="16" s="1"/>
  <c r="FE47" i="16" s="1"/>
  <c r="BY46" i="16"/>
  <c r="BY45" i="16"/>
  <c r="BY44" i="16"/>
  <c r="FA44" i="16" s="1"/>
  <c r="AO44" i="16"/>
  <c r="AX44" i="16" s="1"/>
  <c r="AO45" i="16"/>
  <c r="AX45" i="16" s="1"/>
  <c r="AO46" i="16"/>
  <c r="AX46" i="16" s="1"/>
  <c r="AO47" i="16"/>
  <c r="AX47" i="16" s="1"/>
  <c r="AO48" i="16"/>
  <c r="AX48" i="16" s="1"/>
  <c r="AO49" i="16"/>
  <c r="AX49" i="16" s="1"/>
  <c r="AO50" i="16"/>
  <c r="AX50" i="16" s="1"/>
  <c r="AO51" i="16"/>
  <c r="AX51" i="16" s="1"/>
  <c r="AO52" i="16"/>
  <c r="AX52" i="16" s="1"/>
  <c r="AO53" i="16"/>
  <c r="AX53" i="16" s="1"/>
  <c r="AO43" i="16"/>
  <c r="AX43" i="16" s="1"/>
  <c r="BY43" i="16"/>
  <c r="AQ40" i="16"/>
  <c r="AQ41" i="16"/>
  <c r="AQ42" i="16"/>
  <c r="AQ39" i="16"/>
  <c r="DS42" i="16"/>
  <c r="DR42" i="16"/>
  <c r="DQ42" i="16"/>
  <c r="DP42" i="16"/>
  <c r="DO42" i="16"/>
  <c r="DN42" i="16"/>
  <c r="DM42" i="16"/>
  <c r="DS41" i="16"/>
  <c r="DR41" i="16"/>
  <c r="DQ41" i="16"/>
  <c r="DP41" i="16"/>
  <c r="DO41" i="16"/>
  <c r="DN41" i="16"/>
  <c r="DM41" i="16"/>
  <c r="DW40" i="16"/>
  <c r="DX40" i="16"/>
  <c r="DY40" i="16"/>
  <c r="DZ40" i="16"/>
  <c r="EA40" i="16"/>
  <c r="DV40" i="16"/>
  <c r="DT40" i="16"/>
  <c r="DU40" i="16"/>
  <c r="DS40" i="16"/>
  <c r="DN40" i="16"/>
  <c r="DO40" i="16"/>
  <c r="DP40" i="16"/>
  <c r="DQ40" i="16"/>
  <c r="DR40" i="16"/>
  <c r="DM40" i="16"/>
  <c r="DS39" i="16"/>
  <c r="DR39" i="16"/>
  <c r="DP39" i="16"/>
  <c r="DQ39" i="16"/>
  <c r="DO39" i="16"/>
  <c r="DN39" i="16"/>
  <c r="DM39" i="16"/>
  <c r="BY42" i="16"/>
  <c r="BY41" i="16"/>
  <c r="BZ41" i="16" s="1"/>
  <c r="BY40" i="16"/>
  <c r="CD40" i="16" s="1"/>
  <c r="BY39" i="16"/>
  <c r="FA39" i="16" s="1"/>
  <c r="GO39" i="16" s="1"/>
  <c r="AQ32" i="16"/>
  <c r="AQ33" i="16"/>
  <c r="AQ34" i="16"/>
  <c r="AQ35" i="16"/>
  <c r="AQ36" i="16"/>
  <c r="AQ37" i="16"/>
  <c r="AQ38" i="16"/>
  <c r="AQ31" i="16"/>
  <c r="DR38" i="16"/>
  <c r="DQ38" i="16"/>
  <c r="DN38" i="16"/>
  <c r="DM38" i="16"/>
  <c r="DM36" i="16"/>
  <c r="DN36" i="16"/>
  <c r="DO36" i="16"/>
  <c r="DP36" i="16"/>
  <c r="DQ36" i="16"/>
  <c r="DR36" i="16"/>
  <c r="DM37" i="16"/>
  <c r="DN37" i="16"/>
  <c r="DO37" i="16"/>
  <c r="DP37" i="16"/>
  <c r="DQ37" i="16"/>
  <c r="DR37" i="16"/>
  <c r="DO38" i="16"/>
  <c r="DP38" i="16"/>
  <c r="DR35" i="16"/>
  <c r="DQ35" i="16"/>
  <c r="DO35" i="16"/>
  <c r="DP35" i="16"/>
  <c r="DN35" i="16"/>
  <c r="DM35" i="16"/>
  <c r="DS34" i="16"/>
  <c r="DR34" i="16"/>
  <c r="DQ34" i="16"/>
  <c r="DP34" i="16"/>
  <c r="DO34" i="16"/>
  <c r="DN34" i="16"/>
  <c r="DM34" i="16"/>
  <c r="DM32" i="16"/>
  <c r="DN32" i="16"/>
  <c r="DO32" i="16"/>
  <c r="DP32" i="16"/>
  <c r="DQ32" i="16"/>
  <c r="DR32" i="16"/>
  <c r="DS32" i="16"/>
  <c r="DT32" i="16"/>
  <c r="DU32" i="16"/>
  <c r="DM33" i="16"/>
  <c r="DN33" i="16"/>
  <c r="DO33" i="16"/>
  <c r="DP33" i="16"/>
  <c r="DQ33" i="16"/>
  <c r="DR33" i="16"/>
  <c r="DS33" i="16"/>
  <c r="DT33" i="16"/>
  <c r="DU33" i="16"/>
  <c r="DU31" i="16"/>
  <c r="DT31" i="16"/>
  <c r="DS31" i="16"/>
  <c r="DQ31" i="16"/>
  <c r="DR31" i="16"/>
  <c r="DP31" i="16"/>
  <c r="DN31" i="16"/>
  <c r="DO31" i="16"/>
  <c r="DM31" i="16"/>
  <c r="BY38" i="16"/>
  <c r="BY37" i="16"/>
  <c r="BZ37" i="16" s="1"/>
  <c r="BY36" i="16"/>
  <c r="FA36" i="16" s="1"/>
  <c r="BY35" i="16"/>
  <c r="BZ35" i="16" s="1"/>
  <c r="CC35" i="16" s="1"/>
  <c r="CD35" i="16" s="1"/>
  <c r="CD34" i="16"/>
  <c r="CC34" i="16"/>
  <c r="CB34" i="16"/>
  <c r="CA34" i="16"/>
  <c r="BY34" i="16"/>
  <c r="FA34" i="16" s="1"/>
  <c r="BY32" i="16"/>
  <c r="BZ32" i="16" s="1"/>
  <c r="BY33" i="16"/>
  <c r="BY31" i="16"/>
  <c r="BZ31" i="16" s="1"/>
  <c r="AQ26" i="16"/>
  <c r="AQ27" i="16"/>
  <c r="AQ28" i="16"/>
  <c r="AQ29" i="16"/>
  <c r="AQ30" i="16"/>
  <c r="AQ25" i="16"/>
  <c r="DY30" i="16"/>
  <c r="DX30" i="16"/>
  <c r="DW30" i="16"/>
  <c r="DV30" i="16"/>
  <c r="DU30" i="16"/>
  <c r="DT30" i="16"/>
  <c r="DS30" i="16"/>
  <c r="DR30" i="16"/>
  <c r="DQ30" i="16"/>
  <c r="DP30" i="16"/>
  <c r="DO30" i="16"/>
  <c r="DN30" i="16"/>
  <c r="DM30" i="16"/>
  <c r="DY29" i="16"/>
  <c r="DX29" i="16"/>
  <c r="DW29" i="16"/>
  <c r="DV29" i="16"/>
  <c r="DU29" i="16"/>
  <c r="DT29" i="16"/>
  <c r="DS29" i="16"/>
  <c r="DR29" i="16"/>
  <c r="DQ29" i="16"/>
  <c r="DP29" i="16"/>
  <c r="DO29" i="16"/>
  <c r="DN29" i="16"/>
  <c r="DM29" i="16"/>
  <c r="EA28" i="16"/>
  <c r="DZ28" i="16"/>
  <c r="DY28" i="16"/>
  <c r="DX28" i="16"/>
  <c r="DW28" i="16"/>
  <c r="DV28" i="16"/>
  <c r="DU28" i="16"/>
  <c r="DT28" i="16"/>
  <c r="DS28" i="16"/>
  <c r="DR28" i="16"/>
  <c r="DQ28" i="16"/>
  <c r="DP28" i="16"/>
  <c r="DO28" i="16"/>
  <c r="DN28" i="16"/>
  <c r="DM28" i="16"/>
  <c r="DM27" i="16"/>
  <c r="DN27" i="16"/>
  <c r="DO27" i="16"/>
  <c r="DP27" i="16"/>
  <c r="DQ27" i="16"/>
  <c r="DR27" i="16"/>
  <c r="DS27" i="16"/>
  <c r="DT27" i="16"/>
  <c r="DU27" i="16"/>
  <c r="DV27" i="16"/>
  <c r="DW27" i="16"/>
  <c r="DX27" i="16"/>
  <c r="DY27" i="16"/>
  <c r="DY26" i="16"/>
  <c r="DW26" i="16"/>
  <c r="DO26" i="16"/>
  <c r="DM26" i="16"/>
  <c r="DX26" i="16"/>
  <c r="DV26" i="16"/>
  <c r="DU26" i="16"/>
  <c r="DT26" i="16"/>
  <c r="DS26" i="16"/>
  <c r="DR26" i="16"/>
  <c r="DQ26" i="16"/>
  <c r="DP26" i="16"/>
  <c r="DN26" i="16"/>
  <c r="EA25" i="16"/>
  <c r="DZ25" i="16"/>
  <c r="DY25" i="16"/>
  <c r="DX25" i="16"/>
  <c r="DR25" i="16"/>
  <c r="DS25" i="16"/>
  <c r="DT25" i="16"/>
  <c r="DU25" i="16"/>
  <c r="DV25" i="16"/>
  <c r="DW25" i="16"/>
  <c r="DQ25" i="16"/>
  <c r="DO25" i="16"/>
  <c r="DP25" i="16"/>
  <c r="DN25" i="16"/>
  <c r="DM25" i="16"/>
  <c r="BY30" i="16"/>
  <c r="CA30" i="16" s="1"/>
  <c r="BY29" i="16"/>
  <c r="BZ29" i="16" s="1"/>
  <c r="BY28" i="16"/>
  <c r="CA28" i="16" s="1"/>
  <c r="BY27" i="16"/>
  <c r="BZ27" i="16" s="1"/>
  <c r="BY26" i="16"/>
  <c r="CA26" i="16" s="1"/>
  <c r="BY25" i="16"/>
  <c r="CA25" i="16" s="1"/>
  <c r="AQ20" i="16"/>
  <c r="AQ21" i="16"/>
  <c r="AQ22" i="16"/>
  <c r="AQ23" i="16"/>
  <c r="AQ24" i="16"/>
  <c r="AQ19" i="16"/>
  <c r="DM24" i="16"/>
  <c r="DN24" i="16"/>
  <c r="DO24" i="16"/>
  <c r="DP24" i="16"/>
  <c r="DQ24" i="16"/>
  <c r="DR24" i="16"/>
  <c r="DS24" i="16"/>
  <c r="DT24" i="16"/>
  <c r="DT23" i="16"/>
  <c r="DS23" i="16"/>
  <c r="DR23" i="16"/>
  <c r="DP23" i="16"/>
  <c r="DQ23" i="16"/>
  <c r="DN23" i="16"/>
  <c r="DO23" i="16"/>
  <c r="DM23" i="16"/>
  <c r="DS22" i="16"/>
  <c r="DR22" i="16"/>
  <c r="DQ22" i="16"/>
  <c r="DP22" i="16"/>
  <c r="DO22" i="16"/>
  <c r="DN22" i="16"/>
  <c r="DM22" i="16"/>
  <c r="DR21" i="16"/>
  <c r="DQ21" i="16"/>
  <c r="DO21" i="16"/>
  <c r="DP21" i="16"/>
  <c r="DN21" i="16"/>
  <c r="DM21" i="16"/>
  <c r="DS20" i="16"/>
  <c r="DO20" i="16"/>
  <c r="DP20" i="16"/>
  <c r="DQ20" i="16"/>
  <c r="DR20" i="16"/>
  <c r="DN20" i="16"/>
  <c r="DM20" i="16"/>
  <c r="DR19" i="16"/>
  <c r="DQ19" i="16"/>
  <c r="DP19" i="16"/>
  <c r="DO19" i="16"/>
  <c r="DN19" i="16"/>
  <c r="DM19" i="16"/>
  <c r="BY24" i="16"/>
  <c r="BY23" i="16"/>
  <c r="BY22" i="16"/>
  <c r="BZ22" i="16" s="1"/>
  <c r="BY21" i="16"/>
  <c r="BZ21" i="16" s="1"/>
  <c r="CA21" i="16" s="1"/>
  <c r="CB21" i="16" s="1"/>
  <c r="CC21" i="16" s="1"/>
  <c r="CD21" i="16" s="1"/>
  <c r="BY20" i="16"/>
  <c r="BZ20" i="16" s="1"/>
  <c r="CD20" i="16" s="1"/>
  <c r="BY19" i="16"/>
  <c r="AQ3" i="16"/>
  <c r="AQ4" i="16"/>
  <c r="AQ5" i="16"/>
  <c r="AQ6" i="16"/>
  <c r="AQ7" i="16"/>
  <c r="AQ8" i="16"/>
  <c r="AQ9" i="16"/>
  <c r="AQ10" i="16"/>
  <c r="AQ11" i="16"/>
  <c r="AQ12" i="16"/>
  <c r="AQ13" i="16"/>
  <c r="AQ14" i="16"/>
  <c r="AQ15" i="16"/>
  <c r="AQ16" i="16"/>
  <c r="AQ17" i="16"/>
  <c r="AQ18" i="16"/>
  <c r="DM15" i="16"/>
  <c r="DN15" i="16"/>
  <c r="DO15" i="16"/>
  <c r="DP15" i="16"/>
  <c r="DQ15" i="16"/>
  <c r="DR15" i="16"/>
  <c r="DS15" i="16"/>
  <c r="DT15" i="16"/>
  <c r="DU15" i="16"/>
  <c r="DM16" i="16"/>
  <c r="DN16" i="16"/>
  <c r="DO16" i="16"/>
  <c r="DP16" i="16"/>
  <c r="DQ16" i="16"/>
  <c r="DR16" i="16"/>
  <c r="DS16" i="16"/>
  <c r="DT16" i="16"/>
  <c r="DU16" i="16"/>
  <c r="DM17" i="16"/>
  <c r="DN17" i="16"/>
  <c r="DO17" i="16"/>
  <c r="DP17" i="16"/>
  <c r="DQ17" i="16"/>
  <c r="DR17" i="16"/>
  <c r="DS17" i="16"/>
  <c r="DT17" i="16"/>
  <c r="DU17" i="16"/>
  <c r="DM18" i="16"/>
  <c r="DN18" i="16"/>
  <c r="DO18" i="16"/>
  <c r="DP18" i="16"/>
  <c r="DQ18" i="16"/>
  <c r="DR18" i="16"/>
  <c r="DS18" i="16"/>
  <c r="DT18" i="16"/>
  <c r="DU18" i="16"/>
  <c r="DM9" i="16"/>
  <c r="DN9" i="16"/>
  <c r="DO9" i="16"/>
  <c r="DP9" i="16"/>
  <c r="DQ9" i="16"/>
  <c r="DR9" i="16"/>
  <c r="DS9" i="16"/>
  <c r="DT9" i="16"/>
  <c r="DU9" i="16"/>
  <c r="DV9" i="16"/>
  <c r="DW9" i="16"/>
  <c r="DM10" i="16"/>
  <c r="DN10" i="16"/>
  <c r="DO10" i="16"/>
  <c r="DP10" i="16"/>
  <c r="DQ10" i="16"/>
  <c r="DR10" i="16"/>
  <c r="DS10" i="16"/>
  <c r="DT10" i="16"/>
  <c r="DU10" i="16"/>
  <c r="DV10" i="16"/>
  <c r="DW10" i="16"/>
  <c r="DM11" i="16"/>
  <c r="DN11" i="16"/>
  <c r="DO11" i="16"/>
  <c r="DP11" i="16"/>
  <c r="DQ11" i="16"/>
  <c r="DR11" i="16"/>
  <c r="DS11" i="16"/>
  <c r="DT11" i="16"/>
  <c r="DU11" i="16"/>
  <c r="DV11" i="16"/>
  <c r="DW11" i="16"/>
  <c r="DM12" i="16"/>
  <c r="DN12" i="16"/>
  <c r="DO12" i="16"/>
  <c r="DP12" i="16"/>
  <c r="DQ12" i="16"/>
  <c r="DR12" i="16"/>
  <c r="DS12" i="16"/>
  <c r="DT12" i="16"/>
  <c r="DU12" i="16"/>
  <c r="DV12" i="16"/>
  <c r="DW12" i="16"/>
  <c r="DM13" i="16"/>
  <c r="DN13" i="16"/>
  <c r="DO13" i="16"/>
  <c r="DP13" i="16"/>
  <c r="DQ13" i="16"/>
  <c r="DR13" i="16"/>
  <c r="DS13" i="16"/>
  <c r="DT13" i="16"/>
  <c r="DU13" i="16"/>
  <c r="DV13" i="16"/>
  <c r="DW13" i="16"/>
  <c r="DM14" i="16"/>
  <c r="DN14" i="16"/>
  <c r="DO14" i="16"/>
  <c r="DP14" i="16"/>
  <c r="DQ14" i="16"/>
  <c r="DR14" i="16"/>
  <c r="DS14" i="16"/>
  <c r="DT14" i="16"/>
  <c r="DU14" i="16"/>
  <c r="DV14" i="16"/>
  <c r="DW14" i="16"/>
  <c r="DM3" i="16"/>
  <c r="DN3" i="16"/>
  <c r="DO3" i="16"/>
  <c r="DP3" i="16"/>
  <c r="DQ3" i="16"/>
  <c r="DR3" i="16"/>
  <c r="DS3" i="16"/>
  <c r="DT3" i="16"/>
  <c r="DU3" i="16"/>
  <c r="DV3" i="16"/>
  <c r="DW3" i="16"/>
  <c r="DX3" i="16"/>
  <c r="DY3" i="16"/>
  <c r="DM4" i="16"/>
  <c r="DN4" i="16"/>
  <c r="DO4" i="16"/>
  <c r="DP4" i="16"/>
  <c r="DQ4" i="16"/>
  <c r="DR4" i="16"/>
  <c r="DS4" i="16"/>
  <c r="DT4" i="16"/>
  <c r="DU4" i="16"/>
  <c r="DV4" i="16"/>
  <c r="DW4" i="16"/>
  <c r="DX4" i="16"/>
  <c r="DY4" i="16"/>
  <c r="DM5" i="16"/>
  <c r="DN5" i="16"/>
  <c r="DO5" i="16"/>
  <c r="DP5" i="16"/>
  <c r="DQ5" i="16"/>
  <c r="DR5" i="16"/>
  <c r="DS5" i="16"/>
  <c r="DT5" i="16"/>
  <c r="DU5" i="16"/>
  <c r="DV5" i="16"/>
  <c r="DW5" i="16"/>
  <c r="DX5" i="16"/>
  <c r="DY5" i="16"/>
  <c r="DM6" i="16"/>
  <c r="DN6" i="16"/>
  <c r="DO6" i="16"/>
  <c r="DP6" i="16"/>
  <c r="DQ6" i="16"/>
  <c r="DR6" i="16"/>
  <c r="DS6" i="16"/>
  <c r="DT6" i="16"/>
  <c r="DU6" i="16"/>
  <c r="DV6" i="16"/>
  <c r="DW6" i="16"/>
  <c r="DX6" i="16"/>
  <c r="DY6" i="16"/>
  <c r="DM7" i="16"/>
  <c r="DN7" i="16"/>
  <c r="DO7" i="16"/>
  <c r="DP7" i="16"/>
  <c r="DQ7" i="16"/>
  <c r="DR7" i="16"/>
  <c r="DS7" i="16"/>
  <c r="DT7" i="16"/>
  <c r="DU7" i="16"/>
  <c r="DV7" i="16"/>
  <c r="DW7" i="16"/>
  <c r="DX7" i="16"/>
  <c r="DY7" i="16"/>
  <c r="DM8" i="16"/>
  <c r="DN8" i="16"/>
  <c r="DO8" i="16"/>
  <c r="DP8" i="16"/>
  <c r="DQ8" i="16"/>
  <c r="DR8" i="16"/>
  <c r="DS8" i="16"/>
  <c r="DT8" i="16"/>
  <c r="DU8" i="16"/>
  <c r="DV8" i="16"/>
  <c r="DW8" i="16"/>
  <c r="DX8" i="16"/>
  <c r="DY8" i="16"/>
  <c r="DN2" i="16"/>
  <c r="DO2" i="16"/>
  <c r="DP2" i="16"/>
  <c r="DQ2" i="16"/>
  <c r="DR2" i="16"/>
  <c r="DS2" i="16"/>
  <c r="DT2" i="16"/>
  <c r="DU2" i="16"/>
  <c r="DV2" i="16"/>
  <c r="DW2" i="16"/>
  <c r="DX2" i="16"/>
  <c r="DY2" i="16"/>
  <c r="DM2" i="16"/>
  <c r="BY16" i="16"/>
  <c r="FA16" i="16" s="1"/>
  <c r="GO16" i="16" s="1"/>
  <c r="BY17" i="16"/>
  <c r="FA17" i="16" s="1"/>
  <c r="BY18" i="16"/>
  <c r="CA18" i="16" s="1"/>
  <c r="CB18" i="16" s="1"/>
  <c r="BY15" i="16"/>
  <c r="BZ15" i="16" s="1"/>
  <c r="BY10" i="16"/>
  <c r="CA10" i="16" s="1"/>
  <c r="BY11" i="16"/>
  <c r="BZ11" i="16" s="1"/>
  <c r="BY12" i="16"/>
  <c r="CA12" i="16" s="1"/>
  <c r="BY13" i="16"/>
  <c r="FA13" i="16" s="1"/>
  <c r="BY14" i="16"/>
  <c r="BZ14" i="16" s="1"/>
  <c r="BY9" i="16"/>
  <c r="BZ9" i="16" s="1"/>
  <c r="BY3" i="16"/>
  <c r="BZ3" i="16" s="1"/>
  <c r="BY4" i="16"/>
  <c r="BZ4" i="16" s="1"/>
  <c r="BY5" i="16"/>
  <c r="CA5" i="16" s="1"/>
  <c r="BY6" i="16"/>
  <c r="BZ6" i="16" s="1"/>
  <c r="BY7" i="16"/>
  <c r="BY8" i="16"/>
  <c r="BZ8" i="16" s="1"/>
  <c r="BY2" i="16"/>
  <c r="BZ2" i="16" s="1"/>
  <c r="AC172" i="16"/>
  <c r="AD172" i="16"/>
  <c r="AE172" i="16"/>
  <c r="BT172" i="16" s="1"/>
  <c r="AC173" i="16"/>
  <c r="AD173" i="16"/>
  <c r="AE173" i="16"/>
  <c r="BT173" i="16" s="1"/>
  <c r="AC174" i="16"/>
  <c r="AD174" i="16"/>
  <c r="AE174" i="16"/>
  <c r="BT174" i="16" s="1"/>
  <c r="AC175" i="16"/>
  <c r="AD175" i="16"/>
  <c r="AE175" i="16"/>
  <c r="BT175" i="16" s="1"/>
  <c r="AC176" i="16"/>
  <c r="AD176" i="16"/>
  <c r="AE176" i="16"/>
  <c r="BT176" i="16" s="1"/>
  <c r="AC177" i="16"/>
  <c r="AD177" i="16"/>
  <c r="AE177" i="16"/>
  <c r="BT177" i="16" s="1"/>
  <c r="DM176" i="16"/>
  <c r="FA176" i="16" s="1"/>
  <c r="DN176" i="16"/>
  <c r="DO176" i="16"/>
  <c r="DP176" i="16"/>
  <c r="DQ176" i="16"/>
  <c r="DR176" i="16"/>
  <c r="DS176" i="16"/>
  <c r="DM177" i="16"/>
  <c r="FA177" i="16" s="1"/>
  <c r="DN177" i="16"/>
  <c r="DO177" i="16"/>
  <c r="DP177" i="16"/>
  <c r="DQ177" i="16"/>
  <c r="DR177" i="16"/>
  <c r="DS177" i="16"/>
  <c r="DS175" i="16"/>
  <c r="DR175" i="16"/>
  <c r="DQ175" i="16"/>
  <c r="DP175" i="16"/>
  <c r="DO175" i="16"/>
  <c r="DN175" i="16"/>
  <c r="DM175" i="16"/>
  <c r="FA175" i="16" s="1"/>
  <c r="DN174" i="16"/>
  <c r="DO174" i="16"/>
  <c r="DP174" i="16"/>
  <c r="DQ174" i="16"/>
  <c r="DR174" i="16"/>
  <c r="DS174" i="16"/>
  <c r="DT174" i="16"/>
  <c r="DU174" i="16"/>
  <c r="DV174" i="16"/>
  <c r="DM174" i="16"/>
  <c r="DS173" i="16"/>
  <c r="DR173" i="16"/>
  <c r="DO173" i="16"/>
  <c r="DP173" i="16"/>
  <c r="DQ173" i="16"/>
  <c r="DN173" i="16"/>
  <c r="DM173" i="16"/>
  <c r="FA173" i="16" s="1"/>
  <c r="DS172" i="16"/>
  <c r="DO172" i="16"/>
  <c r="DP172" i="16"/>
  <c r="DQ172" i="16"/>
  <c r="DR172" i="16"/>
  <c r="DN172" i="16"/>
  <c r="DM172" i="16"/>
  <c r="FA172" i="16" s="1"/>
  <c r="BY174" i="16"/>
  <c r="CG174" i="16" s="1"/>
  <c r="BZ177" i="16"/>
  <c r="CA177" i="16" s="1"/>
  <c r="BZ176" i="16"/>
  <c r="CA176" i="16" s="1"/>
  <c r="BZ175" i="16"/>
  <c r="CA175" i="16" s="1"/>
  <c r="BZ173" i="16"/>
  <c r="CA173" i="16" s="1"/>
  <c r="BZ172" i="16"/>
  <c r="BM177" i="16"/>
  <c r="BO177" i="16" s="1"/>
  <c r="BM176" i="16"/>
  <c r="BO176" i="16" s="1"/>
  <c r="BM175" i="16"/>
  <c r="BO175" i="16" s="1"/>
  <c r="BM173" i="16"/>
  <c r="BO173" i="16" s="1"/>
  <c r="BM172" i="16"/>
  <c r="BO172" i="16" s="1"/>
  <c r="BI173" i="16"/>
  <c r="BK173" i="16" s="1"/>
  <c r="BI174" i="16"/>
  <c r="BK174" i="16" s="1"/>
  <c r="BI175" i="16"/>
  <c r="BK175" i="16" s="1"/>
  <c r="BI176" i="16"/>
  <c r="BK176" i="16" s="1"/>
  <c r="BI177" i="16"/>
  <c r="BK177" i="16" s="1"/>
  <c r="BI172" i="16"/>
  <c r="BK172" i="16" s="1"/>
  <c r="AQ172" i="16"/>
  <c r="AS172" i="16" s="1"/>
  <c r="AR172" i="16"/>
  <c r="BL172" i="16" s="1"/>
  <c r="AQ173" i="16"/>
  <c r="AS173" i="16" s="1"/>
  <c r="AR173" i="16"/>
  <c r="BL173" i="16" s="1"/>
  <c r="AQ174" i="16"/>
  <c r="AS174" i="16" s="1"/>
  <c r="AQ175" i="16"/>
  <c r="AS175" i="16" s="1"/>
  <c r="AR175" i="16"/>
  <c r="BL175" i="16" s="1"/>
  <c r="AQ176" i="16"/>
  <c r="AS176" i="16" s="1"/>
  <c r="AR176" i="16"/>
  <c r="BL176" i="16" s="1"/>
  <c r="AQ177" i="16"/>
  <c r="AS177" i="16" s="1"/>
  <c r="AR177" i="16"/>
  <c r="BL177" i="16" s="1"/>
  <c r="AV172" i="16"/>
  <c r="AV173" i="16"/>
  <c r="AV174" i="16"/>
  <c r="AV175" i="16"/>
  <c r="AV176" i="16"/>
  <c r="AV177" i="16"/>
  <c r="AQ169" i="16"/>
  <c r="AQ170" i="16"/>
  <c r="AQ171" i="16"/>
  <c r="AQ168" i="16"/>
  <c r="DS171" i="16"/>
  <c r="DM171" i="16"/>
  <c r="DS170" i="16"/>
  <c r="DR170" i="16"/>
  <c r="DN170" i="16"/>
  <c r="DM170" i="16"/>
  <c r="DS169" i="16"/>
  <c r="DR169" i="16"/>
  <c r="DO169" i="16"/>
  <c r="DP169" i="16"/>
  <c r="DQ169" i="16"/>
  <c r="DO170" i="16"/>
  <c r="DP170" i="16"/>
  <c r="DQ170" i="16"/>
  <c r="DO171" i="16"/>
  <c r="DP171" i="16"/>
  <c r="DQ171" i="16"/>
  <c r="DN169" i="16"/>
  <c r="DM169" i="16"/>
  <c r="DS168" i="16"/>
  <c r="DR168" i="16"/>
  <c r="DP168" i="16"/>
  <c r="DQ168" i="16"/>
  <c r="DO168" i="16"/>
  <c r="DN168" i="16"/>
  <c r="DM168" i="16"/>
  <c r="BY169" i="16"/>
  <c r="BZ169" i="16" s="1"/>
  <c r="CA169" i="16" s="1"/>
  <c r="CB169" i="16" s="1"/>
  <c r="CC169" i="16" s="1"/>
  <c r="CD169" i="16" s="1"/>
  <c r="CE169" i="16" s="1"/>
  <c r="FG169" i="16" s="1"/>
  <c r="GU169" i="16" s="1"/>
  <c r="BY170" i="16"/>
  <c r="BZ170" i="16" s="1"/>
  <c r="CA170" i="16" s="1"/>
  <c r="CB170" i="16" s="1"/>
  <c r="CC170" i="16" s="1"/>
  <c r="CD170" i="16" s="1"/>
  <c r="CE170" i="16" s="1"/>
  <c r="BY171" i="16"/>
  <c r="BZ171" i="16" s="1"/>
  <c r="CA171" i="16" s="1"/>
  <c r="CB171" i="16" s="1"/>
  <c r="CC171" i="16" s="1"/>
  <c r="CD171" i="16" s="1"/>
  <c r="CE171" i="16" s="1"/>
  <c r="FG171" i="16" s="1"/>
  <c r="GU171" i="16" s="1"/>
  <c r="BY168" i="16"/>
  <c r="FA168" i="16" s="1"/>
  <c r="AQ163" i="16"/>
  <c r="AQ164" i="16"/>
  <c r="AQ165" i="16"/>
  <c r="AQ166" i="16"/>
  <c r="AQ167" i="16"/>
  <c r="AQ162" i="16"/>
  <c r="DM164" i="16"/>
  <c r="DN164" i="16"/>
  <c r="DO164" i="16"/>
  <c r="DP164" i="16"/>
  <c r="DQ164" i="16"/>
  <c r="DR164" i="16"/>
  <c r="DS164" i="16"/>
  <c r="DM165" i="16"/>
  <c r="DN165" i="16"/>
  <c r="DO165" i="16"/>
  <c r="DP165" i="16"/>
  <c r="DQ165" i="16"/>
  <c r="DR165" i="16"/>
  <c r="DS165" i="16"/>
  <c r="DM166" i="16"/>
  <c r="DN166" i="16"/>
  <c r="DO166" i="16"/>
  <c r="DP166" i="16"/>
  <c r="DQ166" i="16"/>
  <c r="DR166" i="16"/>
  <c r="DS166" i="16"/>
  <c r="DM167" i="16"/>
  <c r="DN167" i="16"/>
  <c r="DO167" i="16"/>
  <c r="DP167" i="16"/>
  <c r="DQ167" i="16"/>
  <c r="DR167" i="16"/>
  <c r="DS167" i="16"/>
  <c r="DM163" i="16"/>
  <c r="DN163" i="16"/>
  <c r="DO163" i="16"/>
  <c r="DP163" i="16"/>
  <c r="DQ163" i="16"/>
  <c r="DR163" i="16"/>
  <c r="DS163" i="16"/>
  <c r="DS162" i="16"/>
  <c r="DR162" i="16"/>
  <c r="DP162" i="16"/>
  <c r="DQ162" i="16"/>
  <c r="DN162" i="16"/>
  <c r="DM162" i="16"/>
  <c r="DO162" i="16"/>
  <c r="BY167" i="16"/>
  <c r="BY164" i="16"/>
  <c r="BZ164" i="16" s="1"/>
  <c r="CA164" i="16" s="1"/>
  <c r="CB164" i="16" s="1"/>
  <c r="CC164" i="16" s="1"/>
  <c r="CD164" i="16" s="1"/>
  <c r="CE164" i="16" s="1"/>
  <c r="BY165" i="16"/>
  <c r="BZ165" i="16" s="1"/>
  <c r="CA165" i="16" s="1"/>
  <c r="CB165" i="16" s="1"/>
  <c r="CC165" i="16" s="1"/>
  <c r="CD165" i="16" s="1"/>
  <c r="CE165" i="16" s="1"/>
  <c r="BY166" i="16"/>
  <c r="BZ166" i="16" s="1"/>
  <c r="CA166" i="16" s="1"/>
  <c r="BY163" i="16"/>
  <c r="BZ163" i="16" s="1"/>
  <c r="CA163" i="16" s="1"/>
  <c r="CB163" i="16" s="1"/>
  <c r="CC163" i="16" s="1"/>
  <c r="CD163" i="16" s="1"/>
  <c r="CE163" i="16" s="1"/>
  <c r="FG163" i="16" s="1"/>
  <c r="GU163" i="16" s="1"/>
  <c r="BY162" i="16"/>
  <c r="BZ162" i="16" s="1"/>
  <c r="FB162" i="16" s="1"/>
  <c r="GP162" i="16" s="1"/>
  <c r="AQ157" i="16"/>
  <c r="AQ158" i="16"/>
  <c r="AQ159" i="16"/>
  <c r="AQ160" i="16"/>
  <c r="AQ161" i="16"/>
  <c r="AQ156" i="16"/>
  <c r="BY161" i="16"/>
  <c r="EC161" i="16"/>
  <c r="EB161" i="16"/>
  <c r="EA161" i="16"/>
  <c r="DQ161" i="16"/>
  <c r="DR161" i="16"/>
  <c r="DS161" i="16"/>
  <c r="DT161" i="16"/>
  <c r="DU161" i="16"/>
  <c r="DV161" i="16"/>
  <c r="DW161" i="16"/>
  <c r="DX161" i="16"/>
  <c r="DY161" i="16"/>
  <c r="DZ161" i="16"/>
  <c r="DP161" i="16"/>
  <c r="DN161" i="16"/>
  <c r="DO161" i="16"/>
  <c r="DM161" i="16"/>
  <c r="EB160" i="16"/>
  <c r="EA160" i="16"/>
  <c r="DZ160" i="16"/>
  <c r="DQ160" i="16"/>
  <c r="DR160" i="16"/>
  <c r="DS160" i="16"/>
  <c r="DT160" i="16"/>
  <c r="DU160" i="16"/>
  <c r="DV160" i="16"/>
  <c r="DW160" i="16"/>
  <c r="DX160" i="16"/>
  <c r="DY160" i="16"/>
  <c r="DP160" i="16"/>
  <c r="DN160" i="16"/>
  <c r="DO160" i="16"/>
  <c r="DM160" i="16"/>
  <c r="EC159" i="16"/>
  <c r="EB159" i="16"/>
  <c r="EA159" i="16"/>
  <c r="DZ159" i="16"/>
  <c r="DY159" i="16"/>
  <c r="DX159" i="16"/>
  <c r="DW159" i="16"/>
  <c r="DV159" i="16"/>
  <c r="DU159" i="16"/>
  <c r="DT159" i="16"/>
  <c r="DS159" i="16"/>
  <c r="DR159" i="16"/>
  <c r="DQ159" i="16"/>
  <c r="DP159" i="16"/>
  <c r="DO159" i="16"/>
  <c r="DN159" i="16"/>
  <c r="DM159" i="16"/>
  <c r="EC158" i="16"/>
  <c r="EB158" i="16"/>
  <c r="EA158" i="16"/>
  <c r="DR158" i="16"/>
  <c r="DS158" i="16"/>
  <c r="DT158" i="16"/>
  <c r="DU158" i="16"/>
  <c r="DV158" i="16"/>
  <c r="DW158" i="16"/>
  <c r="DX158" i="16"/>
  <c r="DY158" i="16"/>
  <c r="DZ158" i="16"/>
  <c r="DQ158" i="16"/>
  <c r="DP158" i="16"/>
  <c r="DO158" i="16"/>
  <c r="DN158" i="16"/>
  <c r="DM158" i="16"/>
  <c r="ED157" i="16"/>
  <c r="EC157" i="16"/>
  <c r="EB157" i="16"/>
  <c r="EA157" i="16"/>
  <c r="DZ157" i="16"/>
  <c r="DY157" i="16"/>
  <c r="DX157" i="16"/>
  <c r="DW157" i="16"/>
  <c r="DV157" i="16"/>
  <c r="DU157" i="16"/>
  <c r="DT157" i="16"/>
  <c r="DS157" i="16"/>
  <c r="DR157" i="16"/>
  <c r="DQ157" i="16"/>
  <c r="DP157" i="16"/>
  <c r="DO157" i="16"/>
  <c r="DN157" i="16"/>
  <c r="DM157" i="16"/>
  <c r="BY160" i="16"/>
  <c r="BY159" i="16"/>
  <c r="BY158" i="16"/>
  <c r="BZ158" i="16" s="1"/>
  <c r="BY157" i="16"/>
  <c r="BZ157" i="16" s="1"/>
  <c r="CA157" i="16" s="1"/>
  <c r="BY156" i="16"/>
  <c r="FA156" i="16" s="1"/>
  <c r="FA76" i="16" l="1"/>
  <c r="FF35" i="16"/>
  <c r="GT35" i="16" s="1"/>
  <c r="FE34" i="16"/>
  <c r="GS34" i="16" s="1"/>
  <c r="FA42" i="16"/>
  <c r="FA56" i="16"/>
  <c r="FB22" i="16"/>
  <c r="GP22" i="16" s="1"/>
  <c r="FB172" i="16"/>
  <c r="GP172" i="16" s="1"/>
  <c r="FA80" i="16"/>
  <c r="GO80" i="16" s="1"/>
  <c r="FA19" i="16"/>
  <c r="GO19" i="16" s="1"/>
  <c r="FC176" i="16"/>
  <c r="GQ176" i="16" s="1"/>
  <c r="CB25" i="16"/>
  <c r="FD25" i="16" s="1"/>
  <c r="GR25" i="16" s="1"/>
  <c r="FB15" i="16"/>
  <c r="GP15" i="16" s="1"/>
  <c r="FB67" i="16"/>
  <c r="GP67" i="16" s="1"/>
  <c r="FC175" i="16"/>
  <c r="GQ175" i="16" s="1"/>
  <c r="BZ174" i="16"/>
  <c r="FB2" i="16"/>
  <c r="GP2" i="16" s="1"/>
  <c r="CB78" i="16"/>
  <c r="FD78" i="16" s="1"/>
  <c r="FB158" i="16"/>
  <c r="GP158" i="16" s="1"/>
  <c r="FA24" i="16"/>
  <c r="GO24" i="16" s="1"/>
  <c r="FA159" i="16"/>
  <c r="GO159" i="16" s="1"/>
  <c r="BZ18" i="16"/>
  <c r="FB18" i="16" s="1"/>
  <c r="GP18" i="16" s="1"/>
  <c r="FA33" i="16"/>
  <c r="GO33" i="16" s="1"/>
  <c r="BZ36" i="16"/>
  <c r="CC36" i="16" s="1"/>
  <c r="FB41" i="16"/>
  <c r="GP41" i="16" s="1"/>
  <c r="FG61" i="16"/>
  <c r="GU61" i="16" s="1"/>
  <c r="FF79" i="16"/>
  <c r="FA7" i="16"/>
  <c r="GO7" i="16" s="1"/>
  <c r="FF40" i="16"/>
  <c r="GT40" i="16" s="1"/>
  <c r="FE49" i="16"/>
  <c r="GS49" i="16" s="1"/>
  <c r="FA53" i="16"/>
  <c r="GO53" i="16" s="1"/>
  <c r="FB6" i="16"/>
  <c r="GP6" i="16" s="1"/>
  <c r="FA3" i="16"/>
  <c r="GO3" i="16" s="1"/>
  <c r="FA46" i="16"/>
  <c r="GO46" i="16" s="1"/>
  <c r="FA171" i="16"/>
  <c r="GO171" i="16" s="1"/>
  <c r="FD18" i="16"/>
  <c r="GR18" i="16" s="1"/>
  <c r="FA64" i="16"/>
  <c r="CA2" i="16"/>
  <c r="FC2" i="16" s="1"/>
  <c r="GQ2" i="16" s="1"/>
  <c r="FF21" i="16"/>
  <c r="GT21" i="16" s="1"/>
  <c r="BZ24" i="16"/>
  <c r="FB24" i="16" s="1"/>
  <c r="GP24" i="16" s="1"/>
  <c r="FG60" i="16"/>
  <c r="GU60" i="16" s="1"/>
  <c r="FB4" i="16"/>
  <c r="GP4" i="16" s="1"/>
  <c r="FB9" i="16"/>
  <c r="GP9" i="16" s="1"/>
  <c r="FC25" i="16"/>
  <c r="GQ25" i="16" s="1"/>
  <c r="FB27" i="16"/>
  <c r="GP27" i="16" s="1"/>
  <c r="FF34" i="16"/>
  <c r="GT34" i="16" s="1"/>
  <c r="FA43" i="16"/>
  <c r="GO43" i="16" s="1"/>
  <c r="CA3" i="16"/>
  <c r="FC3" i="16" s="1"/>
  <c r="GQ3" i="16" s="1"/>
  <c r="FB14" i="16"/>
  <c r="GP14" i="16" s="1"/>
  <c r="FC10" i="16"/>
  <c r="GQ10" i="16" s="1"/>
  <c r="FA23" i="16"/>
  <c r="GO23" i="16" s="1"/>
  <c r="BZ25" i="16"/>
  <c r="FB25" i="16" s="1"/>
  <c r="GP25" i="16" s="1"/>
  <c r="FC28" i="16"/>
  <c r="GQ28" i="16" s="1"/>
  <c r="BZ33" i="16"/>
  <c r="FB33" i="16" s="1"/>
  <c r="GP33" i="16" s="1"/>
  <c r="FC34" i="16"/>
  <c r="GQ34" i="16" s="1"/>
  <c r="FA54" i="16"/>
  <c r="CB64" i="16"/>
  <c r="FD64" i="16" s="1"/>
  <c r="FA75" i="16"/>
  <c r="GO75" i="16" s="1"/>
  <c r="CA70" i="16"/>
  <c r="CB70" i="16" s="1"/>
  <c r="CM70" i="16" s="1"/>
  <c r="FO70" i="16" s="1"/>
  <c r="HC70" i="16" s="1"/>
  <c r="FB78" i="16"/>
  <c r="CB174" i="16"/>
  <c r="FD174" i="16" s="1"/>
  <c r="GR174" i="16" s="1"/>
  <c r="BZ5" i="16"/>
  <c r="FB5" i="16" s="1"/>
  <c r="GP5" i="16" s="1"/>
  <c r="BZ12" i="16"/>
  <c r="FB12" i="16" s="1"/>
  <c r="GP12" i="16" s="1"/>
  <c r="CA16" i="16"/>
  <c r="FC16" i="16" s="1"/>
  <c r="GQ16" i="16" s="1"/>
  <c r="FC26" i="16"/>
  <c r="GQ26" i="16" s="1"/>
  <c r="FB29" i="16"/>
  <c r="GP29" i="16" s="1"/>
  <c r="FD34" i="16"/>
  <c r="GR34" i="16" s="1"/>
  <c r="FA38" i="16"/>
  <c r="GO38" i="16" s="1"/>
  <c r="BZ54" i="16"/>
  <c r="FB54" i="16" s="1"/>
  <c r="BZ76" i="16"/>
  <c r="FB76" i="16" s="1"/>
  <c r="FE78" i="16"/>
  <c r="FA6" i="16"/>
  <c r="GO6" i="16" s="1"/>
  <c r="BZ72" i="16"/>
  <c r="FB72" i="16" s="1"/>
  <c r="GP72" i="16" s="1"/>
  <c r="CE174" i="16"/>
  <c r="FG174" i="16" s="1"/>
  <c r="GU174" i="16" s="1"/>
  <c r="CA13" i="16"/>
  <c r="CB13" i="16" s="1"/>
  <c r="FD13" i="16" s="1"/>
  <c r="GR13" i="16" s="1"/>
  <c r="BZ26" i="16"/>
  <c r="FB26" i="16" s="1"/>
  <c r="GP26" i="16" s="1"/>
  <c r="FA65" i="16"/>
  <c r="FB74" i="16"/>
  <c r="GP74" i="16" s="1"/>
  <c r="FA69" i="16"/>
  <c r="GO69" i="16" s="1"/>
  <c r="FG76" i="16"/>
  <c r="FG164" i="16"/>
  <c r="GU164" i="16" s="1"/>
  <c r="FI174" i="16"/>
  <c r="GW174" i="16" s="1"/>
  <c r="CH174" i="16"/>
  <c r="FJ174" i="16" s="1"/>
  <c r="GX174" i="16" s="1"/>
  <c r="CA9" i="16"/>
  <c r="FC9" i="16" s="1"/>
  <c r="GQ9" i="16" s="1"/>
  <c r="BZ13" i="16"/>
  <c r="FB13" i="16" s="1"/>
  <c r="GP13" i="16" s="1"/>
  <c r="FB11" i="16"/>
  <c r="GP11" i="16" s="1"/>
  <c r="FA27" i="16"/>
  <c r="GO27" i="16" s="1"/>
  <c r="FB31" i="16"/>
  <c r="GP31" i="16" s="1"/>
  <c r="CA40" i="16"/>
  <c r="FC40" i="16" s="1"/>
  <c r="GQ40" i="16" s="1"/>
  <c r="BZ43" i="16"/>
  <c r="FB43" i="16" s="1"/>
  <c r="GP43" i="16" s="1"/>
  <c r="FA73" i="16"/>
  <c r="GO73" i="16" s="1"/>
  <c r="FA67" i="16"/>
  <c r="GO67" i="16" s="1"/>
  <c r="FA161" i="16"/>
  <c r="GO161" i="16" s="1"/>
  <c r="FG165" i="16"/>
  <c r="GU165" i="16" s="1"/>
  <c r="CD174" i="16"/>
  <c r="FF174" i="16" s="1"/>
  <c r="GT174" i="16" s="1"/>
  <c r="FA8" i="16"/>
  <c r="GO8" i="16" s="1"/>
  <c r="BZ10" i="16"/>
  <c r="FB10" i="16" s="1"/>
  <c r="GP10" i="16" s="1"/>
  <c r="BZ16" i="16"/>
  <c r="FB16" i="16" s="1"/>
  <c r="GP16" i="16" s="1"/>
  <c r="FA10" i="16"/>
  <c r="GO10" i="16" s="1"/>
  <c r="BZ19" i="16"/>
  <c r="FB19" i="16" s="1"/>
  <c r="GP19" i="16" s="1"/>
  <c r="BZ28" i="16"/>
  <c r="FB28" i="16" s="1"/>
  <c r="GP28" i="16" s="1"/>
  <c r="BZ34" i="16"/>
  <c r="FB34" i="16" s="1"/>
  <c r="GP34" i="16" s="1"/>
  <c r="BZ44" i="16"/>
  <c r="FB44" i="16" s="1"/>
  <c r="GP44" i="16" s="1"/>
  <c r="BZ46" i="16"/>
  <c r="CA46" i="16" s="1"/>
  <c r="BZ53" i="16"/>
  <c r="FB53" i="16" s="1"/>
  <c r="GP53" i="16" s="1"/>
  <c r="FA59" i="16"/>
  <c r="GO59" i="16" s="1"/>
  <c r="FD66" i="16"/>
  <c r="BZ62" i="16"/>
  <c r="FB62" i="16" s="1"/>
  <c r="BZ64" i="16"/>
  <c r="FB64" i="16" s="1"/>
  <c r="FA62" i="16"/>
  <c r="CA71" i="16"/>
  <c r="FC71" i="16" s="1"/>
  <c r="GQ71" i="16" s="1"/>
  <c r="FA72" i="16"/>
  <c r="GO72" i="16" s="1"/>
  <c r="BZ159" i="16"/>
  <c r="CA159" i="16" s="1"/>
  <c r="FC159" i="16" s="1"/>
  <c r="GQ159" i="16" s="1"/>
  <c r="FA158" i="16"/>
  <c r="GO158" i="16" s="1"/>
  <c r="FA166" i="16"/>
  <c r="GO166" i="16" s="1"/>
  <c r="FB174" i="16"/>
  <c r="GP174" i="16" s="1"/>
  <c r="FA174" i="16"/>
  <c r="GO174" i="16" s="1"/>
  <c r="CA7" i="16"/>
  <c r="FC7" i="16" s="1"/>
  <c r="GQ7" i="16" s="1"/>
  <c r="FB3" i="16"/>
  <c r="GP3" i="16" s="1"/>
  <c r="FA40" i="16"/>
  <c r="GO40" i="16" s="1"/>
  <c r="FA45" i="16"/>
  <c r="GO45" i="16" s="1"/>
  <c r="BZ56" i="16"/>
  <c r="CA56" i="16" s="1"/>
  <c r="CB56" i="16" s="1"/>
  <c r="CA62" i="16"/>
  <c r="FC62" i="16" s="1"/>
  <c r="CB63" i="16"/>
  <c r="FD63" i="16" s="1"/>
  <c r="FB68" i="16"/>
  <c r="GP68" i="16" s="1"/>
  <c r="FC77" i="16"/>
  <c r="CE78" i="16"/>
  <c r="FG78" i="16" s="1"/>
  <c r="FA71" i="16"/>
  <c r="GO71" i="16" s="1"/>
  <c r="BZ156" i="16"/>
  <c r="CA156" i="16" s="1"/>
  <c r="CD156" i="16" s="1"/>
  <c r="FF156" i="16" s="1"/>
  <c r="GT156" i="16" s="1"/>
  <c r="FC157" i="16"/>
  <c r="GQ157" i="16" s="1"/>
  <c r="FA160" i="16"/>
  <c r="GO160" i="16" s="1"/>
  <c r="FA167" i="16"/>
  <c r="GO167" i="16" s="1"/>
  <c r="CA174" i="16"/>
  <c r="FC174" i="16" s="1"/>
  <c r="GQ174" i="16" s="1"/>
  <c r="CF174" i="16"/>
  <c r="FH174" i="16" s="1"/>
  <c r="GV174" i="16" s="1"/>
  <c r="CA8" i="16"/>
  <c r="FC8" i="16" s="1"/>
  <c r="GQ8" i="16" s="1"/>
  <c r="BZ7" i="16"/>
  <c r="FB7" i="16" s="1"/>
  <c r="GP7" i="16" s="1"/>
  <c r="CA15" i="16"/>
  <c r="FC15" i="16" s="1"/>
  <c r="GQ15" i="16" s="1"/>
  <c r="FA21" i="16"/>
  <c r="GO21" i="16" s="1"/>
  <c r="FA25" i="16"/>
  <c r="GO25" i="16" s="1"/>
  <c r="FA26" i="16"/>
  <c r="GO26" i="16" s="1"/>
  <c r="CA27" i="16"/>
  <c r="CB27" i="16" s="1"/>
  <c r="FD27" i="16" s="1"/>
  <c r="GR27" i="16" s="1"/>
  <c r="FA37" i="16"/>
  <c r="GO37" i="16" s="1"/>
  <c r="FA35" i="16"/>
  <c r="GO35" i="16" s="1"/>
  <c r="FA31" i="16"/>
  <c r="GO31" i="16" s="1"/>
  <c r="BZ45" i="16"/>
  <c r="FB45" i="16" s="1"/>
  <c r="GP45" i="16" s="1"/>
  <c r="FA48" i="16"/>
  <c r="GO48" i="16" s="1"/>
  <c r="BZ65" i="16"/>
  <c r="FB65" i="16" s="1"/>
  <c r="CA63" i="16"/>
  <c r="FC63" i="16" s="1"/>
  <c r="FC72" i="16"/>
  <c r="GQ72" i="16" s="1"/>
  <c r="CA67" i="16"/>
  <c r="CB67" i="16" s="1"/>
  <c r="CM67" i="16" s="1"/>
  <c r="FO67" i="16" s="1"/>
  <c r="HC67" i="16" s="1"/>
  <c r="CA78" i="16"/>
  <c r="FC78" i="16" s="1"/>
  <c r="CF78" i="16"/>
  <c r="FH78" i="16" s="1"/>
  <c r="FA79" i="16"/>
  <c r="FA14" i="16"/>
  <c r="GO14" i="16" s="1"/>
  <c r="FA66" i="16"/>
  <c r="FA74" i="16"/>
  <c r="GO74" i="16" s="1"/>
  <c r="BZ161" i="16"/>
  <c r="CA161" i="16" s="1"/>
  <c r="FC161" i="16" s="1"/>
  <c r="GQ161" i="16" s="1"/>
  <c r="FA165" i="16"/>
  <c r="GO165" i="16" s="1"/>
  <c r="FA170" i="16"/>
  <c r="GO170" i="16" s="1"/>
  <c r="FA2" i="16"/>
  <c r="GO2" i="16" s="1"/>
  <c r="FA5" i="16"/>
  <c r="GO5" i="16" s="1"/>
  <c r="FA9" i="16"/>
  <c r="GO9" i="16" s="1"/>
  <c r="FA15" i="16"/>
  <c r="GO15" i="16" s="1"/>
  <c r="CA29" i="16"/>
  <c r="CB29" i="16" s="1"/>
  <c r="FD29" i="16" s="1"/>
  <c r="GR29" i="16" s="1"/>
  <c r="FA28" i="16"/>
  <c r="GO28" i="16" s="1"/>
  <c r="CE34" i="16"/>
  <c r="FG34" i="16" s="1"/>
  <c r="GU34" i="16" s="1"/>
  <c r="BZ38" i="16"/>
  <c r="FB38" i="16" s="1"/>
  <c r="GP38" i="16" s="1"/>
  <c r="BZ39" i="16"/>
  <c r="CC39" i="16" s="1"/>
  <c r="FE39" i="16" s="1"/>
  <c r="GS39" i="16" s="1"/>
  <c r="CB40" i="16"/>
  <c r="FD40" i="16" s="1"/>
  <c r="GR40" i="16" s="1"/>
  <c r="BZ42" i="16"/>
  <c r="CC42" i="16" s="1"/>
  <c r="FE42" i="16" s="1"/>
  <c r="GS42" i="16" s="1"/>
  <c r="FA41" i="16"/>
  <c r="GO41" i="16" s="1"/>
  <c r="BZ48" i="16"/>
  <c r="FB48" i="16" s="1"/>
  <c r="GP48" i="16" s="1"/>
  <c r="FA49" i="16"/>
  <c r="GO49" i="16" s="1"/>
  <c r="FA50" i="16"/>
  <c r="GO50" i="16" s="1"/>
  <c r="FA57" i="16"/>
  <c r="BZ59" i="16"/>
  <c r="CA59" i="16" s="1"/>
  <c r="FC59" i="16" s="1"/>
  <c r="GQ59" i="16" s="1"/>
  <c r="BZ66" i="16"/>
  <c r="FB66" i="16" s="1"/>
  <c r="FA63" i="16"/>
  <c r="BZ69" i="16"/>
  <c r="FB69" i="16" s="1"/>
  <c r="GP69" i="16" s="1"/>
  <c r="BZ73" i="16"/>
  <c r="FB73" i="16" s="1"/>
  <c r="GP73" i="16" s="1"/>
  <c r="FA68" i="16"/>
  <c r="GO68" i="16" s="1"/>
  <c r="FA70" i="16"/>
  <c r="GO70" i="16" s="1"/>
  <c r="CC76" i="16"/>
  <c r="FE76" i="16" s="1"/>
  <c r="CE79" i="16"/>
  <c r="CF79" i="16" s="1"/>
  <c r="CG79" i="16" s="1"/>
  <c r="CH79" i="16" s="1"/>
  <c r="FJ79" i="16" s="1"/>
  <c r="FD76" i="16"/>
  <c r="FD79" i="16"/>
  <c r="CA66" i="16"/>
  <c r="FC66" i="16" s="1"/>
  <c r="BZ160" i="16"/>
  <c r="CA160" i="16" s="1"/>
  <c r="CG160" i="16" s="1"/>
  <c r="FI160" i="16" s="1"/>
  <c r="GW160" i="16" s="1"/>
  <c r="FA162" i="16"/>
  <c r="GO162" i="16" s="1"/>
  <c r="FA164" i="16"/>
  <c r="GO164" i="16" s="1"/>
  <c r="FG170" i="16"/>
  <c r="GU170" i="16" s="1"/>
  <c r="FA169" i="16"/>
  <c r="GO169" i="16" s="1"/>
  <c r="FC177" i="16"/>
  <c r="GQ177" i="16" s="1"/>
  <c r="FB8" i="16"/>
  <c r="GP8" i="16" s="1"/>
  <c r="CA4" i="16"/>
  <c r="CB4" i="16" s="1"/>
  <c r="CA14" i="16"/>
  <c r="FC14" i="16" s="1"/>
  <c r="GQ14" i="16" s="1"/>
  <c r="CA17" i="16"/>
  <c r="CB17" i="16" s="1"/>
  <c r="FD17" i="16" s="1"/>
  <c r="GR17" i="16" s="1"/>
  <c r="FA4" i="16"/>
  <c r="GO4" i="16" s="1"/>
  <c r="FA12" i="16"/>
  <c r="GO12" i="16" s="1"/>
  <c r="FA18" i="16"/>
  <c r="GO18" i="16" s="1"/>
  <c r="BZ23" i="16"/>
  <c r="FB23" i="16" s="1"/>
  <c r="GP23" i="16" s="1"/>
  <c r="FA29" i="16"/>
  <c r="GO29" i="16" s="1"/>
  <c r="FA32" i="16"/>
  <c r="GO32" i="16" s="1"/>
  <c r="CC40" i="16"/>
  <c r="FE40" i="16" s="1"/>
  <c r="GS40" i="16" s="1"/>
  <c r="BZ55" i="16"/>
  <c r="FB55" i="16" s="1"/>
  <c r="FA58" i="16"/>
  <c r="FA61" i="16"/>
  <c r="GO61" i="16" s="1"/>
  <c r="CB65" i="16"/>
  <c r="FD65" i="16" s="1"/>
  <c r="CA64" i="16"/>
  <c r="FC64" i="16" s="1"/>
  <c r="CA69" i="16"/>
  <c r="CB69" i="16" s="1"/>
  <c r="CG69" i="16" s="1"/>
  <c r="FI69" i="16" s="1"/>
  <c r="GW69" i="16" s="1"/>
  <c r="FB71" i="16"/>
  <c r="GP71" i="16" s="1"/>
  <c r="BZ75" i="16"/>
  <c r="FB75" i="16" s="1"/>
  <c r="GP75" i="16" s="1"/>
  <c r="CD76" i="16"/>
  <c r="FF76" i="16" s="1"/>
  <c r="CE77" i="16"/>
  <c r="CF77" i="16" s="1"/>
  <c r="CG77" i="16" s="1"/>
  <c r="CH77" i="16" s="1"/>
  <c r="FJ77" i="16" s="1"/>
  <c r="FD77" i="16"/>
  <c r="FA78" i="16"/>
  <c r="FA51" i="16"/>
  <c r="GO51" i="16" s="1"/>
  <c r="FA157" i="16"/>
  <c r="GO157" i="16" s="1"/>
  <c r="BZ167" i="16"/>
  <c r="CA167" i="16" s="1"/>
  <c r="FC167" i="16" s="1"/>
  <c r="GQ167" i="16" s="1"/>
  <c r="FA163" i="16"/>
  <c r="GO163" i="16" s="1"/>
  <c r="BZ168" i="16"/>
  <c r="FB168" i="16" s="1"/>
  <c r="GP168" i="16" s="1"/>
  <c r="FC173" i="16"/>
  <c r="GQ173" i="16" s="1"/>
  <c r="CC174" i="16"/>
  <c r="FE174" i="16" s="1"/>
  <c r="GS174" i="16" s="1"/>
  <c r="BZ17" i="16"/>
  <c r="FB17" i="16" s="1"/>
  <c r="GP17" i="16" s="1"/>
  <c r="FA11" i="16"/>
  <c r="GO11" i="16" s="1"/>
  <c r="CB28" i="16"/>
  <c r="FD28" i="16" s="1"/>
  <c r="GR28" i="16" s="1"/>
  <c r="BZ30" i="16"/>
  <c r="FB30" i="16" s="1"/>
  <c r="GP30" i="16" s="1"/>
  <c r="FA30" i="16"/>
  <c r="GO30" i="16" s="1"/>
  <c r="BZ40" i="16"/>
  <c r="FB40" i="16" s="1"/>
  <c r="GP40" i="16" s="1"/>
  <c r="GS47" i="16"/>
  <c r="FA47" i="16"/>
  <c r="GO47" i="16" s="1"/>
  <c r="FA52" i="16"/>
  <c r="GO52" i="16" s="1"/>
  <c r="FD58" i="16"/>
  <c r="FA60" i="16"/>
  <c r="GO60" i="16" s="1"/>
  <c r="CA65" i="16"/>
  <c r="FC65" i="16" s="1"/>
  <c r="FB70" i="16"/>
  <c r="GP70" i="16" s="1"/>
  <c r="FC79" i="16"/>
  <c r="CD78" i="16"/>
  <c r="FF78" i="16" s="1"/>
  <c r="FA77" i="16"/>
  <c r="BZ80" i="16"/>
  <c r="CA80" i="16" s="1"/>
  <c r="CB80" i="16" s="1"/>
  <c r="AG172" i="16"/>
  <c r="AG175" i="16"/>
  <c r="AG176" i="16"/>
  <c r="AG173" i="16"/>
  <c r="AG177" i="16"/>
  <c r="AG174" i="16"/>
  <c r="Z177" i="16"/>
  <c r="X177" i="16" s="1"/>
  <c r="Z173" i="16"/>
  <c r="X173" i="16" s="1"/>
  <c r="Z174" i="16"/>
  <c r="X174" i="16" s="1"/>
  <c r="Z176" i="16"/>
  <c r="X176" i="16" s="1"/>
  <c r="Z172" i="16"/>
  <c r="X172" i="16" s="1"/>
  <c r="Z175" i="16"/>
  <c r="X175" i="16" s="1"/>
  <c r="W138" i="16"/>
  <c r="CA68" i="16"/>
  <c r="CE68" i="16" s="1"/>
  <c r="FG68" i="16" s="1"/>
  <c r="GU68" i="16" s="1"/>
  <c r="CE40" i="16"/>
  <c r="CG40" i="16" s="1"/>
  <c r="CH40" i="16" s="1"/>
  <c r="FC170" i="16"/>
  <c r="GQ170" i="16" s="1"/>
  <c r="CB173" i="16"/>
  <c r="FD173" i="16" s="1"/>
  <c r="GR173" i="16" s="1"/>
  <c r="W85" i="16"/>
  <c r="AI172" i="16"/>
  <c r="W86" i="16"/>
  <c r="CA158" i="16"/>
  <c r="CB158" i="16" s="1"/>
  <c r="FD158" i="16" s="1"/>
  <c r="GR158" i="16" s="1"/>
  <c r="FF165" i="16"/>
  <c r="GT165" i="16" s="1"/>
  <c r="FD163" i="16"/>
  <c r="GR163" i="16" s="1"/>
  <c r="FD171" i="16"/>
  <c r="GR171" i="16" s="1"/>
  <c r="AI173" i="16"/>
  <c r="AI175" i="16"/>
  <c r="CB172" i="16"/>
  <c r="FD172" i="16" s="1"/>
  <c r="GR172" i="16" s="1"/>
  <c r="CB177" i="16"/>
  <c r="FD177" i="16" s="1"/>
  <c r="GR177" i="16" s="1"/>
  <c r="CB20" i="16"/>
  <c r="FD20" i="16" s="1"/>
  <c r="GR20" i="16" s="1"/>
  <c r="CA31" i="16"/>
  <c r="CE31" i="16" s="1"/>
  <c r="FB79" i="16"/>
  <c r="FB165" i="16"/>
  <c r="GP165" i="16" s="1"/>
  <c r="FF169" i="16"/>
  <c r="GT169" i="16" s="1"/>
  <c r="AI176" i="16"/>
  <c r="CC172" i="16"/>
  <c r="FE172" i="16" s="1"/>
  <c r="GS172" i="16" s="1"/>
  <c r="CB175" i="16"/>
  <c r="FD175" i="16" s="1"/>
  <c r="GR175" i="16" s="1"/>
  <c r="CC20" i="16"/>
  <c r="FE20" i="16" s="1"/>
  <c r="GS20" i="16" s="1"/>
  <c r="FB169" i="16"/>
  <c r="GP169" i="16" s="1"/>
  <c r="AI177" i="16"/>
  <c r="CC25" i="16"/>
  <c r="CH25" i="16" s="1"/>
  <c r="FJ25" i="16" s="1"/>
  <c r="GX25" i="16" s="1"/>
  <c r="CA74" i="16"/>
  <c r="CH74" i="16" s="1"/>
  <c r="FJ74" i="16" s="1"/>
  <c r="GX74" i="16" s="1"/>
  <c r="CF76" i="16"/>
  <c r="FH76" i="16" s="1"/>
  <c r="CB166" i="16"/>
  <c r="FC166" i="16"/>
  <c r="GQ166" i="16" s="1"/>
  <c r="CE156" i="16"/>
  <c r="FG156" i="16" s="1"/>
  <c r="GU156" i="16" s="1"/>
  <c r="FE164" i="16"/>
  <c r="GS164" i="16" s="1"/>
  <c r="FF20" i="16"/>
  <c r="GT20" i="16" s="1"/>
  <c r="CE20" i="16"/>
  <c r="CA162" i="16"/>
  <c r="FB166" i="16"/>
  <c r="GP166" i="16" s="1"/>
  <c r="FE165" i="16"/>
  <c r="GS165" i="16" s="1"/>
  <c r="FD164" i="16"/>
  <c r="GR164" i="16" s="1"/>
  <c r="FC163" i="16"/>
  <c r="GQ163" i="16" s="1"/>
  <c r="FC171" i="16"/>
  <c r="GQ171" i="16" s="1"/>
  <c r="FF170" i="16"/>
  <c r="GT170" i="16" s="1"/>
  <c r="FB170" i="16"/>
  <c r="GP170" i="16" s="1"/>
  <c r="FE169" i="16"/>
  <c r="GS169" i="16" s="1"/>
  <c r="CD172" i="16"/>
  <c r="CC173" i="16"/>
  <c r="FE173" i="16" s="1"/>
  <c r="GS173" i="16" s="1"/>
  <c r="CB176" i="16"/>
  <c r="FD176" i="16" s="1"/>
  <c r="GR176" i="16" s="1"/>
  <c r="CC177" i="16"/>
  <c r="FE177" i="16" s="1"/>
  <c r="GS177" i="16" s="1"/>
  <c r="FB173" i="16"/>
  <c r="GP173" i="16" s="1"/>
  <c r="FB177" i="16"/>
  <c r="GP177" i="16" s="1"/>
  <c r="CB5" i="16"/>
  <c r="FD5" i="16" s="1"/>
  <c r="GR5" i="16" s="1"/>
  <c r="FC5" i="16"/>
  <c r="GQ5" i="16" s="1"/>
  <c r="CB12" i="16"/>
  <c r="FD12" i="16" s="1"/>
  <c r="GR12" i="16" s="1"/>
  <c r="FC12" i="16"/>
  <c r="GQ12" i="16" s="1"/>
  <c r="FB157" i="16"/>
  <c r="GP157" i="16" s="1"/>
  <c r="FD165" i="16"/>
  <c r="GR165" i="16" s="1"/>
  <c r="FC164" i="16"/>
  <c r="GQ164" i="16" s="1"/>
  <c r="FF163" i="16"/>
  <c r="GT163" i="16" s="1"/>
  <c r="FB163" i="16"/>
  <c r="GP163" i="16" s="1"/>
  <c r="FF171" i="16"/>
  <c r="GT171" i="16" s="1"/>
  <c r="FB171" i="16"/>
  <c r="GP171" i="16" s="1"/>
  <c r="FE170" i="16"/>
  <c r="GS170" i="16" s="1"/>
  <c r="FD169" i="16"/>
  <c r="GR169" i="16" s="1"/>
  <c r="CA172" i="16"/>
  <c r="FC172" i="16" s="1"/>
  <c r="GQ172" i="16" s="1"/>
  <c r="CC176" i="16"/>
  <c r="FE176" i="16" s="1"/>
  <c r="GS176" i="16" s="1"/>
  <c r="FB176" i="16"/>
  <c r="GP176" i="16" s="1"/>
  <c r="FC165" i="16"/>
  <c r="GQ165" i="16" s="1"/>
  <c r="FF164" i="16"/>
  <c r="GT164" i="16" s="1"/>
  <c r="FB164" i="16"/>
  <c r="GP164" i="16" s="1"/>
  <c r="FE163" i="16"/>
  <c r="GS163" i="16" s="1"/>
  <c r="FE171" i="16"/>
  <c r="GS171" i="16" s="1"/>
  <c r="FD170" i="16"/>
  <c r="GR170" i="16" s="1"/>
  <c r="FC169" i="16"/>
  <c r="GQ169" i="16" s="1"/>
  <c r="FB175" i="16"/>
  <c r="GP175" i="16" s="1"/>
  <c r="CB10" i="16"/>
  <c r="CD10" i="16" s="1"/>
  <c r="FF10" i="16" s="1"/>
  <c r="GT10" i="16" s="1"/>
  <c r="CA20" i="16"/>
  <c r="FC20" i="16" s="1"/>
  <c r="GQ20" i="16" s="1"/>
  <c r="FB21" i="16"/>
  <c r="GP21" i="16" s="1"/>
  <c r="CB26" i="16"/>
  <c r="CA32" i="16"/>
  <c r="FC32" i="16" s="1"/>
  <c r="GQ32" i="16" s="1"/>
  <c r="FB32" i="16"/>
  <c r="GP32" i="16" s="1"/>
  <c r="CB35" i="16"/>
  <c r="FD35" i="16" s="1"/>
  <c r="GR35" i="16" s="1"/>
  <c r="CA35" i="16"/>
  <c r="FC35" i="16" s="1"/>
  <c r="GQ35" i="16" s="1"/>
  <c r="FB35" i="16"/>
  <c r="GP35" i="16" s="1"/>
  <c r="FE35" i="16"/>
  <c r="GS35" i="16" s="1"/>
  <c r="FC21" i="16"/>
  <c r="GQ21" i="16" s="1"/>
  <c r="CC37" i="16"/>
  <c r="CA37" i="16"/>
  <c r="FC37" i="16" s="1"/>
  <c r="GQ37" i="16" s="1"/>
  <c r="FB37" i="16"/>
  <c r="GP37" i="16" s="1"/>
  <c r="CB37" i="16"/>
  <c r="FD37" i="16" s="1"/>
  <c r="GR37" i="16" s="1"/>
  <c r="FD21" i="16"/>
  <c r="GR21" i="16" s="1"/>
  <c r="FB20" i="16"/>
  <c r="GP20" i="16" s="1"/>
  <c r="CB30" i="16"/>
  <c r="FD30" i="16" s="1"/>
  <c r="GR30" i="16" s="1"/>
  <c r="FC30" i="16"/>
  <c r="GQ30" i="16" s="1"/>
  <c r="FC18" i="16"/>
  <c r="GQ18" i="16" s="1"/>
  <c r="FE21" i="16"/>
  <c r="GS21" i="16" s="1"/>
  <c r="CA52" i="16"/>
  <c r="FB52" i="16"/>
  <c r="GP52" i="16" s="1"/>
  <c r="FD47" i="16"/>
  <c r="GR47" i="16" s="1"/>
  <c r="FC47" i="16"/>
  <c r="GQ47" i="16" s="1"/>
  <c r="FB49" i="16"/>
  <c r="GP49" i="16" s="1"/>
  <c r="CA50" i="16"/>
  <c r="FB50" i="16"/>
  <c r="GP50" i="16" s="1"/>
  <c r="FB47" i="16"/>
  <c r="GP47" i="16" s="1"/>
  <c r="FC49" i="16"/>
  <c r="GQ49" i="16" s="1"/>
  <c r="CA51" i="16"/>
  <c r="FB51" i="16"/>
  <c r="GP51" i="16" s="1"/>
  <c r="FD49" i="16"/>
  <c r="GR49" i="16" s="1"/>
  <c r="FC57" i="16"/>
  <c r="CB57" i="16"/>
  <c r="CF62" i="16"/>
  <c r="FH62" i="16" s="1"/>
  <c r="CE62" i="16"/>
  <c r="FG62" i="16" s="1"/>
  <c r="CD62" i="16"/>
  <c r="FF62" i="16" s="1"/>
  <c r="CH62" i="16"/>
  <c r="FE62" i="16"/>
  <c r="CG62" i="16"/>
  <c r="FI62" i="16" s="1"/>
  <c r="FB57" i="16"/>
  <c r="FE61" i="16"/>
  <c r="GS61" i="16" s="1"/>
  <c r="FD60" i="16"/>
  <c r="GR60" i="16" s="1"/>
  <c r="FD61" i="16"/>
  <c r="GR61" i="16" s="1"/>
  <c r="FC60" i="16"/>
  <c r="GQ60" i="16" s="1"/>
  <c r="FD62" i="16"/>
  <c r="FC70" i="16"/>
  <c r="GQ70" i="16" s="1"/>
  <c r="FC58" i="16"/>
  <c r="FC61" i="16"/>
  <c r="GQ61" i="16" s="1"/>
  <c r="FF60" i="16"/>
  <c r="GT60" i="16" s="1"/>
  <c r="FB60" i="16"/>
  <c r="GP60" i="16" s="1"/>
  <c r="CC66" i="16"/>
  <c r="CF66" i="16" s="1"/>
  <c r="FH66" i="16" s="1"/>
  <c r="FB58" i="16"/>
  <c r="FF61" i="16"/>
  <c r="GT61" i="16" s="1"/>
  <c r="FB61" i="16"/>
  <c r="GP61" i="16" s="1"/>
  <c r="FE60" i="16"/>
  <c r="GS60" i="16" s="1"/>
  <c r="FB77" i="16"/>
  <c r="CB72" i="16"/>
  <c r="CC79" i="16"/>
  <c r="FE79" i="16" s="1"/>
  <c r="CC77" i="16"/>
  <c r="FE77" i="16" s="1"/>
  <c r="CL70" i="16"/>
  <c r="FN70" i="16" s="1"/>
  <c r="HB70" i="16" s="1"/>
  <c r="CI58" i="16"/>
  <c r="FK58" i="16" s="1"/>
  <c r="CE58" i="16"/>
  <c r="FG58" i="16" s="1"/>
  <c r="CH58" i="16"/>
  <c r="FJ58" i="16" s="1"/>
  <c r="CD58" i="16"/>
  <c r="FF58" i="16" s="1"/>
  <c r="CF58" i="16"/>
  <c r="FH58" i="16" s="1"/>
  <c r="CG58" i="16"/>
  <c r="FI58" i="16" s="1"/>
  <c r="CC58" i="16"/>
  <c r="FE58" i="16" s="1"/>
  <c r="CJ58" i="16"/>
  <c r="GO44" i="16"/>
  <c r="CH49" i="16"/>
  <c r="CD49" i="16"/>
  <c r="FF49" i="16" s="1"/>
  <c r="GT49" i="16" s="1"/>
  <c r="CE49" i="16"/>
  <c r="FG49" i="16" s="1"/>
  <c r="GU49" i="16" s="1"/>
  <c r="CG49" i="16"/>
  <c r="FI49" i="16" s="1"/>
  <c r="GW49" i="16" s="1"/>
  <c r="CF49" i="16"/>
  <c r="FH49" i="16" s="1"/>
  <c r="GV49" i="16" s="1"/>
  <c r="CG47" i="16"/>
  <c r="FI47" i="16" s="1"/>
  <c r="GW47" i="16" s="1"/>
  <c r="CD47" i="16"/>
  <c r="FF47" i="16" s="1"/>
  <c r="GT47" i="16" s="1"/>
  <c r="CH47" i="16"/>
  <c r="CE47" i="16"/>
  <c r="FG47" i="16" s="1"/>
  <c r="GU47" i="16" s="1"/>
  <c r="CF47" i="16"/>
  <c r="FH47" i="16" s="1"/>
  <c r="GV47" i="16" s="1"/>
  <c r="GO42" i="16"/>
  <c r="CA41" i="16"/>
  <c r="FC41" i="16" s="1"/>
  <c r="GQ41" i="16" s="1"/>
  <c r="CD41" i="16"/>
  <c r="CC41" i="16"/>
  <c r="FE41" i="16" s="1"/>
  <c r="GS41" i="16" s="1"/>
  <c r="CB41" i="16"/>
  <c r="FD41" i="16" s="1"/>
  <c r="GR41" i="16" s="1"/>
  <c r="GO36" i="16"/>
  <c r="GO34" i="16"/>
  <c r="CA22" i="16"/>
  <c r="FC22" i="16" s="1"/>
  <c r="GQ22" i="16" s="1"/>
  <c r="CD22" i="16"/>
  <c r="CC22" i="16"/>
  <c r="FE22" i="16" s="1"/>
  <c r="GS22" i="16" s="1"/>
  <c r="CB22" i="16"/>
  <c r="FD22" i="16" s="1"/>
  <c r="GR22" i="16" s="1"/>
  <c r="GO17" i="16"/>
  <c r="GO13" i="16"/>
  <c r="CD18" i="16"/>
  <c r="CC18" i="16"/>
  <c r="FE18" i="16" s="1"/>
  <c r="GS18" i="16" s="1"/>
  <c r="CA11" i="16"/>
  <c r="CA6" i="16"/>
  <c r="GO177" i="16"/>
  <c r="GO176" i="16"/>
  <c r="GO175" i="16"/>
  <c r="GO173" i="16"/>
  <c r="GO172" i="16"/>
  <c r="CD177" i="16"/>
  <c r="CD176" i="16"/>
  <c r="CC175" i="16"/>
  <c r="FE175" i="16" s="1"/>
  <c r="GS175" i="16" s="1"/>
  <c r="CD175" i="16"/>
  <c r="CD173" i="16"/>
  <c r="GO168" i="16"/>
  <c r="GO156" i="16"/>
  <c r="CD157" i="16"/>
  <c r="FF157" i="16" s="1"/>
  <c r="GT157" i="16" s="1"/>
  <c r="CE157" i="16"/>
  <c r="FG157" i="16" s="1"/>
  <c r="GU157" i="16" s="1"/>
  <c r="CG157" i="16"/>
  <c r="CC157" i="16"/>
  <c r="FE157" i="16" s="1"/>
  <c r="GS157" i="16" s="1"/>
  <c r="CF157" i="16"/>
  <c r="FH157" i="16" s="1"/>
  <c r="GV157" i="16" s="1"/>
  <c r="CB157" i="16"/>
  <c r="FD157" i="16" s="1"/>
  <c r="GR157" i="16" s="1"/>
  <c r="I179" i="16"/>
  <c r="AL179" i="16"/>
  <c r="AM179" i="16"/>
  <c r="AN179" i="16"/>
  <c r="I180" i="16"/>
  <c r="AL180" i="16"/>
  <c r="AM180" i="16"/>
  <c r="AN180" i="16"/>
  <c r="I181" i="16"/>
  <c r="AL181" i="16"/>
  <c r="AM181" i="16"/>
  <c r="AN181" i="16"/>
  <c r="I182" i="16"/>
  <c r="AL182" i="16"/>
  <c r="AM182" i="16"/>
  <c r="AN182" i="16"/>
  <c r="I183" i="16"/>
  <c r="AL183" i="16"/>
  <c r="AM183" i="16"/>
  <c r="AN183" i="16"/>
  <c r="I184" i="16"/>
  <c r="AL184" i="16"/>
  <c r="AF184" i="16" s="1"/>
  <c r="AM184" i="16"/>
  <c r="AN184" i="16"/>
  <c r="I185" i="16"/>
  <c r="AL185" i="16"/>
  <c r="AF185" i="16" s="1"/>
  <c r="AM185" i="16"/>
  <c r="AN185" i="16"/>
  <c r="I186" i="16"/>
  <c r="AL186" i="16"/>
  <c r="AF186" i="16" s="1"/>
  <c r="AM186" i="16"/>
  <c r="AN186" i="16"/>
  <c r="I187" i="16"/>
  <c r="AL187" i="16"/>
  <c r="AF187" i="16" s="1"/>
  <c r="AM187" i="16"/>
  <c r="AN187" i="16"/>
  <c r="I188" i="16"/>
  <c r="AL188" i="16"/>
  <c r="AF188" i="16" s="1"/>
  <c r="AM188" i="16"/>
  <c r="AN188" i="16"/>
  <c r="I189" i="16"/>
  <c r="AL189" i="16"/>
  <c r="AF189" i="16" s="1"/>
  <c r="AM189" i="16"/>
  <c r="AN189" i="16"/>
  <c r="I190" i="16"/>
  <c r="AL190" i="16"/>
  <c r="AF190" i="16" s="1"/>
  <c r="AM190" i="16"/>
  <c r="AN190" i="16"/>
  <c r="I191" i="16"/>
  <c r="AL191" i="16"/>
  <c r="AF191" i="16" s="1"/>
  <c r="AM191" i="16"/>
  <c r="AN191" i="16"/>
  <c r="I192" i="16"/>
  <c r="AL192" i="16"/>
  <c r="AF192" i="16" s="1"/>
  <c r="AM192" i="16"/>
  <c r="AN192" i="16"/>
  <c r="I193" i="16"/>
  <c r="AL193" i="16"/>
  <c r="AF193" i="16" s="1"/>
  <c r="AM193" i="16"/>
  <c r="AN193" i="16"/>
  <c r="I194" i="16"/>
  <c r="AL194" i="16"/>
  <c r="AF194" i="16" s="1"/>
  <c r="AM194" i="16"/>
  <c r="AN194" i="16"/>
  <c r="I195" i="16"/>
  <c r="AL195" i="16"/>
  <c r="AF195" i="16" s="1"/>
  <c r="AM195" i="16"/>
  <c r="AN195" i="16"/>
  <c r="I196" i="16"/>
  <c r="AL196" i="16"/>
  <c r="AF196" i="16" s="1"/>
  <c r="AM196" i="16"/>
  <c r="AN196" i="16"/>
  <c r="F197" i="16"/>
  <c r="I197" i="16"/>
  <c r="AL197" i="16"/>
  <c r="AF197" i="16" s="1"/>
  <c r="AM197" i="16"/>
  <c r="AN197" i="16"/>
  <c r="I198" i="16"/>
  <c r="AL198" i="16"/>
  <c r="AF198" i="16" s="1"/>
  <c r="AM198" i="16"/>
  <c r="AN198" i="16"/>
  <c r="I199" i="16"/>
  <c r="AL199" i="16"/>
  <c r="AF199" i="16" s="1"/>
  <c r="AM199" i="16"/>
  <c r="AN199" i="16"/>
  <c r="FC29" i="16" l="1"/>
  <c r="GQ29" i="16" s="1"/>
  <c r="FB36" i="16"/>
  <c r="GP36" i="16" s="1"/>
  <c r="CD161" i="16"/>
  <c r="FF161" i="16" s="1"/>
  <c r="GT161" i="16" s="1"/>
  <c r="CC161" i="16"/>
  <c r="FE161" i="16" s="1"/>
  <c r="GS161" i="16" s="1"/>
  <c r="CD17" i="16"/>
  <c r="CE17" i="16" s="1"/>
  <c r="CC17" i="16"/>
  <c r="FE17" i="16" s="1"/>
  <c r="GS17" i="16" s="1"/>
  <c r="FC17" i="16"/>
  <c r="GQ17" i="16" s="1"/>
  <c r="CE160" i="16"/>
  <c r="FG160" i="16" s="1"/>
  <c r="GU160" i="16" s="1"/>
  <c r="CA45" i="16"/>
  <c r="FC45" i="16" s="1"/>
  <c r="GQ45" i="16" s="1"/>
  <c r="CF159" i="16"/>
  <c r="FH159" i="16" s="1"/>
  <c r="GV159" i="16" s="1"/>
  <c r="FC27" i="16"/>
  <c r="GQ27" i="16" s="1"/>
  <c r="CC156" i="16"/>
  <c r="FE156" i="16" s="1"/>
  <c r="GS156" i="16" s="1"/>
  <c r="CC28" i="16"/>
  <c r="FE28" i="16" s="1"/>
  <c r="GS28" i="16" s="1"/>
  <c r="CJ67" i="16"/>
  <c r="FL67" i="16" s="1"/>
  <c r="GZ67" i="16" s="1"/>
  <c r="CB2" i="16"/>
  <c r="FD2" i="16" s="1"/>
  <c r="GR2" i="16" s="1"/>
  <c r="CK67" i="16"/>
  <c r="FM67" i="16" s="1"/>
  <c r="HA67" i="16" s="1"/>
  <c r="CA42" i="16"/>
  <c r="FC42" i="16" s="1"/>
  <c r="GQ42" i="16" s="1"/>
  <c r="CA76" i="16"/>
  <c r="FC76" i="16" s="1"/>
  <c r="CA33" i="16"/>
  <c r="CE33" i="16" s="1"/>
  <c r="CF33" i="16" s="1"/>
  <c r="CK70" i="16"/>
  <c r="FM70" i="16" s="1"/>
  <c r="HA70" i="16" s="1"/>
  <c r="CI69" i="16"/>
  <c r="FK69" i="16" s="1"/>
  <c r="GY69" i="16" s="1"/>
  <c r="CB8" i="16"/>
  <c r="FD8" i="16" s="1"/>
  <c r="GR8" i="16" s="1"/>
  <c r="CB38" i="16"/>
  <c r="FD38" i="16" s="1"/>
  <c r="GR38" i="16" s="1"/>
  <c r="CA73" i="16"/>
  <c r="CM73" i="16" s="1"/>
  <c r="CB36" i="16"/>
  <c r="FD36" i="16" s="1"/>
  <c r="GR36" i="16" s="1"/>
  <c r="FB167" i="16"/>
  <c r="GP167" i="16" s="1"/>
  <c r="CJ160" i="16"/>
  <c r="FL160" i="16" s="1"/>
  <c r="GZ160" i="16" s="1"/>
  <c r="CA36" i="16"/>
  <c r="FC36" i="16" s="1"/>
  <c r="GQ36" i="16" s="1"/>
  <c r="CB167" i="16"/>
  <c r="CC167" i="16" s="1"/>
  <c r="CK160" i="16"/>
  <c r="FM160" i="16" s="1"/>
  <c r="HA160" i="16" s="1"/>
  <c r="CB14" i="16"/>
  <c r="CF14" i="16" s="1"/>
  <c r="FH14" i="16" s="1"/>
  <c r="GV14" i="16" s="1"/>
  <c r="CA48" i="16"/>
  <c r="CC48" i="16" s="1"/>
  <c r="FE48" i="16" s="1"/>
  <c r="GS48" i="16" s="1"/>
  <c r="CA24" i="16"/>
  <c r="FC24" i="16" s="1"/>
  <c r="GQ24" i="16" s="1"/>
  <c r="FG79" i="16"/>
  <c r="CB39" i="16"/>
  <c r="FD39" i="16" s="1"/>
  <c r="GR39" i="16" s="1"/>
  <c r="CB3" i="16"/>
  <c r="CF3" i="16" s="1"/>
  <c r="FH3" i="16" s="1"/>
  <c r="GV3" i="16" s="1"/>
  <c r="FB59" i="16"/>
  <c r="GP59" i="16" s="1"/>
  <c r="CA39" i="16"/>
  <c r="FC39" i="16" s="1"/>
  <c r="GQ39" i="16" s="1"/>
  <c r="CC63" i="16"/>
  <c r="CG63" i="16" s="1"/>
  <c r="CC64" i="16"/>
  <c r="CI64" i="16" s="1"/>
  <c r="CB59" i="16"/>
  <c r="CC59" i="16" s="1"/>
  <c r="FB39" i="16"/>
  <c r="GP39" i="16" s="1"/>
  <c r="CD39" i="16"/>
  <c r="FF39" i="16" s="1"/>
  <c r="GT39" i="16" s="1"/>
  <c r="CA23" i="16"/>
  <c r="FC23" i="16" s="1"/>
  <c r="GQ23" i="16" s="1"/>
  <c r="CI70" i="16"/>
  <c r="FK70" i="16" s="1"/>
  <c r="GY70" i="16" s="1"/>
  <c r="CH70" i="16"/>
  <c r="FJ70" i="16" s="1"/>
  <c r="GX70" i="16" s="1"/>
  <c r="CG70" i="16"/>
  <c r="FI70" i="16" s="1"/>
  <c r="GW70" i="16" s="1"/>
  <c r="CB15" i="16"/>
  <c r="CD15" i="16" s="1"/>
  <c r="FB161" i="16"/>
  <c r="GP161" i="16" s="1"/>
  <c r="CG156" i="16"/>
  <c r="CH156" i="16" s="1"/>
  <c r="CD159" i="16"/>
  <c r="FF159" i="16" s="1"/>
  <c r="GT159" i="16" s="1"/>
  <c r="CE161" i="16"/>
  <c r="FG161" i="16" s="1"/>
  <c r="GU161" i="16" s="1"/>
  <c r="CE159" i="16"/>
  <c r="FG159" i="16" s="1"/>
  <c r="GU159" i="16" s="1"/>
  <c r="CB161" i="16"/>
  <c r="FD161" i="16" s="1"/>
  <c r="GR161" i="16" s="1"/>
  <c r="CE70" i="16"/>
  <c r="FG70" i="16" s="1"/>
  <c r="GU70" i="16" s="1"/>
  <c r="CD70" i="16"/>
  <c r="FF70" i="16" s="1"/>
  <c r="GT70" i="16" s="1"/>
  <c r="CC70" i="16"/>
  <c r="FE70" i="16" s="1"/>
  <c r="GS70" i="16" s="1"/>
  <c r="FD70" i="16"/>
  <c r="GR70" i="16" s="1"/>
  <c r="CA53" i="16"/>
  <c r="FC53" i="16" s="1"/>
  <c r="GQ53" i="16" s="1"/>
  <c r="FC13" i="16"/>
  <c r="GQ13" i="16" s="1"/>
  <c r="CF156" i="16"/>
  <c r="FH156" i="16" s="1"/>
  <c r="GV156" i="16" s="1"/>
  <c r="FC156" i="16"/>
  <c r="GQ156" i="16" s="1"/>
  <c r="CB159" i="16"/>
  <c r="FD159" i="16" s="1"/>
  <c r="GR159" i="16" s="1"/>
  <c r="CC159" i="16"/>
  <c r="FE159" i="16" s="1"/>
  <c r="GS159" i="16" s="1"/>
  <c r="CF161" i="16"/>
  <c r="CG161" i="16" s="1"/>
  <c r="CF70" i="16"/>
  <c r="FH70" i="16" s="1"/>
  <c r="GV70" i="16" s="1"/>
  <c r="CJ70" i="16"/>
  <c r="FL70" i="16" s="1"/>
  <c r="GZ70" i="16" s="1"/>
  <c r="CN70" i="16"/>
  <c r="FP70" i="16" s="1"/>
  <c r="HD70" i="16" s="1"/>
  <c r="FB156" i="16"/>
  <c r="GP156" i="16" s="1"/>
  <c r="CB156" i="16"/>
  <c r="FD156" i="16" s="1"/>
  <c r="GR156" i="16" s="1"/>
  <c r="FB159" i="16"/>
  <c r="GP159" i="16" s="1"/>
  <c r="CA55" i="16"/>
  <c r="FC55" i="16" s="1"/>
  <c r="CA44" i="16"/>
  <c r="FC44" i="16" s="1"/>
  <c r="GQ44" i="16" s="1"/>
  <c r="CD12" i="16"/>
  <c r="FF12" i="16" s="1"/>
  <c r="GT12" i="16" s="1"/>
  <c r="FH79" i="16"/>
  <c r="CL67" i="16"/>
  <c r="FN67" i="16" s="1"/>
  <c r="HB67" i="16" s="1"/>
  <c r="CA54" i="16"/>
  <c r="FC54" i="16" s="1"/>
  <c r="FG40" i="16"/>
  <c r="GU40" i="16" s="1"/>
  <c r="CB16" i="16"/>
  <c r="CD16" i="16" s="1"/>
  <c r="CE16" i="16" s="1"/>
  <c r="CB7" i="16"/>
  <c r="CD7" i="16" s="1"/>
  <c r="FF7" i="16" s="1"/>
  <c r="GT7" i="16" s="1"/>
  <c r="CB42" i="16"/>
  <c r="FD42" i="16" s="1"/>
  <c r="GR42" i="16" s="1"/>
  <c r="CD42" i="16"/>
  <c r="FF42" i="16" s="1"/>
  <c r="GT42" i="16" s="1"/>
  <c r="CB9" i="16"/>
  <c r="FD9" i="16" s="1"/>
  <c r="GR9" i="16" s="1"/>
  <c r="FB42" i="16"/>
  <c r="GP42" i="16" s="1"/>
  <c r="FI79" i="16"/>
  <c r="CB71" i="16"/>
  <c r="CF71" i="16" s="1"/>
  <c r="FH71" i="16" s="1"/>
  <c r="GV71" i="16" s="1"/>
  <c r="CI67" i="16"/>
  <c r="FK67" i="16" s="1"/>
  <c r="GY67" i="16" s="1"/>
  <c r="FC56" i="16"/>
  <c r="CA75" i="16"/>
  <c r="FC75" i="16" s="1"/>
  <c r="GQ75" i="16" s="1"/>
  <c r="CN67" i="16"/>
  <c r="FP67" i="16" s="1"/>
  <c r="HD67" i="16" s="1"/>
  <c r="FD67" i="16"/>
  <c r="GR67" i="16" s="1"/>
  <c r="FB56" i="16"/>
  <c r="CA43" i="16"/>
  <c r="CC43" i="16" s="1"/>
  <c r="FE43" i="16" s="1"/>
  <c r="GS43" i="16" s="1"/>
  <c r="FC80" i="16"/>
  <c r="GQ80" i="16" s="1"/>
  <c r="CE67" i="16"/>
  <c r="FG67" i="16" s="1"/>
  <c r="GU67" i="16" s="1"/>
  <c r="FC67" i="16"/>
  <c r="GQ67" i="16" s="1"/>
  <c r="CC67" i="16"/>
  <c r="FE67" i="16" s="1"/>
  <c r="GS67" i="16" s="1"/>
  <c r="CD67" i="16"/>
  <c r="FF67" i="16" s="1"/>
  <c r="GT67" i="16" s="1"/>
  <c r="CC65" i="16"/>
  <c r="CF65" i="16" s="1"/>
  <c r="FH65" i="16" s="1"/>
  <c r="CF67" i="16"/>
  <c r="FH67" i="16" s="1"/>
  <c r="GV67" i="16" s="1"/>
  <c r="CG67" i="16"/>
  <c r="FI67" i="16" s="1"/>
  <c r="GW67" i="16" s="1"/>
  <c r="CH67" i="16"/>
  <c r="FJ67" i="16" s="1"/>
  <c r="GX67" i="16" s="1"/>
  <c r="CB46" i="16"/>
  <c r="FC46" i="16"/>
  <c r="GQ46" i="16" s="1"/>
  <c r="CI160" i="16"/>
  <c r="FK160" i="16" s="1"/>
  <c r="GY160" i="16" s="1"/>
  <c r="CH160" i="16"/>
  <c r="FJ160" i="16" s="1"/>
  <c r="GX160" i="16" s="1"/>
  <c r="FC160" i="16"/>
  <c r="GQ160" i="16" s="1"/>
  <c r="CA168" i="16"/>
  <c r="CB168" i="16" s="1"/>
  <c r="CC168" i="16" s="1"/>
  <c r="FE168" i="16" s="1"/>
  <c r="GS168" i="16" s="1"/>
  <c r="CC38" i="16"/>
  <c r="FE38" i="16" s="1"/>
  <c r="GS38" i="16" s="1"/>
  <c r="CD160" i="16"/>
  <c r="FF160" i="16" s="1"/>
  <c r="GT160" i="16" s="1"/>
  <c r="CB160" i="16"/>
  <c r="FD160" i="16" s="1"/>
  <c r="GR160" i="16" s="1"/>
  <c r="CC160" i="16"/>
  <c r="FE160" i="16" s="1"/>
  <c r="GS160" i="16" s="1"/>
  <c r="CA38" i="16"/>
  <c r="FC38" i="16" s="1"/>
  <c r="GQ38" i="16" s="1"/>
  <c r="FB46" i="16"/>
  <c r="GP46" i="16" s="1"/>
  <c r="CG78" i="16"/>
  <c r="CI78" i="16" s="1"/>
  <c r="FK78" i="16" s="1"/>
  <c r="CA19" i="16"/>
  <c r="FC19" i="16" s="1"/>
  <c r="GQ19" i="16" s="1"/>
  <c r="FB160" i="16"/>
  <c r="GP160" i="16" s="1"/>
  <c r="CL160" i="16"/>
  <c r="FN160" i="16" s="1"/>
  <c r="HB160" i="16" s="1"/>
  <c r="CF160" i="16"/>
  <c r="FH160" i="16" s="1"/>
  <c r="GV160" i="16" s="1"/>
  <c r="FD4" i="16"/>
  <c r="GR4" i="16" s="1"/>
  <c r="CF4" i="16"/>
  <c r="FH4" i="16" s="1"/>
  <c r="GV4" i="16" s="1"/>
  <c r="CD69" i="16"/>
  <c r="FF69" i="16" s="1"/>
  <c r="GT69" i="16" s="1"/>
  <c r="FD69" i="16"/>
  <c r="GR69" i="16" s="1"/>
  <c r="FC4" i="16"/>
  <c r="GQ4" i="16" s="1"/>
  <c r="FB80" i="16"/>
  <c r="GP80" i="16" s="1"/>
  <c r="CH69" i="16"/>
  <c r="FJ69" i="16" s="1"/>
  <c r="GX69" i="16" s="1"/>
  <c r="CF69" i="16"/>
  <c r="FH69" i="16" s="1"/>
  <c r="GV69" i="16" s="1"/>
  <c r="CC69" i="16"/>
  <c r="FE69" i="16" s="1"/>
  <c r="GS69" i="16" s="1"/>
  <c r="FH77" i="16"/>
  <c r="FI77" i="16"/>
  <c r="CE69" i="16"/>
  <c r="FG69" i="16" s="1"/>
  <c r="GU69" i="16" s="1"/>
  <c r="CJ69" i="16"/>
  <c r="FL69" i="16" s="1"/>
  <c r="GZ69" i="16" s="1"/>
  <c r="FC69" i="16"/>
  <c r="GQ69" i="16" s="1"/>
  <c r="FG77" i="16"/>
  <c r="CI74" i="16"/>
  <c r="FK74" i="16" s="1"/>
  <c r="GY74" i="16" s="1"/>
  <c r="CD158" i="16"/>
  <c r="FF158" i="16" s="1"/>
  <c r="GT158" i="16" s="1"/>
  <c r="CC74" i="16"/>
  <c r="FE74" i="16" s="1"/>
  <c r="GS74" i="16" s="1"/>
  <c r="CH4" i="16"/>
  <c r="CI4" i="16" s="1"/>
  <c r="CH30" i="16"/>
  <c r="CI30" i="16" s="1"/>
  <c r="FK30" i="16" s="1"/>
  <c r="GY30" i="16" s="1"/>
  <c r="CF29" i="16"/>
  <c r="FH29" i="16" s="1"/>
  <c r="GV29" i="16" s="1"/>
  <c r="CD29" i="16"/>
  <c r="FF29" i="16" s="1"/>
  <c r="GT29" i="16" s="1"/>
  <c r="CF28" i="16"/>
  <c r="FH28" i="16" s="1"/>
  <c r="GV28" i="16" s="1"/>
  <c r="CF30" i="16"/>
  <c r="FH30" i="16" s="1"/>
  <c r="GV30" i="16" s="1"/>
  <c r="CE29" i="16"/>
  <c r="FG29" i="16" s="1"/>
  <c r="GU29" i="16" s="1"/>
  <c r="CH29" i="16"/>
  <c r="CI29" i="16" s="1"/>
  <c r="FK29" i="16" s="1"/>
  <c r="GY29" i="16" s="1"/>
  <c r="CD30" i="16"/>
  <c r="FF30" i="16" s="1"/>
  <c r="GT30" i="16" s="1"/>
  <c r="CC30" i="16"/>
  <c r="FE30" i="16" s="1"/>
  <c r="GS30" i="16" s="1"/>
  <c r="CC29" i="16"/>
  <c r="FE29" i="16" s="1"/>
  <c r="GS29" i="16" s="1"/>
  <c r="CM68" i="16"/>
  <c r="CN68" i="16" s="1"/>
  <c r="CF68" i="16"/>
  <c r="FH68" i="16" s="1"/>
  <c r="GV68" i="16" s="1"/>
  <c r="FE25" i="16"/>
  <c r="GS25" i="16" s="1"/>
  <c r="CE30" i="16"/>
  <c r="FG30" i="16" s="1"/>
  <c r="GU30" i="16" s="1"/>
  <c r="CG30" i="16"/>
  <c r="FI30" i="16" s="1"/>
  <c r="GW30" i="16" s="1"/>
  <c r="CG29" i="16"/>
  <c r="FI29" i="16" s="1"/>
  <c r="GW29" i="16" s="1"/>
  <c r="CI68" i="16"/>
  <c r="FK68" i="16" s="1"/>
  <c r="GY68" i="16" s="1"/>
  <c r="CK68" i="16"/>
  <c r="FM68" i="16" s="1"/>
  <c r="HA68" i="16" s="1"/>
  <c r="CH28" i="16"/>
  <c r="FJ28" i="16" s="1"/>
  <c r="GX28" i="16" s="1"/>
  <c r="CB32" i="16"/>
  <c r="FD32" i="16" s="1"/>
  <c r="GR32" i="16" s="1"/>
  <c r="CB24" i="16"/>
  <c r="FD24" i="16" s="1"/>
  <c r="GR24" i="16" s="1"/>
  <c r="CC5" i="16"/>
  <c r="FE5" i="16" s="1"/>
  <c r="GS5" i="16" s="1"/>
  <c r="CE32" i="16"/>
  <c r="CF32" i="16" s="1"/>
  <c r="CF5" i="16"/>
  <c r="FH5" i="16" s="1"/>
  <c r="GV5" i="16" s="1"/>
  <c r="CD32" i="16"/>
  <c r="FF32" i="16" s="1"/>
  <c r="GT32" i="16" s="1"/>
  <c r="FI40" i="16"/>
  <c r="GW40" i="16" s="1"/>
  <c r="CC32" i="16"/>
  <c r="FE32" i="16" s="1"/>
  <c r="GS32" i="16" s="1"/>
  <c r="CF40" i="16"/>
  <c r="FH40" i="16" s="1"/>
  <c r="GV40" i="16" s="1"/>
  <c r="CF74" i="16"/>
  <c r="FH74" i="16" s="1"/>
  <c r="GV74" i="16" s="1"/>
  <c r="CD74" i="16"/>
  <c r="FF74" i="16" s="1"/>
  <c r="GT74" i="16" s="1"/>
  <c r="CB74" i="16"/>
  <c r="FD74" i="16" s="1"/>
  <c r="GR74" i="16" s="1"/>
  <c r="CD4" i="16"/>
  <c r="FF4" i="16" s="1"/>
  <c r="GT4" i="16" s="1"/>
  <c r="CE66" i="16"/>
  <c r="FG66" i="16" s="1"/>
  <c r="CJ74" i="16"/>
  <c r="FL74" i="16" s="1"/>
  <c r="GZ74" i="16" s="1"/>
  <c r="CE74" i="16"/>
  <c r="FG74" i="16" s="1"/>
  <c r="GU74" i="16" s="1"/>
  <c r="CM74" i="16"/>
  <c r="CN74" i="16" s="1"/>
  <c r="CK74" i="16"/>
  <c r="FM74" i="16" s="1"/>
  <c r="HA74" i="16" s="1"/>
  <c r="CE4" i="16"/>
  <c r="FG4" i="16" s="1"/>
  <c r="GU4" i="16" s="1"/>
  <c r="FC74" i="16"/>
  <c r="GQ74" i="16" s="1"/>
  <c r="CB31" i="16"/>
  <c r="FD31" i="16" s="1"/>
  <c r="GR31" i="16" s="1"/>
  <c r="AF183" i="16"/>
  <c r="AA183" i="16" s="1"/>
  <c r="W183" i="16" s="1"/>
  <c r="AF182" i="16"/>
  <c r="AA182" i="16" s="1"/>
  <c r="W182" i="16" s="1"/>
  <c r="AF181" i="16"/>
  <c r="AA181" i="16" s="1"/>
  <c r="W181" i="16" s="1"/>
  <c r="AF180" i="16"/>
  <c r="AA180" i="16" s="1"/>
  <c r="W180" i="16" s="1"/>
  <c r="AF179" i="16"/>
  <c r="AA179" i="16" s="1"/>
  <c r="W179" i="16" s="1"/>
  <c r="CD13" i="16"/>
  <c r="FF13" i="16" s="1"/>
  <c r="GT13" i="16" s="1"/>
  <c r="CE10" i="16"/>
  <c r="FG10" i="16" s="1"/>
  <c r="GU10" i="16" s="1"/>
  <c r="CE25" i="16"/>
  <c r="FG25" i="16" s="1"/>
  <c r="GU25" i="16" s="1"/>
  <c r="CH27" i="16"/>
  <c r="CI27" i="16" s="1"/>
  <c r="CG76" i="16"/>
  <c r="FI76" i="16" s="1"/>
  <c r="CF25" i="16"/>
  <c r="FH25" i="16" s="1"/>
  <c r="GV25" i="16" s="1"/>
  <c r="CF10" i="16"/>
  <c r="CG10" i="16" s="1"/>
  <c r="CC12" i="16"/>
  <c r="FE12" i="16" s="1"/>
  <c r="GS12" i="16" s="1"/>
  <c r="CG27" i="16"/>
  <c r="FI27" i="16" s="1"/>
  <c r="GW27" i="16" s="1"/>
  <c r="CC68" i="16"/>
  <c r="FE68" i="16" s="1"/>
  <c r="GS68" i="16" s="1"/>
  <c r="CH68" i="16"/>
  <c r="FJ68" i="16" s="1"/>
  <c r="GX68" i="16" s="1"/>
  <c r="CE158" i="16"/>
  <c r="FG158" i="16" s="1"/>
  <c r="GU158" i="16" s="1"/>
  <c r="CF12" i="16"/>
  <c r="CG12" i="16" s="1"/>
  <c r="FC68" i="16"/>
  <c r="GQ68" i="16" s="1"/>
  <c r="CB68" i="16"/>
  <c r="FD68" i="16" s="1"/>
  <c r="GR68" i="16" s="1"/>
  <c r="CG68" i="16"/>
  <c r="FI68" i="16" s="1"/>
  <c r="GW68" i="16" s="1"/>
  <c r="CL68" i="16"/>
  <c r="FN68" i="16" s="1"/>
  <c r="HB68" i="16" s="1"/>
  <c r="FC158" i="16"/>
  <c r="GQ158" i="16" s="1"/>
  <c r="CE12" i="16"/>
  <c r="FG12" i="16" s="1"/>
  <c r="GU12" i="16" s="1"/>
  <c r="CE27" i="16"/>
  <c r="FG27" i="16" s="1"/>
  <c r="GU27" i="16" s="1"/>
  <c r="CJ68" i="16"/>
  <c r="FL68" i="16" s="1"/>
  <c r="GZ68" i="16" s="1"/>
  <c r="CD68" i="16"/>
  <c r="FF68" i="16" s="1"/>
  <c r="GT68" i="16" s="1"/>
  <c r="AA198" i="16"/>
  <c r="W198" i="16" s="1"/>
  <c r="CF13" i="16"/>
  <c r="FH13" i="16" s="1"/>
  <c r="GV13" i="16" s="1"/>
  <c r="AA199" i="16"/>
  <c r="W199" i="16" s="1"/>
  <c r="AA197" i="16"/>
  <c r="W197" i="16" s="1"/>
  <c r="AA196" i="16"/>
  <c r="W196" i="16" s="1"/>
  <c r="AA195" i="16"/>
  <c r="W195" i="16" s="1"/>
  <c r="AA194" i="16"/>
  <c r="W194" i="16" s="1"/>
  <c r="AA193" i="16"/>
  <c r="W193" i="16" s="1"/>
  <c r="AA192" i="16"/>
  <c r="W192" i="16" s="1"/>
  <c r="AA191" i="16"/>
  <c r="W191" i="16" s="1"/>
  <c r="AA190" i="16"/>
  <c r="W190" i="16" s="1"/>
  <c r="AA189" i="16"/>
  <c r="W189" i="16" s="1"/>
  <c r="AA188" i="16"/>
  <c r="W188" i="16" s="1"/>
  <c r="AA187" i="16"/>
  <c r="W187" i="16" s="1"/>
  <c r="AA186" i="16"/>
  <c r="W186" i="16" s="1"/>
  <c r="AA185" i="16"/>
  <c r="W185" i="16" s="1"/>
  <c r="AA184" i="16"/>
  <c r="W184" i="16" s="1"/>
  <c r="CD5" i="16"/>
  <c r="FF5" i="16" s="1"/>
  <c r="GT5" i="16" s="1"/>
  <c r="CH5" i="16"/>
  <c r="CI5" i="16" s="1"/>
  <c r="CG4" i="16"/>
  <c r="FI4" i="16" s="1"/>
  <c r="GW4" i="16" s="1"/>
  <c r="CE13" i="16"/>
  <c r="FG13" i="16" s="1"/>
  <c r="GU13" i="16" s="1"/>
  <c r="CF27" i="16"/>
  <c r="FH27" i="16" s="1"/>
  <c r="GV27" i="16" s="1"/>
  <c r="CG28" i="16"/>
  <c r="FI28" i="16" s="1"/>
  <c r="GW28" i="16" s="1"/>
  <c r="CD31" i="16"/>
  <c r="FF31" i="16" s="1"/>
  <c r="GT31" i="16" s="1"/>
  <c r="CD25" i="16"/>
  <c r="FF25" i="16" s="1"/>
  <c r="GT25" i="16" s="1"/>
  <c r="CG5" i="16"/>
  <c r="FI5" i="16" s="1"/>
  <c r="GW5" i="16" s="1"/>
  <c r="CE5" i="16"/>
  <c r="FG5" i="16" s="1"/>
  <c r="GU5" i="16" s="1"/>
  <c r="CC4" i="16"/>
  <c r="FE4" i="16" s="1"/>
  <c r="GS4" i="16" s="1"/>
  <c r="CC13" i="16"/>
  <c r="FE13" i="16" s="1"/>
  <c r="GS13" i="16" s="1"/>
  <c r="CD27" i="16"/>
  <c r="FF27" i="16" s="1"/>
  <c r="GT27" i="16" s="1"/>
  <c r="CC27" i="16"/>
  <c r="FE27" i="16" s="1"/>
  <c r="GS27" i="16" s="1"/>
  <c r="CD28" i="16"/>
  <c r="FF28" i="16" s="1"/>
  <c r="GT28" i="16" s="1"/>
  <c r="CG25" i="16"/>
  <c r="FI25" i="16" s="1"/>
  <c r="GW25" i="16" s="1"/>
  <c r="CI25" i="16"/>
  <c r="FK25" i="16" s="1"/>
  <c r="GY25" i="16" s="1"/>
  <c r="BQ192" i="16"/>
  <c r="BR192" i="16"/>
  <c r="BP192" i="16" s="1"/>
  <c r="BQ186" i="16"/>
  <c r="BR186" i="16"/>
  <c r="BP186" i="16" s="1"/>
  <c r="BQ182" i="16"/>
  <c r="BR182" i="16"/>
  <c r="BP182" i="16" s="1"/>
  <c r="BQ194" i="16"/>
  <c r="BR194" i="16"/>
  <c r="BP194" i="16" s="1"/>
  <c r="BQ189" i="16"/>
  <c r="BR189" i="16"/>
  <c r="BP189" i="16" s="1"/>
  <c r="BQ183" i="16"/>
  <c r="BR183" i="16"/>
  <c r="BP183" i="16" s="1"/>
  <c r="BQ195" i="16"/>
  <c r="BR195" i="16"/>
  <c r="BP195" i="16" s="1"/>
  <c r="BQ190" i="16"/>
  <c r="BR190" i="16"/>
  <c r="BP190" i="16" s="1"/>
  <c r="BQ185" i="16"/>
  <c r="BR185" i="16"/>
  <c r="BP185" i="16" s="1"/>
  <c r="BQ180" i="16"/>
  <c r="BR180" i="16"/>
  <c r="BP180" i="16" s="1"/>
  <c r="BQ196" i="16"/>
  <c r="BR196" i="16"/>
  <c r="BP196" i="16" s="1"/>
  <c r="BQ193" i="16"/>
  <c r="BR193" i="16"/>
  <c r="BP193" i="16" s="1"/>
  <c r="BQ191" i="16"/>
  <c r="BR191" i="16"/>
  <c r="BP191" i="16" s="1"/>
  <c r="BQ188" i="16"/>
  <c r="BR188" i="16"/>
  <c r="BP188" i="16" s="1"/>
  <c r="BQ187" i="16"/>
  <c r="BR187" i="16"/>
  <c r="BP187" i="16" s="1"/>
  <c r="BR184" i="16"/>
  <c r="BP184" i="16" s="1"/>
  <c r="BQ184" i="16"/>
  <c r="BQ181" i="16"/>
  <c r="BR181" i="16"/>
  <c r="BP181" i="16" s="1"/>
  <c r="BQ179" i="16"/>
  <c r="BR179" i="16"/>
  <c r="BP179" i="16" s="1"/>
  <c r="BQ199" i="16"/>
  <c r="BR199" i="16"/>
  <c r="BP199" i="16" s="1"/>
  <c r="BQ198" i="16"/>
  <c r="BR198" i="16"/>
  <c r="BP198" i="16" s="1"/>
  <c r="BQ197" i="16"/>
  <c r="BR197" i="16"/>
  <c r="BP197" i="16" s="1"/>
  <c r="FC31" i="16"/>
  <c r="GQ31" i="16" s="1"/>
  <c r="CC31" i="16"/>
  <c r="FE31" i="16" s="1"/>
  <c r="GS31" i="16" s="1"/>
  <c r="CG74" i="16"/>
  <c r="FI74" i="16" s="1"/>
  <c r="GW74" i="16" s="1"/>
  <c r="CL74" i="16"/>
  <c r="FN74" i="16" s="1"/>
  <c r="HB74" i="16" s="1"/>
  <c r="CF158" i="16"/>
  <c r="CC158" i="16"/>
  <c r="FE158" i="16" s="1"/>
  <c r="GS158" i="16" s="1"/>
  <c r="CE176" i="16"/>
  <c r="FG176" i="16" s="1"/>
  <c r="GU176" i="16" s="1"/>
  <c r="FF176" i="16"/>
  <c r="GT176" i="16" s="1"/>
  <c r="FD72" i="16"/>
  <c r="GR72" i="16" s="1"/>
  <c r="CE72" i="16"/>
  <c r="CD72" i="16"/>
  <c r="FF72" i="16" s="1"/>
  <c r="GT72" i="16" s="1"/>
  <c r="CC72" i="16"/>
  <c r="FE72" i="16" s="1"/>
  <c r="GS72" i="16" s="1"/>
  <c r="CB51" i="16"/>
  <c r="FC51" i="16"/>
  <c r="GQ51" i="16" s="1"/>
  <c r="CF31" i="16"/>
  <c r="FG31" i="16"/>
  <c r="GU31" i="16" s="1"/>
  <c r="CL40" i="16"/>
  <c r="FN40" i="16" s="1"/>
  <c r="HB40" i="16" s="1"/>
  <c r="CK40" i="16"/>
  <c r="FM40" i="16" s="1"/>
  <c r="HA40" i="16" s="1"/>
  <c r="CJ40" i="16"/>
  <c r="FL40" i="16" s="1"/>
  <c r="GZ40" i="16" s="1"/>
  <c r="FJ40" i="16"/>
  <c r="GX40" i="16" s="1"/>
  <c r="CM40" i="16"/>
  <c r="FO40" i="16" s="1"/>
  <c r="HC40" i="16" s="1"/>
  <c r="CI40" i="16"/>
  <c r="FK40" i="16" s="1"/>
  <c r="GY40" i="16" s="1"/>
  <c r="FD26" i="16"/>
  <c r="GR26" i="16" s="1"/>
  <c r="CE26" i="16"/>
  <c r="FG26" i="16" s="1"/>
  <c r="GU26" i="16" s="1"/>
  <c r="CH26" i="16"/>
  <c r="CD26" i="16"/>
  <c r="FF26" i="16" s="1"/>
  <c r="GT26" i="16" s="1"/>
  <c r="CG26" i="16"/>
  <c r="FI26" i="16" s="1"/>
  <c r="GW26" i="16" s="1"/>
  <c r="CC26" i="16"/>
  <c r="FE26" i="16" s="1"/>
  <c r="GS26" i="16" s="1"/>
  <c r="CF26" i="16"/>
  <c r="FH26" i="16" s="1"/>
  <c r="GV26" i="16" s="1"/>
  <c r="CC10" i="16"/>
  <c r="FE10" i="16" s="1"/>
  <c r="GS10" i="16" s="1"/>
  <c r="FD10" i="16"/>
  <c r="GR10" i="16" s="1"/>
  <c r="CB162" i="16"/>
  <c r="FC162" i="16"/>
  <c r="GQ162" i="16" s="1"/>
  <c r="FI156" i="16"/>
  <c r="GW156" i="16" s="1"/>
  <c r="CE173" i="16"/>
  <c r="FG173" i="16" s="1"/>
  <c r="GU173" i="16" s="1"/>
  <c r="FF173" i="16"/>
  <c r="GT173" i="16" s="1"/>
  <c r="CE177" i="16"/>
  <c r="FG177" i="16" s="1"/>
  <c r="GU177" i="16" s="1"/>
  <c r="FF177" i="16"/>
  <c r="GT177" i="16" s="1"/>
  <c r="CB11" i="16"/>
  <c r="FD11" i="16" s="1"/>
  <c r="GR11" i="16" s="1"/>
  <c r="FC11" i="16"/>
  <c r="GQ11" i="16" s="1"/>
  <c r="CI49" i="16"/>
  <c r="FJ49" i="16"/>
  <c r="GX49" i="16" s="1"/>
  <c r="CK58" i="16"/>
  <c r="FL58" i="16"/>
  <c r="CF75" i="16"/>
  <c r="CB50" i="16"/>
  <c r="FC50" i="16"/>
  <c r="GQ50" i="16" s="1"/>
  <c r="CI56" i="16"/>
  <c r="FK56" i="16" s="1"/>
  <c r="CE56" i="16"/>
  <c r="FG56" i="16" s="1"/>
  <c r="FD56" i="16"/>
  <c r="CH56" i="16"/>
  <c r="FJ56" i="16" s="1"/>
  <c r="CD56" i="16"/>
  <c r="FF56" i="16" s="1"/>
  <c r="CG56" i="16"/>
  <c r="FI56" i="16" s="1"/>
  <c r="CC56" i="16"/>
  <c r="FE56" i="16" s="1"/>
  <c r="CJ56" i="16"/>
  <c r="CF56" i="16"/>
  <c r="FH56" i="16" s="1"/>
  <c r="CB52" i="16"/>
  <c r="FC52" i="16"/>
  <c r="GQ52" i="16" s="1"/>
  <c r="CD37" i="16"/>
  <c r="FF37" i="16" s="1"/>
  <c r="GT37" i="16" s="1"/>
  <c r="FE37" i="16"/>
  <c r="GS37" i="16" s="1"/>
  <c r="CC166" i="16"/>
  <c r="FD166" i="16"/>
  <c r="GR166" i="16" s="1"/>
  <c r="CH157" i="16"/>
  <c r="FJ157" i="16" s="1"/>
  <c r="GX157" i="16" s="1"/>
  <c r="FI157" i="16"/>
  <c r="GW157" i="16" s="1"/>
  <c r="CG159" i="16"/>
  <c r="CE175" i="16"/>
  <c r="FG175" i="16" s="1"/>
  <c r="GU175" i="16" s="1"/>
  <c r="FF175" i="16"/>
  <c r="GT175" i="16" s="1"/>
  <c r="CE22" i="16"/>
  <c r="FF22" i="16"/>
  <c r="GT22" i="16" s="1"/>
  <c r="CE41" i="16"/>
  <c r="FG41" i="16" s="1"/>
  <c r="GU41" i="16" s="1"/>
  <c r="FF41" i="16"/>
  <c r="GT41" i="16" s="1"/>
  <c r="CI47" i="16"/>
  <c r="FJ47" i="16"/>
  <c r="GX47" i="16" s="1"/>
  <c r="CD36" i="16"/>
  <c r="FF36" i="16" s="1"/>
  <c r="GT36" i="16" s="1"/>
  <c r="FE36" i="16"/>
  <c r="GS36" i="16" s="1"/>
  <c r="CB6" i="16"/>
  <c r="FD6" i="16" s="1"/>
  <c r="GR6" i="16" s="1"/>
  <c r="FC6" i="16"/>
  <c r="GQ6" i="16" s="1"/>
  <c r="CE18" i="16"/>
  <c r="FF18" i="16"/>
  <c r="GT18" i="16" s="1"/>
  <c r="CC80" i="16"/>
  <c r="FD80" i="16"/>
  <c r="GR80" i="16" s="1"/>
  <c r="CG66" i="16"/>
  <c r="CD66" i="16"/>
  <c r="FF66" i="16" s="1"/>
  <c r="FE66" i="16"/>
  <c r="CI62" i="16"/>
  <c r="FJ62" i="16"/>
  <c r="CF57" i="16"/>
  <c r="FD57" i="16"/>
  <c r="CE57" i="16"/>
  <c r="FG57" i="16" s="1"/>
  <c r="CD57" i="16"/>
  <c r="FF57" i="16" s="1"/>
  <c r="CC57" i="16"/>
  <c r="FE57" i="16" s="1"/>
  <c r="FF172" i="16"/>
  <c r="GT172" i="16" s="1"/>
  <c r="CE172" i="16"/>
  <c r="FG172" i="16" s="1"/>
  <c r="GU172" i="16" s="1"/>
  <c r="AQ200" i="16"/>
  <c r="DV200" i="16"/>
  <c r="DU200" i="16"/>
  <c r="DP200" i="16"/>
  <c r="DQ200" i="16"/>
  <c r="DR200" i="16"/>
  <c r="DS200" i="16"/>
  <c r="DT200" i="16"/>
  <c r="DO200" i="16"/>
  <c r="DN200" i="16"/>
  <c r="DM200" i="16"/>
  <c r="BY200" i="16"/>
  <c r="AC201" i="16"/>
  <c r="AD201" i="16"/>
  <c r="AE201" i="16"/>
  <c r="AC202" i="16"/>
  <c r="AD202" i="16"/>
  <c r="AE202" i="16"/>
  <c r="AC203" i="16"/>
  <c r="AD203" i="16"/>
  <c r="AE203" i="16"/>
  <c r="AC205" i="16"/>
  <c r="AD205" i="16"/>
  <c r="AE205" i="16"/>
  <c r="AC206" i="16"/>
  <c r="AD206" i="16"/>
  <c r="AE206" i="16"/>
  <c r="AC207" i="16"/>
  <c r="AD207" i="16"/>
  <c r="AE207" i="16"/>
  <c r="AQ202" i="16"/>
  <c r="AS202" i="16" s="1"/>
  <c r="AQ203" i="16"/>
  <c r="AQ205" i="16"/>
  <c r="AS205" i="16" s="1"/>
  <c r="AQ206" i="16"/>
  <c r="AQ207" i="16"/>
  <c r="AS207" i="16" s="1"/>
  <c r="AQ201" i="16"/>
  <c r="BB207" i="16"/>
  <c r="BB206" i="16"/>
  <c r="BB205" i="16"/>
  <c r="BB203" i="16"/>
  <c r="BB202" i="16"/>
  <c r="BB201" i="16"/>
  <c r="BA207" i="16"/>
  <c r="BA206" i="16"/>
  <c r="BA203" i="16"/>
  <c r="BA202" i="16"/>
  <c r="BA201" i="16"/>
  <c r="EC207" i="16"/>
  <c r="EB207" i="16"/>
  <c r="EA207" i="16"/>
  <c r="DZ207" i="16"/>
  <c r="DY207" i="16"/>
  <c r="DX207" i="16"/>
  <c r="DW207" i="16"/>
  <c r="DV207" i="16"/>
  <c r="DU207" i="16"/>
  <c r="DT207" i="16"/>
  <c r="DS207" i="16"/>
  <c r="DR207" i="16"/>
  <c r="DQ207" i="16"/>
  <c r="DP207" i="16"/>
  <c r="DO207" i="16"/>
  <c r="DN207" i="16"/>
  <c r="DM207" i="16"/>
  <c r="EF206" i="16"/>
  <c r="EE206" i="16"/>
  <c r="DQ206" i="16"/>
  <c r="DR206" i="16"/>
  <c r="DS206" i="16"/>
  <c r="DT206" i="16"/>
  <c r="DU206" i="16"/>
  <c r="DV206" i="16"/>
  <c r="DW206" i="16"/>
  <c r="DX206" i="16"/>
  <c r="DY206" i="16"/>
  <c r="DZ206" i="16"/>
  <c r="EA206" i="16"/>
  <c r="EB206" i="16"/>
  <c r="EC206" i="16"/>
  <c r="ED206" i="16"/>
  <c r="DP206" i="16"/>
  <c r="DO206" i="16"/>
  <c r="DM206" i="16"/>
  <c r="DN206" i="16"/>
  <c r="DO205" i="16"/>
  <c r="DP205" i="16"/>
  <c r="DM205" i="16"/>
  <c r="DN205" i="16"/>
  <c r="EC203" i="16"/>
  <c r="EB203" i="16"/>
  <c r="DO203" i="16"/>
  <c r="DP203" i="16"/>
  <c r="DQ203" i="16"/>
  <c r="DR203" i="16"/>
  <c r="DS203" i="16"/>
  <c r="DT203" i="16"/>
  <c r="DU203" i="16"/>
  <c r="DV203" i="16"/>
  <c r="DW203" i="16"/>
  <c r="DX203" i="16"/>
  <c r="DY203" i="16"/>
  <c r="DZ203" i="16"/>
  <c r="EA203" i="16"/>
  <c r="DN203" i="16"/>
  <c r="DM203" i="16"/>
  <c r="EC202" i="16"/>
  <c r="EB202" i="16"/>
  <c r="DO202" i="16"/>
  <c r="DP202" i="16"/>
  <c r="DQ202" i="16"/>
  <c r="DR202" i="16"/>
  <c r="DS202" i="16"/>
  <c r="DT202" i="16"/>
  <c r="DU202" i="16"/>
  <c r="DV202" i="16"/>
  <c r="DW202" i="16"/>
  <c r="DX202" i="16"/>
  <c r="DY202" i="16"/>
  <c r="DZ202" i="16"/>
  <c r="EA202" i="16"/>
  <c r="DN202" i="16"/>
  <c r="DM202" i="16"/>
  <c r="EC201" i="16"/>
  <c r="EB201" i="16"/>
  <c r="DQ201" i="16"/>
  <c r="DR201" i="16"/>
  <c r="DS201" i="16"/>
  <c r="DT201" i="16"/>
  <c r="DU201" i="16"/>
  <c r="DV201" i="16"/>
  <c r="DW201" i="16"/>
  <c r="DX201" i="16"/>
  <c r="DY201" i="16"/>
  <c r="DZ201" i="16"/>
  <c r="EA201" i="16"/>
  <c r="DP201" i="16"/>
  <c r="DO201" i="16"/>
  <c r="DN201" i="16"/>
  <c r="DM201" i="16"/>
  <c r="BY205" i="16"/>
  <c r="BZ205" i="16" s="1"/>
  <c r="CA206" i="16"/>
  <c r="CO206" i="16" s="1"/>
  <c r="BY206" i="16"/>
  <c r="BZ206" i="16" s="1"/>
  <c r="CA207" i="16"/>
  <c r="CK207" i="16" s="1"/>
  <c r="BY207" i="16"/>
  <c r="BZ207" i="16" s="1"/>
  <c r="CA203" i="16"/>
  <c r="CK203" i="16" s="1"/>
  <c r="BY203" i="16"/>
  <c r="BZ203" i="16" s="1"/>
  <c r="CA202" i="16"/>
  <c r="CK202" i="16" s="1"/>
  <c r="BY202" i="16"/>
  <c r="BZ202" i="16" s="1"/>
  <c r="CA201" i="16"/>
  <c r="CI201" i="16" s="1"/>
  <c r="BY201" i="16"/>
  <c r="BM205" i="16"/>
  <c r="BO205" i="16" s="1"/>
  <c r="BM206" i="16"/>
  <c r="BO206" i="16" s="1"/>
  <c r="BM207" i="16"/>
  <c r="BO207" i="16" s="1"/>
  <c r="BM203" i="16"/>
  <c r="BO203" i="16" s="1"/>
  <c r="BM202" i="16"/>
  <c r="BO202" i="16" s="1"/>
  <c r="BM201" i="16"/>
  <c r="BO201" i="16" s="1"/>
  <c r="BI202" i="16"/>
  <c r="BK202" i="16" s="1"/>
  <c r="BI203" i="16"/>
  <c r="BK203" i="16" s="1"/>
  <c r="BI205" i="16"/>
  <c r="BK205" i="16" s="1"/>
  <c r="BI206" i="16"/>
  <c r="BK206" i="16" s="1"/>
  <c r="BI207" i="16"/>
  <c r="BK207" i="16" s="1"/>
  <c r="BI201" i="16"/>
  <c r="BK201" i="16" s="1"/>
  <c r="BH202" i="16"/>
  <c r="BH203" i="16"/>
  <c r="BH205" i="16"/>
  <c r="BH206" i="16"/>
  <c r="BH207" i="16"/>
  <c r="BH201" i="16"/>
  <c r="BG202" i="16"/>
  <c r="BG203" i="16"/>
  <c r="BG205" i="16"/>
  <c r="BG206" i="16"/>
  <c r="BG207" i="16"/>
  <c r="BG201" i="16"/>
  <c r="AW202" i="16"/>
  <c r="AW203" i="16"/>
  <c r="AW205" i="16"/>
  <c r="AW206" i="16"/>
  <c r="AW207" i="16"/>
  <c r="AW201" i="16"/>
  <c r="AP202" i="16"/>
  <c r="AR202" i="16" s="1"/>
  <c r="BL202" i="16" s="1"/>
  <c r="AP203" i="16"/>
  <c r="AP205" i="16"/>
  <c r="AR205" i="16" s="1"/>
  <c r="BL205" i="16" s="1"/>
  <c r="AP206" i="16"/>
  <c r="AR206" i="16" s="1"/>
  <c r="BL206" i="16" s="1"/>
  <c r="AP207" i="16"/>
  <c r="AR207" i="16" s="1"/>
  <c r="BL207" i="16" s="1"/>
  <c r="AP201" i="16"/>
  <c r="AC209" i="16"/>
  <c r="AD209" i="16"/>
  <c r="AE209" i="16"/>
  <c r="BT209" i="16" s="1"/>
  <c r="AE208" i="16"/>
  <c r="BT208" i="16" s="1"/>
  <c r="AD208" i="16"/>
  <c r="AC208" i="16"/>
  <c r="AQ209" i="16"/>
  <c r="AS209" i="16" s="1"/>
  <c r="AQ208" i="16"/>
  <c r="AS208" i="16" s="1"/>
  <c r="DN208" i="16"/>
  <c r="DO208" i="16"/>
  <c r="DP208" i="16"/>
  <c r="DQ208" i="16"/>
  <c r="DR208" i="16"/>
  <c r="DS208" i="16"/>
  <c r="DT208" i="16"/>
  <c r="DU208" i="16"/>
  <c r="DV208" i="16"/>
  <c r="DW208" i="16"/>
  <c r="DX208" i="16"/>
  <c r="DY208" i="16"/>
  <c r="DZ208" i="16"/>
  <c r="EA208" i="16"/>
  <c r="EB208" i="16"/>
  <c r="DN209" i="16"/>
  <c r="DO209" i="16"/>
  <c r="DP209" i="16"/>
  <c r="DQ209" i="16"/>
  <c r="DR209" i="16"/>
  <c r="DS209" i="16"/>
  <c r="DT209" i="16"/>
  <c r="DU209" i="16"/>
  <c r="DV209" i="16"/>
  <c r="DW209" i="16"/>
  <c r="DX209" i="16"/>
  <c r="DY209" i="16"/>
  <c r="DZ209" i="16"/>
  <c r="EA209" i="16"/>
  <c r="EB209" i="16"/>
  <c r="DM209" i="16"/>
  <c r="DM208" i="16"/>
  <c r="BY209" i="16"/>
  <c r="BY208" i="16"/>
  <c r="CA208" i="16" s="1"/>
  <c r="FC208" i="16" s="1"/>
  <c r="GQ208" i="16" s="1"/>
  <c r="BN209" i="16"/>
  <c r="BN208" i="16"/>
  <c r="BM209" i="16"/>
  <c r="BM208" i="16"/>
  <c r="BI209" i="16"/>
  <c r="BK209" i="16" s="1"/>
  <c r="BI208" i="16"/>
  <c r="BK208" i="16" s="1"/>
  <c r="BG209" i="16"/>
  <c r="BG208" i="16"/>
  <c r="AR209" i="16"/>
  <c r="BL209" i="16" s="1"/>
  <c r="AR208" i="16"/>
  <c r="BL208" i="16" s="1"/>
  <c r="AQ211" i="16"/>
  <c r="AQ210" i="16"/>
  <c r="BT207" i="16" l="1"/>
  <c r="BT202" i="16"/>
  <c r="BT203" i="16"/>
  <c r="BT205" i="16"/>
  <c r="BT206" i="16"/>
  <c r="BT201" i="16"/>
  <c r="CG8" i="16"/>
  <c r="FI8" i="16" s="1"/>
  <c r="GW8" i="16" s="1"/>
  <c r="FD59" i="16"/>
  <c r="GR59" i="16" s="1"/>
  <c r="FF17" i="16"/>
  <c r="GT17" i="16" s="1"/>
  <c r="CI28" i="16"/>
  <c r="FK28" i="16" s="1"/>
  <c r="GY28" i="16" s="1"/>
  <c r="CB45" i="16"/>
  <c r="CD45" i="16" s="1"/>
  <c r="FF45" i="16" s="1"/>
  <c r="GT45" i="16" s="1"/>
  <c r="CF8" i="16"/>
  <c r="FH8" i="16" s="1"/>
  <c r="GV8" i="16" s="1"/>
  <c r="CC8" i="16"/>
  <c r="FE8" i="16" s="1"/>
  <c r="GS8" i="16" s="1"/>
  <c r="CE28" i="16"/>
  <c r="FG28" i="16" s="1"/>
  <c r="GU28" i="16" s="1"/>
  <c r="FD71" i="16"/>
  <c r="GR71" i="16" s="1"/>
  <c r="CD8" i="16"/>
  <c r="FF8" i="16" s="1"/>
  <c r="GT8" i="16" s="1"/>
  <c r="CH8" i="16"/>
  <c r="FJ8" i="16" s="1"/>
  <c r="GX8" i="16" s="1"/>
  <c r="CE8" i="16"/>
  <c r="FG8" i="16" s="1"/>
  <c r="GU8" i="16" s="1"/>
  <c r="CK73" i="16"/>
  <c r="FM73" i="16" s="1"/>
  <c r="HA73" i="16" s="1"/>
  <c r="CD2" i="16"/>
  <c r="FF2" i="16" s="1"/>
  <c r="GT2" i="16" s="1"/>
  <c r="FC33" i="16"/>
  <c r="GQ33" i="16" s="1"/>
  <c r="CE2" i="16"/>
  <c r="FG2" i="16" s="1"/>
  <c r="GU2" i="16" s="1"/>
  <c r="CB33" i="16"/>
  <c r="FD33" i="16" s="1"/>
  <c r="GR33" i="16" s="1"/>
  <c r="CD33" i="16"/>
  <c r="FF33" i="16" s="1"/>
  <c r="GT33" i="16" s="1"/>
  <c r="CG2" i="16"/>
  <c r="FI2" i="16" s="1"/>
  <c r="GW2" i="16" s="1"/>
  <c r="T187" i="16"/>
  <c r="T191" i="16"/>
  <c r="T195" i="16"/>
  <c r="CL73" i="16"/>
  <c r="FN73" i="16" s="1"/>
  <c r="HB73" i="16" s="1"/>
  <c r="CF2" i="16"/>
  <c r="FH2" i="16" s="1"/>
  <c r="GV2" i="16" s="1"/>
  <c r="CH2" i="16"/>
  <c r="CI2" i="16" s="1"/>
  <c r="CF7" i="16"/>
  <c r="FH7" i="16" s="1"/>
  <c r="GV7" i="16" s="1"/>
  <c r="CD64" i="16"/>
  <c r="FF64" i="16" s="1"/>
  <c r="FG33" i="16"/>
  <c r="GU33" i="16" s="1"/>
  <c r="CC33" i="16"/>
  <c r="FE33" i="16" s="1"/>
  <c r="GS33" i="16" s="1"/>
  <c r="CD168" i="16"/>
  <c r="FF168" i="16" s="1"/>
  <c r="GT168" i="16" s="1"/>
  <c r="CC2" i="16"/>
  <c r="FE2" i="16" s="1"/>
  <c r="GS2" i="16" s="1"/>
  <c r="CB73" i="16"/>
  <c r="FD73" i="16" s="1"/>
  <c r="GR73" i="16" s="1"/>
  <c r="CE48" i="16"/>
  <c r="FG48" i="16" s="1"/>
  <c r="GU48" i="16" s="1"/>
  <c r="CF73" i="16"/>
  <c r="FH73" i="16" s="1"/>
  <c r="GV73" i="16" s="1"/>
  <c r="FC73" i="16"/>
  <c r="GQ73" i="16" s="1"/>
  <c r="CE73" i="16"/>
  <c r="FG73" i="16" s="1"/>
  <c r="GU73" i="16" s="1"/>
  <c r="FE64" i="16"/>
  <c r="CE3" i="16"/>
  <c r="FG3" i="16" s="1"/>
  <c r="GU3" i="16" s="1"/>
  <c r="FC168" i="16"/>
  <c r="GQ168" i="16" s="1"/>
  <c r="CH48" i="16"/>
  <c r="FJ48" i="16" s="1"/>
  <c r="GX48" i="16" s="1"/>
  <c r="CC73" i="16"/>
  <c r="FE73" i="16" s="1"/>
  <c r="GS73" i="16" s="1"/>
  <c r="CD73" i="16"/>
  <c r="FF73" i="16" s="1"/>
  <c r="GT73" i="16" s="1"/>
  <c r="CI73" i="16"/>
  <c r="FK73" i="16" s="1"/>
  <c r="GY73" i="16" s="1"/>
  <c r="CB48" i="16"/>
  <c r="FD48" i="16" s="1"/>
  <c r="GR48" i="16" s="1"/>
  <c r="CH3" i="16"/>
  <c r="CI3" i="16" s="1"/>
  <c r="FK3" i="16" s="1"/>
  <c r="GY3" i="16" s="1"/>
  <c r="CG48" i="16"/>
  <c r="FI48" i="16" s="1"/>
  <c r="GW48" i="16" s="1"/>
  <c r="CD3" i="16"/>
  <c r="FF3" i="16" s="1"/>
  <c r="GT3" i="16" s="1"/>
  <c r="FC48" i="16"/>
  <c r="GQ48" i="16" s="1"/>
  <c r="CJ73" i="16"/>
  <c r="FL73" i="16" s="1"/>
  <c r="GZ73" i="16" s="1"/>
  <c r="CG73" i="16"/>
  <c r="FI73" i="16" s="1"/>
  <c r="GW73" i="16" s="1"/>
  <c r="CH73" i="16"/>
  <c r="FJ73" i="16" s="1"/>
  <c r="GX73" i="16" s="1"/>
  <c r="CF48" i="16"/>
  <c r="FH48" i="16" s="1"/>
  <c r="GV48" i="16" s="1"/>
  <c r="CC3" i="16"/>
  <c r="FE3" i="16" s="1"/>
  <c r="GS3" i="16" s="1"/>
  <c r="FD3" i="16"/>
  <c r="GR3" i="16" s="1"/>
  <c r="CD48" i="16"/>
  <c r="FF48" i="16" s="1"/>
  <c r="GT48" i="16" s="1"/>
  <c r="CG3" i="16"/>
  <c r="FI3" i="16" s="1"/>
  <c r="GW3" i="16" s="1"/>
  <c r="FD167" i="16"/>
  <c r="GR167" i="16" s="1"/>
  <c r="CC75" i="16"/>
  <c r="FE75" i="16" s="1"/>
  <c r="GS75" i="16" s="1"/>
  <c r="FH161" i="16"/>
  <c r="GV161" i="16" s="1"/>
  <c r="CD75" i="16"/>
  <c r="FF75" i="16" s="1"/>
  <c r="GT75" i="16" s="1"/>
  <c r="CB54" i="16"/>
  <c r="CG54" i="16" s="1"/>
  <c r="CB75" i="16"/>
  <c r="FD75" i="16" s="1"/>
  <c r="GR75" i="16" s="1"/>
  <c r="CB44" i="16"/>
  <c r="CG44" i="16" s="1"/>
  <c r="FI44" i="16" s="1"/>
  <c r="GW44" i="16" s="1"/>
  <c r="CD53" i="16"/>
  <c r="CE53" i="16" s="1"/>
  <c r="CG14" i="16"/>
  <c r="CH14" i="16" s="1"/>
  <c r="CI14" i="16" s="1"/>
  <c r="FK14" i="16" s="1"/>
  <c r="GY14" i="16" s="1"/>
  <c r="CD63" i="16"/>
  <c r="FF63" i="16" s="1"/>
  <c r="CE39" i="16"/>
  <c r="FG39" i="16" s="1"/>
  <c r="GU39" i="16" s="1"/>
  <c r="CD65" i="16"/>
  <c r="FF65" i="16" s="1"/>
  <c r="FE63" i="16"/>
  <c r="CJ78" i="16"/>
  <c r="FL78" i="16" s="1"/>
  <c r="CC53" i="16"/>
  <c r="FE53" i="16" s="1"/>
  <c r="GS53" i="16" s="1"/>
  <c r="FD16" i="16"/>
  <c r="GR16" i="16" s="1"/>
  <c r="CC14" i="16"/>
  <c r="FE14" i="16" s="1"/>
  <c r="GS14" i="16" s="1"/>
  <c r="FF16" i="16"/>
  <c r="GT16" i="16" s="1"/>
  <c r="CB53" i="16"/>
  <c r="FD53" i="16" s="1"/>
  <c r="GR53" i="16" s="1"/>
  <c r="CD14" i="16"/>
  <c r="FF14" i="16" s="1"/>
  <c r="GT14" i="16" s="1"/>
  <c r="FD14" i="16"/>
  <c r="GR14" i="16" s="1"/>
  <c r="CG65" i="16"/>
  <c r="FI65" i="16" s="1"/>
  <c r="CF63" i="16"/>
  <c r="FH63" i="16" s="1"/>
  <c r="CE63" i="16"/>
  <c r="FG63" i="16" s="1"/>
  <c r="CC9" i="16"/>
  <c r="FE9" i="16" s="1"/>
  <c r="GS9" i="16" s="1"/>
  <c r="CE14" i="16"/>
  <c r="FG14" i="16" s="1"/>
  <c r="GU14" i="16" s="1"/>
  <c r="FD7" i="16"/>
  <c r="GR7" i="16" s="1"/>
  <c r="CH64" i="16"/>
  <c r="FJ64" i="16" s="1"/>
  <c r="CO70" i="16"/>
  <c r="FQ70" i="16" s="1"/>
  <c r="HE70" i="16" s="1"/>
  <c r="T193" i="16"/>
  <c r="CC7" i="16"/>
  <c r="FE7" i="16" s="1"/>
  <c r="GS7" i="16" s="1"/>
  <c r="CF64" i="16"/>
  <c r="FH64" i="16" s="1"/>
  <c r="CE64" i="16"/>
  <c r="FG64" i="16" s="1"/>
  <c r="CB23" i="16"/>
  <c r="FD23" i="16" s="1"/>
  <c r="GR23" i="16" s="1"/>
  <c r="CG7" i="16"/>
  <c r="FI7" i="16" s="1"/>
  <c r="GW7" i="16" s="1"/>
  <c r="CH7" i="16"/>
  <c r="CI7" i="16" s="1"/>
  <c r="CJ7" i="16" s="1"/>
  <c r="FD15" i="16"/>
  <c r="GR15" i="16" s="1"/>
  <c r="CG64" i="16"/>
  <c r="FI64" i="16" s="1"/>
  <c r="CE7" i="16"/>
  <c r="FG7" i="16" s="1"/>
  <c r="GU7" i="16" s="1"/>
  <c r="FA200" i="16"/>
  <c r="GO200" i="16" s="1"/>
  <c r="CH65" i="16"/>
  <c r="FJ65" i="16" s="1"/>
  <c r="FE65" i="16"/>
  <c r="FI78" i="16"/>
  <c r="CC15" i="16"/>
  <c r="FE15" i="16" s="1"/>
  <c r="GS15" i="16" s="1"/>
  <c r="CC16" i="16"/>
  <c r="FE16" i="16" s="1"/>
  <c r="GS16" i="16" s="1"/>
  <c r="CF9" i="16"/>
  <c r="FH9" i="16" s="1"/>
  <c r="GV9" i="16" s="1"/>
  <c r="CB55" i="16"/>
  <c r="FD55" i="16" s="1"/>
  <c r="CE65" i="16"/>
  <c r="FG65" i="16" s="1"/>
  <c r="CH78" i="16"/>
  <c r="FJ78" i="16" s="1"/>
  <c r="FJ29" i="16"/>
  <c r="GX29" i="16" s="1"/>
  <c r="CE9" i="16"/>
  <c r="FG9" i="16" s="1"/>
  <c r="GU9" i="16" s="1"/>
  <c r="CD9" i="16"/>
  <c r="FF9" i="16" s="1"/>
  <c r="GT9" i="16" s="1"/>
  <c r="FK201" i="16"/>
  <c r="GY201" i="16" s="1"/>
  <c r="CD71" i="16"/>
  <c r="FF71" i="16" s="1"/>
  <c r="GT71" i="16" s="1"/>
  <c r="CC71" i="16"/>
  <c r="FE71" i="16" s="1"/>
  <c r="GS71" i="16" s="1"/>
  <c r="CD203" i="16"/>
  <c r="FF203" i="16" s="1"/>
  <c r="GT203" i="16" s="1"/>
  <c r="CD38" i="16"/>
  <c r="FF38" i="16" s="1"/>
  <c r="GT38" i="16" s="1"/>
  <c r="CE71" i="16"/>
  <c r="FG71" i="16" s="1"/>
  <c r="GU71" i="16" s="1"/>
  <c r="CG71" i="16"/>
  <c r="CH71" i="16" s="1"/>
  <c r="CM160" i="16"/>
  <c r="CN160" i="16" s="1"/>
  <c r="FP160" i="16" s="1"/>
  <c r="HD160" i="16" s="1"/>
  <c r="CO67" i="16"/>
  <c r="CQ67" i="16" s="1"/>
  <c r="FS67" i="16" s="1"/>
  <c r="HG67" i="16" s="1"/>
  <c r="CE75" i="16"/>
  <c r="FG75" i="16" s="1"/>
  <c r="GU75" i="16" s="1"/>
  <c r="FJ4" i="16"/>
  <c r="GX4" i="16" s="1"/>
  <c r="CK69" i="16"/>
  <c r="FM69" i="16" s="1"/>
  <c r="HA69" i="16" s="1"/>
  <c r="CB43" i="16"/>
  <c r="FD43" i="16" s="1"/>
  <c r="GR43" i="16" s="1"/>
  <c r="CE42" i="16"/>
  <c r="FG42" i="16" s="1"/>
  <c r="GU42" i="16" s="1"/>
  <c r="FC205" i="16"/>
  <c r="GQ205" i="16" s="1"/>
  <c r="FB206" i="16"/>
  <c r="GP206" i="16" s="1"/>
  <c r="FC43" i="16"/>
  <c r="GQ43" i="16" s="1"/>
  <c r="CF43" i="16"/>
  <c r="CB201" i="16"/>
  <c r="FD201" i="16" s="1"/>
  <c r="GR201" i="16" s="1"/>
  <c r="FM207" i="16"/>
  <c r="HA207" i="16" s="1"/>
  <c r="BZ200" i="16"/>
  <c r="CA200" i="16" s="1"/>
  <c r="CF200" i="16" s="1"/>
  <c r="CB19" i="16"/>
  <c r="FD19" i="16" s="1"/>
  <c r="GR19" i="16" s="1"/>
  <c r="FD168" i="16"/>
  <c r="GR168" i="16" s="1"/>
  <c r="CC201" i="16"/>
  <c r="FB203" i="16"/>
  <c r="GP203" i="16" s="1"/>
  <c r="CD207" i="16"/>
  <c r="FF207" i="16" s="1"/>
  <c r="GT207" i="16" s="1"/>
  <c r="CD206" i="16"/>
  <c r="FF206" i="16" s="1"/>
  <c r="GT206" i="16" s="1"/>
  <c r="BO208" i="16"/>
  <c r="AI208" i="16" s="1"/>
  <c r="CJ201" i="16"/>
  <c r="FL201" i="16" s="1"/>
  <c r="GZ201" i="16" s="1"/>
  <c r="CH207" i="16"/>
  <c r="FJ207" i="16" s="1"/>
  <c r="GX207" i="16" s="1"/>
  <c r="CM206" i="16"/>
  <c r="FO206" i="16" s="1"/>
  <c r="HC206" i="16" s="1"/>
  <c r="FD205" i="16"/>
  <c r="GR205" i="16" s="1"/>
  <c r="FO68" i="16"/>
  <c r="HC68" i="16" s="1"/>
  <c r="CE43" i="16"/>
  <c r="FG43" i="16" s="1"/>
  <c r="GU43" i="16" s="1"/>
  <c r="CD43" i="16"/>
  <c r="FF43" i="16" s="1"/>
  <c r="GT43" i="16" s="1"/>
  <c r="FA201" i="16"/>
  <c r="GO201" i="16" s="1"/>
  <c r="CL202" i="16"/>
  <c r="CM202" i="16" s="1"/>
  <c r="CN202" i="16" s="1"/>
  <c r="CO202" i="16" s="1"/>
  <c r="FQ202" i="16" s="1"/>
  <c r="HE202" i="16" s="1"/>
  <c r="CH203" i="16"/>
  <c r="FJ203" i="16" s="1"/>
  <c r="GX203" i="16" s="1"/>
  <c r="FC207" i="16"/>
  <c r="GQ207" i="16" s="1"/>
  <c r="AI205" i="16"/>
  <c r="CK201" i="16"/>
  <c r="FM201" i="16" s="1"/>
  <c r="HA201" i="16" s="1"/>
  <c r="FB202" i="16"/>
  <c r="GP202" i="16" s="1"/>
  <c r="FM203" i="16"/>
  <c r="HA203" i="16" s="1"/>
  <c r="FC202" i="16"/>
  <c r="GQ202" i="16" s="1"/>
  <c r="CC46" i="16"/>
  <c r="FD46" i="16"/>
  <c r="GR46" i="16" s="1"/>
  <c r="BO209" i="16"/>
  <c r="AI209" i="16" s="1"/>
  <c r="CB208" i="16"/>
  <c r="CC208" i="16" s="1"/>
  <c r="CF201" i="16"/>
  <c r="FH201" i="16" s="1"/>
  <c r="GV201" i="16" s="1"/>
  <c r="FB207" i="16"/>
  <c r="GP207" i="16" s="1"/>
  <c r="CH206" i="16"/>
  <c r="FJ206" i="16" s="1"/>
  <c r="GX206" i="16" s="1"/>
  <c r="CP206" i="16"/>
  <c r="CQ206" i="16" s="1"/>
  <c r="CR206" i="16" s="1"/>
  <c r="FT206" i="16" s="1"/>
  <c r="HH206" i="16" s="1"/>
  <c r="FC201" i="16"/>
  <c r="GQ201" i="16" s="1"/>
  <c r="FA202" i="16"/>
  <c r="GO202" i="16" s="1"/>
  <c r="FA206" i="16"/>
  <c r="GO206" i="16" s="1"/>
  <c r="CG201" i="16"/>
  <c r="FI201" i="16" s="1"/>
  <c r="GW201" i="16" s="1"/>
  <c r="CI206" i="16"/>
  <c r="FK206" i="16" s="1"/>
  <c r="GY206" i="16" s="1"/>
  <c r="FB205" i="16"/>
  <c r="GP205" i="16" s="1"/>
  <c r="FC203" i="16"/>
  <c r="GQ203" i="16" s="1"/>
  <c r="FA205" i="16"/>
  <c r="GO205" i="16" s="1"/>
  <c r="FC206" i="16"/>
  <c r="GQ206" i="16" s="1"/>
  <c r="FM202" i="16"/>
  <c r="HA202" i="16" s="1"/>
  <c r="FQ206" i="16"/>
  <c r="HE206" i="16" s="1"/>
  <c r="CL206" i="16"/>
  <c r="FN206" i="16" s="1"/>
  <c r="HB206" i="16" s="1"/>
  <c r="FA203" i="16"/>
  <c r="GO203" i="16" s="1"/>
  <c r="FA207" i="16"/>
  <c r="GO207" i="16" s="1"/>
  <c r="FJ30" i="16"/>
  <c r="GX30" i="16" s="1"/>
  <c r="CI157" i="16"/>
  <c r="FK157" i="16" s="1"/>
  <c r="GY157" i="16" s="1"/>
  <c r="CG13" i="16"/>
  <c r="CH13" i="16" s="1"/>
  <c r="CF45" i="16"/>
  <c r="FH45" i="16" s="1"/>
  <c r="GV45" i="16" s="1"/>
  <c r="FH10" i="16"/>
  <c r="GV10" i="16" s="1"/>
  <c r="CJ25" i="16"/>
  <c r="CL25" i="16" s="1"/>
  <c r="FN25" i="16" s="1"/>
  <c r="HB25" i="16" s="1"/>
  <c r="CC45" i="16"/>
  <c r="FE45" i="16" s="1"/>
  <c r="GS45" i="16" s="1"/>
  <c r="CE45" i="16"/>
  <c r="FG45" i="16" s="1"/>
  <c r="GU45" i="16" s="1"/>
  <c r="FD45" i="16"/>
  <c r="GR45" i="16" s="1"/>
  <c r="CN157" i="16"/>
  <c r="FP157" i="16" s="1"/>
  <c r="HD157" i="16" s="1"/>
  <c r="CK157" i="16"/>
  <c r="FM157" i="16" s="1"/>
  <c r="HA157" i="16" s="1"/>
  <c r="CD11" i="16"/>
  <c r="FF11" i="16" s="1"/>
  <c r="GT11" i="16" s="1"/>
  <c r="CM157" i="16"/>
  <c r="FO157" i="16" s="1"/>
  <c r="HC157" i="16" s="1"/>
  <c r="CL157" i="16"/>
  <c r="FN157" i="16" s="1"/>
  <c r="HB157" i="16" s="1"/>
  <c r="FH12" i="16"/>
  <c r="GV12" i="16" s="1"/>
  <c r="CC24" i="16"/>
  <c r="CJ157" i="16"/>
  <c r="FL157" i="16" s="1"/>
  <c r="GZ157" i="16" s="1"/>
  <c r="CF11" i="16"/>
  <c r="FH11" i="16" s="1"/>
  <c r="GV11" i="16" s="1"/>
  <c r="CH76" i="16"/>
  <c r="FJ76" i="16" s="1"/>
  <c r="FJ5" i="16"/>
  <c r="GX5" i="16" s="1"/>
  <c r="AG202" i="16"/>
  <c r="AG209" i="16"/>
  <c r="FO74" i="16"/>
  <c r="HC74" i="16" s="1"/>
  <c r="AG205" i="16"/>
  <c r="T197" i="16"/>
  <c r="T185" i="16"/>
  <c r="T189" i="16"/>
  <c r="FK27" i="16"/>
  <c r="GY27" i="16" s="1"/>
  <c r="CJ27" i="16"/>
  <c r="FL27" i="16" s="1"/>
  <c r="GZ27" i="16" s="1"/>
  <c r="CK27" i="16"/>
  <c r="FM27" i="16" s="1"/>
  <c r="HA27" i="16" s="1"/>
  <c r="AS203" i="16"/>
  <c r="AG203" i="16" s="1"/>
  <c r="CF6" i="16"/>
  <c r="FH6" i="16" s="1"/>
  <c r="GV6" i="16" s="1"/>
  <c r="FJ7" i="16"/>
  <c r="GX7" i="16" s="1"/>
  <c r="T199" i="16"/>
  <c r="AG208" i="16"/>
  <c r="FJ27" i="16"/>
  <c r="GX27" i="16" s="1"/>
  <c r="AG207" i="16"/>
  <c r="T190" i="16"/>
  <c r="T194" i="16"/>
  <c r="T186" i="16"/>
  <c r="T196" i="16"/>
  <c r="T192" i="16"/>
  <c r="FG32" i="16"/>
  <c r="GU32" i="16" s="1"/>
  <c r="Z201" i="16"/>
  <c r="X201" i="16" s="1"/>
  <c r="CJ29" i="16"/>
  <c r="FL29" i="16" s="1"/>
  <c r="GZ29" i="16" s="1"/>
  <c r="Z208" i="16"/>
  <c r="X208" i="16" s="1"/>
  <c r="AS206" i="16"/>
  <c r="AG206" i="16" s="1"/>
  <c r="Z205" i="16"/>
  <c r="X205" i="16" s="1"/>
  <c r="Z209" i="16"/>
  <c r="X209" i="16" s="1"/>
  <c r="Z206" i="16"/>
  <c r="X206" i="16" s="1"/>
  <c r="Z202" i="16"/>
  <c r="X202" i="16" s="1"/>
  <c r="CK29" i="16"/>
  <c r="FM29" i="16" s="1"/>
  <c r="HA29" i="16" s="1"/>
  <c r="CJ30" i="16"/>
  <c r="FL30" i="16" s="1"/>
  <c r="GZ30" i="16" s="1"/>
  <c r="T198" i="16"/>
  <c r="T188" i="16"/>
  <c r="Z207" i="16"/>
  <c r="X207" i="16" s="1"/>
  <c r="Z203" i="16"/>
  <c r="X203" i="16" s="1"/>
  <c r="T184" i="16"/>
  <c r="T181" i="16"/>
  <c r="T180" i="16"/>
  <c r="T182" i="16"/>
  <c r="T179" i="16"/>
  <c r="T183" i="16"/>
  <c r="CG6" i="16"/>
  <c r="FI6" i="16" s="1"/>
  <c r="GW6" i="16" s="1"/>
  <c r="CH6" i="16"/>
  <c r="CI6" i="16" s="1"/>
  <c r="CE11" i="16"/>
  <c r="FG11" i="16" s="1"/>
  <c r="GU11" i="16" s="1"/>
  <c r="AI207" i="16"/>
  <c r="CE6" i="16"/>
  <c r="FG6" i="16" s="1"/>
  <c r="GU6" i="16" s="1"/>
  <c r="CD6" i="16"/>
  <c r="FF6" i="16" s="1"/>
  <c r="GT6" i="16" s="1"/>
  <c r="CC6" i="16"/>
  <c r="FE6" i="16" s="1"/>
  <c r="GS6" i="16" s="1"/>
  <c r="CC11" i="16"/>
  <c r="FE11" i="16" s="1"/>
  <c r="GS11" i="16" s="1"/>
  <c r="CK30" i="16"/>
  <c r="FM30" i="16" s="1"/>
  <c r="HA30" i="16" s="1"/>
  <c r="V197" i="16"/>
  <c r="U197" i="16"/>
  <c r="V199" i="16"/>
  <c r="U199" i="16"/>
  <c r="V179" i="16"/>
  <c r="U179" i="16"/>
  <c r="V188" i="16"/>
  <c r="U188" i="16"/>
  <c r="V193" i="16"/>
  <c r="U193" i="16"/>
  <c r="V185" i="16"/>
  <c r="U185" i="16"/>
  <c r="V195" i="16"/>
  <c r="U195" i="16"/>
  <c r="V183" i="16"/>
  <c r="U183" i="16"/>
  <c r="U194" i="16"/>
  <c r="V194" i="16"/>
  <c r="V182" i="16"/>
  <c r="U182" i="16"/>
  <c r="V192" i="16"/>
  <c r="U192" i="16"/>
  <c r="V184" i="16"/>
  <c r="U184" i="16"/>
  <c r="V198" i="16"/>
  <c r="U198" i="16"/>
  <c r="V181" i="16"/>
  <c r="U181" i="16"/>
  <c r="V187" i="16"/>
  <c r="U187" i="16"/>
  <c r="V191" i="16"/>
  <c r="U191" i="16"/>
  <c r="V196" i="16"/>
  <c r="U196" i="16"/>
  <c r="V180" i="16"/>
  <c r="U180" i="16"/>
  <c r="U190" i="16"/>
  <c r="V190" i="16"/>
  <c r="V189" i="16"/>
  <c r="U189" i="16"/>
  <c r="U186" i="16"/>
  <c r="V186" i="16"/>
  <c r="CG158" i="16"/>
  <c r="FH158" i="16"/>
  <c r="GV158" i="16" s="1"/>
  <c r="AI202" i="16"/>
  <c r="FJ2" i="16"/>
  <c r="GX2" i="16" s="1"/>
  <c r="FK62" i="16"/>
  <c r="CL62" i="16"/>
  <c r="FN62" i="16" s="1"/>
  <c r="CK62" i="16"/>
  <c r="FM62" i="16" s="1"/>
  <c r="CJ62" i="16"/>
  <c r="FL62" i="16" s="1"/>
  <c r="CF16" i="16"/>
  <c r="FG16" i="16"/>
  <c r="GU16" i="16" s="1"/>
  <c r="CJ5" i="16"/>
  <c r="FK5" i="16"/>
  <c r="GY5" i="16" s="1"/>
  <c r="CL58" i="16"/>
  <c r="FM58" i="16"/>
  <c r="CG32" i="16"/>
  <c r="FI32" i="16" s="1"/>
  <c r="GW32" i="16" s="1"/>
  <c r="FH32" i="16"/>
  <c r="GV32" i="16" s="1"/>
  <c r="CC51" i="16"/>
  <c r="FD51" i="16"/>
  <c r="GR51" i="16" s="1"/>
  <c r="CH12" i="16"/>
  <c r="FI12" i="16"/>
  <c r="GW12" i="16" s="1"/>
  <c r="FI63" i="16"/>
  <c r="CH63" i="16"/>
  <c r="CN73" i="16"/>
  <c r="FO73" i="16"/>
  <c r="HC73" i="16" s="1"/>
  <c r="CJ3" i="16"/>
  <c r="CG75" i="16"/>
  <c r="FH75" i="16"/>
  <c r="GV75" i="16" s="1"/>
  <c r="CJ49" i="16"/>
  <c r="FK49" i="16"/>
  <c r="GY49" i="16" s="1"/>
  <c r="CJ4" i="16"/>
  <c r="FK4" i="16"/>
  <c r="GY4" i="16" s="1"/>
  <c r="CH161" i="16"/>
  <c r="FI161" i="16"/>
  <c r="GW161" i="16" s="1"/>
  <c r="CD54" i="16"/>
  <c r="FF54" i="16" s="1"/>
  <c r="CF54" i="16"/>
  <c r="FH54" i="16" s="1"/>
  <c r="CF72" i="16"/>
  <c r="FG72" i="16"/>
  <c r="GU72" i="16" s="1"/>
  <c r="FE167" i="16"/>
  <c r="GS167" i="16" s="1"/>
  <c r="CD167" i="16"/>
  <c r="FH57" i="16"/>
  <c r="CG57" i="16"/>
  <c r="FE80" i="16"/>
  <c r="GS80" i="16" s="1"/>
  <c r="CD80" i="16"/>
  <c r="CF18" i="16"/>
  <c r="FG18" i="16"/>
  <c r="GU18" i="16" s="1"/>
  <c r="CH10" i="16"/>
  <c r="FI10" i="16"/>
  <c r="GW10" i="16" s="1"/>
  <c r="FF15" i="16"/>
  <c r="GT15" i="16" s="1"/>
  <c r="CE15" i="16"/>
  <c r="FK64" i="16"/>
  <c r="CJ64" i="16"/>
  <c r="CO68" i="16"/>
  <c r="FQ68" i="16" s="1"/>
  <c r="HE68" i="16" s="1"/>
  <c r="FP68" i="16"/>
  <c r="HD68" i="16" s="1"/>
  <c r="CH159" i="16"/>
  <c r="FI159" i="16"/>
  <c r="GW159" i="16" s="1"/>
  <c r="CD166" i="16"/>
  <c r="FE166" i="16"/>
  <c r="GS166" i="16" s="1"/>
  <c r="CC52" i="16"/>
  <c r="FD52" i="16"/>
  <c r="GR52" i="16" s="1"/>
  <c r="FL56" i="16"/>
  <c r="CK56" i="16"/>
  <c r="CG33" i="16"/>
  <c r="FI33" i="16" s="1"/>
  <c r="GW33" i="16" s="1"/>
  <c r="FH33" i="16"/>
  <c r="GV33" i="16" s="1"/>
  <c r="CM156" i="16"/>
  <c r="FO156" i="16" s="1"/>
  <c r="HC156" i="16" s="1"/>
  <c r="CI156" i="16"/>
  <c r="FK156" i="16" s="1"/>
  <c r="GY156" i="16" s="1"/>
  <c r="CJ156" i="16"/>
  <c r="FL156" i="16" s="1"/>
  <c r="GZ156" i="16" s="1"/>
  <c r="CL156" i="16"/>
  <c r="FN156" i="16" s="1"/>
  <c r="HB156" i="16" s="1"/>
  <c r="CN156" i="16"/>
  <c r="FJ156" i="16"/>
  <c r="GX156" i="16" s="1"/>
  <c r="CK156" i="16"/>
  <c r="FM156" i="16" s="1"/>
  <c r="HA156" i="16" s="1"/>
  <c r="FJ26" i="16"/>
  <c r="GX26" i="16" s="1"/>
  <c r="CI26" i="16"/>
  <c r="FH31" i="16"/>
  <c r="GV31" i="16" s="1"/>
  <c r="CG31" i="16"/>
  <c r="FI31" i="16" s="1"/>
  <c r="GW31" i="16" s="1"/>
  <c r="CF17" i="16"/>
  <c r="FG17" i="16"/>
  <c r="GU17" i="16" s="1"/>
  <c r="FE201" i="16"/>
  <c r="GS201" i="16" s="1"/>
  <c r="CH66" i="16"/>
  <c r="FI66" i="16"/>
  <c r="FE59" i="16"/>
  <c r="GS59" i="16" s="1"/>
  <c r="CD59" i="16"/>
  <c r="CJ47" i="16"/>
  <c r="FK47" i="16"/>
  <c r="GY47" i="16" s="1"/>
  <c r="CC50" i="16"/>
  <c r="FD50" i="16"/>
  <c r="GR50" i="16" s="1"/>
  <c r="FP74" i="16"/>
  <c r="HD74" i="16" s="1"/>
  <c r="CO74" i="16"/>
  <c r="FQ74" i="16" s="1"/>
  <c r="HE74" i="16" s="1"/>
  <c r="CC162" i="16"/>
  <c r="FD162" i="16"/>
  <c r="GR162" i="16" s="1"/>
  <c r="BZ209" i="16"/>
  <c r="FB209" i="16" s="1"/>
  <c r="GP209" i="16" s="1"/>
  <c r="CB209" i="16"/>
  <c r="CA209" i="16"/>
  <c r="FC209" i="16" s="1"/>
  <c r="GQ209" i="16" s="1"/>
  <c r="FA209" i="16"/>
  <c r="GO209" i="16" s="1"/>
  <c r="AS201" i="16"/>
  <c r="AG201" i="16" s="1"/>
  <c r="AR201" i="16"/>
  <c r="BL201" i="16" s="1"/>
  <c r="FA208" i="16"/>
  <c r="GO208" i="16" s="1"/>
  <c r="CE206" i="16"/>
  <c r="FG206" i="16" s="1"/>
  <c r="GU206" i="16" s="1"/>
  <c r="AR203" i="16"/>
  <c r="BL203" i="16" s="1"/>
  <c r="BZ208" i="16"/>
  <c r="FB208" i="16" s="1"/>
  <c r="GP208" i="16" s="1"/>
  <c r="CD201" i="16"/>
  <c r="FF201" i="16" s="1"/>
  <c r="GT201" i="16" s="1"/>
  <c r="CH201" i="16"/>
  <c r="FJ201" i="16" s="1"/>
  <c r="GX201" i="16" s="1"/>
  <c r="CL201" i="16"/>
  <c r="BZ201" i="16"/>
  <c r="FB201" i="16" s="1"/>
  <c r="GP201" i="16" s="1"/>
  <c r="CD202" i="16"/>
  <c r="FF202" i="16" s="1"/>
  <c r="GT202" i="16" s="1"/>
  <c r="CL203" i="16"/>
  <c r="CL207" i="16"/>
  <c r="CB206" i="16"/>
  <c r="FD206" i="16" s="1"/>
  <c r="GR206" i="16" s="1"/>
  <c r="CF206" i="16"/>
  <c r="FH206" i="16" s="1"/>
  <c r="GV206" i="16" s="1"/>
  <c r="CJ206" i="16"/>
  <c r="FL206" i="16" s="1"/>
  <c r="GZ206" i="16" s="1"/>
  <c r="CN206" i="16"/>
  <c r="FP206" i="16" s="1"/>
  <c r="HD206" i="16" s="1"/>
  <c r="CE201" i="16"/>
  <c r="FG201" i="16" s="1"/>
  <c r="GU201" i="16" s="1"/>
  <c r="CH202" i="16"/>
  <c r="FJ202" i="16" s="1"/>
  <c r="GX202" i="16" s="1"/>
  <c r="CC206" i="16"/>
  <c r="FE206" i="16" s="1"/>
  <c r="GS206" i="16" s="1"/>
  <c r="CG206" i="16"/>
  <c r="FI206" i="16" s="1"/>
  <c r="GW206" i="16" s="1"/>
  <c r="CK206" i="16"/>
  <c r="FM206" i="16" s="1"/>
  <c r="HA206" i="16" s="1"/>
  <c r="CE207" i="16"/>
  <c r="FG207" i="16" s="1"/>
  <c r="GU207" i="16" s="1"/>
  <c r="CI207" i="16"/>
  <c r="FK207" i="16" s="1"/>
  <c r="GY207" i="16" s="1"/>
  <c r="CB207" i="16"/>
  <c r="FD207" i="16" s="1"/>
  <c r="GR207" i="16" s="1"/>
  <c r="CF207" i="16"/>
  <c r="FH207" i="16" s="1"/>
  <c r="GV207" i="16" s="1"/>
  <c r="CJ207" i="16"/>
  <c r="FL207" i="16" s="1"/>
  <c r="GZ207" i="16" s="1"/>
  <c r="CC207" i="16"/>
  <c r="FE207" i="16" s="1"/>
  <c r="GS207" i="16" s="1"/>
  <c r="CG207" i="16"/>
  <c r="FI207" i="16" s="1"/>
  <c r="GW207" i="16" s="1"/>
  <c r="CE203" i="16"/>
  <c r="FG203" i="16" s="1"/>
  <c r="GU203" i="16" s="1"/>
  <c r="CI203" i="16"/>
  <c r="FK203" i="16" s="1"/>
  <c r="GY203" i="16" s="1"/>
  <c r="CB203" i="16"/>
  <c r="FD203" i="16" s="1"/>
  <c r="GR203" i="16" s="1"/>
  <c r="CF203" i="16"/>
  <c r="FH203" i="16" s="1"/>
  <c r="GV203" i="16" s="1"/>
  <c r="CJ203" i="16"/>
  <c r="FL203" i="16" s="1"/>
  <c r="GZ203" i="16" s="1"/>
  <c r="CC203" i="16"/>
  <c r="FE203" i="16" s="1"/>
  <c r="GS203" i="16" s="1"/>
  <c r="CG203" i="16"/>
  <c r="FI203" i="16" s="1"/>
  <c r="GW203" i="16" s="1"/>
  <c r="CI202" i="16"/>
  <c r="FK202" i="16" s="1"/>
  <c r="GY202" i="16" s="1"/>
  <c r="CB202" i="16"/>
  <c r="FD202" i="16" s="1"/>
  <c r="GR202" i="16" s="1"/>
  <c r="CF202" i="16"/>
  <c r="FH202" i="16" s="1"/>
  <c r="GV202" i="16" s="1"/>
  <c r="CJ202" i="16"/>
  <c r="FL202" i="16" s="1"/>
  <c r="GZ202" i="16" s="1"/>
  <c r="CE202" i="16"/>
  <c r="FG202" i="16" s="1"/>
  <c r="GU202" i="16" s="1"/>
  <c r="CC202" i="16"/>
  <c r="FE202" i="16" s="1"/>
  <c r="GS202" i="16" s="1"/>
  <c r="CG202" i="16"/>
  <c r="FI202" i="16" s="1"/>
  <c r="GW202" i="16" s="1"/>
  <c r="CI8" i="16" l="1"/>
  <c r="FK8" i="16" s="1"/>
  <c r="GY8" i="16" s="1"/>
  <c r="CG45" i="16"/>
  <c r="CH45" i="16" s="1"/>
  <c r="CJ28" i="16"/>
  <c r="FL28" i="16" s="1"/>
  <c r="GZ28" i="16" s="1"/>
  <c r="CI48" i="16"/>
  <c r="CJ48" i="16" s="1"/>
  <c r="FL48" i="16" s="1"/>
  <c r="GZ48" i="16" s="1"/>
  <c r="CH44" i="16"/>
  <c r="FJ44" i="16" s="1"/>
  <c r="GX44" i="16" s="1"/>
  <c r="CF44" i="16"/>
  <c r="FH44" i="16" s="1"/>
  <c r="GV44" i="16" s="1"/>
  <c r="CD44" i="16"/>
  <c r="FF44" i="16" s="1"/>
  <c r="GT44" i="16" s="1"/>
  <c r="CE44" i="16"/>
  <c r="FG44" i="16" s="1"/>
  <c r="GU44" i="16" s="1"/>
  <c r="FD44" i="16"/>
  <c r="GR44" i="16" s="1"/>
  <c r="CC44" i="16"/>
  <c r="FE44" i="16" s="1"/>
  <c r="GS44" i="16" s="1"/>
  <c r="CP70" i="16"/>
  <c r="FR70" i="16" s="1"/>
  <c r="HF70" i="16" s="1"/>
  <c r="CE168" i="16"/>
  <c r="FG168" i="16" s="1"/>
  <c r="GU168" i="16" s="1"/>
  <c r="CI65" i="16"/>
  <c r="CL65" i="16" s="1"/>
  <c r="FN65" i="16" s="1"/>
  <c r="CE200" i="16"/>
  <c r="FG200" i="16" s="1"/>
  <c r="GU200" i="16" s="1"/>
  <c r="CQ70" i="16"/>
  <c r="FS70" i="16" s="1"/>
  <c r="HG70" i="16" s="1"/>
  <c r="CP67" i="16"/>
  <c r="FR67" i="16" s="1"/>
  <c r="HF67" i="16" s="1"/>
  <c r="CC200" i="16"/>
  <c r="FE200" i="16" s="1"/>
  <c r="GS200" i="16" s="1"/>
  <c r="FJ14" i="16"/>
  <c r="GX14" i="16" s="1"/>
  <c r="CL69" i="16"/>
  <c r="FN69" i="16" s="1"/>
  <c r="HB69" i="16" s="1"/>
  <c r="FD54" i="16"/>
  <c r="FO160" i="16"/>
  <c r="HC160" i="16" s="1"/>
  <c r="CM69" i="16"/>
  <c r="FO69" i="16" s="1"/>
  <c r="HC69" i="16" s="1"/>
  <c r="FK7" i="16"/>
  <c r="GY7" i="16" s="1"/>
  <c r="CC54" i="16"/>
  <c r="FE54" i="16" s="1"/>
  <c r="FJ3" i="16"/>
  <c r="GX3" i="16" s="1"/>
  <c r="FI14" i="16"/>
  <c r="GW14" i="16" s="1"/>
  <c r="CE54" i="16"/>
  <c r="FG54" i="16" s="1"/>
  <c r="FF53" i="16"/>
  <c r="GT53" i="16" s="1"/>
  <c r="FD208" i="16"/>
  <c r="GR208" i="16" s="1"/>
  <c r="FS206" i="16"/>
  <c r="HG206" i="16" s="1"/>
  <c r="CC23" i="16"/>
  <c r="FE23" i="16" s="1"/>
  <c r="GS23" i="16" s="1"/>
  <c r="FN202" i="16"/>
  <c r="HB202" i="16" s="1"/>
  <c r="CG9" i="16"/>
  <c r="CH9" i="16" s="1"/>
  <c r="FJ9" i="16" s="1"/>
  <c r="GX9" i="16" s="1"/>
  <c r="CC55" i="16"/>
  <c r="CD55" i="16" s="1"/>
  <c r="FR206" i="16"/>
  <c r="HF206" i="16" s="1"/>
  <c r="FI45" i="16"/>
  <c r="GW45" i="16" s="1"/>
  <c r="FL25" i="16"/>
  <c r="GZ25" i="16" s="1"/>
  <c r="FI71" i="16"/>
  <c r="GW71" i="16" s="1"/>
  <c r="FQ67" i="16"/>
  <c r="HE67" i="16" s="1"/>
  <c r="FC200" i="16"/>
  <c r="GQ200" i="16" s="1"/>
  <c r="FB200" i="16"/>
  <c r="GP200" i="16" s="1"/>
  <c r="CB200" i="16"/>
  <c r="FD200" i="16" s="1"/>
  <c r="GR200" i="16" s="1"/>
  <c r="CD200" i="16"/>
  <c r="FF200" i="16" s="1"/>
  <c r="GT200" i="16" s="1"/>
  <c r="CG43" i="16"/>
  <c r="FH43" i="16"/>
  <c r="GV43" i="16" s="1"/>
  <c r="CC19" i="16"/>
  <c r="CD19" i="16" s="1"/>
  <c r="FF19" i="16" s="1"/>
  <c r="GT19" i="16" s="1"/>
  <c r="CG11" i="16"/>
  <c r="CH11" i="16" s="1"/>
  <c r="FO202" i="16"/>
  <c r="HC202" i="16" s="1"/>
  <c r="FP202" i="16"/>
  <c r="HD202" i="16" s="1"/>
  <c r="CM25" i="16"/>
  <c r="FO25" i="16" s="1"/>
  <c r="HC25" i="16" s="1"/>
  <c r="CK25" i="16"/>
  <c r="FM25" i="16" s="1"/>
  <c r="HA25" i="16" s="1"/>
  <c r="CD46" i="16"/>
  <c r="FF46" i="16" s="1"/>
  <c r="GT46" i="16" s="1"/>
  <c r="CE46" i="16"/>
  <c r="FG46" i="16" s="1"/>
  <c r="GU46" i="16" s="1"/>
  <c r="CG46" i="16"/>
  <c r="FI46" i="16" s="1"/>
  <c r="GW46" i="16" s="1"/>
  <c r="CF46" i="16"/>
  <c r="FH46" i="16" s="1"/>
  <c r="GV46" i="16" s="1"/>
  <c r="CH46" i="16"/>
  <c r="FE46" i="16"/>
  <c r="GS46" i="16" s="1"/>
  <c r="FI13" i="16"/>
  <c r="GW13" i="16" s="1"/>
  <c r="CO157" i="16"/>
  <c r="CP157" i="16" s="1"/>
  <c r="FR157" i="16" s="1"/>
  <c r="HF157" i="16" s="1"/>
  <c r="AI206" i="16"/>
  <c r="CK28" i="16"/>
  <c r="FM28" i="16" s="1"/>
  <c r="HA28" i="16" s="1"/>
  <c r="FE24" i="16"/>
  <c r="GS24" i="16" s="1"/>
  <c r="CD24" i="16"/>
  <c r="AI203" i="16"/>
  <c r="CJ8" i="16"/>
  <c r="CK8" i="16" s="1"/>
  <c r="FM8" i="16" s="1"/>
  <c r="HA8" i="16" s="1"/>
  <c r="FJ6" i="16"/>
  <c r="GX6" i="16" s="1"/>
  <c r="CH158" i="16"/>
  <c r="FI158" i="16"/>
  <c r="GW158" i="16" s="1"/>
  <c r="FE52" i="16"/>
  <c r="GS52" i="16" s="1"/>
  <c r="CD52" i="16"/>
  <c r="FF52" i="16" s="1"/>
  <c r="GT52" i="16" s="1"/>
  <c r="CG52" i="16"/>
  <c r="FI52" i="16" s="1"/>
  <c r="GW52" i="16" s="1"/>
  <c r="CE52" i="16"/>
  <c r="FG52" i="16" s="1"/>
  <c r="GU52" i="16" s="1"/>
  <c r="CH52" i="16"/>
  <c r="CF52" i="16"/>
  <c r="FH52" i="16" s="1"/>
  <c r="GV52" i="16" s="1"/>
  <c r="FJ159" i="16"/>
  <c r="GX159" i="16" s="1"/>
  <c r="CM159" i="16"/>
  <c r="CL159" i="16"/>
  <c r="FN159" i="16" s="1"/>
  <c r="HB159" i="16" s="1"/>
  <c r="CK159" i="16"/>
  <c r="FM159" i="16" s="1"/>
  <c r="HA159" i="16" s="1"/>
  <c r="CI159" i="16"/>
  <c r="FK159" i="16" s="1"/>
  <c r="GY159" i="16" s="1"/>
  <c r="CJ159" i="16"/>
  <c r="FL159" i="16" s="1"/>
  <c r="GZ159" i="16" s="1"/>
  <c r="CI10" i="16"/>
  <c r="FK10" i="16" s="1"/>
  <c r="GY10" i="16" s="1"/>
  <c r="FJ10" i="16"/>
  <c r="GX10" i="16" s="1"/>
  <c r="FJ63" i="16"/>
  <c r="CK63" i="16"/>
  <c r="FM63" i="16" s="1"/>
  <c r="CJ63" i="16"/>
  <c r="FL63" i="16" s="1"/>
  <c r="CI63" i="16"/>
  <c r="FK63" i="16" s="1"/>
  <c r="CG16" i="16"/>
  <c r="FI16" i="16" s="1"/>
  <c r="GW16" i="16" s="1"/>
  <c r="FH16" i="16"/>
  <c r="GV16" i="16" s="1"/>
  <c r="AI201" i="16"/>
  <c r="CK7" i="16"/>
  <c r="FM7" i="16" s="1"/>
  <c r="HA7" i="16" s="1"/>
  <c r="FL7" i="16"/>
  <c r="GZ7" i="16" s="1"/>
  <c r="FE50" i="16"/>
  <c r="GS50" i="16" s="1"/>
  <c r="CF50" i="16"/>
  <c r="FH50" i="16" s="1"/>
  <c r="GV50" i="16" s="1"/>
  <c r="CH50" i="16"/>
  <c r="CE50" i="16"/>
  <c r="FG50" i="16" s="1"/>
  <c r="GU50" i="16" s="1"/>
  <c r="CD50" i="16"/>
  <c r="FF50" i="16" s="1"/>
  <c r="GT50" i="16" s="1"/>
  <c r="CG50" i="16"/>
  <c r="FI50" i="16" s="1"/>
  <c r="GW50" i="16" s="1"/>
  <c r="CK47" i="16"/>
  <c r="FL47" i="16"/>
  <c r="GZ47" i="16" s="1"/>
  <c r="FJ66" i="16"/>
  <c r="CI66" i="16"/>
  <c r="FK66" i="16" s="1"/>
  <c r="CK66" i="16"/>
  <c r="FM66" i="16" s="1"/>
  <c r="CJ66" i="16"/>
  <c r="FL66" i="16" s="1"/>
  <c r="CJ6" i="16"/>
  <c r="FK6" i="16"/>
  <c r="GY6" i="16" s="1"/>
  <c r="CG17" i="16"/>
  <c r="FI17" i="16" s="1"/>
  <c r="GW17" i="16" s="1"/>
  <c r="FH17" i="16"/>
  <c r="GV17" i="16" s="1"/>
  <c r="FM56" i="16"/>
  <c r="CL56" i="16"/>
  <c r="CF15" i="16"/>
  <c r="FG15" i="16"/>
  <c r="GU15" i="16" s="1"/>
  <c r="FJ161" i="16"/>
  <c r="GX161" i="16" s="1"/>
  <c r="CI161" i="16"/>
  <c r="FK161" i="16" s="1"/>
  <c r="GY161" i="16" s="1"/>
  <c r="CK161" i="16"/>
  <c r="FM161" i="16" s="1"/>
  <c r="HA161" i="16" s="1"/>
  <c r="CL161" i="16"/>
  <c r="FN161" i="16" s="1"/>
  <c r="HB161" i="16" s="1"/>
  <c r="CJ161" i="16"/>
  <c r="FL161" i="16" s="1"/>
  <c r="GZ161" i="16" s="1"/>
  <c r="CM161" i="16"/>
  <c r="CK49" i="16"/>
  <c r="FL49" i="16"/>
  <c r="GZ49" i="16" s="1"/>
  <c r="FG53" i="16"/>
  <c r="GU53" i="16" s="1"/>
  <c r="CJ53" i="16"/>
  <c r="CI53" i="16"/>
  <c r="FK53" i="16" s="1"/>
  <c r="GY53" i="16" s="1"/>
  <c r="CF53" i="16"/>
  <c r="FH53" i="16" s="1"/>
  <c r="GV53" i="16" s="1"/>
  <c r="CH53" i="16"/>
  <c r="FJ53" i="16" s="1"/>
  <c r="GX53" i="16" s="1"/>
  <c r="CG53" i="16"/>
  <c r="FI53" i="16" s="1"/>
  <c r="GW53" i="16" s="1"/>
  <c r="CI12" i="16"/>
  <c r="FK12" i="16" s="1"/>
  <c r="GY12" i="16" s="1"/>
  <c r="FJ12" i="16"/>
  <c r="GX12" i="16" s="1"/>
  <c r="FJ71" i="16"/>
  <c r="GX71" i="16" s="1"/>
  <c r="CJ71" i="16"/>
  <c r="FL71" i="16" s="1"/>
  <c r="GZ71" i="16" s="1"/>
  <c r="CI71" i="16"/>
  <c r="FK71" i="16" s="1"/>
  <c r="GY71" i="16" s="1"/>
  <c r="CG200" i="16"/>
  <c r="FH200" i="16"/>
  <c r="GV200" i="16" s="1"/>
  <c r="CM207" i="16"/>
  <c r="FN207" i="16"/>
  <c r="HB207" i="16" s="1"/>
  <c r="CE59" i="16"/>
  <c r="FG59" i="16" s="1"/>
  <c r="GU59" i="16" s="1"/>
  <c r="FF59" i="16"/>
  <c r="GT59" i="16" s="1"/>
  <c r="FK26" i="16"/>
  <c r="GY26" i="16" s="1"/>
  <c r="CK26" i="16"/>
  <c r="FM26" i="16" s="1"/>
  <c r="HA26" i="16" s="1"/>
  <c r="CJ26" i="16"/>
  <c r="FL26" i="16" s="1"/>
  <c r="GZ26" i="16" s="1"/>
  <c r="FP156" i="16"/>
  <c r="HD156" i="16" s="1"/>
  <c r="CO156" i="16"/>
  <c r="CE166" i="16"/>
  <c r="FG166" i="16" s="1"/>
  <c r="GU166" i="16" s="1"/>
  <c r="FF166" i="16"/>
  <c r="GT166" i="16" s="1"/>
  <c r="CG18" i="16"/>
  <c r="FI18" i="16" s="1"/>
  <c r="GW18" i="16" s="1"/>
  <c r="FH18" i="16"/>
  <c r="GV18" i="16" s="1"/>
  <c r="FI57" i="16"/>
  <c r="CH57" i="16"/>
  <c r="CE167" i="16"/>
  <c r="FG167" i="16" s="1"/>
  <c r="GU167" i="16" s="1"/>
  <c r="FF167" i="16"/>
  <c r="GT167" i="16" s="1"/>
  <c r="CH72" i="16"/>
  <c r="FJ72" i="16" s="1"/>
  <c r="GX72" i="16" s="1"/>
  <c r="FH72" i="16"/>
  <c r="GV72" i="16" s="1"/>
  <c r="CG72" i="16"/>
  <c r="FI72" i="16" s="1"/>
  <c r="GW72" i="16" s="1"/>
  <c r="CK5" i="16"/>
  <c r="FM5" i="16" s="1"/>
  <c r="HA5" i="16" s="1"/>
  <c r="FL5" i="16"/>
  <c r="GZ5" i="16" s="1"/>
  <c r="CM203" i="16"/>
  <c r="FN203" i="16"/>
  <c r="HB203" i="16" s="1"/>
  <c r="FE162" i="16"/>
  <c r="GS162" i="16" s="1"/>
  <c r="CD162" i="16"/>
  <c r="FJ45" i="16"/>
  <c r="GX45" i="16" s="1"/>
  <c r="CI45" i="16"/>
  <c r="CI13" i="16"/>
  <c r="FK13" i="16" s="1"/>
  <c r="GY13" i="16" s="1"/>
  <c r="FJ13" i="16"/>
  <c r="GX13" i="16" s="1"/>
  <c r="FL64" i="16"/>
  <c r="CL64" i="16"/>
  <c r="FN64" i="16" s="1"/>
  <c r="CK64" i="16"/>
  <c r="FM64" i="16" s="1"/>
  <c r="CM64" i="16"/>
  <c r="FO64" i="16" s="1"/>
  <c r="CE80" i="16"/>
  <c r="FG80" i="16" s="1"/>
  <c r="GU80" i="16" s="1"/>
  <c r="FF80" i="16"/>
  <c r="GT80" i="16" s="1"/>
  <c r="CH54" i="16"/>
  <c r="FI54" i="16"/>
  <c r="CK4" i="16"/>
  <c r="FM4" i="16" s="1"/>
  <c r="HA4" i="16" s="1"/>
  <c r="FL4" i="16"/>
  <c r="GZ4" i="16" s="1"/>
  <c r="CH75" i="16"/>
  <c r="FJ75" i="16" s="1"/>
  <c r="GX75" i="16" s="1"/>
  <c r="FI75" i="16"/>
  <c r="GW75" i="16" s="1"/>
  <c r="CK3" i="16"/>
  <c r="FM3" i="16" s="1"/>
  <c r="HA3" i="16" s="1"/>
  <c r="FL3" i="16"/>
  <c r="GZ3" i="16" s="1"/>
  <c r="CO73" i="16"/>
  <c r="FQ73" i="16" s="1"/>
  <c r="HE73" i="16" s="1"/>
  <c r="FP73" i="16"/>
  <c r="HD73" i="16" s="1"/>
  <c r="FE51" i="16"/>
  <c r="GS51" i="16" s="1"/>
  <c r="CH51" i="16"/>
  <c r="CF51" i="16"/>
  <c r="FH51" i="16" s="1"/>
  <c r="GV51" i="16" s="1"/>
  <c r="CD51" i="16"/>
  <c r="FF51" i="16" s="1"/>
  <c r="GT51" i="16" s="1"/>
  <c r="CG51" i="16"/>
  <c r="FI51" i="16" s="1"/>
  <c r="GW51" i="16" s="1"/>
  <c r="CE51" i="16"/>
  <c r="FG51" i="16" s="1"/>
  <c r="GU51" i="16" s="1"/>
  <c r="CM58" i="16"/>
  <c r="FO58" i="16" s="1"/>
  <c r="FN58" i="16"/>
  <c r="FK2" i="16"/>
  <c r="GY2" i="16" s="1"/>
  <c r="CJ2" i="16"/>
  <c r="CI208" i="16"/>
  <c r="FK208" i="16" s="1"/>
  <c r="GY208" i="16" s="1"/>
  <c r="CE208" i="16"/>
  <c r="FG208" i="16" s="1"/>
  <c r="GU208" i="16" s="1"/>
  <c r="CH208" i="16"/>
  <c r="FJ208" i="16" s="1"/>
  <c r="GX208" i="16" s="1"/>
  <c r="CD208" i="16"/>
  <c r="FF208" i="16" s="1"/>
  <c r="GT208" i="16" s="1"/>
  <c r="FE208" i="16"/>
  <c r="GS208" i="16" s="1"/>
  <c r="CG208" i="16"/>
  <c r="FI208" i="16" s="1"/>
  <c r="GW208" i="16" s="1"/>
  <c r="CF208" i="16"/>
  <c r="FH208" i="16" s="1"/>
  <c r="GV208" i="16" s="1"/>
  <c r="CJ208" i="16"/>
  <c r="FN201" i="16"/>
  <c r="HB201" i="16" s="1"/>
  <c r="CM201" i="16"/>
  <c r="CC209" i="16"/>
  <c r="FD209" i="16"/>
  <c r="GR209" i="16" s="1"/>
  <c r="CM28" i="16" l="1"/>
  <c r="FO28" i="16" s="1"/>
  <c r="HC28" i="16" s="1"/>
  <c r="CL28" i="16"/>
  <c r="FN28" i="16" s="1"/>
  <c r="HB28" i="16" s="1"/>
  <c r="FK48" i="16"/>
  <c r="GY48" i="16" s="1"/>
  <c r="CJ65" i="16"/>
  <c r="FL65" i="16" s="1"/>
  <c r="CI44" i="16"/>
  <c r="CK65" i="16"/>
  <c r="FM65" i="16" s="1"/>
  <c r="CI9" i="16"/>
  <c r="FK9" i="16" s="1"/>
  <c r="GY9" i="16" s="1"/>
  <c r="FK65" i="16"/>
  <c r="FI9" i="16"/>
  <c r="GW9" i="16" s="1"/>
  <c r="FE19" i="16"/>
  <c r="GS19" i="16" s="1"/>
  <c r="CD23" i="16"/>
  <c r="CE23" i="16" s="1"/>
  <c r="FE55" i="16"/>
  <c r="FI11" i="16"/>
  <c r="GW11" i="16" s="1"/>
  <c r="CH43" i="16"/>
  <c r="FJ43" i="16" s="1"/>
  <c r="GX43" i="16" s="1"/>
  <c r="FI43" i="16"/>
  <c r="GW43" i="16" s="1"/>
  <c r="FJ46" i="16"/>
  <c r="GX46" i="16" s="1"/>
  <c r="CI46" i="16"/>
  <c r="FQ157" i="16"/>
  <c r="HE157" i="16" s="1"/>
  <c r="FL8" i="16"/>
  <c r="GZ8" i="16" s="1"/>
  <c r="FF24" i="16"/>
  <c r="GT24" i="16" s="1"/>
  <c r="CE24" i="16"/>
  <c r="CI158" i="16"/>
  <c r="FK158" i="16" s="1"/>
  <c r="GY158" i="16" s="1"/>
  <c r="CJ158" i="16"/>
  <c r="FL158" i="16" s="1"/>
  <c r="GZ158" i="16" s="1"/>
  <c r="CK158" i="16"/>
  <c r="FM158" i="16" s="1"/>
  <c r="HA158" i="16" s="1"/>
  <c r="FJ158" i="16"/>
  <c r="GX158" i="16" s="1"/>
  <c r="CL158" i="16"/>
  <c r="FN158" i="16" s="1"/>
  <c r="HB158" i="16" s="1"/>
  <c r="CM158" i="16"/>
  <c r="CN203" i="16"/>
  <c r="FO203" i="16"/>
  <c r="HC203" i="16" s="1"/>
  <c r="CI57" i="16"/>
  <c r="FK57" i="16" s="1"/>
  <c r="FJ57" i="16"/>
  <c r="FH15" i="16"/>
  <c r="GV15" i="16" s="1"/>
  <c r="CG15" i="16"/>
  <c r="FI15" i="16" s="1"/>
  <c r="GW15" i="16" s="1"/>
  <c r="FF162" i="16"/>
  <c r="GT162" i="16" s="1"/>
  <c r="CE162" i="16"/>
  <c r="FG162" i="16" s="1"/>
  <c r="GU162" i="16" s="1"/>
  <c r="CE55" i="16"/>
  <c r="FF55" i="16"/>
  <c r="CN207" i="16"/>
  <c r="FO207" i="16"/>
  <c r="HC207" i="16" s="1"/>
  <c r="CM56" i="16"/>
  <c r="FO56" i="16" s="1"/>
  <c r="FN56" i="16"/>
  <c r="CI52" i="16"/>
  <c r="FJ52" i="16"/>
  <c r="GX52" i="16" s="1"/>
  <c r="FJ54" i="16"/>
  <c r="CI54" i="16"/>
  <c r="CP156" i="16"/>
  <c r="FR156" i="16" s="1"/>
  <c r="HF156" i="16" s="1"/>
  <c r="FQ156" i="16"/>
  <c r="HE156" i="16" s="1"/>
  <c r="CL49" i="16"/>
  <c r="FN49" i="16" s="1"/>
  <c r="HB49" i="16" s="1"/>
  <c r="FM49" i="16"/>
  <c r="HA49" i="16" s="1"/>
  <c r="CI11" i="16"/>
  <c r="FK11" i="16" s="1"/>
  <c r="GY11" i="16" s="1"/>
  <c r="FJ11" i="16"/>
  <c r="GX11" i="16" s="1"/>
  <c r="CK6" i="16"/>
  <c r="FM6" i="16" s="1"/>
  <c r="HA6" i="16" s="1"/>
  <c r="FL6" i="16"/>
  <c r="GZ6" i="16" s="1"/>
  <c r="CL47" i="16"/>
  <c r="FN47" i="16" s="1"/>
  <c r="HB47" i="16" s="1"/>
  <c r="FM47" i="16"/>
  <c r="HA47" i="16" s="1"/>
  <c r="CI50" i="16"/>
  <c r="FJ50" i="16"/>
  <c r="GX50" i="16" s="1"/>
  <c r="FK44" i="16"/>
  <c r="GY44" i="16" s="1"/>
  <c r="CJ44" i="16"/>
  <c r="FL44" i="16" s="1"/>
  <c r="GZ44" i="16" s="1"/>
  <c r="CN159" i="16"/>
  <c r="FO159" i="16"/>
  <c r="HC159" i="16" s="1"/>
  <c r="FL2" i="16"/>
  <c r="GZ2" i="16" s="1"/>
  <c r="CK2" i="16"/>
  <c r="FM2" i="16" s="1"/>
  <c r="HA2" i="16" s="1"/>
  <c r="CI51" i="16"/>
  <c r="FJ51" i="16"/>
  <c r="GX51" i="16" s="1"/>
  <c r="FK45" i="16"/>
  <c r="GY45" i="16" s="1"/>
  <c r="CJ45" i="16"/>
  <c r="FL45" i="16" s="1"/>
  <c r="GZ45" i="16" s="1"/>
  <c r="FI200" i="16"/>
  <c r="GW200" i="16" s="1"/>
  <c r="CH200" i="16"/>
  <c r="FJ200" i="16" s="1"/>
  <c r="GX200" i="16" s="1"/>
  <c r="CK53" i="16"/>
  <c r="FL53" i="16"/>
  <c r="GZ53" i="16" s="1"/>
  <c r="CN161" i="16"/>
  <c r="FO161" i="16"/>
  <c r="HC161" i="16" s="1"/>
  <c r="FO201" i="16"/>
  <c r="HC201" i="16" s="1"/>
  <c r="CN201" i="16"/>
  <c r="FL208" i="16"/>
  <c r="GZ208" i="16" s="1"/>
  <c r="CK208" i="16"/>
  <c r="FE209" i="16"/>
  <c r="GS209" i="16" s="1"/>
  <c r="CJ209" i="16"/>
  <c r="CG209" i="16"/>
  <c r="FI209" i="16" s="1"/>
  <c r="GW209" i="16" s="1"/>
  <c r="CD209" i="16"/>
  <c r="FF209" i="16" s="1"/>
  <c r="GT209" i="16" s="1"/>
  <c r="CF209" i="16"/>
  <c r="FH209" i="16" s="1"/>
  <c r="GV209" i="16" s="1"/>
  <c r="CI209" i="16"/>
  <c r="FK209" i="16" s="1"/>
  <c r="GY209" i="16" s="1"/>
  <c r="CH209" i="16"/>
  <c r="FJ209" i="16" s="1"/>
  <c r="GX209" i="16" s="1"/>
  <c r="CE209" i="16"/>
  <c r="FG209" i="16" s="1"/>
  <c r="GU209" i="16" s="1"/>
  <c r="FF23" i="16" l="1"/>
  <c r="GT23" i="16" s="1"/>
  <c r="FK46" i="16"/>
  <c r="GY46" i="16" s="1"/>
  <c r="CJ46" i="16"/>
  <c r="CF24" i="16"/>
  <c r="FH24" i="16" s="1"/>
  <c r="GV24" i="16" s="1"/>
  <c r="FG24" i="16"/>
  <c r="GU24" i="16" s="1"/>
  <c r="CF23" i="16"/>
  <c r="FH23" i="16" s="1"/>
  <c r="GV23" i="16" s="1"/>
  <c r="FG23" i="16"/>
  <c r="GU23" i="16" s="1"/>
  <c r="FO158" i="16"/>
  <c r="HC158" i="16" s="1"/>
  <c r="CN158" i="16"/>
  <c r="CO161" i="16"/>
  <c r="FQ161" i="16" s="1"/>
  <c r="HE161" i="16" s="1"/>
  <c r="FP161" i="16"/>
  <c r="HD161" i="16" s="1"/>
  <c r="CJ51" i="16"/>
  <c r="FK51" i="16"/>
  <c r="GY51" i="16" s="1"/>
  <c r="CJ52" i="16"/>
  <c r="FK52" i="16"/>
  <c r="GY52" i="16" s="1"/>
  <c r="CO207" i="16"/>
  <c r="FQ207" i="16" s="1"/>
  <c r="HE207" i="16" s="1"/>
  <c r="FP207" i="16"/>
  <c r="HD207" i="16" s="1"/>
  <c r="FK54" i="16"/>
  <c r="CJ54" i="16"/>
  <c r="FL54" i="16" s="1"/>
  <c r="FM53" i="16"/>
  <c r="HA53" i="16" s="1"/>
  <c r="CL53" i="16"/>
  <c r="FN53" i="16" s="1"/>
  <c r="HB53" i="16" s="1"/>
  <c r="CN53" i="16"/>
  <c r="CM53" i="16"/>
  <c r="FO53" i="16" s="1"/>
  <c r="HC53" i="16" s="1"/>
  <c r="CO159" i="16"/>
  <c r="FQ159" i="16" s="1"/>
  <c r="HE159" i="16" s="1"/>
  <c r="FP159" i="16"/>
  <c r="HD159" i="16" s="1"/>
  <c r="CJ50" i="16"/>
  <c r="FK50" i="16"/>
  <c r="GY50" i="16" s="1"/>
  <c r="CF55" i="16"/>
  <c r="FG55" i="16"/>
  <c r="CO203" i="16"/>
  <c r="FQ203" i="16" s="1"/>
  <c r="HE203" i="16" s="1"/>
  <c r="FP203" i="16"/>
  <c r="HD203" i="16" s="1"/>
  <c r="CM208" i="16"/>
  <c r="FO208" i="16" s="1"/>
  <c r="HC208" i="16" s="1"/>
  <c r="CL208" i="16"/>
  <c r="FN208" i="16" s="1"/>
  <c r="HB208" i="16" s="1"/>
  <c r="FM208" i="16"/>
  <c r="HA208" i="16" s="1"/>
  <c r="CN208" i="16"/>
  <c r="FP208" i="16" s="1"/>
  <c r="HD208" i="16" s="1"/>
  <c r="CK209" i="16"/>
  <c r="FL209" i="16"/>
  <c r="GZ209" i="16" s="1"/>
  <c r="CO201" i="16"/>
  <c r="FQ201" i="16" s="1"/>
  <c r="HE201" i="16" s="1"/>
  <c r="FP201" i="16"/>
  <c r="HD201" i="16" s="1"/>
  <c r="DM211" i="16"/>
  <c r="DN211" i="16"/>
  <c r="DO211" i="16"/>
  <c r="DP211" i="16"/>
  <c r="DQ211" i="16"/>
  <c r="DR211" i="16"/>
  <c r="DS211" i="16"/>
  <c r="DT211" i="16"/>
  <c r="DU211" i="16"/>
  <c r="DV211" i="16"/>
  <c r="DW211" i="16"/>
  <c r="DX211" i="16"/>
  <c r="DY211" i="16"/>
  <c r="DZ211" i="16"/>
  <c r="EA211" i="16"/>
  <c r="EA210" i="16"/>
  <c r="DZ210" i="16"/>
  <c r="DY210" i="16"/>
  <c r="DX210" i="16"/>
  <c r="DW210" i="16"/>
  <c r="DS210" i="16"/>
  <c r="DT210" i="16"/>
  <c r="DU210" i="16"/>
  <c r="DV210" i="16"/>
  <c r="DR210" i="16"/>
  <c r="DN210" i="16"/>
  <c r="DO210" i="16"/>
  <c r="DP210" i="16"/>
  <c r="DQ210" i="16"/>
  <c r="DM210" i="16"/>
  <c r="BY211" i="16"/>
  <c r="BZ211" i="16" s="1"/>
  <c r="BY210" i="16"/>
  <c r="CC210" i="16" s="1"/>
  <c r="AV201" i="16"/>
  <c r="AV202" i="16"/>
  <c r="AV203" i="16"/>
  <c r="AV205" i="16"/>
  <c r="AV206" i="16"/>
  <c r="AV207" i="16"/>
  <c r="AV208" i="16"/>
  <c r="AV209" i="16"/>
  <c r="AV213" i="16"/>
  <c r="AV214" i="16"/>
  <c r="AV215" i="16"/>
  <c r="AV216" i="16"/>
  <c r="AV217" i="16"/>
  <c r="AV218" i="16"/>
  <c r="AV219" i="16"/>
  <c r="AV220" i="16"/>
  <c r="AV221" i="16"/>
  <c r="AV222" i="16"/>
  <c r="AV223" i="16"/>
  <c r="AV224" i="16"/>
  <c r="AV225" i="16"/>
  <c r="AV226" i="16"/>
  <c r="AV227" i="16"/>
  <c r="AV228" i="16"/>
  <c r="AV212" i="16"/>
  <c r="AC212" i="16"/>
  <c r="AD212" i="16"/>
  <c r="AE212" i="16"/>
  <c r="AC213" i="16"/>
  <c r="AD213" i="16"/>
  <c r="AE213" i="16"/>
  <c r="AC214" i="16"/>
  <c r="AD214" i="16"/>
  <c r="AE214" i="16"/>
  <c r="AC215" i="16"/>
  <c r="AD215" i="16"/>
  <c r="AE215" i="16"/>
  <c r="AC216" i="16"/>
  <c r="AD216" i="16"/>
  <c r="AE216" i="16"/>
  <c r="AC217" i="16"/>
  <c r="AD217" i="16"/>
  <c r="AE217" i="16"/>
  <c r="AC218" i="16"/>
  <c r="AD218" i="16"/>
  <c r="AE218" i="16"/>
  <c r="AC219" i="16"/>
  <c r="AD219" i="16"/>
  <c r="AE219" i="16"/>
  <c r="AC220" i="16"/>
  <c r="AD220" i="16"/>
  <c r="AE220" i="16"/>
  <c r="AC221" i="16"/>
  <c r="AD221" i="16"/>
  <c r="AE221" i="16"/>
  <c r="AC222" i="16"/>
  <c r="AD222" i="16"/>
  <c r="AE222" i="16"/>
  <c r="AC223" i="16"/>
  <c r="AD223" i="16"/>
  <c r="AE223" i="16"/>
  <c r="AC224" i="16"/>
  <c r="AD224" i="16"/>
  <c r="AE224" i="16"/>
  <c r="AQ213" i="16"/>
  <c r="AQ214" i="16"/>
  <c r="AQ215" i="16"/>
  <c r="AQ216" i="16"/>
  <c r="AQ217" i="16"/>
  <c r="AQ218" i="16"/>
  <c r="AQ219" i="16"/>
  <c r="AQ220" i="16"/>
  <c r="AQ221" i="16"/>
  <c r="AQ222" i="16"/>
  <c r="AQ223" i="16"/>
  <c r="AQ224" i="16"/>
  <c r="AQ212" i="16"/>
  <c r="DM224" i="16"/>
  <c r="DN224" i="16"/>
  <c r="DO224" i="16"/>
  <c r="DP224" i="16"/>
  <c r="DQ224" i="16"/>
  <c r="DR224" i="16"/>
  <c r="DS224" i="16"/>
  <c r="DT224" i="16"/>
  <c r="DU224" i="16"/>
  <c r="DV224" i="16"/>
  <c r="DW224" i="16"/>
  <c r="DW223" i="16"/>
  <c r="DV223" i="16"/>
  <c r="DU223" i="16"/>
  <c r="DT223" i="16"/>
  <c r="DS223" i="16"/>
  <c r="DR223" i="16"/>
  <c r="DQ223" i="16"/>
  <c r="DP223" i="16"/>
  <c r="DO223" i="16"/>
  <c r="DN223" i="16"/>
  <c r="DM223" i="16"/>
  <c r="DX222" i="16"/>
  <c r="DW222" i="16"/>
  <c r="DV222" i="16"/>
  <c r="DQ222" i="16"/>
  <c r="DR222" i="16"/>
  <c r="DS222" i="16"/>
  <c r="DT222" i="16"/>
  <c r="DU222" i="16"/>
  <c r="DP222" i="16"/>
  <c r="DM222" i="16"/>
  <c r="DN222" i="16"/>
  <c r="DO222" i="16"/>
  <c r="DV221" i="16"/>
  <c r="DU221" i="16"/>
  <c r="DT221" i="16"/>
  <c r="DP221" i="16"/>
  <c r="DQ221" i="16"/>
  <c r="DR221" i="16"/>
  <c r="DS221" i="16"/>
  <c r="DN221" i="16"/>
  <c r="DO221" i="16"/>
  <c r="DM221" i="16"/>
  <c r="DW220" i="16"/>
  <c r="DV220" i="16"/>
  <c r="DU220" i="16"/>
  <c r="DT220" i="16"/>
  <c r="DS220" i="16"/>
  <c r="DR220" i="16"/>
  <c r="DQ220" i="16"/>
  <c r="DP220" i="16"/>
  <c r="DO220" i="16"/>
  <c r="DN220" i="16"/>
  <c r="DM220" i="16"/>
  <c r="DW219" i="16"/>
  <c r="DV219" i="16"/>
  <c r="DU219" i="16"/>
  <c r="DP219" i="16"/>
  <c r="DQ219" i="16"/>
  <c r="DR219" i="16"/>
  <c r="DS219" i="16"/>
  <c r="DT219" i="16"/>
  <c r="DN219" i="16"/>
  <c r="DO219" i="16"/>
  <c r="DM219" i="16"/>
  <c r="DM213" i="16"/>
  <c r="DN213" i="16"/>
  <c r="DO213" i="16"/>
  <c r="DP213" i="16"/>
  <c r="DQ213" i="16"/>
  <c r="DR213" i="16"/>
  <c r="DS213" i="16"/>
  <c r="DT213" i="16"/>
  <c r="DU213" i="16"/>
  <c r="DV213" i="16"/>
  <c r="DW213" i="16"/>
  <c r="DM214" i="16"/>
  <c r="DN214" i="16"/>
  <c r="DO214" i="16"/>
  <c r="DP214" i="16"/>
  <c r="DQ214" i="16"/>
  <c r="DR214" i="16"/>
  <c r="DS214" i="16"/>
  <c r="DT214" i="16"/>
  <c r="DU214" i="16"/>
  <c r="DV214" i="16"/>
  <c r="DW214" i="16"/>
  <c r="DM215" i="16"/>
  <c r="DN215" i="16"/>
  <c r="DO215" i="16"/>
  <c r="DP215" i="16"/>
  <c r="DQ215" i="16"/>
  <c r="DR215" i="16"/>
  <c r="DS215" i="16"/>
  <c r="DT215" i="16"/>
  <c r="DU215" i="16"/>
  <c r="DV215" i="16"/>
  <c r="DW215" i="16"/>
  <c r="DM216" i="16"/>
  <c r="DN216" i="16"/>
  <c r="DO216" i="16"/>
  <c r="DP216" i="16"/>
  <c r="DQ216" i="16"/>
  <c r="DR216" i="16"/>
  <c r="DS216" i="16"/>
  <c r="DT216" i="16"/>
  <c r="DU216" i="16"/>
  <c r="DV216" i="16"/>
  <c r="DW216" i="16"/>
  <c r="DM217" i="16"/>
  <c r="DN217" i="16"/>
  <c r="DO217" i="16"/>
  <c r="DP217" i="16"/>
  <c r="DQ217" i="16"/>
  <c r="DR217" i="16"/>
  <c r="DS217" i="16"/>
  <c r="DT217" i="16"/>
  <c r="DU217" i="16"/>
  <c r="DV217" i="16"/>
  <c r="DW217" i="16"/>
  <c r="DM218" i="16"/>
  <c r="DN218" i="16"/>
  <c r="DO218" i="16"/>
  <c r="DP218" i="16"/>
  <c r="DQ218" i="16"/>
  <c r="DR218" i="16"/>
  <c r="DS218" i="16"/>
  <c r="DT218" i="16"/>
  <c r="DU218" i="16"/>
  <c r="DV218" i="16"/>
  <c r="DW218" i="16"/>
  <c r="DW212" i="16"/>
  <c r="DV212" i="16"/>
  <c r="DU212" i="16"/>
  <c r="DQ212" i="16"/>
  <c r="DR212" i="16"/>
  <c r="DS212" i="16"/>
  <c r="DT212" i="16"/>
  <c r="DP212" i="16"/>
  <c r="DN212" i="16"/>
  <c r="DO212" i="16"/>
  <c r="DM212" i="16"/>
  <c r="BY224" i="16"/>
  <c r="BY223" i="16"/>
  <c r="CA223" i="16" s="1"/>
  <c r="CB223" i="16" s="1"/>
  <c r="BY222" i="16"/>
  <c r="BY221" i="16"/>
  <c r="CA221" i="16" s="1"/>
  <c r="BY219" i="16"/>
  <c r="BZ219" i="16" s="1"/>
  <c r="FB219" i="16" s="1"/>
  <c r="GP219" i="16" s="1"/>
  <c r="BY220" i="16"/>
  <c r="BZ220" i="16" s="1"/>
  <c r="BY213" i="16"/>
  <c r="BY214" i="16"/>
  <c r="BZ214" i="16" s="1"/>
  <c r="BY215" i="16"/>
  <c r="CA215" i="16" s="1"/>
  <c r="CB215" i="16" s="1"/>
  <c r="FD215" i="16" s="1"/>
  <c r="GR215" i="16" s="1"/>
  <c r="BY216" i="16"/>
  <c r="BY217" i="16"/>
  <c r="BZ217" i="16" s="1"/>
  <c r="BY218" i="16"/>
  <c r="BZ218" i="16" s="1"/>
  <c r="BY212" i="16"/>
  <c r="BG223" i="16"/>
  <c r="BG224" i="16"/>
  <c r="BG213" i="16"/>
  <c r="BG214" i="16"/>
  <c r="BG215" i="16"/>
  <c r="BG216" i="16"/>
  <c r="BG217" i="16"/>
  <c r="BG218" i="16"/>
  <c r="BG219" i="16"/>
  <c r="BG220" i="16"/>
  <c r="BG221" i="16"/>
  <c r="BG222" i="16"/>
  <c r="BG212" i="16"/>
  <c r="BD213" i="16"/>
  <c r="BD214" i="16"/>
  <c r="BD215" i="16"/>
  <c r="BD216" i="16"/>
  <c r="BD217" i="16"/>
  <c r="BD218" i="16"/>
  <c r="BD219" i="16"/>
  <c r="BD220" i="16"/>
  <c r="BD221" i="16"/>
  <c r="BD222" i="16"/>
  <c r="BD223" i="16"/>
  <c r="BD224" i="16"/>
  <c r="BD212" i="16"/>
  <c r="BE213" i="16"/>
  <c r="BE214" i="16"/>
  <c r="BE215" i="16"/>
  <c r="BE216" i="16"/>
  <c r="BE217" i="16"/>
  <c r="BE218" i="16"/>
  <c r="BE219" i="16"/>
  <c r="BE220" i="16"/>
  <c r="BE221" i="16"/>
  <c r="BE222" i="16"/>
  <c r="BE223" i="16"/>
  <c r="BE224" i="16"/>
  <c r="BE212" i="16"/>
  <c r="BM221" i="16"/>
  <c r="BO221" i="16" s="1"/>
  <c r="BM222" i="16"/>
  <c r="BO222" i="16" s="1"/>
  <c r="BM223" i="16"/>
  <c r="BO223" i="16" s="1"/>
  <c r="BM224" i="16"/>
  <c r="BO224" i="16" s="1"/>
  <c r="BM220" i="16"/>
  <c r="BO220" i="16" s="1"/>
  <c r="BM219" i="16"/>
  <c r="BO219" i="16" s="1"/>
  <c r="BM213" i="16"/>
  <c r="BO213" i="16" s="1"/>
  <c r="BM214" i="16"/>
  <c r="BO214" i="16" s="1"/>
  <c r="BM215" i="16"/>
  <c r="BO215" i="16" s="1"/>
  <c r="BM216" i="16"/>
  <c r="BO216" i="16" s="1"/>
  <c r="BM217" i="16"/>
  <c r="BO217" i="16" s="1"/>
  <c r="BM218" i="16"/>
  <c r="BO218" i="16" s="1"/>
  <c r="BM212" i="16"/>
  <c r="BO212" i="16" s="1"/>
  <c r="BI213" i="16"/>
  <c r="BK213" i="16" s="1"/>
  <c r="BI214" i="16"/>
  <c r="BK214" i="16" s="1"/>
  <c r="BI215" i="16"/>
  <c r="BK215" i="16" s="1"/>
  <c r="BI216" i="16"/>
  <c r="BK216" i="16" s="1"/>
  <c r="BI217" i="16"/>
  <c r="BK217" i="16" s="1"/>
  <c r="BI218" i="16"/>
  <c r="BK218" i="16" s="1"/>
  <c r="BI219" i="16"/>
  <c r="BK219" i="16" s="1"/>
  <c r="BI220" i="16"/>
  <c r="BK220" i="16" s="1"/>
  <c r="BI221" i="16"/>
  <c r="BK221" i="16" s="1"/>
  <c r="BI222" i="16"/>
  <c r="BK222" i="16" s="1"/>
  <c r="BI223" i="16"/>
  <c r="BK223" i="16" s="1"/>
  <c r="BI224" i="16"/>
  <c r="BK224" i="16" s="1"/>
  <c r="BI212" i="16"/>
  <c r="BK212" i="16" s="1"/>
  <c r="BT224" i="16" l="1"/>
  <c r="BT220" i="16"/>
  <c r="BT216" i="16"/>
  <c r="BT212" i="16"/>
  <c r="BT223" i="16"/>
  <c r="BT219" i="16"/>
  <c r="BT215" i="16"/>
  <c r="BT221" i="16"/>
  <c r="BT217" i="16"/>
  <c r="BT213" i="16"/>
  <c r="BT222" i="16"/>
  <c r="BT218" i="16"/>
  <c r="BT214" i="16"/>
  <c r="FB217" i="16"/>
  <c r="GP217" i="16" s="1"/>
  <c r="FA222" i="16"/>
  <c r="GO222" i="16" s="1"/>
  <c r="FA216" i="16"/>
  <c r="GO216" i="16" s="1"/>
  <c r="FA213" i="16"/>
  <c r="GO213" i="16" s="1"/>
  <c r="CC211" i="16"/>
  <c r="FE211" i="16" s="1"/>
  <c r="GS211" i="16" s="1"/>
  <c r="FA212" i="16"/>
  <c r="GO212" i="16" s="1"/>
  <c r="FD223" i="16"/>
  <c r="GR223" i="16" s="1"/>
  <c r="BZ222" i="16"/>
  <c r="FB222" i="16" s="1"/>
  <c r="GP222" i="16" s="1"/>
  <c r="FB218" i="16"/>
  <c r="GP218" i="16" s="1"/>
  <c r="FB214" i="16"/>
  <c r="GP214" i="16" s="1"/>
  <c r="CA217" i="16"/>
  <c r="FC217" i="16" s="1"/>
  <c r="GQ217" i="16" s="1"/>
  <c r="CA213" i="16"/>
  <c r="FC213" i="16" s="1"/>
  <c r="GQ213" i="16" s="1"/>
  <c r="FA224" i="16"/>
  <c r="FA211" i="16"/>
  <c r="GO211" i="16" s="1"/>
  <c r="BZ213" i="16"/>
  <c r="FB213" i="16" s="1"/>
  <c r="GP213" i="16" s="1"/>
  <c r="CB211" i="16"/>
  <c r="FD211" i="16" s="1"/>
  <c r="GR211" i="16" s="1"/>
  <c r="CK46" i="16"/>
  <c r="FL46" i="16"/>
  <c r="GZ46" i="16" s="1"/>
  <c r="CA211" i="16"/>
  <c r="FC211" i="16" s="1"/>
  <c r="GQ211" i="16" s="1"/>
  <c r="CA212" i="16"/>
  <c r="CB212" i="16" s="1"/>
  <c r="CC212" i="16" s="1"/>
  <c r="FE212" i="16" s="1"/>
  <c r="GS212" i="16" s="1"/>
  <c r="CA224" i="16"/>
  <c r="FC224" i="16" s="1"/>
  <c r="GQ224" i="16" s="1"/>
  <c r="Z224" i="16"/>
  <c r="X224" i="16" s="1"/>
  <c r="Z220" i="16"/>
  <c r="X220" i="16" s="1"/>
  <c r="Z216" i="16"/>
  <c r="X216" i="16" s="1"/>
  <c r="Z212" i="16"/>
  <c r="BZ210" i="16"/>
  <c r="FB210" i="16" s="1"/>
  <c r="GP210" i="16" s="1"/>
  <c r="BZ212" i="16"/>
  <c r="FB212" i="16" s="1"/>
  <c r="GP212" i="16" s="1"/>
  <c r="CA216" i="16"/>
  <c r="CB216" i="16" s="1"/>
  <c r="FD216" i="16" s="1"/>
  <c r="GR216" i="16" s="1"/>
  <c r="FB220" i="16"/>
  <c r="GP220" i="16" s="1"/>
  <c r="Z213" i="16"/>
  <c r="X213" i="16" s="1"/>
  <c r="CA210" i="16"/>
  <c r="FC210" i="16" s="1"/>
  <c r="GQ210" i="16" s="1"/>
  <c r="FB211" i="16"/>
  <c r="GP211" i="16" s="1"/>
  <c r="BZ216" i="16"/>
  <c r="FB216" i="16" s="1"/>
  <c r="GP216" i="16" s="1"/>
  <c r="CA222" i="16"/>
  <c r="CB222" i="16" s="1"/>
  <c r="CC222" i="16" s="1"/>
  <c r="FE222" i="16" s="1"/>
  <c r="GS222" i="16" s="1"/>
  <c r="Z222" i="16"/>
  <c r="X222" i="16" s="1"/>
  <c r="Z218" i="16"/>
  <c r="X218" i="16" s="1"/>
  <c r="Z214" i="16"/>
  <c r="X214" i="16" s="1"/>
  <c r="Z221" i="16"/>
  <c r="X221" i="16" s="1"/>
  <c r="Z217" i="16"/>
  <c r="X217" i="16" s="1"/>
  <c r="Z223" i="16"/>
  <c r="X223" i="16" s="1"/>
  <c r="Z219" i="16"/>
  <c r="X219" i="16" s="1"/>
  <c r="Z215" i="16"/>
  <c r="X215" i="16" s="1"/>
  <c r="CD211" i="16"/>
  <c r="FF211" i="16" s="1"/>
  <c r="GT211" i="16" s="1"/>
  <c r="CF211" i="16"/>
  <c r="FH211" i="16" s="1"/>
  <c r="GV211" i="16" s="1"/>
  <c r="CO158" i="16"/>
  <c r="FQ158" i="16" s="1"/>
  <c r="HE158" i="16" s="1"/>
  <c r="FP158" i="16"/>
  <c r="HD158" i="16" s="1"/>
  <c r="CI211" i="16"/>
  <c r="CK211" i="16" s="1"/>
  <c r="FM211" i="16" s="1"/>
  <c r="HA211" i="16" s="1"/>
  <c r="CE211" i="16"/>
  <c r="FG211" i="16" s="1"/>
  <c r="GU211" i="16" s="1"/>
  <c r="FH55" i="16"/>
  <c r="CG55" i="16"/>
  <c r="FI55" i="16" s="1"/>
  <c r="CK52" i="16"/>
  <c r="FL52" i="16"/>
  <c r="GZ52" i="16" s="1"/>
  <c r="CK51" i="16"/>
  <c r="FL51" i="16"/>
  <c r="GZ51" i="16" s="1"/>
  <c r="CK50" i="16"/>
  <c r="FL50" i="16"/>
  <c r="GZ50" i="16" s="1"/>
  <c r="CO53" i="16"/>
  <c r="FP53" i="16"/>
  <c r="HD53" i="16" s="1"/>
  <c r="FC221" i="16"/>
  <c r="GQ221" i="16" s="1"/>
  <c r="CB221" i="16"/>
  <c r="CG210" i="16"/>
  <c r="FI210" i="16" s="1"/>
  <c r="GW210" i="16" s="1"/>
  <c r="FE210" i="16"/>
  <c r="GS210" i="16" s="1"/>
  <c r="CF210" i="16"/>
  <c r="FH210" i="16" s="1"/>
  <c r="GV210" i="16" s="1"/>
  <c r="CI210" i="16"/>
  <c r="CE210" i="16"/>
  <c r="FG210" i="16" s="1"/>
  <c r="GU210" i="16" s="1"/>
  <c r="CH210" i="16"/>
  <c r="FJ210" i="16" s="1"/>
  <c r="GX210" i="16" s="1"/>
  <c r="CD210" i="16"/>
  <c r="FF210" i="16" s="1"/>
  <c r="GT210" i="16" s="1"/>
  <c r="FA220" i="16"/>
  <c r="GO220" i="16" s="1"/>
  <c r="FA221" i="16"/>
  <c r="GO221" i="16" s="1"/>
  <c r="FA223" i="16"/>
  <c r="GO223" i="16" s="1"/>
  <c r="FA217" i="16"/>
  <c r="GO217" i="16" s="1"/>
  <c r="FC215" i="16"/>
  <c r="GQ215" i="16" s="1"/>
  <c r="FA210" i="16"/>
  <c r="GO210" i="16" s="1"/>
  <c r="BZ221" i="16"/>
  <c r="FB221" i="16" s="1"/>
  <c r="GP221" i="16" s="1"/>
  <c r="BZ224" i="16"/>
  <c r="FB224" i="16" s="1"/>
  <c r="GP224" i="16" s="1"/>
  <c r="FA218" i="16"/>
  <c r="GO218" i="16" s="1"/>
  <c r="FA214" i="16"/>
  <c r="GO214" i="16" s="1"/>
  <c r="FC223" i="16"/>
  <c r="GQ223" i="16" s="1"/>
  <c r="CB210" i="16"/>
  <c r="FD210" i="16" s="1"/>
  <c r="GR210" i="16" s="1"/>
  <c r="BZ215" i="16"/>
  <c r="FB215" i="16" s="1"/>
  <c r="GP215" i="16" s="1"/>
  <c r="FA219" i="16"/>
  <c r="GO219" i="16" s="1"/>
  <c r="FA215" i="16"/>
  <c r="GO215" i="16" s="1"/>
  <c r="X212" i="16"/>
  <c r="FM209" i="16"/>
  <c r="HA209" i="16" s="1"/>
  <c r="CL209" i="16"/>
  <c r="FN209" i="16" s="1"/>
  <c r="HB209" i="16" s="1"/>
  <c r="CM209" i="16"/>
  <c r="FO209" i="16" s="1"/>
  <c r="HC209" i="16" s="1"/>
  <c r="CN209" i="16"/>
  <c r="FP209" i="16" s="1"/>
  <c r="HD209" i="16" s="1"/>
  <c r="GO224" i="16"/>
  <c r="CE223" i="16"/>
  <c r="FG223" i="16" s="1"/>
  <c r="GU223" i="16" s="1"/>
  <c r="CD223" i="16"/>
  <c r="FF223" i="16" s="1"/>
  <c r="GT223" i="16" s="1"/>
  <c r="CC223" i="16"/>
  <c r="FE223" i="16" s="1"/>
  <c r="GS223" i="16" s="1"/>
  <c r="CF223" i="16"/>
  <c r="BZ223" i="16"/>
  <c r="FB223" i="16" s="1"/>
  <c r="GP223" i="16" s="1"/>
  <c r="CA219" i="16"/>
  <c r="CA220" i="16"/>
  <c r="CE215" i="16"/>
  <c r="FG215" i="16" s="1"/>
  <c r="GU215" i="16" s="1"/>
  <c r="CF215" i="16"/>
  <c r="CC215" i="16"/>
  <c r="FE215" i="16" s="1"/>
  <c r="GS215" i="16" s="1"/>
  <c r="CD215" i="16"/>
  <c r="FF215" i="16" s="1"/>
  <c r="GT215" i="16" s="1"/>
  <c r="CA218" i="16"/>
  <c r="CA214" i="16"/>
  <c r="CB217" i="16" l="1"/>
  <c r="CE217" i="16" s="1"/>
  <c r="FG217" i="16" s="1"/>
  <c r="GU217" i="16" s="1"/>
  <c r="CG211" i="16"/>
  <c r="FI211" i="16" s="1"/>
  <c r="GW211" i="16" s="1"/>
  <c r="CH211" i="16"/>
  <c r="FJ211" i="16" s="1"/>
  <c r="GX211" i="16" s="1"/>
  <c r="CG222" i="16"/>
  <c r="FI222" i="16" s="1"/>
  <c r="GW222" i="16" s="1"/>
  <c r="FC216" i="16"/>
  <c r="GQ216" i="16" s="1"/>
  <c r="CE216" i="16"/>
  <c r="FG216" i="16" s="1"/>
  <c r="GU216" i="16" s="1"/>
  <c r="CE212" i="16"/>
  <c r="FG212" i="16" s="1"/>
  <c r="GU212" i="16" s="1"/>
  <c r="CD216" i="16"/>
  <c r="FF216" i="16" s="1"/>
  <c r="GT216" i="16" s="1"/>
  <c r="CC216" i="16"/>
  <c r="FE216" i="16" s="1"/>
  <c r="GS216" i="16" s="1"/>
  <c r="FD212" i="16"/>
  <c r="GR212" i="16" s="1"/>
  <c r="CF212" i="16"/>
  <c r="CG212" i="16" s="1"/>
  <c r="CB213" i="16"/>
  <c r="CE213" i="16" s="1"/>
  <c r="FG213" i="16" s="1"/>
  <c r="GU213" i="16" s="1"/>
  <c r="CF216" i="16"/>
  <c r="FC212" i="16"/>
  <c r="GQ212" i="16" s="1"/>
  <c r="CD212" i="16"/>
  <c r="FF212" i="16" s="1"/>
  <c r="GT212" i="16" s="1"/>
  <c r="FD222" i="16"/>
  <c r="GR222" i="16" s="1"/>
  <c r="CB224" i="16"/>
  <c r="CD224" i="16" s="1"/>
  <c r="FF224" i="16" s="1"/>
  <c r="GT224" i="16" s="1"/>
  <c r="CE222" i="16"/>
  <c r="FG222" i="16" s="1"/>
  <c r="GU222" i="16" s="1"/>
  <c r="CL46" i="16"/>
  <c r="FN46" i="16" s="1"/>
  <c r="HB46" i="16" s="1"/>
  <c r="FM46" i="16"/>
  <c r="HA46" i="16" s="1"/>
  <c r="CF222" i="16"/>
  <c r="FH222" i="16" s="1"/>
  <c r="GV222" i="16" s="1"/>
  <c r="FC222" i="16"/>
  <c r="GQ222" i="16" s="1"/>
  <c r="CD222" i="16"/>
  <c r="FF222" i="16" s="1"/>
  <c r="GT222" i="16" s="1"/>
  <c r="CD213" i="16"/>
  <c r="FF213" i="16" s="1"/>
  <c r="GT213" i="16" s="1"/>
  <c r="CD217" i="16"/>
  <c r="FF217" i="16" s="1"/>
  <c r="GT217" i="16" s="1"/>
  <c r="CF224" i="16"/>
  <c r="CG224" i="16" s="1"/>
  <c r="CE224" i="16"/>
  <c r="FG224" i="16" s="1"/>
  <c r="GU224" i="16" s="1"/>
  <c r="CJ211" i="16"/>
  <c r="FL211" i="16" s="1"/>
  <c r="GZ211" i="16" s="1"/>
  <c r="FK211" i="16"/>
  <c r="GY211" i="16" s="1"/>
  <c r="CL211" i="16"/>
  <c r="FN211" i="16" s="1"/>
  <c r="HB211" i="16" s="1"/>
  <c r="CM211" i="16"/>
  <c r="FO211" i="16" s="1"/>
  <c r="HC211" i="16" s="1"/>
  <c r="CL50" i="16"/>
  <c r="FN50" i="16" s="1"/>
  <c r="HB50" i="16" s="1"/>
  <c r="FM50" i="16"/>
  <c r="HA50" i="16" s="1"/>
  <c r="CL52" i="16"/>
  <c r="FN52" i="16" s="1"/>
  <c r="HB52" i="16" s="1"/>
  <c r="FM52" i="16"/>
  <c r="HA52" i="16" s="1"/>
  <c r="CP53" i="16"/>
  <c r="FR53" i="16" s="1"/>
  <c r="HF53" i="16" s="1"/>
  <c r="FQ53" i="16"/>
  <c r="HE53" i="16" s="1"/>
  <c r="CL51" i="16"/>
  <c r="FN51" i="16" s="1"/>
  <c r="HB51" i="16" s="1"/>
  <c r="FM51" i="16"/>
  <c r="HA51" i="16" s="1"/>
  <c r="CC217" i="16"/>
  <c r="FE217" i="16" s="1"/>
  <c r="GS217" i="16" s="1"/>
  <c r="CF217" i="16"/>
  <c r="FD217" i="16"/>
  <c r="GR217" i="16" s="1"/>
  <c r="CB214" i="16"/>
  <c r="FD214" i="16" s="1"/>
  <c r="GR214" i="16" s="1"/>
  <c r="FC214" i="16"/>
  <c r="GQ214" i="16" s="1"/>
  <c r="CG216" i="16"/>
  <c r="FH216" i="16"/>
  <c r="GV216" i="16" s="1"/>
  <c r="CG223" i="16"/>
  <c r="FH223" i="16"/>
  <c r="GV223" i="16" s="1"/>
  <c r="CG215" i="16"/>
  <c r="FH215" i="16"/>
  <c r="GV215" i="16" s="1"/>
  <c r="CB220" i="16"/>
  <c r="FD220" i="16" s="1"/>
  <c r="GR220" i="16" s="1"/>
  <c r="FC220" i="16"/>
  <c r="GQ220" i="16" s="1"/>
  <c r="CB218" i="16"/>
  <c r="FD218" i="16" s="1"/>
  <c r="GR218" i="16" s="1"/>
  <c r="FC218" i="16"/>
  <c r="GQ218" i="16" s="1"/>
  <c r="CB219" i="16"/>
  <c r="FD219" i="16" s="1"/>
  <c r="GR219" i="16" s="1"/>
  <c r="FC219" i="16"/>
  <c r="GQ219" i="16" s="1"/>
  <c r="CC224" i="16"/>
  <c r="FE224" i="16" s="1"/>
  <c r="GS224" i="16" s="1"/>
  <c r="FD224" i="16"/>
  <c r="GR224" i="16" s="1"/>
  <c r="FK210" i="16"/>
  <c r="GY210" i="16" s="1"/>
  <c r="CK210" i="16"/>
  <c r="FM210" i="16" s="1"/>
  <c r="HA210" i="16" s="1"/>
  <c r="CJ210" i="16"/>
  <c r="FL210" i="16" s="1"/>
  <c r="GZ210" i="16" s="1"/>
  <c r="CM210" i="16"/>
  <c r="FO210" i="16" s="1"/>
  <c r="HC210" i="16" s="1"/>
  <c r="CL210" i="16"/>
  <c r="FN210" i="16" s="1"/>
  <c r="HB210" i="16" s="1"/>
  <c r="CE221" i="16"/>
  <c r="CD221" i="16"/>
  <c r="FF221" i="16" s="1"/>
  <c r="GT221" i="16" s="1"/>
  <c r="FD221" i="16"/>
  <c r="GR221" i="16" s="1"/>
  <c r="CC221" i="16"/>
  <c r="FE221" i="16" s="1"/>
  <c r="GS221" i="16" s="1"/>
  <c r="CD220" i="16" l="1"/>
  <c r="FF220" i="16" s="1"/>
  <c r="GT220" i="16" s="1"/>
  <c r="CH222" i="16"/>
  <c r="FD213" i="16"/>
  <c r="GR213" i="16" s="1"/>
  <c r="CC213" i="16"/>
  <c r="FE213" i="16" s="1"/>
  <c r="GS213" i="16" s="1"/>
  <c r="CF213" i="16"/>
  <c r="FH213" i="16" s="1"/>
  <c r="GV213" i="16" s="1"/>
  <c r="FH224" i="16"/>
  <c r="GV224" i="16" s="1"/>
  <c r="FH212" i="16"/>
  <c r="GV212" i="16" s="1"/>
  <c r="CD214" i="16"/>
  <c r="FF214" i="16" s="1"/>
  <c r="GT214" i="16" s="1"/>
  <c r="CD218" i="16"/>
  <c r="FF218" i="16" s="1"/>
  <c r="GT218" i="16" s="1"/>
  <c r="CC219" i="16"/>
  <c r="FE219" i="16" s="1"/>
  <c r="GS219" i="16" s="1"/>
  <c r="CC214" i="16"/>
  <c r="FE214" i="16" s="1"/>
  <c r="GS214" i="16" s="1"/>
  <c r="CC218" i="16"/>
  <c r="FE218" i="16" s="1"/>
  <c r="GS218" i="16" s="1"/>
  <c r="CF214" i="16"/>
  <c r="CG214" i="16" s="1"/>
  <c r="CF218" i="16"/>
  <c r="FH218" i="16" s="1"/>
  <c r="GV218" i="16" s="1"/>
  <c r="CE214" i="16"/>
  <c r="FG214" i="16" s="1"/>
  <c r="GU214" i="16" s="1"/>
  <c r="CE218" i="16"/>
  <c r="FG218" i="16" s="1"/>
  <c r="GU218" i="16" s="1"/>
  <c r="CE219" i="16"/>
  <c r="FG219" i="16" s="1"/>
  <c r="GU219" i="16" s="1"/>
  <c r="CF220" i="16"/>
  <c r="FH220" i="16" s="1"/>
  <c r="GV220" i="16" s="1"/>
  <c r="CF219" i="16"/>
  <c r="CG219" i="16" s="1"/>
  <c r="CC220" i="16"/>
  <c r="FE220" i="16" s="1"/>
  <c r="GS220" i="16" s="1"/>
  <c r="CD219" i="16"/>
  <c r="FF219" i="16" s="1"/>
  <c r="GT219" i="16" s="1"/>
  <c r="CE220" i="16"/>
  <c r="FG220" i="16" s="1"/>
  <c r="GU220" i="16" s="1"/>
  <c r="FG221" i="16"/>
  <c r="GU221" i="16" s="1"/>
  <c r="CF221" i="16"/>
  <c r="CG213" i="16"/>
  <c r="CJ222" i="16"/>
  <c r="FL222" i="16" s="1"/>
  <c r="GZ222" i="16" s="1"/>
  <c r="FJ222" i="16"/>
  <c r="GX222" i="16" s="1"/>
  <c r="CI222" i="16"/>
  <c r="FK222" i="16" s="1"/>
  <c r="GY222" i="16" s="1"/>
  <c r="CH224" i="16"/>
  <c r="FI224" i="16"/>
  <c r="GW224" i="16" s="1"/>
  <c r="CH216" i="16"/>
  <c r="FI216" i="16"/>
  <c r="GW216" i="16" s="1"/>
  <c r="CG217" i="16"/>
  <c r="FH217" i="16"/>
  <c r="GV217" i="16" s="1"/>
  <c r="CH215" i="16"/>
  <c r="FI215" i="16"/>
  <c r="GW215" i="16" s="1"/>
  <c r="FI212" i="16"/>
  <c r="GW212" i="16" s="1"/>
  <c r="CH212" i="16"/>
  <c r="CH223" i="16"/>
  <c r="FI223" i="16"/>
  <c r="GW223" i="16" s="1"/>
  <c r="AQ226" i="16"/>
  <c r="AS226" i="16" s="1"/>
  <c r="AG226" i="16" s="1"/>
  <c r="AQ227" i="16"/>
  <c r="AS227" i="16" s="1"/>
  <c r="AQ228" i="16"/>
  <c r="AS228" i="16" s="1"/>
  <c r="AQ225" i="16"/>
  <c r="AS225" i="16" s="1"/>
  <c r="DN227" i="16"/>
  <c r="DO227" i="16"/>
  <c r="DP227" i="16"/>
  <c r="DQ227" i="16"/>
  <c r="DN228" i="16"/>
  <c r="DO228" i="16"/>
  <c r="DP228" i="16"/>
  <c r="DQ228" i="16"/>
  <c r="DM227" i="16"/>
  <c r="DM228" i="16"/>
  <c r="DM226" i="16"/>
  <c r="DN226" i="16"/>
  <c r="DO226" i="16"/>
  <c r="DP226" i="16"/>
  <c r="DQ226" i="16"/>
  <c r="DR226" i="16"/>
  <c r="DN225" i="16"/>
  <c r="DO225" i="16"/>
  <c r="DP225" i="16"/>
  <c r="DQ225" i="16"/>
  <c r="DR225" i="16"/>
  <c r="DM225" i="16"/>
  <c r="BY228" i="16"/>
  <c r="CA228" i="16" s="1"/>
  <c r="BY227" i="16"/>
  <c r="BY226" i="16"/>
  <c r="CA226" i="16" s="1"/>
  <c r="BY225" i="16"/>
  <c r="AC226" i="16"/>
  <c r="AD226" i="16"/>
  <c r="AE226" i="16"/>
  <c r="BT226" i="16" s="1"/>
  <c r="AC227" i="16"/>
  <c r="AD227" i="16"/>
  <c r="AE227" i="16"/>
  <c r="BT227" i="16" s="1"/>
  <c r="AC228" i="16"/>
  <c r="AD228" i="16"/>
  <c r="AE228" i="16"/>
  <c r="BT228" i="16" s="1"/>
  <c r="AE225" i="16"/>
  <c r="BT225" i="16" s="1"/>
  <c r="AD225" i="16"/>
  <c r="AC225" i="16"/>
  <c r="BI228" i="16"/>
  <c r="BK228" i="16" s="1"/>
  <c r="BI227" i="16"/>
  <c r="BK227" i="16" s="1"/>
  <c r="BI225" i="16"/>
  <c r="BK225" i="16" s="1"/>
  <c r="AR228" i="16"/>
  <c r="AR227" i="16"/>
  <c r="AR226" i="16"/>
  <c r="AR225" i="16"/>
  <c r="AQ230" i="16"/>
  <c r="AQ231" i="16"/>
  <c r="AQ232" i="16"/>
  <c r="AQ229" i="16"/>
  <c r="DM230" i="16"/>
  <c r="DN230" i="16"/>
  <c r="DO230" i="16"/>
  <c r="DP230" i="16"/>
  <c r="DQ230" i="16"/>
  <c r="DR230" i="16"/>
  <c r="DS230" i="16"/>
  <c r="DM231" i="16"/>
  <c r="DN231" i="16"/>
  <c r="DO231" i="16"/>
  <c r="DP231" i="16"/>
  <c r="DQ231" i="16"/>
  <c r="DR231" i="16"/>
  <c r="DS231" i="16"/>
  <c r="DM232" i="16"/>
  <c r="DN232" i="16"/>
  <c r="DO232" i="16"/>
  <c r="DP232" i="16"/>
  <c r="DQ232" i="16"/>
  <c r="DR232" i="16"/>
  <c r="DS232" i="16"/>
  <c r="DS229" i="16"/>
  <c r="DR229" i="16"/>
  <c r="DP229" i="16"/>
  <c r="DQ229" i="16"/>
  <c r="DO229" i="16"/>
  <c r="DN229" i="16"/>
  <c r="DM229" i="16"/>
  <c r="BY230" i="16"/>
  <c r="FA230" i="16" s="1"/>
  <c r="BY231" i="16"/>
  <c r="BZ231" i="16" s="1"/>
  <c r="BY232" i="16"/>
  <c r="FA232" i="16" s="1"/>
  <c r="BY229" i="16"/>
  <c r="FA229" i="16" s="1"/>
  <c r="AQ233" i="16"/>
  <c r="DT233" i="16"/>
  <c r="DS233" i="16"/>
  <c r="DR233" i="16"/>
  <c r="DQ233" i="16"/>
  <c r="DP233" i="16"/>
  <c r="DN233" i="16"/>
  <c r="DO233" i="16"/>
  <c r="DM233" i="16"/>
  <c r="BY233" i="16"/>
  <c r="CA233" i="16" s="1"/>
  <c r="AQ235" i="16"/>
  <c r="AQ236" i="16"/>
  <c r="AQ237" i="16"/>
  <c r="AQ234" i="16"/>
  <c r="DX237" i="16"/>
  <c r="DW237" i="16"/>
  <c r="DV237" i="16"/>
  <c r="DU237" i="16"/>
  <c r="DT237" i="16"/>
  <c r="DR237" i="16"/>
  <c r="DS237" i="16"/>
  <c r="DQ237" i="16"/>
  <c r="DP237" i="16"/>
  <c r="DO237" i="16"/>
  <c r="DN237" i="16"/>
  <c r="DM237" i="16"/>
  <c r="DV236" i="16"/>
  <c r="DW236" i="16"/>
  <c r="DX236" i="16"/>
  <c r="DQ236" i="16"/>
  <c r="DR236" i="16"/>
  <c r="DS236" i="16"/>
  <c r="DT236" i="16"/>
  <c r="DU236" i="16"/>
  <c r="DP236" i="16"/>
  <c r="DO236" i="16"/>
  <c r="DM236" i="16"/>
  <c r="DN236" i="16"/>
  <c r="DX235" i="16"/>
  <c r="DW235" i="16"/>
  <c r="DV235" i="16"/>
  <c r="DT235" i="16"/>
  <c r="DU235" i="16"/>
  <c r="DR235" i="16"/>
  <c r="DS235" i="16"/>
  <c r="DQ235" i="16"/>
  <c r="DP235" i="16"/>
  <c r="DO235" i="16"/>
  <c r="DN235" i="16"/>
  <c r="DM235" i="16"/>
  <c r="DY234" i="16"/>
  <c r="DX234" i="16"/>
  <c r="DW234" i="16"/>
  <c r="DR234" i="16"/>
  <c r="DS234" i="16"/>
  <c r="DT234" i="16"/>
  <c r="DU234" i="16"/>
  <c r="DV234" i="16"/>
  <c r="DQ234" i="16"/>
  <c r="DP234" i="16"/>
  <c r="DO234" i="16"/>
  <c r="DN234" i="16"/>
  <c r="DM234" i="16"/>
  <c r="BY237" i="16"/>
  <c r="CC237" i="16" s="1"/>
  <c r="BY236" i="16"/>
  <c r="FA236" i="16" s="1"/>
  <c r="BY235" i="16"/>
  <c r="CB235" i="16" s="1"/>
  <c r="BY234" i="16"/>
  <c r="BZ234" i="16" s="1"/>
  <c r="AQ238" i="16"/>
  <c r="DX238" i="16"/>
  <c r="DW238" i="16"/>
  <c r="DP238" i="16"/>
  <c r="DQ238" i="16"/>
  <c r="DR238" i="16"/>
  <c r="DS238" i="16"/>
  <c r="DT238" i="16"/>
  <c r="DU238" i="16"/>
  <c r="DV238" i="16"/>
  <c r="DO238" i="16"/>
  <c r="DN238" i="16"/>
  <c r="DM238" i="16"/>
  <c r="CA238" i="16"/>
  <c r="CF238" i="16" s="1"/>
  <c r="BY238" i="16"/>
  <c r="AQ240" i="16"/>
  <c r="AQ239" i="16"/>
  <c r="DP240" i="16"/>
  <c r="DQ240" i="16"/>
  <c r="DR240" i="16"/>
  <c r="DS240" i="16"/>
  <c r="DT240" i="16"/>
  <c r="DU240" i="16"/>
  <c r="DV240" i="16"/>
  <c r="DW240" i="16"/>
  <c r="DX240" i="16"/>
  <c r="DY240" i="16"/>
  <c r="DZ240" i="16"/>
  <c r="EA240" i="16"/>
  <c r="EB240" i="16"/>
  <c r="EC240" i="16"/>
  <c r="ED240" i="16"/>
  <c r="EE240" i="16"/>
  <c r="EF240" i="16"/>
  <c r="EG240" i="16"/>
  <c r="EH240" i="16"/>
  <c r="EI240" i="16"/>
  <c r="EJ240" i="16"/>
  <c r="EK240" i="16"/>
  <c r="EL240" i="16"/>
  <c r="EM240" i="16"/>
  <c r="EN240" i="16"/>
  <c r="EO240" i="16"/>
  <c r="EP240" i="16"/>
  <c r="EQ240" i="16"/>
  <c r="ER240" i="16"/>
  <c r="ES240" i="16"/>
  <c r="DO240" i="16"/>
  <c r="DP239" i="16"/>
  <c r="DQ239" i="16"/>
  <c r="DR239" i="16"/>
  <c r="DS239" i="16"/>
  <c r="DT239" i="16"/>
  <c r="DU239" i="16"/>
  <c r="DV239" i="16"/>
  <c r="DW239" i="16"/>
  <c r="DX239" i="16"/>
  <c r="DY239" i="16"/>
  <c r="DZ239" i="16"/>
  <c r="EA239" i="16"/>
  <c r="EB239" i="16"/>
  <c r="EC239" i="16"/>
  <c r="ED239" i="16"/>
  <c r="EE239" i="16"/>
  <c r="EF239" i="16"/>
  <c r="EG239" i="16"/>
  <c r="EH239" i="16"/>
  <c r="EI239" i="16"/>
  <c r="EJ239" i="16"/>
  <c r="EK239" i="16"/>
  <c r="DO239" i="16"/>
  <c r="CA240" i="16"/>
  <c r="CL240" i="16" s="1"/>
  <c r="FN240" i="16" s="1"/>
  <c r="HB240" i="16" s="1"/>
  <c r="BY240" i="16"/>
  <c r="BZ240" i="16" s="1"/>
  <c r="CA239" i="16"/>
  <c r="CV239" i="16" s="1"/>
  <c r="BY239" i="16"/>
  <c r="BZ239" i="16" s="1"/>
  <c r="AP240" i="16"/>
  <c r="AP239" i="16"/>
  <c r="AQ242" i="16"/>
  <c r="AQ243" i="16"/>
  <c r="AQ244" i="16"/>
  <c r="AQ241" i="16"/>
  <c r="DV243" i="16"/>
  <c r="DU243" i="16"/>
  <c r="DT243" i="16"/>
  <c r="DP243" i="16"/>
  <c r="DQ243" i="16"/>
  <c r="DR243" i="16"/>
  <c r="DS243" i="16"/>
  <c r="DO243" i="16"/>
  <c r="DN243" i="16"/>
  <c r="DM243" i="16"/>
  <c r="DM242" i="16"/>
  <c r="DN242" i="16"/>
  <c r="DO242" i="16"/>
  <c r="DP242" i="16"/>
  <c r="DQ242" i="16"/>
  <c r="DR242" i="16"/>
  <c r="DS242" i="16"/>
  <c r="DT242" i="16"/>
  <c r="DU242" i="16"/>
  <c r="DV242" i="16"/>
  <c r="DV241" i="16"/>
  <c r="DU241" i="16"/>
  <c r="DT241" i="16"/>
  <c r="DS241" i="16"/>
  <c r="DR241" i="16"/>
  <c r="DQ241" i="16"/>
  <c r="DP241" i="16"/>
  <c r="DO241" i="16"/>
  <c r="DN241" i="16"/>
  <c r="DM241" i="16"/>
  <c r="CB243" i="16"/>
  <c r="BY243" i="16"/>
  <c r="CA243" i="16" s="1"/>
  <c r="FC243" i="16" s="1"/>
  <c r="GQ243" i="16" s="1"/>
  <c r="BY242" i="16"/>
  <c r="BZ242" i="16" s="1"/>
  <c r="CA242" i="16" s="1"/>
  <c r="FC242" i="16" s="1"/>
  <c r="GQ242" i="16" s="1"/>
  <c r="BY241" i="16"/>
  <c r="BZ241" i="16" s="1"/>
  <c r="CA241" i="16" s="1"/>
  <c r="DT244" i="16"/>
  <c r="DO244" i="16"/>
  <c r="DV244" i="16"/>
  <c r="DU244" i="16"/>
  <c r="DQ244" i="16"/>
  <c r="DR244" i="16"/>
  <c r="DS244" i="16"/>
  <c r="DP244" i="16"/>
  <c r="DN244" i="16"/>
  <c r="DM244" i="16"/>
  <c r="BY244" i="16"/>
  <c r="AQ246" i="16"/>
  <c r="AQ245" i="16"/>
  <c r="DM246" i="16"/>
  <c r="DN246" i="16"/>
  <c r="DO246" i="16"/>
  <c r="DP246" i="16"/>
  <c r="DQ246" i="16"/>
  <c r="DR246" i="16"/>
  <c r="DS246" i="16"/>
  <c r="DT246" i="16"/>
  <c r="DU246" i="16"/>
  <c r="DV246" i="16"/>
  <c r="DW246" i="16"/>
  <c r="DX246" i="16"/>
  <c r="DY246" i="16"/>
  <c r="DZ246" i="16"/>
  <c r="EA246" i="16"/>
  <c r="EB246" i="16"/>
  <c r="EC246" i="16"/>
  <c r="ED246" i="16"/>
  <c r="EE246" i="16"/>
  <c r="EF246" i="16"/>
  <c r="EG246" i="16"/>
  <c r="EH246" i="16"/>
  <c r="EI246" i="16"/>
  <c r="EJ246" i="16"/>
  <c r="EK246" i="16"/>
  <c r="EL246" i="16"/>
  <c r="EM246" i="16"/>
  <c r="EM245" i="16"/>
  <c r="EL245" i="16"/>
  <c r="DP245" i="16"/>
  <c r="DQ245" i="16"/>
  <c r="DR245" i="16"/>
  <c r="DS245" i="16"/>
  <c r="DT245" i="16"/>
  <c r="DU245" i="16"/>
  <c r="DV245" i="16"/>
  <c r="DW245" i="16"/>
  <c r="DX245" i="16"/>
  <c r="DY245" i="16"/>
  <c r="DZ245" i="16"/>
  <c r="EA245" i="16"/>
  <c r="EB245" i="16"/>
  <c r="EC245" i="16"/>
  <c r="ED245" i="16"/>
  <c r="EE245" i="16"/>
  <c r="EF245" i="16"/>
  <c r="EG245" i="16"/>
  <c r="EH245" i="16"/>
  <c r="EI245" i="16"/>
  <c r="EJ245" i="16"/>
  <c r="EK245" i="16"/>
  <c r="DO245" i="16"/>
  <c r="DN245" i="16"/>
  <c r="DM245" i="16"/>
  <c r="BY246" i="16"/>
  <c r="BY245" i="16"/>
  <c r="AQ247" i="16"/>
  <c r="ED247" i="16"/>
  <c r="EC247" i="16"/>
  <c r="DP247" i="16"/>
  <c r="DQ247" i="16"/>
  <c r="DR247" i="16"/>
  <c r="DS247" i="16"/>
  <c r="DT247" i="16"/>
  <c r="DU247" i="16"/>
  <c r="DV247" i="16"/>
  <c r="DW247" i="16"/>
  <c r="DX247" i="16"/>
  <c r="DY247" i="16"/>
  <c r="DZ247" i="16"/>
  <c r="EA247" i="16"/>
  <c r="EB247" i="16"/>
  <c r="DO247" i="16"/>
  <c r="DN247" i="16"/>
  <c r="DM247" i="16"/>
  <c r="BY247" i="16"/>
  <c r="AC248" i="16"/>
  <c r="AD248" i="16"/>
  <c r="AE248" i="16"/>
  <c r="AC249" i="16"/>
  <c r="AD249" i="16"/>
  <c r="AE249" i="16"/>
  <c r="AC250" i="16"/>
  <c r="AD250" i="16"/>
  <c r="AE250" i="16"/>
  <c r="AQ249" i="16"/>
  <c r="AQ250" i="16"/>
  <c r="AQ248" i="16"/>
  <c r="DM249" i="16"/>
  <c r="DN249" i="16"/>
  <c r="DO249" i="16"/>
  <c r="DP249" i="16"/>
  <c r="DQ249" i="16"/>
  <c r="DR249" i="16"/>
  <c r="DS249" i="16"/>
  <c r="DT249" i="16"/>
  <c r="DM250" i="16"/>
  <c r="DN250" i="16"/>
  <c r="DO250" i="16"/>
  <c r="DP250" i="16"/>
  <c r="DQ250" i="16"/>
  <c r="DR250" i="16"/>
  <c r="DS250" i="16"/>
  <c r="DT250" i="16"/>
  <c r="DN248" i="16"/>
  <c r="DO248" i="16"/>
  <c r="DP248" i="16"/>
  <c r="DQ248" i="16"/>
  <c r="DR248" i="16"/>
  <c r="DS248" i="16"/>
  <c r="DT248" i="16"/>
  <c r="DM248" i="16"/>
  <c r="BE249" i="16"/>
  <c r="BE250" i="16"/>
  <c r="BE248" i="16"/>
  <c r="BD249" i="16"/>
  <c r="BD250" i="16"/>
  <c r="BD248" i="16"/>
  <c r="BI249" i="16"/>
  <c r="BK249" i="16" s="1"/>
  <c r="BI250" i="16"/>
  <c r="BK250" i="16" s="1"/>
  <c r="BI248" i="16"/>
  <c r="BK248" i="16" s="1"/>
  <c r="BY249" i="16"/>
  <c r="BZ249" i="16" s="1"/>
  <c r="FB249" i="16" s="1"/>
  <c r="GP249" i="16" s="1"/>
  <c r="BY250" i="16"/>
  <c r="BZ250" i="16" s="1"/>
  <c r="BY248" i="16"/>
  <c r="CE248" i="16" s="1"/>
  <c r="AQ252" i="16"/>
  <c r="AQ253" i="16"/>
  <c r="AQ254" i="16"/>
  <c r="AQ255" i="16"/>
  <c r="AQ256" i="16"/>
  <c r="AQ257" i="16"/>
  <c r="AQ258" i="16"/>
  <c r="AQ259" i="16"/>
  <c r="AQ260" i="16"/>
  <c r="AQ251" i="16"/>
  <c r="DM258" i="16"/>
  <c r="DN258" i="16"/>
  <c r="DO258" i="16"/>
  <c r="DP258" i="16"/>
  <c r="DQ258" i="16"/>
  <c r="DR258" i="16"/>
  <c r="DS258" i="16"/>
  <c r="DT258" i="16"/>
  <c r="DU258" i="16"/>
  <c r="DV258" i="16"/>
  <c r="DW258" i="16"/>
  <c r="DX258" i="16"/>
  <c r="DY258" i="16"/>
  <c r="DZ258" i="16"/>
  <c r="EA258" i="16"/>
  <c r="EB258" i="16"/>
  <c r="EC258" i="16"/>
  <c r="ED258" i="16"/>
  <c r="EE258" i="16"/>
  <c r="DM259" i="16"/>
  <c r="DN259" i="16"/>
  <c r="DO259" i="16"/>
  <c r="DP259" i="16"/>
  <c r="DQ259" i="16"/>
  <c r="DR259" i="16"/>
  <c r="DS259" i="16"/>
  <c r="DT259" i="16"/>
  <c r="DU259" i="16"/>
  <c r="DV259" i="16"/>
  <c r="DW259" i="16"/>
  <c r="DX259" i="16"/>
  <c r="DY259" i="16"/>
  <c r="DZ259" i="16"/>
  <c r="EA259" i="16"/>
  <c r="EB259" i="16"/>
  <c r="EC259" i="16"/>
  <c r="ED259" i="16"/>
  <c r="EE259" i="16"/>
  <c r="DM260" i="16"/>
  <c r="DN260" i="16"/>
  <c r="DO260" i="16"/>
  <c r="DP260" i="16"/>
  <c r="DQ260" i="16"/>
  <c r="DR260" i="16"/>
  <c r="DS260" i="16"/>
  <c r="DT260" i="16"/>
  <c r="DU260" i="16"/>
  <c r="DV260" i="16"/>
  <c r="DW260" i="16"/>
  <c r="DX260" i="16"/>
  <c r="DY260" i="16"/>
  <c r="DZ260" i="16"/>
  <c r="EA260" i="16"/>
  <c r="EB260" i="16"/>
  <c r="EC260" i="16"/>
  <c r="ED260" i="16"/>
  <c r="EE260" i="16"/>
  <c r="EE257" i="16"/>
  <c r="ED257" i="16"/>
  <c r="EC257" i="16"/>
  <c r="DQ257" i="16"/>
  <c r="DR257" i="16"/>
  <c r="DS257" i="16"/>
  <c r="DT257" i="16"/>
  <c r="DU257" i="16"/>
  <c r="DV257" i="16"/>
  <c r="DW257" i="16"/>
  <c r="DX257" i="16"/>
  <c r="DY257" i="16"/>
  <c r="DZ257" i="16"/>
  <c r="EA257" i="16"/>
  <c r="EB257" i="16"/>
  <c r="DP257" i="16"/>
  <c r="DN257" i="16"/>
  <c r="DO257" i="16"/>
  <c r="DM257" i="16"/>
  <c r="DM254" i="16"/>
  <c r="DN254" i="16"/>
  <c r="DO254" i="16"/>
  <c r="DP254" i="16"/>
  <c r="DQ254" i="16"/>
  <c r="DR254" i="16"/>
  <c r="DS254" i="16"/>
  <c r="DT254" i="16"/>
  <c r="DU254" i="16"/>
  <c r="DV254" i="16"/>
  <c r="DW254" i="16"/>
  <c r="DX254" i="16"/>
  <c r="DY254" i="16"/>
  <c r="DZ254" i="16"/>
  <c r="EA254" i="16"/>
  <c r="EB254" i="16"/>
  <c r="EC254" i="16"/>
  <c r="DM255" i="16"/>
  <c r="DN255" i="16"/>
  <c r="DO255" i="16"/>
  <c r="DP255" i="16"/>
  <c r="DQ255" i="16"/>
  <c r="DR255" i="16"/>
  <c r="DS255" i="16"/>
  <c r="DT255" i="16"/>
  <c r="DU255" i="16"/>
  <c r="DV255" i="16"/>
  <c r="DW255" i="16"/>
  <c r="DX255" i="16"/>
  <c r="DY255" i="16"/>
  <c r="DZ255" i="16"/>
  <c r="EA255" i="16"/>
  <c r="EB255" i="16"/>
  <c r="EC255" i="16"/>
  <c r="DM256" i="16"/>
  <c r="DN256" i="16"/>
  <c r="DO256" i="16"/>
  <c r="DP256" i="16"/>
  <c r="DQ256" i="16"/>
  <c r="DR256" i="16"/>
  <c r="DS256" i="16"/>
  <c r="DT256" i="16"/>
  <c r="DU256" i="16"/>
  <c r="DV256" i="16"/>
  <c r="DW256" i="16"/>
  <c r="DX256" i="16"/>
  <c r="DY256" i="16"/>
  <c r="DZ256" i="16"/>
  <c r="EA256" i="16"/>
  <c r="EB256" i="16"/>
  <c r="EC256" i="16"/>
  <c r="EC253" i="16"/>
  <c r="EB253" i="16"/>
  <c r="DP253" i="16"/>
  <c r="DQ253" i="16"/>
  <c r="DR253" i="16"/>
  <c r="DS253" i="16"/>
  <c r="DT253" i="16"/>
  <c r="DU253" i="16"/>
  <c r="DV253" i="16"/>
  <c r="DW253" i="16"/>
  <c r="DX253" i="16"/>
  <c r="DY253" i="16"/>
  <c r="DZ253" i="16"/>
  <c r="EA253" i="16"/>
  <c r="DO253" i="16"/>
  <c r="DN253" i="16"/>
  <c r="DM253" i="16"/>
  <c r="DM252" i="16"/>
  <c r="DN252" i="16"/>
  <c r="DO252" i="16"/>
  <c r="DP252" i="16"/>
  <c r="DQ252" i="16"/>
  <c r="DR252" i="16"/>
  <c r="DS252" i="16"/>
  <c r="DT252" i="16"/>
  <c r="DU252" i="16"/>
  <c r="DV252" i="16"/>
  <c r="DW252" i="16"/>
  <c r="DX252" i="16"/>
  <c r="DY252" i="16"/>
  <c r="DZ252" i="16"/>
  <c r="EA252" i="16"/>
  <c r="EB252" i="16"/>
  <c r="EC252" i="16"/>
  <c r="DN251" i="16"/>
  <c r="DO251" i="16"/>
  <c r="DP251" i="16"/>
  <c r="DQ251" i="16"/>
  <c r="DR251" i="16"/>
  <c r="DS251" i="16"/>
  <c r="DT251" i="16"/>
  <c r="DU251" i="16"/>
  <c r="DV251" i="16"/>
  <c r="DW251" i="16"/>
  <c r="DX251" i="16"/>
  <c r="DY251" i="16"/>
  <c r="DZ251" i="16"/>
  <c r="EA251" i="16"/>
  <c r="EB251" i="16"/>
  <c r="EC251" i="16"/>
  <c r="DM251" i="16"/>
  <c r="BY257" i="16"/>
  <c r="BY258" i="16"/>
  <c r="BZ258" i="16" s="1"/>
  <c r="BY259" i="16"/>
  <c r="BY260" i="16"/>
  <c r="BZ260" i="16" s="1"/>
  <c r="BY254" i="16"/>
  <c r="BZ254" i="16" s="1"/>
  <c r="BY255" i="16"/>
  <c r="BZ255" i="16" s="1"/>
  <c r="BY256" i="16"/>
  <c r="BY253" i="16"/>
  <c r="BY252" i="16"/>
  <c r="BY251" i="16"/>
  <c r="CN251" i="16" s="1"/>
  <c r="AQ262" i="16"/>
  <c r="AQ263" i="16"/>
  <c r="AQ264" i="16"/>
  <c r="AQ265" i="16"/>
  <c r="AQ266" i="16"/>
  <c r="AQ261" i="16"/>
  <c r="DV266" i="16"/>
  <c r="DU266" i="16"/>
  <c r="DP266" i="16"/>
  <c r="DQ266" i="16"/>
  <c r="DR266" i="16"/>
  <c r="DS266" i="16"/>
  <c r="DT266" i="16"/>
  <c r="DO266" i="16"/>
  <c r="DX265" i="16"/>
  <c r="DW265" i="16"/>
  <c r="DP265" i="16"/>
  <c r="DQ265" i="16"/>
  <c r="DR265" i="16"/>
  <c r="DS265" i="16"/>
  <c r="DT265" i="16"/>
  <c r="DU265" i="16"/>
  <c r="DV265" i="16"/>
  <c r="DO265" i="16"/>
  <c r="DO264" i="16"/>
  <c r="DP264" i="16"/>
  <c r="DQ264" i="16"/>
  <c r="DR264" i="16"/>
  <c r="DS264" i="16"/>
  <c r="DT264" i="16"/>
  <c r="DU264" i="16"/>
  <c r="DU263" i="16"/>
  <c r="DT263" i="16"/>
  <c r="DP263" i="16"/>
  <c r="DQ263" i="16"/>
  <c r="DR263" i="16"/>
  <c r="DS263" i="16"/>
  <c r="DO263" i="16"/>
  <c r="DX262" i="16"/>
  <c r="DW262" i="16"/>
  <c r="DP262" i="16"/>
  <c r="DQ262" i="16"/>
  <c r="DR262" i="16"/>
  <c r="DS262" i="16"/>
  <c r="DT262" i="16"/>
  <c r="DU262" i="16"/>
  <c r="DV262" i="16"/>
  <c r="DO262" i="16"/>
  <c r="DU261" i="16"/>
  <c r="DT261" i="16"/>
  <c r="DP261" i="16"/>
  <c r="DQ261" i="16"/>
  <c r="DR261" i="16"/>
  <c r="DS261" i="16"/>
  <c r="DO261" i="16"/>
  <c r="DM262" i="16"/>
  <c r="DN262" i="16"/>
  <c r="DM263" i="16"/>
  <c r="DN263" i="16"/>
  <c r="DM264" i="16"/>
  <c r="DN264" i="16"/>
  <c r="DM265" i="16"/>
  <c r="DN265" i="16"/>
  <c r="DM266" i="16"/>
  <c r="DN266" i="16"/>
  <c r="DN261" i="16"/>
  <c r="DM261" i="16"/>
  <c r="CA266" i="16"/>
  <c r="CF266" i="16" s="1"/>
  <c r="BY266" i="16"/>
  <c r="CA265" i="16"/>
  <c r="CF265" i="16" s="1"/>
  <c r="BY265" i="16"/>
  <c r="BZ265" i="16" s="1"/>
  <c r="CA262" i="16"/>
  <c r="CF262" i="16" s="1"/>
  <c r="BY262" i="16"/>
  <c r="CA264" i="16"/>
  <c r="CC264" i="16" s="1"/>
  <c r="BY264" i="16"/>
  <c r="BZ264" i="16" s="1"/>
  <c r="CA263" i="16"/>
  <c r="CC263" i="16" s="1"/>
  <c r="BY263" i="16"/>
  <c r="CA261" i="16"/>
  <c r="CC261" i="16" s="1"/>
  <c r="BY261" i="16"/>
  <c r="BZ261" i="16" s="1"/>
  <c r="AQ278" i="16"/>
  <c r="AQ279" i="16"/>
  <c r="AQ280" i="16"/>
  <c r="AQ281" i="16"/>
  <c r="AQ277" i="16"/>
  <c r="DN279" i="16"/>
  <c r="DO279" i="16"/>
  <c r="DP279" i="16"/>
  <c r="DQ279" i="16"/>
  <c r="DR279" i="16"/>
  <c r="DS279" i="16"/>
  <c r="DN280" i="16"/>
  <c r="DO280" i="16"/>
  <c r="DP280" i="16"/>
  <c r="DQ280" i="16"/>
  <c r="DR280" i="16"/>
  <c r="DS280" i="16"/>
  <c r="DN281" i="16"/>
  <c r="DO281" i="16"/>
  <c r="DP281" i="16"/>
  <c r="DQ281" i="16"/>
  <c r="DR281" i="16"/>
  <c r="DS281" i="16"/>
  <c r="DM279" i="16"/>
  <c r="DM280" i="16"/>
  <c r="DM281" i="16"/>
  <c r="DM278" i="16"/>
  <c r="DN278" i="16"/>
  <c r="DO278" i="16"/>
  <c r="DP278" i="16"/>
  <c r="DQ278" i="16"/>
  <c r="DR278" i="16"/>
  <c r="DS278" i="16"/>
  <c r="DT278" i="16"/>
  <c r="DN277" i="16"/>
  <c r="DO277" i="16"/>
  <c r="DP277" i="16"/>
  <c r="DQ277" i="16"/>
  <c r="DR277" i="16"/>
  <c r="DS277" i="16"/>
  <c r="DT277" i="16"/>
  <c r="DM277" i="16"/>
  <c r="BY280" i="16"/>
  <c r="CA280" i="16" s="1"/>
  <c r="BY281" i="16"/>
  <c r="BZ281" i="16" s="1"/>
  <c r="BY279" i="16"/>
  <c r="CB279" i="16" s="1"/>
  <c r="BY278" i="16"/>
  <c r="BY277" i="16"/>
  <c r="AQ284" i="16"/>
  <c r="AQ283" i="16"/>
  <c r="EH284" i="16"/>
  <c r="EG284" i="16"/>
  <c r="EF284" i="16"/>
  <c r="EE284" i="16"/>
  <c r="DR284" i="16"/>
  <c r="DS284" i="16"/>
  <c r="DT284" i="16"/>
  <c r="DU284" i="16"/>
  <c r="DV284" i="16"/>
  <c r="DW284" i="16"/>
  <c r="DX284" i="16"/>
  <c r="DY284" i="16"/>
  <c r="DZ284" i="16"/>
  <c r="EA284" i="16"/>
  <c r="EB284" i="16"/>
  <c r="EC284" i="16"/>
  <c r="ED284" i="16"/>
  <c r="DQ284" i="16"/>
  <c r="DP284" i="16"/>
  <c r="DO284" i="16"/>
  <c r="DN284" i="16"/>
  <c r="DM284" i="16"/>
  <c r="DY283" i="16"/>
  <c r="DX283" i="16"/>
  <c r="DW283" i="16"/>
  <c r="DV283" i="16"/>
  <c r="DR283" i="16"/>
  <c r="DS283" i="16"/>
  <c r="DT283" i="16"/>
  <c r="DU283" i="16"/>
  <c r="DQ283" i="16"/>
  <c r="DP283" i="16"/>
  <c r="DO283" i="16"/>
  <c r="DN283" i="16"/>
  <c r="DM283" i="16"/>
  <c r="BY284" i="16"/>
  <c r="BY283" i="16"/>
  <c r="CB283" i="16" s="1"/>
  <c r="AQ286" i="16"/>
  <c r="AQ287" i="16"/>
  <c r="AQ288" i="16"/>
  <c r="AQ285" i="16"/>
  <c r="DM287" i="16"/>
  <c r="DN287" i="16"/>
  <c r="DO287" i="16"/>
  <c r="DP287" i="16"/>
  <c r="DQ287" i="16"/>
  <c r="DR287" i="16"/>
  <c r="DS287" i="16"/>
  <c r="DT287" i="16"/>
  <c r="DU287" i="16"/>
  <c r="DM288" i="16"/>
  <c r="DN288" i="16"/>
  <c r="DO288" i="16"/>
  <c r="DP288" i="16"/>
  <c r="DQ288" i="16"/>
  <c r="DR288" i="16"/>
  <c r="DS288" i="16"/>
  <c r="DT288" i="16"/>
  <c r="DU288" i="16"/>
  <c r="DU286" i="16"/>
  <c r="DT286" i="16"/>
  <c r="DS286" i="16"/>
  <c r="DQ286" i="16"/>
  <c r="DR286" i="16"/>
  <c r="DP286" i="16"/>
  <c r="DN286" i="16"/>
  <c r="DO286" i="16"/>
  <c r="DM286" i="16"/>
  <c r="DU285" i="16"/>
  <c r="DT285" i="16"/>
  <c r="DP285" i="16"/>
  <c r="DQ285" i="16"/>
  <c r="DR285" i="16"/>
  <c r="DS285" i="16"/>
  <c r="DO285" i="16"/>
  <c r="DN285" i="16"/>
  <c r="DM285" i="16"/>
  <c r="BY287" i="16"/>
  <c r="BY288" i="16"/>
  <c r="BZ288" i="16" s="1"/>
  <c r="CA288" i="16" s="1"/>
  <c r="CB288" i="16" s="1"/>
  <c r="BY286" i="16"/>
  <c r="BZ286" i="16" s="1"/>
  <c r="CA286" i="16" s="1"/>
  <c r="BY285" i="16"/>
  <c r="FA285" i="16" s="1"/>
  <c r="AQ289" i="16"/>
  <c r="DN289" i="16"/>
  <c r="DO289" i="16"/>
  <c r="DP289" i="16"/>
  <c r="DQ289" i="16"/>
  <c r="DR289" i="16"/>
  <c r="DS289" i="16"/>
  <c r="DM289" i="16"/>
  <c r="BY289" i="16"/>
  <c r="AQ294" i="16"/>
  <c r="AQ291" i="16"/>
  <c r="AQ292" i="16"/>
  <c r="AQ290" i="16"/>
  <c r="DM292" i="16"/>
  <c r="DN292" i="16"/>
  <c r="DO292" i="16"/>
  <c r="DP292" i="16"/>
  <c r="DQ292" i="16"/>
  <c r="DN291" i="16"/>
  <c r="DO291" i="16"/>
  <c r="DP291" i="16"/>
  <c r="DQ291" i="16"/>
  <c r="DM291" i="16"/>
  <c r="DV290" i="16"/>
  <c r="DU290" i="16"/>
  <c r="DT290" i="16"/>
  <c r="DQ290" i="16"/>
  <c r="DR290" i="16"/>
  <c r="DS290" i="16"/>
  <c r="DP290" i="16"/>
  <c r="DN290" i="16"/>
  <c r="DO290" i="16"/>
  <c r="DM290" i="16"/>
  <c r="BY292" i="16"/>
  <c r="CB292" i="16" s="1"/>
  <c r="BY293" i="16"/>
  <c r="BY291" i="16"/>
  <c r="CA291" i="16" s="1"/>
  <c r="FC291" i="16" s="1"/>
  <c r="GQ291" i="16" s="1"/>
  <c r="BY290" i="16"/>
  <c r="DT294" i="16"/>
  <c r="DS294" i="16"/>
  <c r="DP294" i="16"/>
  <c r="DQ294" i="16"/>
  <c r="DR294" i="16"/>
  <c r="DO294" i="16"/>
  <c r="DN294" i="16"/>
  <c r="DM294" i="16"/>
  <c r="BY294" i="16"/>
  <c r="AQ295" i="16"/>
  <c r="DU295" i="16"/>
  <c r="DT295" i="16"/>
  <c r="DP295" i="16"/>
  <c r="DQ295" i="16"/>
  <c r="DR295" i="16"/>
  <c r="DS295" i="16"/>
  <c r="DO295" i="16"/>
  <c r="DN295" i="16"/>
  <c r="DM295" i="16"/>
  <c r="BY295" i="16"/>
  <c r="BZ295" i="16" s="1"/>
  <c r="CA295" i="16" s="1"/>
  <c r="CD295" i="16" s="1"/>
  <c r="AQ296" i="16"/>
  <c r="DV296" i="16"/>
  <c r="DU296" i="16"/>
  <c r="DT296" i="16"/>
  <c r="DQ296" i="16"/>
  <c r="DR296" i="16"/>
  <c r="DS296" i="16"/>
  <c r="DP296" i="16"/>
  <c r="DO296" i="16"/>
  <c r="DN296" i="16"/>
  <c r="DM296" i="16"/>
  <c r="BY296" i="16"/>
  <c r="AQ297" i="16"/>
  <c r="DO297" i="16"/>
  <c r="DP297" i="16"/>
  <c r="DQ297" i="16"/>
  <c r="DR297" i="16"/>
  <c r="DS297" i="16"/>
  <c r="DT297" i="16"/>
  <c r="DU297" i="16"/>
  <c r="DN297" i="16"/>
  <c r="DM297" i="16"/>
  <c r="FA297" i="16" s="1"/>
  <c r="BZ297" i="16"/>
  <c r="CA297" i="16" s="1"/>
  <c r="CD297" i="16" s="1"/>
  <c r="AQ299" i="16"/>
  <c r="AQ300" i="16"/>
  <c r="AQ298" i="16"/>
  <c r="EI300" i="16"/>
  <c r="EH300" i="16"/>
  <c r="EG300" i="16"/>
  <c r="DQ300" i="16"/>
  <c r="DR300" i="16"/>
  <c r="DS300" i="16"/>
  <c r="DT300" i="16"/>
  <c r="DU300" i="16"/>
  <c r="DV300" i="16"/>
  <c r="DW300" i="16"/>
  <c r="DX300" i="16"/>
  <c r="DY300" i="16"/>
  <c r="DZ300" i="16"/>
  <c r="EA300" i="16"/>
  <c r="EB300" i="16"/>
  <c r="EC300" i="16"/>
  <c r="ED300" i="16"/>
  <c r="EE300" i="16"/>
  <c r="EF300" i="16"/>
  <c r="DP300" i="16"/>
  <c r="DO300" i="16"/>
  <c r="DN300" i="16"/>
  <c r="DM300" i="16"/>
  <c r="EI299" i="16"/>
  <c r="EH299" i="16"/>
  <c r="EG299" i="16"/>
  <c r="DQ299" i="16"/>
  <c r="DR299" i="16"/>
  <c r="DS299" i="16"/>
  <c r="DT299" i="16"/>
  <c r="DU299" i="16"/>
  <c r="DV299" i="16"/>
  <c r="DW299" i="16"/>
  <c r="DX299" i="16"/>
  <c r="DY299" i="16"/>
  <c r="DZ299" i="16"/>
  <c r="EA299" i="16"/>
  <c r="EB299" i="16"/>
  <c r="EC299" i="16"/>
  <c r="ED299" i="16"/>
  <c r="EE299" i="16"/>
  <c r="EF299" i="16"/>
  <c r="DP299" i="16"/>
  <c r="DO299" i="16"/>
  <c r="DN299" i="16"/>
  <c r="DM299" i="16"/>
  <c r="EI298" i="16"/>
  <c r="EH298" i="16"/>
  <c r="EG298" i="16"/>
  <c r="DQ298" i="16"/>
  <c r="DR298" i="16"/>
  <c r="DS298" i="16"/>
  <c r="DT298" i="16"/>
  <c r="DU298" i="16"/>
  <c r="DV298" i="16"/>
  <c r="DW298" i="16"/>
  <c r="DX298" i="16"/>
  <c r="DY298" i="16"/>
  <c r="DZ298" i="16"/>
  <c r="EA298" i="16"/>
  <c r="EB298" i="16"/>
  <c r="EC298" i="16"/>
  <c r="ED298" i="16"/>
  <c r="EE298" i="16"/>
  <c r="EF298" i="16"/>
  <c r="DP298" i="16"/>
  <c r="DO298" i="16"/>
  <c r="DN298" i="16"/>
  <c r="DM298" i="16"/>
  <c r="BY300" i="16"/>
  <c r="BZ300" i="16" s="1"/>
  <c r="CA300" i="16" s="1"/>
  <c r="CB300" i="16" s="1"/>
  <c r="BY299" i="16"/>
  <c r="BZ299" i="16" s="1"/>
  <c r="CA299" i="16" s="1"/>
  <c r="CB299" i="16" s="1"/>
  <c r="FD299" i="16" s="1"/>
  <c r="GR299" i="16" s="1"/>
  <c r="BY298" i="16"/>
  <c r="BZ298" i="16" s="1"/>
  <c r="CA298" i="16" s="1"/>
  <c r="FH219" i="16" l="1"/>
  <c r="GV219" i="16" s="1"/>
  <c r="BT249" i="16"/>
  <c r="CG220" i="16"/>
  <c r="FI220" i="16" s="1"/>
  <c r="GW220" i="16" s="1"/>
  <c r="BT250" i="16"/>
  <c r="BT248" i="16"/>
  <c r="FC280" i="16"/>
  <c r="GQ280" i="16" s="1"/>
  <c r="FE261" i="16"/>
  <c r="GS261" i="16" s="1"/>
  <c r="FA253" i="16"/>
  <c r="GO253" i="16" s="1"/>
  <c r="FG248" i="16"/>
  <c r="GU248" i="16" s="1"/>
  <c r="AG227" i="16"/>
  <c r="FA227" i="16"/>
  <c r="GO227" i="16" s="1"/>
  <c r="FA262" i="16"/>
  <c r="GO262" i="16" s="1"/>
  <c r="FA266" i="16"/>
  <c r="GO266" i="16" s="1"/>
  <c r="FA259" i="16"/>
  <c r="GO259" i="16" s="1"/>
  <c r="FC228" i="16"/>
  <c r="GQ228" i="16" s="1"/>
  <c r="CB236" i="16"/>
  <c r="CC236" i="16" s="1"/>
  <c r="FE236" i="16" s="1"/>
  <c r="GS236" i="16" s="1"/>
  <c r="CA236" i="16"/>
  <c r="FC236" i="16" s="1"/>
  <c r="GQ236" i="16" s="1"/>
  <c r="AG228" i="16"/>
  <c r="FC226" i="16"/>
  <c r="GQ226" i="16" s="1"/>
  <c r="FA278" i="16"/>
  <c r="GO278" i="16" s="1"/>
  <c r="FA263" i="16"/>
  <c r="GO263" i="16" s="1"/>
  <c r="FA277" i="16"/>
  <c r="GO277" i="16" s="1"/>
  <c r="CD280" i="16"/>
  <c r="FF280" i="16" s="1"/>
  <c r="GT280" i="16" s="1"/>
  <c r="FB234" i="16"/>
  <c r="GP234" i="16" s="1"/>
  <c r="FA225" i="16"/>
  <c r="GO225" i="16" s="1"/>
  <c r="FA228" i="16"/>
  <c r="GO228" i="16" s="1"/>
  <c r="CC280" i="16"/>
  <c r="FE280" i="16" s="1"/>
  <c r="GS280" i="16" s="1"/>
  <c r="FB261" i="16"/>
  <c r="GP261" i="16" s="1"/>
  <c r="FA252" i="16"/>
  <c r="GO252" i="16" s="1"/>
  <c r="FA294" i="16"/>
  <c r="FC286" i="16"/>
  <c r="GQ286" i="16" s="1"/>
  <c r="FH262" i="16"/>
  <c r="GV262" i="16" s="1"/>
  <c r="CB248" i="16"/>
  <c r="FD248" i="16" s="1"/>
  <c r="GR248" i="16" s="1"/>
  <c r="CA234" i="16"/>
  <c r="FC234" i="16" s="1"/>
  <c r="GQ234" i="16" s="1"/>
  <c r="FF297" i="16"/>
  <c r="GT297" i="16" s="1"/>
  <c r="FA289" i="16"/>
  <c r="GO289" i="16" s="1"/>
  <c r="BZ277" i="16"/>
  <c r="FB277" i="16" s="1"/>
  <c r="GP277" i="16" s="1"/>
  <c r="BZ280" i="16"/>
  <c r="FB280" i="16" s="1"/>
  <c r="GP280" i="16" s="1"/>
  <c r="FB264" i="16"/>
  <c r="GP264" i="16" s="1"/>
  <c r="CO252" i="16"/>
  <c r="FQ252" i="16" s="1"/>
  <c r="HE252" i="16" s="1"/>
  <c r="FB258" i="16"/>
  <c r="GP258" i="16" s="1"/>
  <c r="FB250" i="16"/>
  <c r="GP250" i="16" s="1"/>
  <c r="CG239" i="16"/>
  <c r="FI239" i="16" s="1"/>
  <c r="GW239" i="16" s="1"/>
  <c r="FH238" i="16"/>
  <c r="GV238" i="16" s="1"/>
  <c r="FA291" i="16"/>
  <c r="GO291" i="16" s="1"/>
  <c r="CA277" i="16"/>
  <c r="CB277" i="16" s="1"/>
  <c r="CC277" i="16" s="1"/>
  <c r="CD277" i="16" s="1"/>
  <c r="FF277" i="16" s="1"/>
  <c r="GT277" i="16" s="1"/>
  <c r="FB281" i="16"/>
  <c r="GP281" i="16" s="1"/>
  <c r="FH265" i="16"/>
  <c r="GV265" i="16" s="1"/>
  <c r="CC249" i="16"/>
  <c r="FE249" i="16" s="1"/>
  <c r="GS249" i="16" s="1"/>
  <c r="FA245" i="16"/>
  <c r="GO245" i="16" s="1"/>
  <c r="CW239" i="16"/>
  <c r="FY239" i="16" s="1"/>
  <c r="HM239" i="16" s="1"/>
  <c r="CC262" i="16"/>
  <c r="FE262" i="16" s="1"/>
  <c r="GS262" i="16" s="1"/>
  <c r="CK252" i="16"/>
  <c r="FM252" i="16" s="1"/>
  <c r="HA252" i="16" s="1"/>
  <c r="FA247" i="16"/>
  <c r="GO247" i="16" s="1"/>
  <c r="FD243" i="16"/>
  <c r="GR243" i="16" s="1"/>
  <c r="CK239" i="16"/>
  <c r="FM239" i="16" s="1"/>
  <c r="HA239" i="16" s="1"/>
  <c r="CD240" i="16"/>
  <c r="FF240" i="16" s="1"/>
  <c r="GT240" i="16" s="1"/>
  <c r="DB240" i="16"/>
  <c r="GD240" i="16" s="1"/>
  <c r="HR240" i="16" s="1"/>
  <c r="CA225" i="16"/>
  <c r="FC225" i="16" s="1"/>
  <c r="GQ225" i="16" s="1"/>
  <c r="CX240" i="16"/>
  <c r="FZ240" i="16" s="1"/>
  <c r="HN240" i="16" s="1"/>
  <c r="CB280" i="16"/>
  <c r="FD280" i="16" s="1"/>
  <c r="GR280" i="16" s="1"/>
  <c r="CD261" i="16"/>
  <c r="FF261" i="16" s="1"/>
  <c r="GT261" i="16" s="1"/>
  <c r="FE264" i="16"/>
  <c r="GS264" i="16" s="1"/>
  <c r="CD262" i="16"/>
  <c r="FF262" i="16" s="1"/>
  <c r="GT262" i="16" s="1"/>
  <c r="CG252" i="16"/>
  <c r="FI252" i="16" s="1"/>
  <c r="GW252" i="16" s="1"/>
  <c r="FA256" i="16"/>
  <c r="GO256" i="16" s="1"/>
  <c r="FA246" i="16"/>
  <c r="GO246" i="16" s="1"/>
  <c r="FC241" i="16"/>
  <c r="GQ241" i="16" s="1"/>
  <c r="CH240" i="16"/>
  <c r="FJ240" i="16" s="1"/>
  <c r="GX240" i="16" s="1"/>
  <c r="CB225" i="16"/>
  <c r="FD225" i="16" s="1"/>
  <c r="GR225" i="16" s="1"/>
  <c r="CA227" i="16"/>
  <c r="FC227" i="16" s="1"/>
  <c r="GQ227" i="16" s="1"/>
  <c r="BZ278" i="16"/>
  <c r="FB278" i="16" s="1"/>
  <c r="GP278" i="16" s="1"/>
  <c r="CE280" i="16"/>
  <c r="FG280" i="16" s="1"/>
  <c r="GU280" i="16" s="1"/>
  <c r="CG262" i="16"/>
  <c r="FI262" i="16" s="1"/>
  <c r="GW262" i="16" s="1"/>
  <c r="CC252" i="16"/>
  <c r="FE252" i="16" s="1"/>
  <c r="GS252" i="16" s="1"/>
  <c r="CF248" i="16"/>
  <c r="FH248" i="16" s="1"/>
  <c r="GV248" i="16" s="1"/>
  <c r="FA244" i="16"/>
  <c r="GO244" i="16" s="1"/>
  <c r="CC226" i="16"/>
  <c r="FE226" i="16" s="1"/>
  <c r="GS226" i="16" s="1"/>
  <c r="CB227" i="16"/>
  <c r="FD227" i="16" s="1"/>
  <c r="GR227" i="16" s="1"/>
  <c r="FA284" i="16"/>
  <c r="GO284" i="16" s="1"/>
  <c r="FD279" i="16"/>
  <c r="GR279" i="16" s="1"/>
  <c r="FA280" i="16"/>
  <c r="GO280" i="16" s="1"/>
  <c r="FE263" i="16"/>
  <c r="GS263" i="16" s="1"/>
  <c r="CH262" i="16"/>
  <c r="FJ262" i="16" s="1"/>
  <c r="GX262" i="16" s="1"/>
  <c r="CM252" i="16"/>
  <c r="FO252" i="16" s="1"/>
  <c r="HC252" i="16" s="1"/>
  <c r="CI252" i="16"/>
  <c r="FK252" i="16" s="1"/>
  <c r="GY252" i="16" s="1"/>
  <c r="CE252" i="16"/>
  <c r="FG252" i="16" s="1"/>
  <c r="GU252" i="16" s="1"/>
  <c r="CA252" i="16"/>
  <c r="FC252" i="16" s="1"/>
  <c r="GQ252" i="16" s="1"/>
  <c r="BZ253" i="16"/>
  <c r="FB253" i="16" s="1"/>
  <c r="GP253" i="16" s="1"/>
  <c r="FA257" i="16"/>
  <c r="GO257" i="16" s="1"/>
  <c r="CC250" i="16"/>
  <c r="FE250" i="16" s="1"/>
  <c r="GS250" i="16" s="1"/>
  <c r="FX239" i="16"/>
  <c r="HL239" i="16" s="1"/>
  <c r="CO239" i="16"/>
  <c r="FQ239" i="16" s="1"/>
  <c r="HE239" i="16" s="1"/>
  <c r="FC240" i="16"/>
  <c r="GQ240" i="16" s="1"/>
  <c r="CP240" i="16"/>
  <c r="FR240" i="16" s="1"/>
  <c r="HF240" i="16" s="1"/>
  <c r="FB231" i="16"/>
  <c r="GP231" i="16" s="1"/>
  <c r="CD225" i="16"/>
  <c r="FF225" i="16" s="1"/>
  <c r="GT225" i="16" s="1"/>
  <c r="CC228" i="16"/>
  <c r="FE228" i="16" s="1"/>
  <c r="GS228" i="16" s="1"/>
  <c r="FA287" i="16"/>
  <c r="GO287" i="16" s="1"/>
  <c r="FA261" i="16"/>
  <c r="GO261" i="16" s="1"/>
  <c r="CN252" i="16"/>
  <c r="FP252" i="16" s="1"/>
  <c r="HD252" i="16" s="1"/>
  <c r="CJ252" i="16"/>
  <c r="FL252" i="16" s="1"/>
  <c r="GZ252" i="16" s="1"/>
  <c r="CF252" i="16"/>
  <c r="FH252" i="16" s="1"/>
  <c r="GV252" i="16" s="1"/>
  <c r="CB252" i="16"/>
  <c r="FD252" i="16" s="1"/>
  <c r="GR252" i="16" s="1"/>
  <c r="FA296" i="16"/>
  <c r="GO296" i="16" s="1"/>
  <c r="FA290" i="16"/>
  <c r="GO290" i="16" s="1"/>
  <c r="FD292" i="16"/>
  <c r="GR292" i="16" s="1"/>
  <c r="FD288" i="16"/>
  <c r="GR288" i="16" s="1"/>
  <c r="CA278" i="16"/>
  <c r="FC278" i="16" s="1"/>
  <c r="GQ278" i="16" s="1"/>
  <c r="FB265" i="16"/>
  <c r="GP265" i="16" s="1"/>
  <c r="CC266" i="16"/>
  <c r="FE266" i="16" s="1"/>
  <c r="GS266" i="16" s="1"/>
  <c r="FP251" i="16"/>
  <c r="HD251" i="16" s="1"/>
  <c r="CL252" i="16"/>
  <c r="FN252" i="16" s="1"/>
  <c r="HB252" i="16" s="1"/>
  <c r="CH252" i="16"/>
  <c r="FJ252" i="16" s="1"/>
  <c r="GX252" i="16" s="1"/>
  <c r="CD252" i="16"/>
  <c r="FF252" i="16" s="1"/>
  <c r="GT252" i="16" s="1"/>
  <c r="BZ252" i="16"/>
  <c r="FB252" i="16" s="1"/>
  <c r="GP252" i="16" s="1"/>
  <c r="BZ256" i="16"/>
  <c r="CA256" i="16" s="1"/>
  <c r="FC256" i="16" s="1"/>
  <c r="GQ256" i="16" s="1"/>
  <c r="FB260" i="16"/>
  <c r="GP260" i="16" s="1"/>
  <c r="CC239" i="16"/>
  <c r="FE239" i="16" s="1"/>
  <c r="GS239" i="16" s="1"/>
  <c r="CS239" i="16"/>
  <c r="FU239" i="16" s="1"/>
  <c r="HI239" i="16" s="1"/>
  <c r="CT240" i="16"/>
  <c r="FV240" i="16" s="1"/>
  <c r="HJ240" i="16" s="1"/>
  <c r="FA238" i="16"/>
  <c r="GO238" i="16" s="1"/>
  <c r="BZ230" i="16"/>
  <c r="CC230" i="16" s="1"/>
  <c r="FE230" i="16" s="1"/>
  <c r="GS230" i="16" s="1"/>
  <c r="BZ225" i="16"/>
  <c r="FB225" i="16" s="1"/>
  <c r="GP225" i="16" s="1"/>
  <c r="CD226" i="16"/>
  <c r="FF226" i="16" s="1"/>
  <c r="GT226" i="16" s="1"/>
  <c r="BZ227" i="16"/>
  <c r="FB227" i="16" s="1"/>
  <c r="GP227" i="16" s="1"/>
  <c r="CB228" i="16"/>
  <c r="FD228" i="16" s="1"/>
  <c r="GR228" i="16" s="1"/>
  <c r="AG225" i="16"/>
  <c r="CG218" i="16"/>
  <c r="CH218" i="16" s="1"/>
  <c r="FH214" i="16"/>
  <c r="GV214" i="16" s="1"/>
  <c r="Z248" i="16"/>
  <c r="X248" i="16" s="1"/>
  <c r="Z228" i="16"/>
  <c r="X228" i="16" s="1"/>
  <c r="Z250" i="16"/>
  <c r="X250" i="16" s="1"/>
  <c r="Z226" i="16"/>
  <c r="X226" i="16" s="1"/>
  <c r="Z225" i="16"/>
  <c r="X225" i="16" s="1"/>
  <c r="Z227" i="16"/>
  <c r="X227" i="16" s="1"/>
  <c r="Z249" i="16"/>
  <c r="X249" i="16" s="1"/>
  <c r="FH266" i="16"/>
  <c r="GV266" i="16" s="1"/>
  <c r="CG266" i="16"/>
  <c r="FD283" i="16"/>
  <c r="GR283" i="16" s="1"/>
  <c r="CG283" i="16"/>
  <c r="FI283" i="16" s="1"/>
  <c r="GW283" i="16" s="1"/>
  <c r="CC283" i="16"/>
  <c r="FE283" i="16" s="1"/>
  <c r="GS283" i="16" s="1"/>
  <c r="CF283" i="16"/>
  <c r="FH283" i="16" s="1"/>
  <c r="GV283" i="16" s="1"/>
  <c r="CE283" i="16"/>
  <c r="FG283" i="16" s="1"/>
  <c r="GU283" i="16" s="1"/>
  <c r="CH283" i="16"/>
  <c r="CD283" i="16"/>
  <c r="FF283" i="16" s="1"/>
  <c r="GT283" i="16" s="1"/>
  <c r="FC288" i="16"/>
  <c r="GQ288" i="16" s="1"/>
  <c r="CB284" i="16"/>
  <c r="CC279" i="16"/>
  <c r="FE279" i="16" s="1"/>
  <c r="GS279" i="16" s="1"/>
  <c r="FD277" i="16"/>
  <c r="GR277" i="16" s="1"/>
  <c r="FC266" i="16"/>
  <c r="GQ266" i="16" s="1"/>
  <c r="FA264" i="16"/>
  <c r="GO264" i="16" s="1"/>
  <c r="FC262" i="16"/>
  <c r="GQ262" i="16" s="1"/>
  <c r="CA254" i="16"/>
  <c r="CM254" i="16" s="1"/>
  <c r="FB254" i="16"/>
  <c r="GP254" i="16" s="1"/>
  <c r="FA300" i="16"/>
  <c r="GO300" i="16" s="1"/>
  <c r="CA292" i="16"/>
  <c r="FC292" i="16" s="1"/>
  <c r="GQ292" i="16" s="1"/>
  <c r="FA292" i="16"/>
  <c r="GO292" i="16" s="1"/>
  <c r="FA286" i="16"/>
  <c r="GO286" i="16" s="1"/>
  <c r="FB288" i="16"/>
  <c r="GP288" i="16" s="1"/>
  <c r="BZ283" i="16"/>
  <c r="FB283" i="16" s="1"/>
  <c r="GP283" i="16" s="1"/>
  <c r="BZ279" i="16"/>
  <c r="FB279" i="16" s="1"/>
  <c r="GP279" i="16" s="1"/>
  <c r="CD279" i="16"/>
  <c r="FF279" i="16" s="1"/>
  <c r="GT279" i="16" s="1"/>
  <c r="FA279" i="16"/>
  <c r="GO279" i="16" s="1"/>
  <c r="CE261" i="16"/>
  <c r="BZ263" i="16"/>
  <c r="FB263" i="16" s="1"/>
  <c r="GP263" i="16" s="1"/>
  <c r="BZ262" i="16"/>
  <c r="FB262" i="16" s="1"/>
  <c r="GP262" i="16" s="1"/>
  <c r="BZ266" i="16"/>
  <c r="FB266" i="16" s="1"/>
  <c r="GP266" i="16" s="1"/>
  <c r="CD266" i="16"/>
  <c r="FF266" i="16" s="1"/>
  <c r="GT266" i="16" s="1"/>
  <c r="FC261" i="16"/>
  <c r="GQ261" i="16" s="1"/>
  <c r="FA265" i="16"/>
  <c r="GO265" i="16" s="1"/>
  <c r="FC263" i="16"/>
  <c r="GQ263" i="16" s="1"/>
  <c r="FB297" i="16"/>
  <c r="GP297" i="16" s="1"/>
  <c r="FA288" i="16"/>
  <c r="GO288" i="16" s="1"/>
  <c r="CA283" i="16"/>
  <c r="FC283" i="16" s="1"/>
  <c r="GQ283" i="16" s="1"/>
  <c r="BZ284" i="16"/>
  <c r="FB284" i="16" s="1"/>
  <c r="GP284" i="16" s="1"/>
  <c r="FA283" i="16"/>
  <c r="GO283" i="16" s="1"/>
  <c r="CA279" i="16"/>
  <c r="FC279" i="16" s="1"/>
  <c r="GQ279" i="16" s="1"/>
  <c r="CE279" i="16"/>
  <c r="FG279" i="16" s="1"/>
  <c r="GU279" i="16" s="1"/>
  <c r="FA281" i="16"/>
  <c r="GO281" i="16" s="1"/>
  <c r="CB261" i="16"/>
  <c r="FD261" i="16" s="1"/>
  <c r="GR261" i="16" s="1"/>
  <c r="CE262" i="16"/>
  <c r="FG262" i="16" s="1"/>
  <c r="GU262" i="16" s="1"/>
  <c r="CC265" i="16"/>
  <c r="FE265" i="16" s="1"/>
  <c r="GS265" i="16" s="1"/>
  <c r="CE266" i="16"/>
  <c r="FG266" i="16" s="1"/>
  <c r="GU266" i="16" s="1"/>
  <c r="FC264" i="16"/>
  <c r="GQ264" i="16" s="1"/>
  <c r="FF295" i="16"/>
  <c r="GT295" i="16" s="1"/>
  <c r="BZ287" i="16"/>
  <c r="FB286" i="16"/>
  <c r="GP286" i="16" s="1"/>
  <c r="CA284" i="16"/>
  <c r="FC284" i="16" s="1"/>
  <c r="GQ284" i="16" s="1"/>
  <c r="CC281" i="16"/>
  <c r="FE281" i="16" s="1"/>
  <c r="GS281" i="16" s="1"/>
  <c r="CD263" i="16"/>
  <c r="FF263" i="16" s="1"/>
  <c r="GT263" i="16" s="1"/>
  <c r="CD264" i="16"/>
  <c r="FF264" i="16" s="1"/>
  <c r="GT264" i="16" s="1"/>
  <c r="CB262" i="16"/>
  <c r="FD262" i="16" s="1"/>
  <c r="GR262" i="16" s="1"/>
  <c r="CG265" i="16"/>
  <c r="FI265" i="16" s="1"/>
  <c r="GW265" i="16" s="1"/>
  <c r="CB266" i="16"/>
  <c r="FD266" i="16" s="1"/>
  <c r="GR266" i="16" s="1"/>
  <c r="FC265" i="16"/>
  <c r="GQ265" i="16" s="1"/>
  <c r="FB255" i="16"/>
  <c r="GP255" i="16" s="1"/>
  <c r="CA255" i="16"/>
  <c r="CH255" i="16" s="1"/>
  <c r="FJ255" i="16" s="1"/>
  <c r="GX255" i="16" s="1"/>
  <c r="CC251" i="16"/>
  <c r="FE251" i="16" s="1"/>
  <c r="GS251" i="16" s="1"/>
  <c r="CG251" i="16"/>
  <c r="FI251" i="16" s="1"/>
  <c r="GW251" i="16" s="1"/>
  <c r="CK251" i="16"/>
  <c r="FM251" i="16" s="1"/>
  <c r="HA251" i="16" s="1"/>
  <c r="CO251" i="16"/>
  <c r="FQ251" i="16" s="1"/>
  <c r="HE251" i="16" s="1"/>
  <c r="CA258" i="16"/>
  <c r="CA259" i="16"/>
  <c r="FA255" i="16"/>
  <c r="GO255" i="16" s="1"/>
  <c r="FA258" i="16"/>
  <c r="GO258" i="16" s="1"/>
  <c r="FA250" i="16"/>
  <c r="GO250" i="16" s="1"/>
  <c r="FA249" i="16"/>
  <c r="GO249" i="16" s="1"/>
  <c r="BZ251" i="16"/>
  <c r="FB251" i="16" s="1"/>
  <c r="GP251" i="16" s="1"/>
  <c r="CD251" i="16"/>
  <c r="FF251" i="16" s="1"/>
  <c r="GT251" i="16" s="1"/>
  <c r="CH251" i="16"/>
  <c r="FJ251" i="16" s="1"/>
  <c r="GX251" i="16" s="1"/>
  <c r="CL251" i="16"/>
  <c r="FN251" i="16" s="1"/>
  <c r="HB251" i="16" s="1"/>
  <c r="BZ259" i="16"/>
  <c r="FB259" i="16" s="1"/>
  <c r="GP259" i="16" s="1"/>
  <c r="FA251" i="16"/>
  <c r="GO251" i="16" s="1"/>
  <c r="FA254" i="16"/>
  <c r="GO254" i="16" s="1"/>
  <c r="CC248" i="16"/>
  <c r="FE248" i="16" s="1"/>
  <c r="GS248" i="16" s="1"/>
  <c r="CF250" i="16"/>
  <c r="FH250" i="16" s="1"/>
  <c r="GV250" i="16" s="1"/>
  <c r="CB250" i="16"/>
  <c r="FD250" i="16" s="1"/>
  <c r="GR250" i="16" s="1"/>
  <c r="CF249" i="16"/>
  <c r="FH249" i="16" s="1"/>
  <c r="GV249" i="16" s="1"/>
  <c r="CB249" i="16"/>
  <c r="FD249" i="16" s="1"/>
  <c r="GR249" i="16" s="1"/>
  <c r="FA248" i="16"/>
  <c r="GO248" i="16" s="1"/>
  <c r="CA251" i="16"/>
  <c r="FC251" i="16" s="1"/>
  <c r="GQ251" i="16" s="1"/>
  <c r="CE251" i="16"/>
  <c r="FG251" i="16" s="1"/>
  <c r="GU251" i="16" s="1"/>
  <c r="CI251" i="16"/>
  <c r="FK251" i="16" s="1"/>
  <c r="GY251" i="16" s="1"/>
  <c r="CM251" i="16"/>
  <c r="FO251" i="16" s="1"/>
  <c r="HC251" i="16" s="1"/>
  <c r="CA260" i="16"/>
  <c r="CA257" i="16"/>
  <c r="FA260" i="16"/>
  <c r="GO260" i="16" s="1"/>
  <c r="BZ248" i="16"/>
  <c r="FB248" i="16" s="1"/>
  <c r="GP248" i="16" s="1"/>
  <c r="CD248" i="16"/>
  <c r="FF248" i="16" s="1"/>
  <c r="GT248" i="16" s="1"/>
  <c r="CE250" i="16"/>
  <c r="FG250" i="16" s="1"/>
  <c r="GU250" i="16" s="1"/>
  <c r="CA250" i="16"/>
  <c r="FC250" i="16" s="1"/>
  <c r="GQ250" i="16" s="1"/>
  <c r="CE249" i="16"/>
  <c r="FG249" i="16" s="1"/>
  <c r="GU249" i="16" s="1"/>
  <c r="CA249" i="16"/>
  <c r="FC249" i="16" s="1"/>
  <c r="GQ249" i="16" s="1"/>
  <c r="CB251" i="16"/>
  <c r="FD251" i="16" s="1"/>
  <c r="GR251" i="16" s="1"/>
  <c r="CF251" i="16"/>
  <c r="FH251" i="16" s="1"/>
  <c r="GV251" i="16" s="1"/>
  <c r="CJ251" i="16"/>
  <c r="FL251" i="16" s="1"/>
  <c r="GZ251" i="16" s="1"/>
  <c r="BZ257" i="16"/>
  <c r="FB257" i="16" s="1"/>
  <c r="GP257" i="16" s="1"/>
  <c r="CA248" i="16"/>
  <c r="FC248" i="16" s="1"/>
  <c r="GQ248" i="16" s="1"/>
  <c r="CD250" i="16"/>
  <c r="FF250" i="16" s="1"/>
  <c r="GT250" i="16" s="1"/>
  <c r="CD249" i="16"/>
  <c r="FF249" i="16" s="1"/>
  <c r="GT249" i="16" s="1"/>
  <c r="BZ247" i="16"/>
  <c r="FB242" i="16"/>
  <c r="GP242" i="16" s="1"/>
  <c r="BZ245" i="16"/>
  <c r="BZ244" i="16"/>
  <c r="CC243" i="16"/>
  <c r="FE243" i="16" s="1"/>
  <c r="GS243" i="16" s="1"/>
  <c r="FA241" i="16"/>
  <c r="GO241" i="16" s="1"/>
  <c r="FA243" i="16"/>
  <c r="GO243" i="16" s="1"/>
  <c r="CD239" i="16"/>
  <c r="FF239" i="16" s="1"/>
  <c r="GT239" i="16" s="1"/>
  <c r="CH239" i="16"/>
  <c r="FJ239" i="16" s="1"/>
  <c r="GX239" i="16" s="1"/>
  <c r="CL239" i="16"/>
  <c r="FN239" i="16" s="1"/>
  <c r="HB239" i="16" s="1"/>
  <c r="CP239" i="16"/>
  <c r="FR239" i="16" s="1"/>
  <c r="HF239" i="16" s="1"/>
  <c r="CT239" i="16"/>
  <c r="FV239" i="16" s="1"/>
  <c r="HJ239" i="16" s="1"/>
  <c r="CE240" i="16"/>
  <c r="FG240" i="16" s="1"/>
  <c r="GU240" i="16" s="1"/>
  <c r="CI240" i="16"/>
  <c r="FK240" i="16" s="1"/>
  <c r="GY240" i="16" s="1"/>
  <c r="CM240" i="16"/>
  <c r="FO240" i="16" s="1"/>
  <c r="HC240" i="16" s="1"/>
  <c r="CQ240" i="16"/>
  <c r="FS240" i="16" s="1"/>
  <c r="HG240" i="16" s="1"/>
  <c r="CU240" i="16"/>
  <c r="FW240" i="16" s="1"/>
  <c r="HK240" i="16" s="1"/>
  <c r="CY240" i="16"/>
  <c r="GA240" i="16" s="1"/>
  <c r="HO240" i="16" s="1"/>
  <c r="DC240" i="16"/>
  <c r="GE240" i="16" s="1"/>
  <c r="HS240" i="16" s="1"/>
  <c r="CG235" i="16"/>
  <c r="CC235" i="16"/>
  <c r="FE235" i="16" s="1"/>
  <c r="GS235" i="16" s="1"/>
  <c r="FD235" i="16"/>
  <c r="GR235" i="16" s="1"/>
  <c r="CF235" i="16"/>
  <c r="FH235" i="16" s="1"/>
  <c r="GV235" i="16" s="1"/>
  <c r="CE235" i="16"/>
  <c r="FG235" i="16" s="1"/>
  <c r="GU235" i="16" s="1"/>
  <c r="CD235" i="16"/>
  <c r="FF235" i="16" s="1"/>
  <c r="GT235" i="16" s="1"/>
  <c r="FE237" i="16"/>
  <c r="GS237" i="16" s="1"/>
  <c r="CD237" i="16"/>
  <c r="BZ243" i="16"/>
  <c r="FB243" i="16" s="1"/>
  <c r="GP243" i="16" s="1"/>
  <c r="CD243" i="16"/>
  <c r="FF243" i="16" s="1"/>
  <c r="GT243" i="16" s="1"/>
  <c r="FB241" i="16"/>
  <c r="GP241" i="16" s="1"/>
  <c r="CE239" i="16"/>
  <c r="FG239" i="16" s="1"/>
  <c r="GU239" i="16" s="1"/>
  <c r="CI239" i="16"/>
  <c r="FK239" i="16" s="1"/>
  <c r="GY239" i="16" s="1"/>
  <c r="CM239" i="16"/>
  <c r="FO239" i="16" s="1"/>
  <c r="HC239" i="16" s="1"/>
  <c r="CQ239" i="16"/>
  <c r="FS239" i="16" s="1"/>
  <c r="HG239" i="16" s="1"/>
  <c r="CU239" i="16"/>
  <c r="FW239" i="16" s="1"/>
  <c r="HK239" i="16" s="1"/>
  <c r="CB240" i="16"/>
  <c r="FD240" i="16" s="1"/>
  <c r="GR240" i="16" s="1"/>
  <c r="CF240" i="16"/>
  <c r="FH240" i="16" s="1"/>
  <c r="GV240" i="16" s="1"/>
  <c r="CJ240" i="16"/>
  <c r="FL240" i="16" s="1"/>
  <c r="GZ240" i="16" s="1"/>
  <c r="CN240" i="16"/>
  <c r="FP240" i="16" s="1"/>
  <c r="HD240" i="16" s="1"/>
  <c r="CR240" i="16"/>
  <c r="FT240" i="16" s="1"/>
  <c r="HH240" i="16" s="1"/>
  <c r="CV240" i="16"/>
  <c r="FX240" i="16" s="1"/>
  <c r="HL240" i="16" s="1"/>
  <c r="CZ240" i="16"/>
  <c r="GB240" i="16" s="1"/>
  <c r="HP240" i="16" s="1"/>
  <c r="DD240" i="16"/>
  <c r="GF240" i="16" s="1"/>
  <c r="HT240" i="16" s="1"/>
  <c r="FC239" i="16"/>
  <c r="GQ239" i="16" s="1"/>
  <c r="BZ246" i="16"/>
  <c r="CE243" i="16"/>
  <c r="FA242" i="16"/>
  <c r="GO242" i="16" s="1"/>
  <c r="CB239" i="16"/>
  <c r="FD239" i="16" s="1"/>
  <c r="GR239" i="16" s="1"/>
  <c r="CF239" i="16"/>
  <c r="FH239" i="16" s="1"/>
  <c r="GV239" i="16" s="1"/>
  <c r="CJ239" i="16"/>
  <c r="FL239" i="16" s="1"/>
  <c r="GZ239" i="16" s="1"/>
  <c r="CN239" i="16"/>
  <c r="FP239" i="16" s="1"/>
  <c r="HD239" i="16" s="1"/>
  <c r="CR239" i="16"/>
  <c r="FT239" i="16" s="1"/>
  <c r="HH239" i="16" s="1"/>
  <c r="CC240" i="16"/>
  <c r="FE240" i="16" s="1"/>
  <c r="GS240" i="16" s="1"/>
  <c r="CG240" i="16"/>
  <c r="FI240" i="16" s="1"/>
  <c r="GW240" i="16" s="1"/>
  <c r="CK240" i="16"/>
  <c r="FM240" i="16" s="1"/>
  <c r="HA240" i="16" s="1"/>
  <c r="CO240" i="16"/>
  <c r="FQ240" i="16" s="1"/>
  <c r="HE240" i="16" s="1"/>
  <c r="CS240" i="16"/>
  <c r="FU240" i="16" s="1"/>
  <c r="HI240" i="16" s="1"/>
  <c r="CW240" i="16"/>
  <c r="FY240" i="16" s="1"/>
  <c r="HM240" i="16" s="1"/>
  <c r="DA240" i="16"/>
  <c r="GC240" i="16" s="1"/>
  <c r="HQ240" i="16" s="1"/>
  <c r="DE240" i="16"/>
  <c r="FC233" i="16"/>
  <c r="GQ233" i="16" s="1"/>
  <c r="CB233" i="16"/>
  <c r="CC238" i="16"/>
  <c r="FE238" i="16" s="1"/>
  <c r="GS238" i="16" s="1"/>
  <c r="CG238" i="16"/>
  <c r="FI238" i="16" s="1"/>
  <c r="GW238" i="16" s="1"/>
  <c r="FC238" i="16"/>
  <c r="GQ238" i="16" s="1"/>
  <c r="BZ235" i="16"/>
  <c r="FB235" i="16" s="1"/>
  <c r="GP235" i="16" s="1"/>
  <c r="BZ237" i="16"/>
  <c r="FB237" i="16" s="1"/>
  <c r="GP237" i="16" s="1"/>
  <c r="FA234" i="16"/>
  <c r="GO234" i="16" s="1"/>
  <c r="BZ229" i="16"/>
  <c r="BZ226" i="16"/>
  <c r="FB226" i="16" s="1"/>
  <c r="GP226" i="16" s="1"/>
  <c r="CH217" i="16"/>
  <c r="FI217" i="16"/>
  <c r="GW217" i="16" s="1"/>
  <c r="CI224" i="16"/>
  <c r="FK224" i="16" s="1"/>
  <c r="GY224" i="16" s="1"/>
  <c r="FJ224" i="16"/>
  <c r="GX224" i="16" s="1"/>
  <c r="BZ238" i="16"/>
  <c r="FB238" i="16" s="1"/>
  <c r="GP238" i="16" s="1"/>
  <c r="CD238" i="16"/>
  <c r="FF238" i="16" s="1"/>
  <c r="GT238" i="16" s="1"/>
  <c r="CH238" i="16"/>
  <c r="CA235" i="16"/>
  <c r="FC235" i="16" s="1"/>
  <c r="GQ235" i="16" s="1"/>
  <c r="BZ236" i="16"/>
  <c r="FB236" i="16" s="1"/>
  <c r="GP236" i="16" s="1"/>
  <c r="CA237" i="16"/>
  <c r="FC237" i="16" s="1"/>
  <c r="GQ237" i="16" s="1"/>
  <c r="FA235" i="16"/>
  <c r="GO235" i="16" s="1"/>
  <c r="FA237" i="16"/>
  <c r="GO237" i="16" s="1"/>
  <c r="FA233" i="16"/>
  <c r="GO233" i="16" s="1"/>
  <c r="FA231" i="16"/>
  <c r="GO231" i="16" s="1"/>
  <c r="FA226" i="16"/>
  <c r="GO226" i="16" s="1"/>
  <c r="CH213" i="16"/>
  <c r="FI213" i="16"/>
  <c r="GW213" i="16" s="1"/>
  <c r="CE238" i="16"/>
  <c r="FG238" i="16" s="1"/>
  <c r="GU238" i="16" s="1"/>
  <c r="CB237" i="16"/>
  <c r="FD237" i="16" s="1"/>
  <c r="GR237" i="16" s="1"/>
  <c r="BZ233" i="16"/>
  <c r="FB233" i="16" s="1"/>
  <c r="GP233" i="16" s="1"/>
  <c r="BZ232" i="16"/>
  <c r="CC232" i="16" s="1"/>
  <c r="FE232" i="16" s="1"/>
  <c r="GS232" i="16" s="1"/>
  <c r="CC225" i="16"/>
  <c r="FE225" i="16" s="1"/>
  <c r="GS225" i="16" s="1"/>
  <c r="CB226" i="16"/>
  <c r="FD226" i="16" s="1"/>
  <c r="GR226" i="16" s="1"/>
  <c r="CC227" i="16"/>
  <c r="FE227" i="16" s="1"/>
  <c r="GS227" i="16" s="1"/>
  <c r="BZ228" i="16"/>
  <c r="FB228" i="16" s="1"/>
  <c r="GP228" i="16" s="1"/>
  <c r="CI223" i="16"/>
  <c r="FK223" i="16" s="1"/>
  <c r="GY223" i="16" s="1"/>
  <c r="FJ223" i="16"/>
  <c r="GX223" i="16" s="1"/>
  <c r="CH219" i="16"/>
  <c r="FI219" i="16"/>
  <c r="GW219" i="16" s="1"/>
  <c r="CH214" i="16"/>
  <c r="FI214" i="16"/>
  <c r="GW214" i="16" s="1"/>
  <c r="CI215" i="16"/>
  <c r="FK215" i="16" s="1"/>
  <c r="GY215" i="16" s="1"/>
  <c r="FJ215" i="16"/>
  <c r="GX215" i="16" s="1"/>
  <c r="CI216" i="16"/>
  <c r="FK216" i="16" s="1"/>
  <c r="GY216" i="16" s="1"/>
  <c r="FJ216" i="16"/>
  <c r="GX216" i="16" s="1"/>
  <c r="CH221" i="16"/>
  <c r="FJ221" i="16" s="1"/>
  <c r="GX221" i="16" s="1"/>
  <c r="FH221" i="16"/>
  <c r="GV221" i="16" s="1"/>
  <c r="CG221" i="16"/>
  <c r="FI221" i="16" s="1"/>
  <c r="GW221" i="16" s="1"/>
  <c r="CB238" i="16"/>
  <c r="FD238" i="16" s="1"/>
  <c r="GR238" i="16" s="1"/>
  <c r="FJ212" i="16"/>
  <c r="GX212" i="16" s="1"/>
  <c r="CI212" i="16"/>
  <c r="FK212" i="16" s="1"/>
  <c r="GY212" i="16" s="1"/>
  <c r="GO232" i="16"/>
  <c r="GO230" i="16"/>
  <c r="GO229" i="16"/>
  <c r="CD231" i="16"/>
  <c r="CC231" i="16"/>
  <c r="FE231" i="16" s="1"/>
  <c r="GS231" i="16" s="1"/>
  <c r="CA231" i="16"/>
  <c r="FC231" i="16" s="1"/>
  <c r="GQ231" i="16" s="1"/>
  <c r="CB231" i="16"/>
  <c r="FD231" i="16" s="1"/>
  <c r="GR231" i="16" s="1"/>
  <c r="GO236" i="16"/>
  <c r="CD242" i="16"/>
  <c r="FF242" i="16" s="1"/>
  <c r="GT242" i="16" s="1"/>
  <c r="CC242" i="16"/>
  <c r="FE242" i="16" s="1"/>
  <c r="GS242" i="16" s="1"/>
  <c r="CF242" i="16"/>
  <c r="CB242" i="16"/>
  <c r="FD242" i="16" s="1"/>
  <c r="GR242" i="16" s="1"/>
  <c r="CE242" i="16"/>
  <c r="FG242" i="16" s="1"/>
  <c r="GU242" i="16" s="1"/>
  <c r="CD241" i="16"/>
  <c r="FF241" i="16" s="1"/>
  <c r="GT241" i="16" s="1"/>
  <c r="CC241" i="16"/>
  <c r="FE241" i="16" s="1"/>
  <c r="GS241" i="16" s="1"/>
  <c r="CF241" i="16"/>
  <c r="CB241" i="16"/>
  <c r="FD241" i="16" s="1"/>
  <c r="GR241" i="16" s="1"/>
  <c r="CE241" i="16"/>
  <c r="FG241" i="16" s="1"/>
  <c r="GU241" i="16" s="1"/>
  <c r="CD265" i="16"/>
  <c r="FF265" i="16" s="1"/>
  <c r="GT265" i="16" s="1"/>
  <c r="CH265" i="16"/>
  <c r="CE265" i="16"/>
  <c r="FG265" i="16" s="1"/>
  <c r="GU265" i="16" s="1"/>
  <c r="CB265" i="16"/>
  <c r="FD265" i="16" s="1"/>
  <c r="GR265" i="16" s="1"/>
  <c r="CE264" i="16"/>
  <c r="CB264" i="16"/>
  <c r="FD264" i="16" s="1"/>
  <c r="GR264" i="16" s="1"/>
  <c r="CE263" i="16"/>
  <c r="CB263" i="16"/>
  <c r="FD263" i="16" s="1"/>
  <c r="GR263" i="16" s="1"/>
  <c r="CB281" i="16"/>
  <c r="FD281" i="16" s="1"/>
  <c r="GR281" i="16" s="1"/>
  <c r="CE281" i="16"/>
  <c r="FG281" i="16" s="1"/>
  <c r="GU281" i="16" s="1"/>
  <c r="CA281" i="16"/>
  <c r="FC281" i="16" s="1"/>
  <c r="GQ281" i="16" s="1"/>
  <c r="CD281" i="16"/>
  <c r="FF281" i="16" s="1"/>
  <c r="GT281" i="16" s="1"/>
  <c r="CF277" i="16"/>
  <c r="FH277" i="16" s="1"/>
  <c r="GV277" i="16" s="1"/>
  <c r="GO285" i="16"/>
  <c r="CE286" i="16"/>
  <c r="CC286" i="16"/>
  <c r="FE286" i="16" s="1"/>
  <c r="GS286" i="16" s="1"/>
  <c r="CB286" i="16"/>
  <c r="FD286" i="16" s="1"/>
  <c r="GR286" i="16" s="1"/>
  <c r="CD286" i="16"/>
  <c r="FF286" i="16" s="1"/>
  <c r="GT286" i="16" s="1"/>
  <c r="FA298" i="16"/>
  <c r="GO298" i="16" s="1"/>
  <c r="BZ294" i="16"/>
  <c r="CA294" i="16" s="1"/>
  <c r="FC294" i="16" s="1"/>
  <c r="FB300" i="16"/>
  <c r="GP300" i="16" s="1"/>
  <c r="CA296" i="16"/>
  <c r="FC296" i="16" s="1"/>
  <c r="GQ296" i="16" s="1"/>
  <c r="FB295" i="16"/>
  <c r="GP295" i="16" s="1"/>
  <c r="FA295" i="16"/>
  <c r="GO295" i="16" s="1"/>
  <c r="CC291" i="16"/>
  <c r="FE291" i="16" s="1"/>
  <c r="GS291" i="16" s="1"/>
  <c r="BZ289" i="16"/>
  <c r="BZ296" i="16"/>
  <c r="FB296" i="16" s="1"/>
  <c r="GP296" i="16" s="1"/>
  <c r="CB291" i="16"/>
  <c r="FD291" i="16" s="1"/>
  <c r="GR291" i="16" s="1"/>
  <c r="BZ285" i="16"/>
  <c r="FA299" i="16"/>
  <c r="GO299" i="16" s="1"/>
  <c r="BZ291" i="16"/>
  <c r="FB291" i="16" s="1"/>
  <c r="GP291" i="16" s="1"/>
  <c r="CE288" i="16"/>
  <c r="CD288" i="16"/>
  <c r="FF288" i="16" s="1"/>
  <c r="GT288" i="16" s="1"/>
  <c r="CC288" i="16"/>
  <c r="FE288" i="16" s="1"/>
  <c r="GS288" i="16" s="1"/>
  <c r="FB298" i="16"/>
  <c r="GP298" i="16" s="1"/>
  <c r="FD300" i="16"/>
  <c r="GR300" i="16" s="1"/>
  <c r="FC298" i="16"/>
  <c r="GQ298" i="16" s="1"/>
  <c r="CB298" i="16"/>
  <c r="CE297" i="16"/>
  <c r="CE295" i="16"/>
  <c r="CB297" i="16"/>
  <c r="FD297" i="16" s="1"/>
  <c r="GR297" i="16" s="1"/>
  <c r="FC299" i="16"/>
  <c r="GQ299" i="16" s="1"/>
  <c r="CC297" i="16"/>
  <c r="FE297" i="16" s="1"/>
  <c r="GS297" i="16" s="1"/>
  <c r="FC297" i="16"/>
  <c r="GQ297" i="16" s="1"/>
  <c r="CC295" i="16"/>
  <c r="FE295" i="16" s="1"/>
  <c r="GS295" i="16" s="1"/>
  <c r="FC295" i="16"/>
  <c r="GQ295" i="16" s="1"/>
  <c r="CA290" i="16"/>
  <c r="CC292" i="16"/>
  <c r="FE292" i="16" s="1"/>
  <c r="GS292" i="16" s="1"/>
  <c r="CB295" i="16"/>
  <c r="FD295" i="16" s="1"/>
  <c r="GR295" i="16" s="1"/>
  <c r="BZ290" i="16"/>
  <c r="FB290" i="16" s="1"/>
  <c r="GP290" i="16" s="1"/>
  <c r="BZ292" i="16"/>
  <c r="FB292" i="16" s="1"/>
  <c r="GP292" i="16" s="1"/>
  <c r="FC300" i="16"/>
  <c r="GQ300" i="16" s="1"/>
  <c r="FB299" i="16"/>
  <c r="GP299" i="16" s="1"/>
  <c r="GO297" i="16"/>
  <c r="CQ300" i="16"/>
  <c r="FS300" i="16" s="1"/>
  <c r="HG300" i="16" s="1"/>
  <c r="CM300" i="16"/>
  <c r="FO300" i="16" s="1"/>
  <c r="HC300" i="16" s="1"/>
  <c r="CI300" i="16"/>
  <c r="FK300" i="16" s="1"/>
  <c r="GY300" i="16" s="1"/>
  <c r="CE300" i="16"/>
  <c r="FG300" i="16" s="1"/>
  <c r="GU300" i="16" s="1"/>
  <c r="CP300" i="16"/>
  <c r="FR300" i="16" s="1"/>
  <c r="HF300" i="16" s="1"/>
  <c r="CL300" i="16"/>
  <c r="FN300" i="16" s="1"/>
  <c r="HB300" i="16" s="1"/>
  <c r="CH300" i="16"/>
  <c r="FJ300" i="16" s="1"/>
  <c r="GX300" i="16" s="1"/>
  <c r="CO300" i="16"/>
  <c r="FQ300" i="16" s="1"/>
  <c r="HE300" i="16" s="1"/>
  <c r="CK300" i="16"/>
  <c r="FM300" i="16" s="1"/>
  <c r="HA300" i="16" s="1"/>
  <c r="CG300" i="16"/>
  <c r="FI300" i="16" s="1"/>
  <c r="GW300" i="16" s="1"/>
  <c r="CC300" i="16"/>
  <c r="FE300" i="16" s="1"/>
  <c r="GS300" i="16" s="1"/>
  <c r="CD300" i="16"/>
  <c r="FF300" i="16" s="1"/>
  <c r="GT300" i="16" s="1"/>
  <c r="CR300" i="16"/>
  <c r="CN300" i="16"/>
  <c r="FP300" i="16" s="1"/>
  <c r="HD300" i="16" s="1"/>
  <c r="CJ300" i="16"/>
  <c r="FL300" i="16" s="1"/>
  <c r="GZ300" i="16" s="1"/>
  <c r="CF300" i="16"/>
  <c r="FH300" i="16" s="1"/>
  <c r="GV300" i="16" s="1"/>
  <c r="CQ299" i="16"/>
  <c r="FS299" i="16" s="1"/>
  <c r="HG299" i="16" s="1"/>
  <c r="CM299" i="16"/>
  <c r="FO299" i="16" s="1"/>
  <c r="HC299" i="16" s="1"/>
  <c r="CI299" i="16"/>
  <c r="FK299" i="16" s="1"/>
  <c r="GY299" i="16" s="1"/>
  <c r="CE299" i="16"/>
  <c r="FG299" i="16" s="1"/>
  <c r="GU299" i="16" s="1"/>
  <c r="CP299" i="16"/>
  <c r="FR299" i="16" s="1"/>
  <c r="HF299" i="16" s="1"/>
  <c r="CL299" i="16"/>
  <c r="FN299" i="16" s="1"/>
  <c r="HB299" i="16" s="1"/>
  <c r="CH299" i="16"/>
  <c r="FJ299" i="16" s="1"/>
  <c r="GX299" i="16" s="1"/>
  <c r="CD299" i="16"/>
  <c r="FF299" i="16" s="1"/>
  <c r="GT299" i="16" s="1"/>
  <c r="CO299" i="16"/>
  <c r="FQ299" i="16" s="1"/>
  <c r="HE299" i="16" s="1"/>
  <c r="CG299" i="16"/>
  <c r="FI299" i="16" s="1"/>
  <c r="GW299" i="16" s="1"/>
  <c r="CC299" i="16"/>
  <c r="FE299" i="16" s="1"/>
  <c r="GS299" i="16" s="1"/>
  <c r="CK299" i="16"/>
  <c r="FM299" i="16" s="1"/>
  <c r="HA299" i="16" s="1"/>
  <c r="CR299" i="16"/>
  <c r="CJ299" i="16"/>
  <c r="FL299" i="16" s="1"/>
  <c r="GZ299" i="16" s="1"/>
  <c r="CF299" i="16"/>
  <c r="FH299" i="16" s="1"/>
  <c r="GV299" i="16" s="1"/>
  <c r="CN299" i="16"/>
  <c r="FP299" i="16" s="1"/>
  <c r="HD299" i="16" s="1"/>
  <c r="AQ301" i="16"/>
  <c r="DT301" i="16"/>
  <c r="DS301" i="16"/>
  <c r="DQ301" i="16"/>
  <c r="DR301" i="16"/>
  <c r="DP301" i="16"/>
  <c r="DO301" i="16"/>
  <c r="DN301" i="16"/>
  <c r="DM301" i="16"/>
  <c r="BY301" i="16"/>
  <c r="BZ301" i="16" s="1"/>
  <c r="AQ302" i="16"/>
  <c r="AQ303" i="16"/>
  <c r="AQ304" i="16"/>
  <c r="DZ304" i="16"/>
  <c r="DY304" i="16"/>
  <c r="DP304" i="16"/>
  <c r="DQ304" i="16"/>
  <c r="DR304" i="16"/>
  <c r="DS304" i="16"/>
  <c r="DT304" i="16"/>
  <c r="DU304" i="16"/>
  <c r="DV304" i="16"/>
  <c r="DW304" i="16"/>
  <c r="DX304" i="16"/>
  <c r="DO304" i="16"/>
  <c r="DN304" i="16"/>
  <c r="DM304" i="16"/>
  <c r="DY303" i="16"/>
  <c r="DZ303" i="16"/>
  <c r="DX303" i="16"/>
  <c r="DW303" i="16"/>
  <c r="DV303" i="16"/>
  <c r="DU303" i="16"/>
  <c r="DT303" i="16"/>
  <c r="DS303" i="16"/>
  <c r="DR303" i="16"/>
  <c r="DQ303" i="16"/>
  <c r="DP303" i="16"/>
  <c r="DO303" i="16"/>
  <c r="DM303" i="16"/>
  <c r="DN303" i="16"/>
  <c r="DZ302" i="16"/>
  <c r="DY302" i="16"/>
  <c r="DP302" i="16"/>
  <c r="DQ302" i="16"/>
  <c r="DR302" i="16"/>
  <c r="DS302" i="16"/>
  <c r="DT302" i="16"/>
  <c r="DU302" i="16"/>
  <c r="DV302" i="16"/>
  <c r="DW302" i="16"/>
  <c r="DX302" i="16"/>
  <c r="DO302" i="16"/>
  <c r="DN302" i="16"/>
  <c r="DM302" i="16"/>
  <c r="BY304" i="16"/>
  <c r="BZ304" i="16" s="1"/>
  <c r="BY303" i="16"/>
  <c r="BZ303" i="16" s="1"/>
  <c r="CA303" i="16" s="1"/>
  <c r="BY302" i="16"/>
  <c r="BZ302" i="16" s="1"/>
  <c r="AQ306" i="16"/>
  <c r="AQ307" i="16"/>
  <c r="AQ308" i="16"/>
  <c r="AQ309" i="16"/>
  <c r="AQ310" i="16"/>
  <c r="AQ311" i="16"/>
  <c r="AQ305" i="16"/>
  <c r="DW311" i="16"/>
  <c r="DV311" i="16"/>
  <c r="DU311" i="16"/>
  <c r="DT311" i="16"/>
  <c r="DS311" i="16"/>
  <c r="DR311" i="16"/>
  <c r="DQ311" i="16"/>
  <c r="DP311" i="16"/>
  <c r="DO311" i="16"/>
  <c r="DN311" i="16"/>
  <c r="DM311" i="16"/>
  <c r="DN310" i="16"/>
  <c r="DO310" i="16"/>
  <c r="DP310" i="16"/>
  <c r="DQ310" i="16"/>
  <c r="DR310" i="16"/>
  <c r="DM310" i="16"/>
  <c r="EC309" i="16"/>
  <c r="EB309" i="16"/>
  <c r="EA309" i="16"/>
  <c r="DZ309" i="16"/>
  <c r="DY309" i="16"/>
  <c r="DX309" i="16"/>
  <c r="DW309" i="16"/>
  <c r="DV309" i="16"/>
  <c r="DU309" i="16"/>
  <c r="DT309" i="16"/>
  <c r="DS309" i="16"/>
  <c r="DR309" i="16"/>
  <c r="DQ309" i="16"/>
  <c r="DP309" i="16"/>
  <c r="DO309" i="16"/>
  <c r="DN309" i="16"/>
  <c r="DM309" i="16"/>
  <c r="DN308" i="16"/>
  <c r="DO308" i="16"/>
  <c r="DP308" i="16"/>
  <c r="DQ308" i="16"/>
  <c r="DR308" i="16"/>
  <c r="DS308" i="16"/>
  <c r="DT308" i="16"/>
  <c r="DU308" i="16"/>
  <c r="DM308" i="16"/>
  <c r="DP307" i="16"/>
  <c r="DQ307" i="16"/>
  <c r="DR307" i="16"/>
  <c r="DO307" i="16"/>
  <c r="DN307" i="16"/>
  <c r="DM307" i="16"/>
  <c r="DT306" i="16"/>
  <c r="DS306" i="16"/>
  <c r="DR306" i="16"/>
  <c r="DQ306" i="16"/>
  <c r="DP306" i="16"/>
  <c r="DN306" i="16"/>
  <c r="DO306" i="16"/>
  <c r="DM306" i="16"/>
  <c r="DP305" i="16"/>
  <c r="DQ305" i="16"/>
  <c r="DR305" i="16"/>
  <c r="DS305" i="16"/>
  <c r="DT305" i="16"/>
  <c r="DU305" i="16"/>
  <c r="DV305" i="16"/>
  <c r="DW305" i="16"/>
  <c r="DX305" i="16"/>
  <c r="DN305" i="16"/>
  <c r="DO305" i="16"/>
  <c r="DM305" i="16"/>
  <c r="BY311" i="16"/>
  <c r="BZ311" i="16" s="1"/>
  <c r="BY310" i="16"/>
  <c r="BY309" i="16"/>
  <c r="BY308" i="16"/>
  <c r="BZ308" i="16" s="1"/>
  <c r="CE308" i="16" s="1"/>
  <c r="BY307" i="16"/>
  <c r="BZ307" i="16" s="1"/>
  <c r="BY306" i="16"/>
  <c r="BZ306" i="16" s="1"/>
  <c r="CA306" i="16" s="1"/>
  <c r="BY305" i="16"/>
  <c r="BZ305" i="16" s="1"/>
  <c r="CA305" i="16" s="1"/>
  <c r="AQ313" i="16"/>
  <c r="AQ314" i="16"/>
  <c r="AQ315" i="16"/>
  <c r="AQ316" i="16"/>
  <c r="AQ317" i="16"/>
  <c r="AQ318" i="16"/>
  <c r="AQ319" i="16"/>
  <c r="AQ312" i="16"/>
  <c r="DX319" i="16"/>
  <c r="DW319" i="16"/>
  <c r="DV319" i="16"/>
  <c r="DQ319" i="16"/>
  <c r="DR319" i="16"/>
  <c r="DS319" i="16"/>
  <c r="DT319" i="16"/>
  <c r="DU319" i="16"/>
  <c r="DP319" i="16"/>
  <c r="DV318" i="16"/>
  <c r="DP317" i="16"/>
  <c r="DQ317" i="16"/>
  <c r="DR317" i="16"/>
  <c r="DS317" i="16"/>
  <c r="DT317" i="16"/>
  <c r="DU317" i="16"/>
  <c r="DP318" i="16"/>
  <c r="DQ318" i="16"/>
  <c r="DR318" i="16"/>
  <c r="DS318" i="16"/>
  <c r="DT318" i="16"/>
  <c r="DU318" i="16"/>
  <c r="DQ316" i="16"/>
  <c r="DR316" i="16"/>
  <c r="DS316" i="16"/>
  <c r="DT316" i="16"/>
  <c r="DU316" i="16"/>
  <c r="DP316" i="16"/>
  <c r="DX317" i="16"/>
  <c r="DW317" i="16"/>
  <c r="DV317" i="16"/>
  <c r="DX316" i="16"/>
  <c r="DW316" i="16"/>
  <c r="DV316" i="16"/>
  <c r="DW318" i="16"/>
  <c r="DX318" i="16"/>
  <c r="DY318" i="16"/>
  <c r="DM317" i="16"/>
  <c r="DN317" i="16"/>
  <c r="DO317" i="16"/>
  <c r="DM318" i="16"/>
  <c r="DN318" i="16"/>
  <c r="DO318" i="16"/>
  <c r="DM319" i="16"/>
  <c r="DN319" i="16"/>
  <c r="DO319" i="16"/>
  <c r="DO316" i="16"/>
  <c r="DN316" i="16"/>
  <c r="DM316" i="16"/>
  <c r="DS315" i="16"/>
  <c r="DT315" i="16"/>
  <c r="DU315" i="16"/>
  <c r="DQ315" i="16"/>
  <c r="DR315" i="16"/>
  <c r="DP315" i="16"/>
  <c r="DM315" i="16"/>
  <c r="DN315" i="16"/>
  <c r="DO315" i="16"/>
  <c r="DU314" i="16"/>
  <c r="DT314" i="16"/>
  <c r="DS314" i="16"/>
  <c r="DQ314" i="16"/>
  <c r="DR314" i="16"/>
  <c r="DP314" i="16"/>
  <c r="DN314" i="16"/>
  <c r="DO314" i="16"/>
  <c r="DM314" i="16"/>
  <c r="DZ313" i="16"/>
  <c r="DY313" i="16"/>
  <c r="DX313" i="16"/>
  <c r="DW313" i="16"/>
  <c r="DV313" i="16"/>
  <c r="DS313" i="16"/>
  <c r="DT313" i="16"/>
  <c r="DU313" i="16"/>
  <c r="DR313" i="16"/>
  <c r="DM313" i="16"/>
  <c r="DN313" i="16"/>
  <c r="DO313" i="16"/>
  <c r="DP313" i="16"/>
  <c r="DQ313" i="16"/>
  <c r="EA312" i="16"/>
  <c r="DZ312" i="16"/>
  <c r="DY312" i="16"/>
  <c r="DX312" i="16"/>
  <c r="DW312" i="16"/>
  <c r="DS312" i="16"/>
  <c r="DT312" i="16"/>
  <c r="DU312" i="16"/>
  <c r="DV312" i="16"/>
  <c r="DR312" i="16"/>
  <c r="DQ312" i="16"/>
  <c r="DP312" i="16"/>
  <c r="DO312" i="16"/>
  <c r="DN312" i="16"/>
  <c r="DM312" i="16"/>
  <c r="BY317" i="16"/>
  <c r="BY318" i="16"/>
  <c r="BY319" i="16"/>
  <c r="BY316" i="16"/>
  <c r="BY315" i="16"/>
  <c r="BY314" i="16"/>
  <c r="BY313" i="16"/>
  <c r="CA313" i="16" s="1"/>
  <c r="FC313" i="16" s="1"/>
  <c r="GQ313" i="16" s="1"/>
  <c r="BY312" i="16"/>
  <c r="CA312" i="16" s="1"/>
  <c r="AQ329" i="16"/>
  <c r="AQ330" i="16"/>
  <c r="AQ331" i="16"/>
  <c r="AQ328" i="16"/>
  <c r="AQ323" i="16"/>
  <c r="AQ324" i="16"/>
  <c r="AQ325" i="16"/>
  <c r="AQ322" i="16"/>
  <c r="DU331" i="16"/>
  <c r="DT331" i="16"/>
  <c r="DS331" i="16"/>
  <c r="DR331" i="16"/>
  <c r="DQ331" i="16"/>
  <c r="DP331" i="16"/>
  <c r="DM331" i="16"/>
  <c r="DN331" i="16"/>
  <c r="DO331" i="16"/>
  <c r="DZ329" i="16"/>
  <c r="DY329" i="16"/>
  <c r="DX329" i="16"/>
  <c r="DW329" i="16"/>
  <c r="DV329" i="16"/>
  <c r="DS329" i="16"/>
  <c r="DT329" i="16"/>
  <c r="DU329" i="16"/>
  <c r="DR329" i="16"/>
  <c r="DM329" i="16"/>
  <c r="DN329" i="16"/>
  <c r="DO329" i="16"/>
  <c r="DP329" i="16"/>
  <c r="DQ329" i="16"/>
  <c r="EA328" i="16"/>
  <c r="DZ328" i="16"/>
  <c r="DY328" i="16"/>
  <c r="DX328" i="16"/>
  <c r="DW328" i="16"/>
  <c r="DS328" i="16"/>
  <c r="DT328" i="16"/>
  <c r="DU328" i="16"/>
  <c r="DV328" i="16"/>
  <c r="DR328" i="16"/>
  <c r="DQ328" i="16"/>
  <c r="DP328" i="16"/>
  <c r="DO328" i="16"/>
  <c r="DN328" i="16"/>
  <c r="DM328" i="16"/>
  <c r="DU325" i="16"/>
  <c r="DT325" i="16"/>
  <c r="DS325" i="16"/>
  <c r="DR325" i="16"/>
  <c r="DQ325" i="16"/>
  <c r="DP325" i="16"/>
  <c r="DO325" i="16"/>
  <c r="DN325" i="16"/>
  <c r="DM325" i="16"/>
  <c r="DU324" i="16"/>
  <c r="DT324" i="16"/>
  <c r="DS324" i="16"/>
  <c r="DR324" i="16"/>
  <c r="DQ324" i="16"/>
  <c r="DP324" i="16"/>
  <c r="DO324" i="16"/>
  <c r="DN324" i="16"/>
  <c r="DM324" i="16"/>
  <c r="DT330" i="16"/>
  <c r="DU330" i="16"/>
  <c r="DS330" i="16"/>
  <c r="DQ330" i="16"/>
  <c r="DR330" i="16"/>
  <c r="DP330" i="16"/>
  <c r="DN330" i="16"/>
  <c r="DO330" i="16"/>
  <c r="DM330" i="16"/>
  <c r="BY325" i="16"/>
  <c r="BY324" i="16"/>
  <c r="CA324" i="16" s="1"/>
  <c r="CB324" i="16" s="1"/>
  <c r="DU323" i="16"/>
  <c r="DV323" i="16"/>
  <c r="DW323" i="16"/>
  <c r="DR323" i="16"/>
  <c r="DS323" i="16"/>
  <c r="DT323" i="16"/>
  <c r="DQ323" i="16"/>
  <c r="DP323" i="16"/>
  <c r="DM323" i="16"/>
  <c r="DN323" i="16"/>
  <c r="DO323" i="16"/>
  <c r="DV322" i="16"/>
  <c r="DW322" i="16"/>
  <c r="DU322" i="16"/>
  <c r="DQ322" i="16"/>
  <c r="DR322" i="16"/>
  <c r="DS322" i="16"/>
  <c r="DT322" i="16"/>
  <c r="DP322" i="16"/>
  <c r="DO322" i="16"/>
  <c r="DN322" i="16"/>
  <c r="DM322" i="16"/>
  <c r="BY331" i="16"/>
  <c r="BY330" i="16"/>
  <c r="BZ330" i="16" s="1"/>
  <c r="BY329" i="16"/>
  <c r="BY328" i="16"/>
  <c r="BY323" i="16"/>
  <c r="BY322" i="16"/>
  <c r="AQ340" i="16"/>
  <c r="AQ333" i="16"/>
  <c r="AQ334" i="16"/>
  <c r="AQ335" i="16"/>
  <c r="AQ336" i="16"/>
  <c r="AQ337" i="16"/>
  <c r="AQ338" i="16"/>
  <c r="AQ332" i="16"/>
  <c r="DR340" i="16"/>
  <c r="DQ340" i="16"/>
  <c r="DP340" i="16"/>
  <c r="DO340" i="16"/>
  <c r="DN340" i="16"/>
  <c r="DM340" i="16"/>
  <c r="DT338" i="16"/>
  <c r="DS338" i="16"/>
  <c r="DR338" i="16"/>
  <c r="DQ338" i="16"/>
  <c r="DP338" i="16"/>
  <c r="DO338" i="16"/>
  <c r="DN338" i="16"/>
  <c r="DM338" i="16"/>
  <c r="DT337" i="16"/>
  <c r="DS337" i="16"/>
  <c r="DR337" i="16"/>
  <c r="DQ337" i="16"/>
  <c r="DP337" i="16"/>
  <c r="DO337" i="16"/>
  <c r="DN337" i="16"/>
  <c r="DM337" i="16"/>
  <c r="DT336" i="16"/>
  <c r="DS336" i="16"/>
  <c r="DR336" i="16"/>
  <c r="DQ336" i="16"/>
  <c r="DP336" i="16"/>
  <c r="DO336" i="16"/>
  <c r="DN336" i="16"/>
  <c r="DM336" i="16"/>
  <c r="DT335" i="16"/>
  <c r="DS335" i="16"/>
  <c r="DR335" i="16"/>
  <c r="DQ335" i="16"/>
  <c r="DP335" i="16"/>
  <c r="DO335" i="16"/>
  <c r="DN335" i="16"/>
  <c r="DM335" i="16"/>
  <c r="DT334" i="16"/>
  <c r="DS334" i="16"/>
  <c r="DR334" i="16"/>
  <c r="DQ334" i="16"/>
  <c r="DP334" i="16"/>
  <c r="DO334" i="16"/>
  <c r="DN334" i="16"/>
  <c r="DM334" i="16"/>
  <c r="DT333" i="16"/>
  <c r="DS333" i="16"/>
  <c r="DR333" i="16"/>
  <c r="DQ333" i="16"/>
  <c r="DP333" i="16"/>
  <c r="DO333" i="16"/>
  <c r="DN333" i="16"/>
  <c r="DM333" i="16"/>
  <c r="DT332" i="16"/>
  <c r="DS332" i="16"/>
  <c r="DR332" i="16"/>
  <c r="DQ332" i="16"/>
  <c r="DP332" i="16"/>
  <c r="DO332" i="16"/>
  <c r="DN332" i="16"/>
  <c r="DM332" i="16"/>
  <c r="BY340" i="16"/>
  <c r="BY338" i="16"/>
  <c r="CA338" i="16" s="1"/>
  <c r="BY337" i="16"/>
  <c r="CA337" i="16" s="1"/>
  <c r="BY336" i="16"/>
  <c r="BY335" i="16"/>
  <c r="BY334" i="16"/>
  <c r="CA334" i="16" s="1"/>
  <c r="CB334" i="16" s="1"/>
  <c r="CC334" i="16" s="1"/>
  <c r="CD334" i="16" s="1"/>
  <c r="BY333" i="16"/>
  <c r="CA333" i="16" s="1"/>
  <c r="CB333" i="16" s="1"/>
  <c r="BY332" i="16"/>
  <c r="CA332" i="16" s="1"/>
  <c r="CB332" i="16" s="1"/>
  <c r="AQ345" i="16"/>
  <c r="EM345" i="16"/>
  <c r="EL345" i="16"/>
  <c r="EK345" i="16"/>
  <c r="EJ345" i="16"/>
  <c r="EI345" i="16"/>
  <c r="EH345" i="16"/>
  <c r="EG345" i="16"/>
  <c r="EF345" i="16"/>
  <c r="EE345" i="16"/>
  <c r="ED345" i="16"/>
  <c r="EC345" i="16"/>
  <c r="EB345" i="16"/>
  <c r="EA345" i="16"/>
  <c r="DZ345" i="16"/>
  <c r="DY345" i="16"/>
  <c r="DX345" i="16"/>
  <c r="DW345" i="16"/>
  <c r="DV345" i="16"/>
  <c r="DU345" i="16"/>
  <c r="DT345" i="16"/>
  <c r="DS345" i="16"/>
  <c r="DR345" i="16"/>
  <c r="DQ345" i="16"/>
  <c r="DP345" i="16"/>
  <c r="DO345" i="16"/>
  <c r="DN345" i="16"/>
  <c r="DM345" i="16"/>
  <c r="BY345" i="16"/>
  <c r="AQ347" i="16"/>
  <c r="AQ348" i="16"/>
  <c r="AQ346" i="16"/>
  <c r="DV348" i="16"/>
  <c r="DU348" i="16"/>
  <c r="DT348" i="16"/>
  <c r="DQ348" i="16"/>
  <c r="DR348" i="16"/>
  <c r="DS348" i="16"/>
  <c r="DP348" i="16"/>
  <c r="DO348" i="16"/>
  <c r="DN348" i="16"/>
  <c r="DM348" i="16"/>
  <c r="DM347" i="16"/>
  <c r="DN347" i="16"/>
  <c r="DO347" i="16"/>
  <c r="DP347" i="16"/>
  <c r="DQ347" i="16"/>
  <c r="DR347" i="16"/>
  <c r="DS347" i="16"/>
  <c r="DT347" i="16"/>
  <c r="DU347" i="16"/>
  <c r="DV347" i="16"/>
  <c r="DU346" i="16"/>
  <c r="DV346" i="16"/>
  <c r="DT346" i="16"/>
  <c r="DQ346" i="16"/>
  <c r="DR346" i="16"/>
  <c r="DS346" i="16"/>
  <c r="DP346" i="16"/>
  <c r="DO346" i="16"/>
  <c r="DN346" i="16"/>
  <c r="DM346" i="16"/>
  <c r="CA348" i="16"/>
  <c r="BY348" i="16"/>
  <c r="BZ348" i="16" s="1"/>
  <c r="BY347" i="16"/>
  <c r="BY346" i="16"/>
  <c r="BZ346" i="16" s="1"/>
  <c r="AQ349" i="16"/>
  <c r="DQ349" i="16"/>
  <c r="DR349" i="16"/>
  <c r="DS349" i="16"/>
  <c r="DT349" i="16"/>
  <c r="DU349" i="16"/>
  <c r="DP349" i="16"/>
  <c r="DO349" i="16"/>
  <c r="DN349" i="16"/>
  <c r="DM349" i="16"/>
  <c r="BY349" i="16"/>
  <c r="CA349" i="16" s="1"/>
  <c r="AQ351" i="16"/>
  <c r="AQ352" i="16"/>
  <c r="AQ353" i="16"/>
  <c r="AQ350" i="16"/>
  <c r="DT350" i="16"/>
  <c r="DS350" i="16"/>
  <c r="DR350" i="16"/>
  <c r="DQ350" i="16"/>
  <c r="DP350" i="16"/>
  <c r="DO350" i="16"/>
  <c r="DN350" i="16"/>
  <c r="DM350" i="16"/>
  <c r="BY350" i="16"/>
  <c r="CF350" i="16" s="1"/>
  <c r="DM353" i="16"/>
  <c r="FA353" i="16" s="1"/>
  <c r="DN353" i="16"/>
  <c r="DO353" i="16"/>
  <c r="DP353" i="16"/>
  <c r="DQ353" i="16"/>
  <c r="DO352" i="16"/>
  <c r="DP352" i="16"/>
  <c r="DQ352" i="16"/>
  <c r="DN352" i="16"/>
  <c r="DM352" i="16"/>
  <c r="FA352" i="16" s="1"/>
  <c r="DV351" i="16"/>
  <c r="DU351" i="16"/>
  <c r="DT351" i="16"/>
  <c r="DS351" i="16"/>
  <c r="DR351" i="16"/>
  <c r="DP351" i="16"/>
  <c r="DQ351" i="16"/>
  <c r="DO351" i="16"/>
  <c r="DN351" i="16"/>
  <c r="DM351" i="16"/>
  <c r="FA351" i="16" s="1"/>
  <c r="BZ353" i="16"/>
  <c r="CA353" i="16"/>
  <c r="CB353" i="16"/>
  <c r="CC353" i="16"/>
  <c r="CC352" i="16"/>
  <c r="CB352" i="16"/>
  <c r="CA352" i="16"/>
  <c r="BZ352" i="16"/>
  <c r="CA351" i="16"/>
  <c r="BZ351" i="16"/>
  <c r="DW355" i="16"/>
  <c r="DX355" i="16"/>
  <c r="DV355" i="16"/>
  <c r="DQ355" i="16"/>
  <c r="DR355" i="16"/>
  <c r="DS355" i="16"/>
  <c r="DT355" i="16"/>
  <c r="DU355" i="16"/>
  <c r="DP355" i="16"/>
  <c r="DO355" i="16"/>
  <c r="DN355" i="16"/>
  <c r="DM355" i="16"/>
  <c r="CB355" i="16"/>
  <c r="CD355" i="16" s="1"/>
  <c r="BY355" i="16"/>
  <c r="AQ357" i="16"/>
  <c r="AQ358" i="16"/>
  <c r="AQ356" i="16"/>
  <c r="DX358" i="16"/>
  <c r="DY358" i="16"/>
  <c r="DZ358" i="16"/>
  <c r="DW358" i="16"/>
  <c r="DR358" i="16"/>
  <c r="DS358" i="16"/>
  <c r="DT358" i="16"/>
  <c r="DU358" i="16"/>
  <c r="DV358" i="16"/>
  <c r="DQ358" i="16"/>
  <c r="DO358" i="16"/>
  <c r="DP358" i="16"/>
  <c r="DN358" i="16"/>
  <c r="DM358" i="16"/>
  <c r="DM357" i="16"/>
  <c r="DN357" i="16"/>
  <c r="DO357" i="16"/>
  <c r="DP357" i="16"/>
  <c r="DQ357" i="16"/>
  <c r="DR357" i="16"/>
  <c r="DS357" i="16"/>
  <c r="DT357" i="16"/>
  <c r="DU357" i="16"/>
  <c r="DV357" i="16"/>
  <c r="DW357" i="16"/>
  <c r="DX357" i="16"/>
  <c r="DY357" i="16"/>
  <c r="DZ357" i="16"/>
  <c r="EA357" i="16"/>
  <c r="EB357" i="16"/>
  <c r="EA356" i="16"/>
  <c r="EB356" i="16"/>
  <c r="DW356" i="16"/>
  <c r="DQ356" i="16"/>
  <c r="DX356" i="16"/>
  <c r="DY356" i="16"/>
  <c r="DZ356" i="16"/>
  <c r="DR356" i="16"/>
  <c r="DS356" i="16"/>
  <c r="DT356" i="16"/>
  <c r="DU356" i="16"/>
  <c r="DV356" i="16"/>
  <c r="DO356" i="16"/>
  <c r="DP356" i="16"/>
  <c r="DN356" i="16"/>
  <c r="DM356" i="16"/>
  <c r="BY358" i="16"/>
  <c r="BZ358" i="16" s="1"/>
  <c r="BY357" i="16"/>
  <c r="BZ357" i="16" s="1"/>
  <c r="FB357" i="16" s="1"/>
  <c r="GP357" i="16" s="1"/>
  <c r="BY356" i="16"/>
  <c r="CC356" i="16" s="1"/>
  <c r="AQ360" i="16"/>
  <c r="AQ361" i="16"/>
  <c r="AQ362" i="16"/>
  <c r="AQ363" i="16"/>
  <c r="AQ364" i="16"/>
  <c r="AQ365" i="16"/>
  <c r="AQ366" i="16"/>
  <c r="AQ359" i="16"/>
  <c r="AQ368" i="16"/>
  <c r="AQ369" i="16"/>
  <c r="AQ370" i="16"/>
  <c r="AQ371" i="16"/>
  <c r="AQ372" i="16"/>
  <c r="AQ373" i="16"/>
  <c r="AQ367" i="16"/>
  <c r="DM365" i="16"/>
  <c r="DN365" i="16"/>
  <c r="DO365" i="16"/>
  <c r="DP365" i="16"/>
  <c r="DQ365" i="16"/>
  <c r="DR365" i="16"/>
  <c r="DS365" i="16"/>
  <c r="DT365" i="16"/>
  <c r="DU365" i="16"/>
  <c r="DV365" i="16"/>
  <c r="DW365" i="16"/>
  <c r="DX365" i="16"/>
  <c r="DY365" i="16"/>
  <c r="DY364" i="16"/>
  <c r="DX364" i="16"/>
  <c r="DP364" i="16"/>
  <c r="DV364" i="16"/>
  <c r="DR364" i="16"/>
  <c r="DS364" i="16"/>
  <c r="DT364" i="16"/>
  <c r="DU364" i="16"/>
  <c r="DQ364" i="16"/>
  <c r="DO364" i="16"/>
  <c r="DN364" i="16"/>
  <c r="DM364" i="16"/>
  <c r="DY366" i="16"/>
  <c r="DX366" i="16"/>
  <c r="DW366" i="16"/>
  <c r="DQ366" i="16"/>
  <c r="DR366" i="16"/>
  <c r="DS366" i="16"/>
  <c r="DT366" i="16"/>
  <c r="DU366" i="16"/>
  <c r="DV366" i="16"/>
  <c r="DP366" i="16"/>
  <c r="DO366" i="16"/>
  <c r="DN366" i="16"/>
  <c r="DM366" i="16"/>
  <c r="DT363" i="16"/>
  <c r="DU363" i="16"/>
  <c r="DS363" i="16"/>
  <c r="DQ363" i="16"/>
  <c r="DR363" i="16"/>
  <c r="DP363" i="16"/>
  <c r="DO363" i="16"/>
  <c r="DN363" i="16"/>
  <c r="DM363" i="16"/>
  <c r="DW364" i="16"/>
  <c r="DM360" i="16"/>
  <c r="DN360" i="16"/>
  <c r="DO360" i="16"/>
  <c r="DP360" i="16"/>
  <c r="DQ360" i="16"/>
  <c r="DR360" i="16"/>
  <c r="DS360" i="16"/>
  <c r="DT360" i="16"/>
  <c r="DU360" i="16"/>
  <c r="DV360" i="16"/>
  <c r="DW360" i="16"/>
  <c r="DX360" i="16"/>
  <c r="DY360" i="16"/>
  <c r="DM361" i="16"/>
  <c r="DN361" i="16"/>
  <c r="DO361" i="16"/>
  <c r="DP361" i="16"/>
  <c r="DQ361" i="16"/>
  <c r="DR361" i="16"/>
  <c r="DS361" i="16"/>
  <c r="DT361" i="16"/>
  <c r="DU361" i="16"/>
  <c r="DV361" i="16"/>
  <c r="DW361" i="16"/>
  <c r="DX361" i="16"/>
  <c r="DY361" i="16"/>
  <c r="DM362" i="16"/>
  <c r="DN362" i="16"/>
  <c r="DO362" i="16"/>
  <c r="DP362" i="16"/>
  <c r="DQ362" i="16"/>
  <c r="DR362" i="16"/>
  <c r="DS362" i="16"/>
  <c r="DT362" i="16"/>
  <c r="DU362" i="16"/>
  <c r="DV362" i="16"/>
  <c r="DW362" i="16"/>
  <c r="DX362" i="16"/>
  <c r="DY362" i="16"/>
  <c r="DW359" i="16"/>
  <c r="DX359" i="16"/>
  <c r="DY359" i="16"/>
  <c r="DV359" i="16"/>
  <c r="DR359" i="16"/>
  <c r="DS359" i="16"/>
  <c r="DT359" i="16"/>
  <c r="DU359" i="16"/>
  <c r="DQ359" i="16"/>
  <c r="DN359" i="16"/>
  <c r="DO359" i="16"/>
  <c r="DP359" i="16"/>
  <c r="DM359" i="16"/>
  <c r="BY366" i="16"/>
  <c r="BY365" i="16"/>
  <c r="CB365" i="16" s="1"/>
  <c r="BY364" i="16"/>
  <c r="BZ364" i="16" s="1"/>
  <c r="BY363" i="16"/>
  <c r="BZ363" i="16" s="1"/>
  <c r="BY361" i="16"/>
  <c r="BY362" i="16"/>
  <c r="BZ362" i="16" s="1"/>
  <c r="BY360" i="16"/>
  <c r="CA360" i="16" s="1"/>
  <c r="BY359" i="16"/>
  <c r="BZ359" i="16" s="1"/>
  <c r="DW373" i="16"/>
  <c r="DV373" i="16"/>
  <c r="DU373" i="16"/>
  <c r="DT373" i="16"/>
  <c r="DS373" i="16"/>
  <c r="DR373" i="16"/>
  <c r="DQ373" i="16"/>
  <c r="DP373" i="16"/>
  <c r="DO373" i="16"/>
  <c r="DN373" i="16"/>
  <c r="DM373" i="16"/>
  <c r="DM370" i="16"/>
  <c r="DN370" i="16"/>
  <c r="DO370" i="16"/>
  <c r="DP370" i="16"/>
  <c r="DQ370" i="16"/>
  <c r="DR370" i="16"/>
  <c r="DS370" i="16"/>
  <c r="DT370" i="16"/>
  <c r="DU370" i="16"/>
  <c r="DV370" i="16"/>
  <c r="DW370" i="16"/>
  <c r="DW369" i="16"/>
  <c r="DV369" i="16"/>
  <c r="DP369" i="16"/>
  <c r="DQ369" i="16"/>
  <c r="DR369" i="16"/>
  <c r="DS369" i="16"/>
  <c r="DT369" i="16"/>
  <c r="DU369" i="16"/>
  <c r="DO369" i="16"/>
  <c r="DM369" i="16"/>
  <c r="DN369" i="16"/>
  <c r="CA373" i="16"/>
  <c r="CD373" i="16" s="1"/>
  <c r="FF373" i="16" s="1"/>
  <c r="CA370" i="16"/>
  <c r="CA369" i="16"/>
  <c r="CD369" i="16" s="1"/>
  <c r="BY373" i="16"/>
  <c r="BY369" i="16"/>
  <c r="BZ369" i="16" s="1"/>
  <c r="BY370" i="16"/>
  <c r="BZ370" i="16" s="1"/>
  <c r="EB372" i="16"/>
  <c r="EA372" i="16"/>
  <c r="DZ372" i="16"/>
  <c r="DY372" i="16"/>
  <c r="DX372" i="16"/>
  <c r="DW372" i="16"/>
  <c r="DV372" i="16"/>
  <c r="DU372" i="16"/>
  <c r="DT372" i="16"/>
  <c r="DS372" i="16"/>
  <c r="DR372" i="16"/>
  <c r="DQ372" i="16"/>
  <c r="DP372" i="16"/>
  <c r="DO372" i="16"/>
  <c r="DN372" i="16"/>
  <c r="DM372" i="16"/>
  <c r="EB371" i="16"/>
  <c r="EA371" i="16"/>
  <c r="DZ371" i="16"/>
  <c r="DY371" i="16"/>
  <c r="DX371" i="16"/>
  <c r="DW371" i="16"/>
  <c r="DV371" i="16"/>
  <c r="DU371" i="16"/>
  <c r="DT371" i="16"/>
  <c r="DS371" i="16"/>
  <c r="DR371" i="16"/>
  <c r="DQ371" i="16"/>
  <c r="DP371" i="16"/>
  <c r="DO371" i="16"/>
  <c r="DN371" i="16"/>
  <c r="DM371" i="16"/>
  <c r="EB368" i="16"/>
  <c r="EA368" i="16"/>
  <c r="DZ368" i="16"/>
  <c r="DY368" i="16"/>
  <c r="DX368" i="16"/>
  <c r="DW368" i="16"/>
  <c r="DV368" i="16"/>
  <c r="DU368" i="16"/>
  <c r="DT368" i="16"/>
  <c r="DS368" i="16"/>
  <c r="DR368" i="16"/>
  <c r="DQ368" i="16"/>
  <c r="DP368" i="16"/>
  <c r="DO368" i="16"/>
  <c r="DN368" i="16"/>
  <c r="DM368" i="16"/>
  <c r="EB367" i="16"/>
  <c r="DZ367" i="16"/>
  <c r="EA367" i="16"/>
  <c r="DP367" i="16"/>
  <c r="DQ367" i="16"/>
  <c r="DR367" i="16"/>
  <c r="DS367" i="16"/>
  <c r="DT367" i="16"/>
  <c r="DU367" i="16"/>
  <c r="DV367" i="16"/>
  <c r="DW367" i="16"/>
  <c r="DX367" i="16"/>
  <c r="DY367" i="16"/>
  <c r="DO367" i="16"/>
  <c r="DN367" i="16"/>
  <c r="DM367" i="16"/>
  <c r="CA372" i="16"/>
  <c r="CK372" i="16" s="1"/>
  <c r="BY372" i="16"/>
  <c r="BZ372" i="16" s="1"/>
  <c r="CA371" i="16"/>
  <c r="BY371" i="16"/>
  <c r="CA368" i="16"/>
  <c r="CG368" i="16" s="1"/>
  <c r="BY368" i="16"/>
  <c r="CA367" i="16"/>
  <c r="BY367" i="16"/>
  <c r="AQ384" i="16"/>
  <c r="AQ385" i="16"/>
  <c r="AQ386" i="16"/>
  <c r="AQ387" i="16"/>
  <c r="AQ388" i="16"/>
  <c r="AQ383" i="16"/>
  <c r="DM384" i="16"/>
  <c r="DN384" i="16"/>
  <c r="DO384" i="16"/>
  <c r="DP384" i="16"/>
  <c r="DQ384" i="16"/>
  <c r="DR384" i="16"/>
  <c r="DS384" i="16"/>
  <c r="DT384" i="16"/>
  <c r="DU384" i="16"/>
  <c r="DV384" i="16"/>
  <c r="DW384" i="16"/>
  <c r="DX384" i="16"/>
  <c r="DM385" i="16"/>
  <c r="DN385" i="16"/>
  <c r="DO385" i="16"/>
  <c r="DP385" i="16"/>
  <c r="DQ385" i="16"/>
  <c r="DR385" i="16"/>
  <c r="DS385" i="16"/>
  <c r="DT385" i="16"/>
  <c r="DU385" i="16"/>
  <c r="DV385" i="16"/>
  <c r="DW385" i="16"/>
  <c r="DX385" i="16"/>
  <c r="DM386" i="16"/>
  <c r="DN386" i="16"/>
  <c r="DO386" i="16"/>
  <c r="DP386" i="16"/>
  <c r="DQ386" i="16"/>
  <c r="DR386" i="16"/>
  <c r="DS386" i="16"/>
  <c r="DT386" i="16"/>
  <c r="DU386" i="16"/>
  <c r="DV386" i="16"/>
  <c r="DW386" i="16"/>
  <c r="DX386" i="16"/>
  <c r="DM387" i="16"/>
  <c r="DN387" i="16"/>
  <c r="DO387" i="16"/>
  <c r="DP387" i="16"/>
  <c r="DQ387" i="16"/>
  <c r="DR387" i="16"/>
  <c r="DS387" i="16"/>
  <c r="DT387" i="16"/>
  <c r="DU387" i="16"/>
  <c r="DV387" i="16"/>
  <c r="DW387" i="16"/>
  <c r="DX387" i="16"/>
  <c r="DM388" i="16"/>
  <c r="DN388" i="16"/>
  <c r="DO388" i="16"/>
  <c r="DP388" i="16"/>
  <c r="DQ388" i="16"/>
  <c r="DR388" i="16"/>
  <c r="DS388" i="16"/>
  <c r="DT388" i="16"/>
  <c r="DU388" i="16"/>
  <c r="DV388" i="16"/>
  <c r="DW388" i="16"/>
  <c r="DX388" i="16"/>
  <c r="DX383" i="16"/>
  <c r="DW383" i="16"/>
  <c r="DV383" i="16"/>
  <c r="DU383" i="16"/>
  <c r="DT383" i="16"/>
  <c r="DS383" i="16"/>
  <c r="DR383" i="16"/>
  <c r="DQ383" i="16"/>
  <c r="DP383" i="16"/>
  <c r="DO383" i="16"/>
  <c r="DN383" i="16"/>
  <c r="DM383" i="16"/>
  <c r="BY384" i="16"/>
  <c r="BY385" i="16"/>
  <c r="BZ385" i="16" s="1"/>
  <c r="BY386" i="16"/>
  <c r="BY387" i="16"/>
  <c r="BY388" i="16"/>
  <c r="CA388" i="16" s="1"/>
  <c r="BY383" i="16"/>
  <c r="AQ390" i="16"/>
  <c r="AQ391" i="16"/>
  <c r="AQ389" i="16"/>
  <c r="DM390" i="16"/>
  <c r="DN390" i="16"/>
  <c r="DO390" i="16"/>
  <c r="DP390" i="16"/>
  <c r="DQ390" i="16"/>
  <c r="DR390" i="16"/>
  <c r="DS390" i="16"/>
  <c r="DM391" i="16"/>
  <c r="DN391" i="16"/>
  <c r="DO391" i="16"/>
  <c r="DP391" i="16"/>
  <c r="DQ391" i="16"/>
  <c r="DR391" i="16"/>
  <c r="DS391" i="16"/>
  <c r="DS389" i="16"/>
  <c r="DR389" i="16"/>
  <c r="DQ389" i="16"/>
  <c r="DP389" i="16"/>
  <c r="DO389" i="16"/>
  <c r="DN389" i="16"/>
  <c r="DM389" i="16"/>
  <c r="BY390" i="16"/>
  <c r="BZ390" i="16" s="1"/>
  <c r="FB390" i="16" s="1"/>
  <c r="GP390" i="16" s="1"/>
  <c r="BY391" i="16"/>
  <c r="BZ391" i="16" s="1"/>
  <c r="CA391" i="16" s="1"/>
  <c r="BY389" i="16"/>
  <c r="BZ389" i="16" s="1"/>
  <c r="AQ395" i="16"/>
  <c r="AQ394" i="16"/>
  <c r="AQ393" i="16"/>
  <c r="AQ392" i="16"/>
  <c r="DV392" i="16"/>
  <c r="DW392" i="16"/>
  <c r="DU392" i="16"/>
  <c r="DR392" i="16"/>
  <c r="DS392" i="16"/>
  <c r="DT392" i="16"/>
  <c r="DQ392" i="16"/>
  <c r="DP392" i="16"/>
  <c r="DO392" i="16"/>
  <c r="DN392" i="16"/>
  <c r="DM392" i="16"/>
  <c r="FA392" i="16" s="1"/>
  <c r="CA392" i="16"/>
  <c r="CB392" i="16" s="1"/>
  <c r="BZ392" i="16"/>
  <c r="CH220" i="16" l="1"/>
  <c r="CG236" i="16"/>
  <c r="FI236" i="16" s="1"/>
  <c r="GW236" i="16" s="1"/>
  <c r="FC277" i="16"/>
  <c r="GQ277" i="16" s="1"/>
  <c r="CE277" i="16"/>
  <c r="FG277" i="16" s="1"/>
  <c r="GU277" i="16" s="1"/>
  <c r="CA253" i="16"/>
  <c r="CM253" i="16" s="1"/>
  <c r="CN253" i="16" s="1"/>
  <c r="FP253" i="16" s="1"/>
  <c r="HD253" i="16" s="1"/>
  <c r="FE277" i="16"/>
  <c r="GS277" i="16" s="1"/>
  <c r="CF236" i="16"/>
  <c r="FH236" i="16" s="1"/>
  <c r="GV236" i="16" s="1"/>
  <c r="FD236" i="16"/>
  <c r="GR236" i="16" s="1"/>
  <c r="CE236" i="16"/>
  <c r="FG236" i="16" s="1"/>
  <c r="GU236" i="16" s="1"/>
  <c r="CD236" i="16"/>
  <c r="FF236" i="16" s="1"/>
  <c r="GT236" i="16" s="1"/>
  <c r="CI262" i="16"/>
  <c r="FK262" i="16" s="1"/>
  <c r="GY262" i="16" s="1"/>
  <c r="FA387" i="16"/>
  <c r="GO387" i="16" s="1"/>
  <c r="FE356" i="16"/>
  <c r="GS356" i="16" s="1"/>
  <c r="FC306" i="16"/>
  <c r="GQ306" i="16" s="1"/>
  <c r="CL256" i="16"/>
  <c r="FN256" i="16" s="1"/>
  <c r="HB256" i="16" s="1"/>
  <c r="CC256" i="16"/>
  <c r="FE256" i="16" s="1"/>
  <c r="GS256" i="16" s="1"/>
  <c r="FC352" i="16"/>
  <c r="GQ352" i="16" s="1"/>
  <c r="CH256" i="16"/>
  <c r="FJ256" i="16" s="1"/>
  <c r="GX256" i="16" s="1"/>
  <c r="CD256" i="16"/>
  <c r="FF256" i="16" s="1"/>
  <c r="GT256" i="16" s="1"/>
  <c r="CJ256" i="16"/>
  <c r="FL256" i="16" s="1"/>
  <c r="GZ256" i="16" s="1"/>
  <c r="CM256" i="16"/>
  <c r="CN256" i="16" s="1"/>
  <c r="FB256" i="16"/>
  <c r="GP256" i="16" s="1"/>
  <c r="CK256" i="16"/>
  <c r="FM256" i="16" s="1"/>
  <c r="HA256" i="16" s="1"/>
  <c r="CF256" i="16"/>
  <c r="FH256" i="16" s="1"/>
  <c r="GV256" i="16" s="1"/>
  <c r="CI256" i="16"/>
  <c r="FK256" i="16" s="1"/>
  <c r="GY256" i="16" s="1"/>
  <c r="FC388" i="16"/>
  <c r="GQ388" i="16" s="1"/>
  <c r="CG256" i="16"/>
  <c r="FI256" i="16" s="1"/>
  <c r="GW256" i="16" s="1"/>
  <c r="CB256" i="16"/>
  <c r="FD256" i="16" s="1"/>
  <c r="GR256" i="16" s="1"/>
  <c r="CE256" i="16"/>
  <c r="FG256" i="16" s="1"/>
  <c r="GU256" i="16" s="1"/>
  <c r="BZ360" i="16"/>
  <c r="FB360" i="16" s="1"/>
  <c r="GP360" i="16" s="1"/>
  <c r="FA328" i="16"/>
  <c r="GO328" i="16" s="1"/>
  <c r="FG308" i="16"/>
  <c r="GU308" i="16" s="1"/>
  <c r="CX239" i="16"/>
  <c r="CY239" i="16" s="1"/>
  <c r="CL255" i="16"/>
  <c r="FN255" i="16" s="1"/>
  <c r="HB255" i="16" s="1"/>
  <c r="CF355" i="16"/>
  <c r="FH355" i="16" s="1"/>
  <c r="GV355" i="16" s="1"/>
  <c r="BZ324" i="16"/>
  <c r="FB324" i="16" s="1"/>
  <c r="GP324" i="16" s="1"/>
  <c r="CA230" i="16"/>
  <c r="FC230" i="16" s="1"/>
  <c r="GQ230" i="16" s="1"/>
  <c r="FB230" i="16"/>
  <c r="GP230" i="16" s="1"/>
  <c r="CB234" i="16"/>
  <c r="CH234" i="16" s="1"/>
  <c r="CF255" i="16"/>
  <c r="FH255" i="16" s="1"/>
  <c r="GV255" i="16" s="1"/>
  <c r="CJ255" i="16"/>
  <c r="FL255" i="16" s="1"/>
  <c r="GZ255" i="16" s="1"/>
  <c r="CB230" i="16"/>
  <c r="FD230" i="16" s="1"/>
  <c r="GR230" i="16" s="1"/>
  <c r="CD230" i="16"/>
  <c r="CE230" i="16" s="1"/>
  <c r="FG230" i="16" s="1"/>
  <c r="GU230" i="16" s="1"/>
  <c r="FB301" i="16"/>
  <c r="GP301" i="16" s="1"/>
  <c r="CG255" i="16"/>
  <c r="FI255" i="16" s="1"/>
  <c r="GW255" i="16" s="1"/>
  <c r="FA349" i="16"/>
  <c r="GO349" i="16" s="1"/>
  <c r="FA373" i="16"/>
  <c r="FB362" i="16"/>
  <c r="GP362" i="16" s="1"/>
  <c r="CB278" i="16"/>
  <c r="FD278" i="16" s="1"/>
  <c r="GR278" i="16" s="1"/>
  <c r="BZ388" i="16"/>
  <c r="FB388" i="16" s="1"/>
  <c r="GP388" i="16" s="1"/>
  <c r="FI368" i="16"/>
  <c r="FF369" i="16"/>
  <c r="CK255" i="16"/>
  <c r="FM255" i="16" s="1"/>
  <c r="HA255" i="16" s="1"/>
  <c r="CE255" i="16"/>
  <c r="FG255" i="16" s="1"/>
  <c r="GU255" i="16" s="1"/>
  <c r="CD255" i="16"/>
  <c r="FF255" i="16" s="1"/>
  <c r="GT255" i="16" s="1"/>
  <c r="CC255" i="16"/>
  <c r="FE255" i="16" s="1"/>
  <c r="GS255" i="16" s="1"/>
  <c r="CH254" i="16"/>
  <c r="FJ254" i="16" s="1"/>
  <c r="GX254" i="16" s="1"/>
  <c r="FI218" i="16"/>
  <c r="GW218" i="16" s="1"/>
  <c r="CC294" i="16"/>
  <c r="FE294" i="16" s="1"/>
  <c r="CL254" i="16"/>
  <c r="FN254" i="16" s="1"/>
  <c r="HB254" i="16" s="1"/>
  <c r="CE254" i="16"/>
  <c r="FG254" i="16" s="1"/>
  <c r="GU254" i="16" s="1"/>
  <c r="CG254" i="16"/>
  <c r="FI254" i="16" s="1"/>
  <c r="GW254" i="16" s="1"/>
  <c r="CI254" i="16"/>
  <c r="FK254" i="16" s="1"/>
  <c r="GY254" i="16" s="1"/>
  <c r="CK254" i="16"/>
  <c r="FM254" i="16" s="1"/>
  <c r="HA254" i="16" s="1"/>
  <c r="CD254" i="16"/>
  <c r="FF254" i="16" s="1"/>
  <c r="GT254" i="16" s="1"/>
  <c r="FB294" i="16"/>
  <c r="CB232" i="16"/>
  <c r="FD232" i="16" s="1"/>
  <c r="GR232" i="16" s="1"/>
  <c r="CD294" i="16"/>
  <c r="CE294" i="16" s="1"/>
  <c r="CB294" i="16"/>
  <c r="FD294" i="16" s="1"/>
  <c r="CD232" i="16"/>
  <c r="FF232" i="16" s="1"/>
  <c r="GT232" i="16" s="1"/>
  <c r="FF334" i="16"/>
  <c r="GT334" i="16" s="1"/>
  <c r="CF286" i="16"/>
  <c r="FG286" i="16"/>
  <c r="GU286" i="16" s="1"/>
  <c r="CI265" i="16"/>
  <c r="FJ265" i="16"/>
  <c r="GX265" i="16" s="1"/>
  <c r="CN254" i="16"/>
  <c r="FO254" i="16"/>
  <c r="HC254" i="16" s="1"/>
  <c r="CG241" i="16"/>
  <c r="FH241" i="16"/>
  <c r="GV241" i="16" s="1"/>
  <c r="CE231" i="16"/>
  <c r="FG231" i="16" s="1"/>
  <c r="GU231" i="16" s="1"/>
  <c r="FF231" i="16"/>
  <c r="GT231" i="16" s="1"/>
  <c r="CI214" i="16"/>
  <c r="FK214" i="16" s="1"/>
  <c r="GY214" i="16" s="1"/>
  <c r="FJ214" i="16"/>
  <c r="GX214" i="16" s="1"/>
  <c r="CI213" i="16"/>
  <c r="FK213" i="16" s="1"/>
  <c r="GY213" i="16" s="1"/>
  <c r="FJ213" i="16"/>
  <c r="GX213" i="16" s="1"/>
  <c r="CI238" i="16"/>
  <c r="FJ238" i="16"/>
  <c r="GX238" i="16" s="1"/>
  <c r="CI217" i="16"/>
  <c r="FK217" i="16" s="1"/>
  <c r="GY217" i="16" s="1"/>
  <c r="FJ217" i="16"/>
  <c r="GX217" i="16" s="1"/>
  <c r="CI218" i="16"/>
  <c r="FK218" i="16" s="1"/>
  <c r="GY218" i="16" s="1"/>
  <c r="FJ218" i="16"/>
  <c r="GX218" i="16" s="1"/>
  <c r="FB246" i="16"/>
  <c r="GP246" i="16" s="1"/>
  <c r="CA246" i="16"/>
  <c r="CJ235" i="16"/>
  <c r="FL235" i="16" s="1"/>
  <c r="GZ235" i="16" s="1"/>
  <c r="FI235" i="16"/>
  <c r="GW235" i="16" s="1"/>
  <c r="CI235" i="16"/>
  <c r="FK235" i="16" s="1"/>
  <c r="GY235" i="16" s="1"/>
  <c r="CH235" i="16"/>
  <c r="FJ235" i="16" s="1"/>
  <c r="GX235" i="16" s="1"/>
  <c r="CB260" i="16"/>
  <c r="FC260" i="16"/>
  <c r="GQ260" i="16" s="1"/>
  <c r="FB287" i="16"/>
  <c r="GP287" i="16" s="1"/>
  <c r="CA287" i="16"/>
  <c r="FJ283" i="16"/>
  <c r="GX283" i="16" s="1"/>
  <c r="CK283" i="16"/>
  <c r="FM283" i="16" s="1"/>
  <c r="HA283" i="16" s="1"/>
  <c r="CJ283" i="16"/>
  <c r="FL283" i="16" s="1"/>
  <c r="GZ283" i="16" s="1"/>
  <c r="CI283" i="16"/>
  <c r="FK283" i="16" s="1"/>
  <c r="GY283" i="16" s="1"/>
  <c r="CA350" i="16"/>
  <c r="FC350" i="16" s="1"/>
  <c r="GQ350" i="16" s="1"/>
  <c r="CF288" i="16"/>
  <c r="FG288" i="16"/>
  <c r="GU288" i="16" s="1"/>
  <c r="CF264" i="16"/>
  <c r="FG264" i="16"/>
  <c r="GU264" i="16" s="1"/>
  <c r="CG242" i="16"/>
  <c r="FH242" i="16"/>
  <c r="GV242" i="16" s="1"/>
  <c r="GG240" i="16"/>
  <c r="HU240" i="16" s="1"/>
  <c r="DF240" i="16"/>
  <c r="FF237" i="16"/>
  <c r="GT237" i="16" s="1"/>
  <c r="CE237" i="16"/>
  <c r="CA244" i="16"/>
  <c r="FB244" i="16"/>
  <c r="GP244" i="16" s="1"/>
  <c r="CL247" i="16"/>
  <c r="FN247" i="16" s="1"/>
  <c r="HB247" i="16" s="1"/>
  <c r="CH247" i="16"/>
  <c r="FJ247" i="16" s="1"/>
  <c r="GX247" i="16" s="1"/>
  <c r="CD247" i="16"/>
  <c r="FF247" i="16" s="1"/>
  <c r="GT247" i="16" s="1"/>
  <c r="CO247" i="16"/>
  <c r="CK247" i="16"/>
  <c r="FM247" i="16" s="1"/>
  <c r="HA247" i="16" s="1"/>
  <c r="CG247" i="16"/>
  <c r="FI247" i="16" s="1"/>
  <c r="GW247" i="16" s="1"/>
  <c r="CC247" i="16"/>
  <c r="FE247" i="16" s="1"/>
  <c r="GS247" i="16" s="1"/>
  <c r="CN247" i="16"/>
  <c r="FP247" i="16" s="1"/>
  <c r="HD247" i="16" s="1"/>
  <c r="CJ247" i="16"/>
  <c r="FL247" i="16" s="1"/>
  <c r="GZ247" i="16" s="1"/>
  <c r="CF247" i="16"/>
  <c r="FH247" i="16" s="1"/>
  <c r="GV247" i="16" s="1"/>
  <c r="CB247" i="16"/>
  <c r="FD247" i="16" s="1"/>
  <c r="GR247" i="16" s="1"/>
  <c r="FB247" i="16"/>
  <c r="GP247" i="16" s="1"/>
  <c r="CM247" i="16"/>
  <c r="FO247" i="16" s="1"/>
  <c r="HC247" i="16" s="1"/>
  <c r="CI247" i="16"/>
  <c r="FK247" i="16" s="1"/>
  <c r="GY247" i="16" s="1"/>
  <c r="CE247" i="16"/>
  <c r="FG247" i="16" s="1"/>
  <c r="GU247" i="16" s="1"/>
  <c r="CA247" i="16"/>
  <c r="FC247" i="16" s="1"/>
  <c r="GQ247" i="16" s="1"/>
  <c r="CB255" i="16"/>
  <c r="FD255" i="16" s="1"/>
  <c r="GR255" i="16" s="1"/>
  <c r="CI255" i="16"/>
  <c r="FK255" i="16" s="1"/>
  <c r="GY255" i="16" s="1"/>
  <c r="FC255" i="16"/>
  <c r="GQ255" i="16" s="1"/>
  <c r="CM255" i="16"/>
  <c r="CQ284" i="16"/>
  <c r="CM284" i="16"/>
  <c r="FO284" i="16" s="1"/>
  <c r="HC284" i="16" s="1"/>
  <c r="CI284" i="16"/>
  <c r="FK284" i="16" s="1"/>
  <c r="GY284" i="16" s="1"/>
  <c r="CE284" i="16"/>
  <c r="FG284" i="16" s="1"/>
  <c r="GU284" i="16" s="1"/>
  <c r="CP284" i="16"/>
  <c r="FR284" i="16" s="1"/>
  <c r="HF284" i="16" s="1"/>
  <c r="CL284" i="16"/>
  <c r="FN284" i="16" s="1"/>
  <c r="HB284" i="16" s="1"/>
  <c r="CH284" i="16"/>
  <c r="FJ284" i="16" s="1"/>
  <c r="GX284" i="16" s="1"/>
  <c r="CD284" i="16"/>
  <c r="FF284" i="16" s="1"/>
  <c r="GT284" i="16" s="1"/>
  <c r="CO284" i="16"/>
  <c r="FQ284" i="16" s="1"/>
  <c r="HE284" i="16" s="1"/>
  <c r="CK284" i="16"/>
  <c r="FM284" i="16" s="1"/>
  <c r="HA284" i="16" s="1"/>
  <c r="CG284" i="16"/>
  <c r="FI284" i="16" s="1"/>
  <c r="GW284" i="16" s="1"/>
  <c r="CC284" i="16"/>
  <c r="FE284" i="16" s="1"/>
  <c r="GS284" i="16" s="1"/>
  <c r="FD284" i="16"/>
  <c r="GR284" i="16" s="1"/>
  <c r="CN284" i="16"/>
  <c r="FP284" i="16" s="1"/>
  <c r="HD284" i="16" s="1"/>
  <c r="CJ284" i="16"/>
  <c r="FL284" i="16" s="1"/>
  <c r="GZ284" i="16" s="1"/>
  <c r="CF284" i="16"/>
  <c r="FH284" i="16" s="1"/>
  <c r="GV284" i="16" s="1"/>
  <c r="CB350" i="16"/>
  <c r="FD350" i="16" s="1"/>
  <c r="GR350" i="16" s="1"/>
  <c r="CI219" i="16"/>
  <c r="FK219" i="16" s="1"/>
  <c r="GY219" i="16" s="1"/>
  <c r="FJ219" i="16"/>
  <c r="GX219" i="16" s="1"/>
  <c r="CI220" i="16"/>
  <c r="FK220" i="16" s="1"/>
  <c r="GY220" i="16" s="1"/>
  <c r="FJ220" i="16"/>
  <c r="GX220" i="16" s="1"/>
  <c r="FB245" i="16"/>
  <c r="GP245" i="16" s="1"/>
  <c r="CA245" i="16"/>
  <c r="CB259" i="16"/>
  <c r="FC259" i="16"/>
  <c r="GQ259" i="16" s="1"/>
  <c r="FG261" i="16"/>
  <c r="GU261" i="16" s="1"/>
  <c r="CF261" i="16"/>
  <c r="CC254" i="16"/>
  <c r="FE254" i="16" s="1"/>
  <c r="GS254" i="16" s="1"/>
  <c r="FC254" i="16"/>
  <c r="GQ254" i="16" s="1"/>
  <c r="CJ254" i="16"/>
  <c r="FL254" i="16" s="1"/>
  <c r="GZ254" i="16" s="1"/>
  <c r="CB254" i="16"/>
  <c r="FD254" i="16" s="1"/>
  <c r="GR254" i="16" s="1"/>
  <c r="CF254" i="16"/>
  <c r="FH254" i="16" s="1"/>
  <c r="GV254" i="16" s="1"/>
  <c r="FI266" i="16"/>
  <c r="GW266" i="16" s="1"/>
  <c r="CH266" i="16"/>
  <c r="FJ266" i="16" s="1"/>
  <c r="GX266" i="16" s="1"/>
  <c r="FA366" i="16"/>
  <c r="GO366" i="16" s="1"/>
  <c r="CF263" i="16"/>
  <c r="FG263" i="16"/>
  <c r="GU263" i="16" s="1"/>
  <c r="CA232" i="16"/>
  <c r="FC232" i="16" s="1"/>
  <c r="GQ232" i="16" s="1"/>
  <c r="FB232" i="16"/>
  <c r="GP232" i="16" s="1"/>
  <c r="CC229" i="16"/>
  <c r="FE229" i="16" s="1"/>
  <c r="GS229" i="16" s="1"/>
  <c r="FB229" i="16"/>
  <c r="GP229" i="16" s="1"/>
  <c r="CB229" i="16"/>
  <c r="FD229" i="16" s="1"/>
  <c r="GR229" i="16" s="1"/>
  <c r="CA229" i="16"/>
  <c r="FC229" i="16" s="1"/>
  <c r="GQ229" i="16" s="1"/>
  <c r="CD229" i="16"/>
  <c r="CC233" i="16"/>
  <c r="FD233" i="16"/>
  <c r="GR233" i="16" s="1"/>
  <c r="FG243" i="16"/>
  <c r="GU243" i="16" s="1"/>
  <c r="CF243" i="16"/>
  <c r="FC257" i="16"/>
  <c r="GQ257" i="16" s="1"/>
  <c r="CB257" i="16"/>
  <c r="FC258" i="16"/>
  <c r="GQ258" i="16" s="1"/>
  <c r="CB258" i="16"/>
  <c r="CJ236" i="16"/>
  <c r="FL236" i="16" s="1"/>
  <c r="GZ236" i="16" s="1"/>
  <c r="CH236" i="16"/>
  <c r="FJ236" i="16" s="1"/>
  <c r="GX236" i="16" s="1"/>
  <c r="CI236" i="16"/>
  <c r="FK236" i="16" s="1"/>
  <c r="GY236" i="16" s="1"/>
  <c r="FB285" i="16"/>
  <c r="CA285" i="16"/>
  <c r="BZ333" i="16"/>
  <c r="FB333" i="16" s="1"/>
  <c r="GP333" i="16" s="1"/>
  <c r="BZ338" i="16"/>
  <c r="CA301" i="16"/>
  <c r="CB301" i="16" s="1"/>
  <c r="FD301" i="16" s="1"/>
  <c r="GR301" i="16" s="1"/>
  <c r="FC391" i="16"/>
  <c r="GQ391" i="16" s="1"/>
  <c r="FA390" i="16"/>
  <c r="GO390" i="16" s="1"/>
  <c r="CC369" i="16"/>
  <c r="FE369" i="16" s="1"/>
  <c r="CA364" i="16"/>
  <c r="FC364" i="16" s="1"/>
  <c r="GQ364" i="16" s="1"/>
  <c r="CC355" i="16"/>
  <c r="FE355" i="16" s="1"/>
  <c r="GS355" i="16" s="1"/>
  <c r="FA311" i="16"/>
  <c r="GO311" i="16" s="1"/>
  <c r="CB296" i="16"/>
  <c r="FD296" i="16" s="1"/>
  <c r="GR296" i="16" s="1"/>
  <c r="CA289" i="16"/>
  <c r="FB289" i="16"/>
  <c r="GP289" i="16" s="1"/>
  <c r="FB392" i="16"/>
  <c r="GP392" i="16" s="1"/>
  <c r="CA390" i="16"/>
  <c r="FC390" i="16" s="1"/>
  <c r="GQ390" i="16" s="1"/>
  <c r="BZ373" i="16"/>
  <c r="FB373" i="16" s="1"/>
  <c r="FA370" i="16"/>
  <c r="CB364" i="16"/>
  <c r="CG364" i="16" s="1"/>
  <c r="FI364" i="16" s="1"/>
  <c r="GW364" i="16" s="1"/>
  <c r="CE355" i="16"/>
  <c r="FG355" i="16" s="1"/>
  <c r="GU355" i="16" s="1"/>
  <c r="FA331" i="16"/>
  <c r="GO331" i="16" s="1"/>
  <c r="FC312" i="16"/>
  <c r="GQ312" i="16" s="1"/>
  <c r="FC305" i="16"/>
  <c r="GQ305" i="16" s="1"/>
  <c r="FA384" i="16"/>
  <c r="GO384" i="16" s="1"/>
  <c r="BZ384" i="16"/>
  <c r="FB384" i="16" s="1"/>
  <c r="GP384" i="16" s="1"/>
  <c r="CA384" i="16"/>
  <c r="FC384" i="16" s="1"/>
  <c r="GQ384" i="16" s="1"/>
  <c r="CG371" i="16"/>
  <c r="FI371" i="16" s="1"/>
  <c r="CH371" i="16"/>
  <c r="FJ371" i="16" s="1"/>
  <c r="CA302" i="16"/>
  <c r="CA304" i="16"/>
  <c r="CD304" i="16" s="1"/>
  <c r="FD298" i="16"/>
  <c r="GR298" i="16" s="1"/>
  <c r="CP298" i="16"/>
  <c r="FR298" i="16" s="1"/>
  <c r="HF298" i="16" s="1"/>
  <c r="CL298" i="16"/>
  <c r="FN298" i="16" s="1"/>
  <c r="HB298" i="16" s="1"/>
  <c r="CH298" i="16"/>
  <c r="FJ298" i="16" s="1"/>
  <c r="GX298" i="16" s="1"/>
  <c r="CD298" i="16"/>
  <c r="FF298" i="16" s="1"/>
  <c r="GT298" i="16" s="1"/>
  <c r="CG298" i="16"/>
  <c r="FI298" i="16" s="1"/>
  <c r="GW298" i="16" s="1"/>
  <c r="CO298" i="16"/>
  <c r="FQ298" i="16" s="1"/>
  <c r="HE298" i="16" s="1"/>
  <c r="CK298" i="16"/>
  <c r="FM298" i="16" s="1"/>
  <c r="HA298" i="16" s="1"/>
  <c r="CC298" i="16"/>
  <c r="FE298" i="16" s="1"/>
  <c r="GS298" i="16" s="1"/>
  <c r="CR298" i="16"/>
  <c r="CN298" i="16"/>
  <c r="FP298" i="16" s="1"/>
  <c r="HD298" i="16" s="1"/>
  <c r="CJ298" i="16"/>
  <c r="FL298" i="16" s="1"/>
  <c r="GZ298" i="16" s="1"/>
  <c r="CF298" i="16"/>
  <c r="FH298" i="16" s="1"/>
  <c r="GV298" i="16" s="1"/>
  <c r="CQ298" i="16"/>
  <c r="FS298" i="16" s="1"/>
  <c r="HG298" i="16" s="1"/>
  <c r="CM298" i="16"/>
  <c r="FO298" i="16" s="1"/>
  <c r="HC298" i="16" s="1"/>
  <c r="CI298" i="16"/>
  <c r="FK298" i="16" s="1"/>
  <c r="GY298" i="16" s="1"/>
  <c r="CE298" i="16"/>
  <c r="FG298" i="16" s="1"/>
  <c r="GU298" i="16" s="1"/>
  <c r="CE351" i="16"/>
  <c r="FG351" i="16" s="1"/>
  <c r="GU351" i="16" s="1"/>
  <c r="CD351" i="16"/>
  <c r="FF351" i="16" s="1"/>
  <c r="GT351" i="16" s="1"/>
  <c r="CC348" i="16"/>
  <c r="FE348" i="16" s="1"/>
  <c r="GS348" i="16" s="1"/>
  <c r="CE348" i="16"/>
  <c r="FG348" i="16" s="1"/>
  <c r="GU348" i="16" s="1"/>
  <c r="CC351" i="16"/>
  <c r="FE351" i="16" s="1"/>
  <c r="GS351" i="16" s="1"/>
  <c r="BZ322" i="16"/>
  <c r="FB322" i="16" s="1"/>
  <c r="GP322" i="16" s="1"/>
  <c r="CA322" i="16"/>
  <c r="FC322" i="16" s="1"/>
  <c r="GQ322" i="16" s="1"/>
  <c r="FA383" i="16"/>
  <c r="GO383" i="16" s="1"/>
  <c r="BZ387" i="16"/>
  <c r="FB387" i="16" s="1"/>
  <c r="GP387" i="16" s="1"/>
  <c r="FA385" i="16"/>
  <c r="GO385" i="16" s="1"/>
  <c r="CA385" i="16"/>
  <c r="CB385" i="16" s="1"/>
  <c r="FD385" i="16" s="1"/>
  <c r="GR385" i="16" s="1"/>
  <c r="CH372" i="16"/>
  <c r="FJ372" i="16" s="1"/>
  <c r="FA314" i="16"/>
  <c r="GO314" i="16" s="1"/>
  <c r="FB306" i="16"/>
  <c r="GP306" i="16" s="1"/>
  <c r="FA301" i="16"/>
  <c r="GO301" i="16" s="1"/>
  <c r="FG295" i="16"/>
  <c r="GU295" i="16" s="1"/>
  <c r="CF295" i="16"/>
  <c r="CF290" i="16"/>
  <c r="CB290" i="16"/>
  <c r="FD290" i="16" s="1"/>
  <c r="GR290" i="16" s="1"/>
  <c r="CD290" i="16"/>
  <c r="FF290" i="16" s="1"/>
  <c r="GT290" i="16" s="1"/>
  <c r="FC290" i="16"/>
  <c r="GQ290" i="16" s="1"/>
  <c r="CE290" i="16"/>
  <c r="FG290" i="16" s="1"/>
  <c r="GU290" i="16" s="1"/>
  <c r="CC290" i="16"/>
  <c r="FE290" i="16" s="1"/>
  <c r="GS290" i="16" s="1"/>
  <c r="FA386" i="16"/>
  <c r="GO386" i="16" s="1"/>
  <c r="FC368" i="16"/>
  <c r="FD365" i="16"/>
  <c r="GR365" i="16" s="1"/>
  <c r="FB358" i="16"/>
  <c r="GP358" i="16" s="1"/>
  <c r="FA325" i="16"/>
  <c r="GO325" i="16" s="1"/>
  <c r="FA388" i="16"/>
  <c r="GO388" i="16" s="1"/>
  <c r="CH368" i="16"/>
  <c r="FJ368" i="16" s="1"/>
  <c r="FC360" i="16"/>
  <c r="GQ360" i="16" s="1"/>
  <c r="FB364" i="16"/>
  <c r="GP364" i="16" s="1"/>
  <c r="FA357" i="16"/>
  <c r="GO357" i="16" s="1"/>
  <c r="FE353" i="16"/>
  <c r="GS353" i="16" s="1"/>
  <c r="FE352" i="16"/>
  <c r="GS352" i="16" s="1"/>
  <c r="FA350" i="16"/>
  <c r="GO350" i="16" s="1"/>
  <c r="CA330" i="16"/>
  <c r="FC330" i="16" s="1"/>
  <c r="GQ330" i="16" s="1"/>
  <c r="FA308" i="16"/>
  <c r="GO308" i="16" s="1"/>
  <c r="CS299" i="16"/>
  <c r="FT299" i="16"/>
  <c r="HH299" i="16" s="1"/>
  <c r="CS300" i="16"/>
  <c r="FT300" i="16"/>
  <c r="HH300" i="16" s="1"/>
  <c r="FG297" i="16"/>
  <c r="GU297" i="16" s="1"/>
  <c r="CF297" i="16"/>
  <c r="CH303" i="16"/>
  <c r="CD303" i="16"/>
  <c r="CG303" i="16"/>
  <c r="CC303" i="16"/>
  <c r="CE303" i="16"/>
  <c r="CJ303" i="16"/>
  <c r="CF303" i="16"/>
  <c r="CB303" i="16"/>
  <c r="CI303" i="16"/>
  <c r="FC349" i="16"/>
  <c r="GQ349" i="16" s="1"/>
  <c r="CB349" i="16"/>
  <c r="CD349" i="16" s="1"/>
  <c r="CA307" i="16"/>
  <c r="CB307" i="16" s="1"/>
  <c r="FD307" i="16" s="1"/>
  <c r="GR307" i="16" s="1"/>
  <c r="FB307" i="16"/>
  <c r="GP307" i="16" s="1"/>
  <c r="FB305" i="16"/>
  <c r="GP305" i="16" s="1"/>
  <c r="CA359" i="16"/>
  <c r="FC359" i="16" s="1"/>
  <c r="GQ359" i="16" s="1"/>
  <c r="CA365" i="16"/>
  <c r="FC365" i="16" s="1"/>
  <c r="GQ365" i="16" s="1"/>
  <c r="BZ356" i="16"/>
  <c r="FB356" i="16" s="1"/>
  <c r="GP356" i="16" s="1"/>
  <c r="FD353" i="16"/>
  <c r="GR353" i="16" s="1"/>
  <c r="FB351" i="16"/>
  <c r="GP351" i="16" s="1"/>
  <c r="BZ349" i="16"/>
  <c r="FB349" i="16" s="1"/>
  <c r="GP349" i="16" s="1"/>
  <c r="BZ332" i="16"/>
  <c r="CC328" i="16"/>
  <c r="FE328" i="16" s="1"/>
  <c r="GS328" i="16" s="1"/>
  <c r="BZ314" i="16"/>
  <c r="FB314" i="16" s="1"/>
  <c r="GP314" i="16" s="1"/>
  <c r="CD308" i="16"/>
  <c r="FF308" i="16" s="1"/>
  <c r="GT308" i="16" s="1"/>
  <c r="FB391" i="16"/>
  <c r="GP391" i="16" s="1"/>
  <c r="FA362" i="16"/>
  <c r="GO362" i="16" s="1"/>
  <c r="CA383" i="16"/>
  <c r="CB383" i="16" s="1"/>
  <c r="FD383" i="16" s="1"/>
  <c r="GR383" i="16" s="1"/>
  <c r="CA386" i="16"/>
  <c r="FB385" i="16"/>
  <c r="GP385" i="16" s="1"/>
  <c r="FA367" i="16"/>
  <c r="FM372" i="16"/>
  <c r="FB372" i="16"/>
  <c r="FC369" i="16"/>
  <c r="CF369" i="16"/>
  <c r="FH369" i="16" s="1"/>
  <c r="CB359" i="16"/>
  <c r="CH359" i="16" s="1"/>
  <c r="CB362" i="16"/>
  <c r="CC362" i="16" s="1"/>
  <c r="FE362" i="16" s="1"/>
  <c r="GS362" i="16" s="1"/>
  <c r="FB363" i="16"/>
  <c r="GP363" i="16" s="1"/>
  <c r="FA365" i="16"/>
  <c r="GO365" i="16" s="1"/>
  <c r="CA356" i="16"/>
  <c r="FC356" i="16" s="1"/>
  <c r="GQ356" i="16" s="1"/>
  <c r="CF351" i="16"/>
  <c r="FH351" i="16" s="1"/>
  <c r="GV351" i="16" s="1"/>
  <c r="FD352" i="16"/>
  <c r="GR352" i="16" s="1"/>
  <c r="FC351" i="16"/>
  <c r="GQ351" i="16" s="1"/>
  <c r="CD350" i="16"/>
  <c r="FF350" i="16" s="1"/>
  <c r="GT350" i="16" s="1"/>
  <c r="FD334" i="16"/>
  <c r="GR334" i="16" s="1"/>
  <c r="FC334" i="16"/>
  <c r="GQ334" i="16" s="1"/>
  <c r="BZ331" i="16"/>
  <c r="FB331" i="16" s="1"/>
  <c r="GP331" i="16" s="1"/>
  <c r="FA324" i="16"/>
  <c r="GO324" i="16" s="1"/>
  <c r="CA325" i="16"/>
  <c r="CB325" i="16" s="1"/>
  <c r="FD325" i="16" s="1"/>
  <c r="GR325" i="16" s="1"/>
  <c r="FC324" i="16"/>
  <c r="GQ324" i="16" s="1"/>
  <c r="CA314" i="16"/>
  <c r="FA391" i="16"/>
  <c r="GO391" i="16" s="1"/>
  <c r="FC392" i="16"/>
  <c r="GQ392" i="16" s="1"/>
  <c r="CA387" i="16"/>
  <c r="FC387" i="16" s="1"/>
  <c r="GQ387" i="16" s="1"/>
  <c r="BZ386" i="16"/>
  <c r="FB386" i="16" s="1"/>
  <c r="GP386" i="16" s="1"/>
  <c r="BZ367" i="16"/>
  <c r="FB367" i="16" s="1"/>
  <c r="CC372" i="16"/>
  <c r="FE372" i="16" s="1"/>
  <c r="CB369" i="16"/>
  <c r="FD369" i="16" s="1"/>
  <c r="CG369" i="16"/>
  <c r="CH369" i="16" s="1"/>
  <c r="CI369" i="16" s="1"/>
  <c r="FK369" i="16" s="1"/>
  <c r="FB370" i="16"/>
  <c r="CA362" i="16"/>
  <c r="FC362" i="16" s="1"/>
  <c r="GQ362" i="16" s="1"/>
  <c r="CA363" i="16"/>
  <c r="FC363" i="16" s="1"/>
  <c r="GQ363" i="16" s="1"/>
  <c r="CB356" i="16"/>
  <c r="FD356" i="16" s="1"/>
  <c r="GR356" i="16" s="1"/>
  <c r="CB358" i="16"/>
  <c r="CH358" i="16" s="1"/>
  <c r="FJ358" i="16" s="1"/>
  <c r="GX358" i="16" s="1"/>
  <c r="FA356" i="16"/>
  <c r="GO356" i="16" s="1"/>
  <c r="FF355" i="16"/>
  <c r="GT355" i="16" s="1"/>
  <c r="FD355" i="16"/>
  <c r="GR355" i="16" s="1"/>
  <c r="CB351" i="16"/>
  <c r="FD351" i="16" s="1"/>
  <c r="GR351" i="16" s="1"/>
  <c r="BZ350" i="16"/>
  <c r="FB350" i="16" s="1"/>
  <c r="GP350" i="16" s="1"/>
  <c r="CE350" i="16"/>
  <c r="FG350" i="16" s="1"/>
  <c r="GU350" i="16" s="1"/>
  <c r="CA346" i="16"/>
  <c r="FC346" i="16" s="1"/>
  <c r="GQ346" i="16" s="1"/>
  <c r="FA348" i="16"/>
  <c r="GO348" i="16" s="1"/>
  <c r="FB330" i="16"/>
  <c r="GP330" i="16" s="1"/>
  <c r="CA331" i="16"/>
  <c r="FC331" i="16" s="1"/>
  <c r="GQ331" i="16" s="1"/>
  <c r="FA330" i="16"/>
  <c r="GO330" i="16" s="1"/>
  <c r="FD324" i="16"/>
  <c r="GR324" i="16" s="1"/>
  <c r="FA309" i="16"/>
  <c r="GO309" i="16" s="1"/>
  <c r="FD392" i="16"/>
  <c r="GR392" i="16" s="1"/>
  <c r="CD392" i="16"/>
  <c r="FF392" i="16" s="1"/>
  <c r="GT392" i="16" s="1"/>
  <c r="CC392" i="16"/>
  <c r="FE392" i="16" s="1"/>
  <c r="GS392" i="16" s="1"/>
  <c r="CE392" i="16"/>
  <c r="FG392" i="16" s="1"/>
  <c r="GU392" i="16" s="1"/>
  <c r="CF392" i="16"/>
  <c r="CA389" i="16"/>
  <c r="FB389" i="16"/>
  <c r="GP389" i="16" s="1"/>
  <c r="FA389" i="16"/>
  <c r="GO389" i="16" s="1"/>
  <c r="CJ367" i="16"/>
  <c r="FL367" i="16" s="1"/>
  <c r="CF367" i="16"/>
  <c r="FH367" i="16" s="1"/>
  <c r="CB367" i="16"/>
  <c r="FD367" i="16" s="1"/>
  <c r="CG367" i="16"/>
  <c r="FI367" i="16" s="1"/>
  <c r="CL367" i="16"/>
  <c r="FC367" i="16"/>
  <c r="CE370" i="16"/>
  <c r="FG370" i="16" s="1"/>
  <c r="CF370" i="16"/>
  <c r="FH370" i="16" s="1"/>
  <c r="CC370" i="16"/>
  <c r="FE370" i="16" s="1"/>
  <c r="CB370" i="16"/>
  <c r="FD370" i="16" s="1"/>
  <c r="FC370" i="16"/>
  <c r="BZ361" i="16"/>
  <c r="FB361" i="16" s="1"/>
  <c r="GP361" i="16" s="1"/>
  <c r="FA361" i="16"/>
  <c r="GO361" i="16" s="1"/>
  <c r="CC367" i="16"/>
  <c r="FE367" i="16" s="1"/>
  <c r="CH367" i="16"/>
  <c r="FJ367" i="16" s="1"/>
  <c r="FC372" i="16"/>
  <c r="CG370" i="16"/>
  <c r="FA369" i="16"/>
  <c r="BZ383" i="16"/>
  <c r="FB383" i="16" s="1"/>
  <c r="GP383" i="16" s="1"/>
  <c r="CB388" i="16"/>
  <c r="CE388" i="16" s="1"/>
  <c r="FG388" i="16" s="1"/>
  <c r="GU388" i="16" s="1"/>
  <c r="CD367" i="16"/>
  <c r="FF367" i="16" s="1"/>
  <c r="CI367" i="16"/>
  <c r="FK367" i="16" s="1"/>
  <c r="BZ368" i="16"/>
  <c r="FB368" i="16" s="1"/>
  <c r="FA368" i="16"/>
  <c r="BZ371" i="16"/>
  <c r="FB371" i="16" s="1"/>
  <c r="FA371" i="16"/>
  <c r="CE373" i="16"/>
  <c r="FG373" i="16" s="1"/>
  <c r="CC373" i="16"/>
  <c r="FE373" i="16" s="1"/>
  <c r="CG373" i="16"/>
  <c r="CB373" i="16"/>
  <c r="FD373" i="16" s="1"/>
  <c r="CF373" i="16"/>
  <c r="FH373" i="16" s="1"/>
  <c r="FC373" i="16"/>
  <c r="FB359" i="16"/>
  <c r="GP359" i="16" s="1"/>
  <c r="CD356" i="16"/>
  <c r="CE367" i="16"/>
  <c r="FG367" i="16" s="1"/>
  <c r="CK367" i="16"/>
  <c r="FM367" i="16" s="1"/>
  <c r="CJ368" i="16"/>
  <c r="FL368" i="16" s="1"/>
  <c r="CL368" i="16"/>
  <c r="CD368" i="16"/>
  <c r="FF368" i="16" s="1"/>
  <c r="CC368" i="16"/>
  <c r="FE368" i="16" s="1"/>
  <c r="CK368" i="16"/>
  <c r="FM368" i="16" s="1"/>
  <c r="CJ371" i="16"/>
  <c r="FL371" i="16" s="1"/>
  <c r="CD371" i="16"/>
  <c r="FF371" i="16" s="1"/>
  <c r="CC371" i="16"/>
  <c r="FE371" i="16" s="1"/>
  <c r="CK371" i="16"/>
  <c r="FM371" i="16" s="1"/>
  <c r="CJ372" i="16"/>
  <c r="FL372" i="16" s="1"/>
  <c r="CG372" i="16"/>
  <c r="FI372" i="16" s="1"/>
  <c r="CL372" i="16"/>
  <c r="CD372" i="16"/>
  <c r="FF372" i="16" s="1"/>
  <c r="FC371" i="16"/>
  <c r="FB369" i="16"/>
  <c r="CB361" i="16"/>
  <c r="CG361" i="16" s="1"/>
  <c r="FI361" i="16" s="1"/>
  <c r="GW361" i="16" s="1"/>
  <c r="CA347" i="16"/>
  <c r="BZ347" i="16"/>
  <c r="FB347" i="16" s="1"/>
  <c r="GP347" i="16" s="1"/>
  <c r="CE345" i="16"/>
  <c r="FD333" i="16"/>
  <c r="GR333" i="16" s="1"/>
  <c r="CC333" i="16"/>
  <c r="BZ340" i="16"/>
  <c r="BZ319" i="16"/>
  <c r="FB319" i="16" s="1"/>
  <c r="GP319" i="16" s="1"/>
  <c r="FA319" i="16"/>
  <c r="GO319" i="16" s="1"/>
  <c r="CA319" i="16"/>
  <c r="FA360" i="16"/>
  <c r="GO360" i="16" s="1"/>
  <c r="FA364" i="16"/>
  <c r="GO364" i="16" s="1"/>
  <c r="CA366" i="16"/>
  <c r="BZ366" i="16"/>
  <c r="FB366" i="16" s="1"/>
  <c r="GP366" i="16" s="1"/>
  <c r="FB348" i="16"/>
  <c r="GP348" i="16" s="1"/>
  <c r="FA347" i="16"/>
  <c r="GO347" i="16" s="1"/>
  <c r="CB345" i="16"/>
  <c r="CA336" i="16"/>
  <c r="FA336" i="16"/>
  <c r="GO336" i="16" s="1"/>
  <c r="FA329" i="16"/>
  <c r="GO329" i="16" s="1"/>
  <c r="CB329" i="16"/>
  <c r="FD329" i="16" s="1"/>
  <c r="GR329" i="16" s="1"/>
  <c r="CA329" i="16"/>
  <c r="FC329" i="16" s="1"/>
  <c r="GQ329" i="16" s="1"/>
  <c r="CC329" i="16"/>
  <c r="BZ315" i="16"/>
  <c r="FB315" i="16" s="1"/>
  <c r="GP315" i="16" s="1"/>
  <c r="CA315" i="16"/>
  <c r="FA315" i="16"/>
  <c r="GO315" i="16" s="1"/>
  <c r="CB337" i="16"/>
  <c r="FC338" i="16"/>
  <c r="GQ338" i="16" s="1"/>
  <c r="CB338" i="16"/>
  <c r="BZ329" i="16"/>
  <c r="FB329" i="16" s="1"/>
  <c r="GP329" i="16" s="1"/>
  <c r="CA357" i="16"/>
  <c r="FC357" i="16" s="1"/>
  <c r="GQ357" i="16" s="1"/>
  <c r="CB357" i="16"/>
  <c r="FD357" i="16" s="1"/>
  <c r="GR357" i="16" s="1"/>
  <c r="CC357" i="16"/>
  <c r="BZ355" i="16"/>
  <c r="FB355" i="16" s="1"/>
  <c r="GP355" i="16" s="1"/>
  <c r="FA355" i="16"/>
  <c r="GO355" i="16" s="1"/>
  <c r="CA355" i="16"/>
  <c r="FC355" i="16" s="1"/>
  <c r="GQ355" i="16" s="1"/>
  <c r="FC353" i="16"/>
  <c r="GQ353" i="16" s="1"/>
  <c r="FH350" i="16"/>
  <c r="GV350" i="16" s="1"/>
  <c r="FB346" i="16"/>
  <c r="GP346" i="16" s="1"/>
  <c r="FD332" i="16"/>
  <c r="GR332" i="16" s="1"/>
  <c r="CC332" i="16"/>
  <c r="FC333" i="16"/>
  <c r="GQ333" i="16" s="1"/>
  <c r="FA359" i="16"/>
  <c r="GO359" i="16" s="1"/>
  <c r="FA363" i="16"/>
  <c r="GO363" i="16" s="1"/>
  <c r="FA358" i="16"/>
  <c r="GO358" i="16" s="1"/>
  <c r="FB353" i="16"/>
  <c r="GP353" i="16" s="1"/>
  <c r="FC348" i="16"/>
  <c r="GQ348" i="16" s="1"/>
  <c r="CD348" i="16"/>
  <c r="FF348" i="16" s="1"/>
  <c r="GT348" i="16" s="1"/>
  <c r="CF348" i="16"/>
  <c r="FA346" i="16"/>
  <c r="GO346" i="16" s="1"/>
  <c r="FA323" i="16"/>
  <c r="GO323" i="16" s="1"/>
  <c r="BZ323" i="16"/>
  <c r="FB323" i="16" s="1"/>
  <c r="GP323" i="16" s="1"/>
  <c r="CA323" i="16"/>
  <c r="FA372" i="16"/>
  <c r="CE369" i="16"/>
  <c r="FG369" i="16" s="1"/>
  <c r="CB360" i="16"/>
  <c r="CF360" i="16" s="1"/>
  <c r="FH360" i="16" s="1"/>
  <c r="GV360" i="16" s="1"/>
  <c r="BZ365" i="16"/>
  <c r="FB365" i="16" s="1"/>
  <c r="GP365" i="16" s="1"/>
  <c r="CA358" i="16"/>
  <c r="FC358" i="16" s="1"/>
  <c r="GQ358" i="16" s="1"/>
  <c r="CG355" i="16"/>
  <c r="FB352" i="16"/>
  <c r="GP352" i="16" s="1"/>
  <c r="CB348" i="16"/>
  <c r="FD348" i="16" s="1"/>
  <c r="GR348" i="16" s="1"/>
  <c r="BZ335" i="16"/>
  <c r="CA328" i="16"/>
  <c r="FC328" i="16" s="1"/>
  <c r="GQ328" i="16" s="1"/>
  <c r="BZ328" i="16"/>
  <c r="FB328" i="16" s="1"/>
  <c r="GP328" i="16" s="1"/>
  <c r="CB328" i="16"/>
  <c r="FD328" i="16" s="1"/>
  <c r="GR328" i="16" s="1"/>
  <c r="FA317" i="16"/>
  <c r="GO317" i="16" s="1"/>
  <c r="BZ317" i="16"/>
  <c r="FB317" i="16" s="1"/>
  <c r="GP317" i="16" s="1"/>
  <c r="CA317" i="16"/>
  <c r="CB305" i="16"/>
  <c r="FA307" i="16"/>
  <c r="FA310" i="16"/>
  <c r="BZ310" i="16"/>
  <c r="CC350" i="16"/>
  <c r="FE350" i="16" s="1"/>
  <c r="GS350" i="16" s="1"/>
  <c r="FA333" i="16"/>
  <c r="GO333" i="16" s="1"/>
  <c r="FE334" i="16"/>
  <c r="GS334" i="16" s="1"/>
  <c r="FA334" i="16"/>
  <c r="GO334" i="16" s="1"/>
  <c r="CA316" i="16"/>
  <c r="BZ316" i="16"/>
  <c r="FB316" i="16" s="1"/>
  <c r="GP316" i="16" s="1"/>
  <c r="FA316" i="16"/>
  <c r="GO316" i="16" s="1"/>
  <c r="CB306" i="16"/>
  <c r="FA322" i="16"/>
  <c r="GO322" i="16" s="1"/>
  <c r="FA318" i="16"/>
  <c r="GO318" i="16" s="1"/>
  <c r="BZ318" i="16"/>
  <c r="FB318" i="16" s="1"/>
  <c r="GP318" i="16" s="1"/>
  <c r="CA318" i="16"/>
  <c r="FA305" i="16"/>
  <c r="FA306" i="16"/>
  <c r="GO306" i="16" s="1"/>
  <c r="CC308" i="16"/>
  <c r="FE308" i="16" s="1"/>
  <c r="GS308" i="16" s="1"/>
  <c r="CF308" i="16"/>
  <c r="CB308" i="16"/>
  <c r="FD308" i="16" s="1"/>
  <c r="GR308" i="16" s="1"/>
  <c r="FB308" i="16"/>
  <c r="GP308" i="16" s="1"/>
  <c r="FB311" i="16"/>
  <c r="GP311" i="16" s="1"/>
  <c r="CA311" i="16"/>
  <c r="BZ325" i="16"/>
  <c r="FB325" i="16" s="1"/>
  <c r="GP325" i="16" s="1"/>
  <c r="BZ313" i="16"/>
  <c r="FB313" i="16" s="1"/>
  <c r="GP313" i="16" s="1"/>
  <c r="FA313" i="16"/>
  <c r="GO313" i="16" s="1"/>
  <c r="CB313" i="16"/>
  <c r="FD313" i="16" s="1"/>
  <c r="GR313" i="16" s="1"/>
  <c r="CA308" i="16"/>
  <c r="FC308" i="16" s="1"/>
  <c r="GQ308" i="16" s="1"/>
  <c r="BZ309" i="16"/>
  <c r="FA312" i="16"/>
  <c r="GO312" i="16" s="1"/>
  <c r="CB312" i="16"/>
  <c r="FD312" i="16" s="1"/>
  <c r="GR312" i="16" s="1"/>
  <c r="CC313" i="16"/>
  <c r="CC312" i="16"/>
  <c r="BZ312" i="16"/>
  <c r="FB312" i="16" s="1"/>
  <c r="GP312" i="16" s="1"/>
  <c r="CC324" i="16"/>
  <c r="FE324" i="16" s="1"/>
  <c r="GS324" i="16" s="1"/>
  <c r="CD324" i="16"/>
  <c r="BZ337" i="16"/>
  <c r="BZ336" i="16"/>
  <c r="FB336" i="16" s="1"/>
  <c r="GP336" i="16" s="1"/>
  <c r="CA335" i="16"/>
  <c r="CF334" i="16"/>
  <c r="FH334" i="16" s="1"/>
  <c r="GV334" i="16" s="1"/>
  <c r="CE334" i="16"/>
  <c r="FG334" i="16" s="1"/>
  <c r="GU334" i="16" s="1"/>
  <c r="BZ334" i="16"/>
  <c r="FB334" i="16" s="1"/>
  <c r="GP334" i="16" s="1"/>
  <c r="CC345" i="16"/>
  <c r="BZ345" i="16"/>
  <c r="CD345" i="16"/>
  <c r="CA345" i="16"/>
  <c r="GO353" i="16"/>
  <c r="GO352" i="16"/>
  <c r="GO351" i="16"/>
  <c r="CG365" i="16"/>
  <c r="FI365" i="16" s="1"/>
  <c r="GW365" i="16" s="1"/>
  <c r="CC365" i="16"/>
  <c r="FE365" i="16" s="1"/>
  <c r="GS365" i="16" s="1"/>
  <c r="CF365" i="16"/>
  <c r="FH365" i="16" s="1"/>
  <c r="GV365" i="16" s="1"/>
  <c r="CD365" i="16"/>
  <c r="FF365" i="16" s="1"/>
  <c r="GT365" i="16" s="1"/>
  <c r="CE365" i="16"/>
  <c r="FG365" i="16" s="1"/>
  <c r="GU365" i="16" s="1"/>
  <c r="CH365" i="16"/>
  <c r="FJ365" i="16" s="1"/>
  <c r="GX365" i="16" s="1"/>
  <c r="CA361" i="16"/>
  <c r="FC361" i="16" s="1"/>
  <c r="GQ361" i="16" s="1"/>
  <c r="CD370" i="16"/>
  <c r="FF370" i="16" s="1"/>
  <c r="CE372" i="16"/>
  <c r="FG372" i="16" s="1"/>
  <c r="CI372" i="16"/>
  <c r="FK372" i="16" s="1"/>
  <c r="CB372" i="16"/>
  <c r="FD372" i="16" s="1"/>
  <c r="CF372" i="16"/>
  <c r="FH372" i="16" s="1"/>
  <c r="CL371" i="16"/>
  <c r="CE371" i="16"/>
  <c r="FG371" i="16" s="1"/>
  <c r="CI371" i="16"/>
  <c r="FK371" i="16" s="1"/>
  <c r="CB371" i="16"/>
  <c r="FD371" i="16" s="1"/>
  <c r="CF371" i="16"/>
  <c r="FH371" i="16" s="1"/>
  <c r="CE368" i="16"/>
  <c r="FG368" i="16" s="1"/>
  <c r="CI368" i="16"/>
  <c r="FK368" i="16" s="1"/>
  <c r="CB368" i="16"/>
  <c r="FD368" i="16" s="1"/>
  <c r="CF368" i="16"/>
  <c r="FH368" i="16" s="1"/>
  <c r="CB391" i="16"/>
  <c r="FD391" i="16" s="1"/>
  <c r="GR391" i="16" s="1"/>
  <c r="CC391" i="16"/>
  <c r="GO392" i="16"/>
  <c r="AQ397" i="16"/>
  <c r="AQ398" i="16"/>
  <c r="AQ399" i="16"/>
  <c r="AQ400" i="16"/>
  <c r="AQ401" i="16"/>
  <c r="AQ402" i="16"/>
  <c r="AQ396" i="16"/>
  <c r="EJ402" i="16"/>
  <c r="EK402" i="16"/>
  <c r="EL402" i="16"/>
  <c r="EM402" i="16"/>
  <c r="EI402" i="16"/>
  <c r="DS402" i="16"/>
  <c r="DT402" i="16"/>
  <c r="DU402" i="16"/>
  <c r="DV402" i="16"/>
  <c r="DW402" i="16"/>
  <c r="DX402" i="16"/>
  <c r="DY402" i="16"/>
  <c r="DZ402" i="16"/>
  <c r="EA402" i="16"/>
  <c r="EB402" i="16"/>
  <c r="EC402" i="16"/>
  <c r="ED402" i="16"/>
  <c r="EE402" i="16"/>
  <c r="EF402" i="16"/>
  <c r="EG402" i="16"/>
  <c r="EH402" i="16"/>
  <c r="DR402" i="16"/>
  <c r="DN402" i="16"/>
  <c r="DO402" i="16"/>
  <c r="DP402" i="16"/>
  <c r="DQ402" i="16"/>
  <c r="DM402" i="16"/>
  <c r="BY402" i="16"/>
  <c r="BZ402" i="16" s="1"/>
  <c r="ES401" i="16"/>
  <c r="ET401" i="16"/>
  <c r="EU401" i="16"/>
  <c r="DQ401" i="16"/>
  <c r="DR401" i="16"/>
  <c r="DS401" i="16"/>
  <c r="DT401" i="16"/>
  <c r="DU401" i="16"/>
  <c r="DV401" i="16"/>
  <c r="DW401" i="16"/>
  <c r="DX401" i="16"/>
  <c r="DY401" i="16"/>
  <c r="DZ401" i="16"/>
  <c r="EA401" i="16"/>
  <c r="EB401" i="16"/>
  <c r="EC401" i="16"/>
  <c r="ED401" i="16"/>
  <c r="EE401" i="16"/>
  <c r="EF401" i="16"/>
  <c r="EG401" i="16"/>
  <c r="EH401" i="16"/>
  <c r="EI401" i="16"/>
  <c r="EJ401" i="16"/>
  <c r="EK401" i="16"/>
  <c r="EL401" i="16"/>
  <c r="EM401" i="16"/>
  <c r="EN401" i="16"/>
  <c r="EO401" i="16"/>
  <c r="EP401" i="16"/>
  <c r="EQ401" i="16"/>
  <c r="ER401" i="16"/>
  <c r="DP401" i="16"/>
  <c r="DN401" i="16"/>
  <c r="DO401" i="16"/>
  <c r="DM401" i="16"/>
  <c r="BY401" i="16"/>
  <c r="ER400" i="16"/>
  <c r="ES400" i="16"/>
  <c r="ET400" i="16"/>
  <c r="EU400" i="16"/>
  <c r="EQ400" i="16"/>
  <c r="DS400" i="16"/>
  <c r="DT400" i="16"/>
  <c r="DU400" i="16"/>
  <c r="DV400" i="16"/>
  <c r="DW400" i="16"/>
  <c r="DX400" i="16"/>
  <c r="DY400" i="16"/>
  <c r="DZ400" i="16"/>
  <c r="EA400" i="16"/>
  <c r="EB400" i="16"/>
  <c r="EC400" i="16"/>
  <c r="ED400" i="16"/>
  <c r="EE400" i="16"/>
  <c r="EF400" i="16"/>
  <c r="EG400" i="16"/>
  <c r="EH400" i="16"/>
  <c r="EI400" i="16"/>
  <c r="EJ400" i="16"/>
  <c r="EK400" i="16"/>
  <c r="EL400" i="16"/>
  <c r="EM400" i="16"/>
  <c r="EN400" i="16"/>
  <c r="EO400" i="16"/>
  <c r="EP400" i="16"/>
  <c r="DR400" i="16"/>
  <c r="DN400" i="16"/>
  <c r="DO400" i="16"/>
  <c r="DP400" i="16"/>
  <c r="DQ400" i="16"/>
  <c r="DM400" i="16"/>
  <c r="BY400" i="16"/>
  <c r="BZ400" i="16" s="1"/>
  <c r="DM399" i="16"/>
  <c r="DN399" i="16"/>
  <c r="DO399" i="16"/>
  <c r="DP399" i="16"/>
  <c r="DQ399" i="16"/>
  <c r="DR399" i="16"/>
  <c r="DS399" i="16"/>
  <c r="DT399" i="16"/>
  <c r="DU399" i="16"/>
  <c r="DV399" i="16"/>
  <c r="DW399" i="16"/>
  <c r="DX399" i="16"/>
  <c r="DY399" i="16"/>
  <c r="DZ399" i="16"/>
  <c r="EA399" i="16"/>
  <c r="EB399" i="16"/>
  <c r="EC399" i="16"/>
  <c r="ED399" i="16"/>
  <c r="EE399" i="16"/>
  <c r="BY399" i="16"/>
  <c r="EA398" i="16"/>
  <c r="EB398" i="16"/>
  <c r="EC398" i="16"/>
  <c r="ED398" i="16"/>
  <c r="EE398" i="16"/>
  <c r="DZ398" i="16"/>
  <c r="DT398" i="16"/>
  <c r="DU398" i="16"/>
  <c r="DV398" i="16"/>
  <c r="DW398" i="16"/>
  <c r="DX398" i="16"/>
  <c r="DY398" i="16"/>
  <c r="DP397" i="16"/>
  <c r="DQ397" i="16"/>
  <c r="DR397" i="16"/>
  <c r="DS397" i="16"/>
  <c r="DT397" i="16"/>
  <c r="DU397" i="16"/>
  <c r="DV397" i="16"/>
  <c r="DW397" i="16"/>
  <c r="DX397" i="16"/>
  <c r="DY397" i="16"/>
  <c r="DZ397" i="16"/>
  <c r="EA397" i="16"/>
  <c r="EB397" i="16"/>
  <c r="DQ396" i="16"/>
  <c r="DR396" i="16"/>
  <c r="DS396" i="16"/>
  <c r="DT396" i="16"/>
  <c r="DU396" i="16"/>
  <c r="DV396" i="16"/>
  <c r="DW396" i="16"/>
  <c r="DX396" i="16"/>
  <c r="DY396" i="16"/>
  <c r="DZ396" i="16"/>
  <c r="EA396" i="16"/>
  <c r="EB396" i="16"/>
  <c r="DP396" i="16"/>
  <c r="DS398" i="16"/>
  <c r="DN398" i="16"/>
  <c r="DO398" i="16"/>
  <c r="DP398" i="16"/>
  <c r="DQ398" i="16"/>
  <c r="DR398" i="16"/>
  <c r="DM398" i="16"/>
  <c r="BY398" i="16"/>
  <c r="CD398" i="16" s="1"/>
  <c r="DM397" i="16"/>
  <c r="DN397" i="16"/>
  <c r="DO397" i="16"/>
  <c r="EC397" i="16"/>
  <c r="ED397" i="16"/>
  <c r="EE397" i="16"/>
  <c r="BY397" i="16"/>
  <c r="CB397" i="16"/>
  <c r="CC397" i="16" s="1"/>
  <c r="FE397" i="16" s="1"/>
  <c r="GS397" i="16" s="1"/>
  <c r="AP400" i="16"/>
  <c r="AP398" i="16"/>
  <c r="EE396" i="16"/>
  <c r="ED396" i="16"/>
  <c r="EC396" i="16"/>
  <c r="DO396" i="16"/>
  <c r="DN396" i="16"/>
  <c r="DM396" i="16"/>
  <c r="CB396" i="16"/>
  <c r="CK396" i="16" s="1"/>
  <c r="BY396" i="16"/>
  <c r="BZ396" i="16" s="1"/>
  <c r="CC253" i="16" l="1"/>
  <c r="FE253" i="16" s="1"/>
  <c r="GS253" i="16" s="1"/>
  <c r="CI253" i="16"/>
  <c r="FK253" i="16" s="1"/>
  <c r="GY253" i="16" s="1"/>
  <c r="CK253" i="16"/>
  <c r="FM253" i="16" s="1"/>
  <c r="HA253" i="16" s="1"/>
  <c r="FO253" i="16"/>
  <c r="HC253" i="16" s="1"/>
  <c r="FC253" i="16"/>
  <c r="GQ253" i="16" s="1"/>
  <c r="CH253" i="16"/>
  <c r="FJ253" i="16" s="1"/>
  <c r="GX253" i="16" s="1"/>
  <c r="CG253" i="16"/>
  <c r="FI253" i="16" s="1"/>
  <c r="GW253" i="16" s="1"/>
  <c r="CD253" i="16"/>
  <c r="FF253" i="16" s="1"/>
  <c r="GT253" i="16" s="1"/>
  <c r="CE253" i="16"/>
  <c r="FG253" i="16" s="1"/>
  <c r="GU253" i="16" s="1"/>
  <c r="CB253" i="16"/>
  <c r="FD253" i="16" s="1"/>
  <c r="GR253" i="16" s="1"/>
  <c r="CL253" i="16"/>
  <c r="FN253" i="16" s="1"/>
  <c r="HB253" i="16" s="1"/>
  <c r="CJ253" i="16"/>
  <c r="FL253" i="16" s="1"/>
  <c r="GZ253" i="16" s="1"/>
  <c r="CF253" i="16"/>
  <c r="FH253" i="16" s="1"/>
  <c r="GV253" i="16" s="1"/>
  <c r="CE361" i="16"/>
  <c r="FG361" i="16" s="1"/>
  <c r="GU361" i="16" s="1"/>
  <c r="CC364" i="16"/>
  <c r="FE364" i="16" s="1"/>
  <c r="GS364" i="16" s="1"/>
  <c r="CJ262" i="16"/>
  <c r="FL262" i="16" s="1"/>
  <c r="GZ262" i="16" s="1"/>
  <c r="CG234" i="16"/>
  <c r="FI234" i="16" s="1"/>
  <c r="GW234" i="16" s="1"/>
  <c r="FD234" i="16"/>
  <c r="GR234" i="16" s="1"/>
  <c r="CE234" i="16"/>
  <c r="FG234" i="16" s="1"/>
  <c r="GU234" i="16" s="1"/>
  <c r="CF388" i="16"/>
  <c r="FH388" i="16" s="1"/>
  <c r="GV388" i="16" s="1"/>
  <c r="CD361" i="16"/>
  <c r="FF361" i="16" s="1"/>
  <c r="GT361" i="16" s="1"/>
  <c r="CB330" i="16"/>
  <c r="CD330" i="16" s="1"/>
  <c r="CF364" i="16"/>
  <c r="FH364" i="16" s="1"/>
  <c r="GV364" i="16" s="1"/>
  <c r="FO256" i="16"/>
  <c r="HC256" i="16" s="1"/>
  <c r="CC363" i="16"/>
  <c r="FE363" i="16" s="1"/>
  <c r="GS363" i="16" s="1"/>
  <c r="CG359" i="16"/>
  <c r="FI359" i="16" s="1"/>
  <c r="GW359" i="16" s="1"/>
  <c r="CH364" i="16"/>
  <c r="CK364" i="16" s="1"/>
  <c r="FM364" i="16" s="1"/>
  <c r="HA364" i="16" s="1"/>
  <c r="FD358" i="16"/>
  <c r="GR358" i="16" s="1"/>
  <c r="CC278" i="16"/>
  <c r="CD278" i="16" s="1"/>
  <c r="CF234" i="16"/>
  <c r="FH234" i="16" s="1"/>
  <c r="GV234" i="16" s="1"/>
  <c r="CD234" i="16"/>
  <c r="FF234" i="16" s="1"/>
  <c r="GT234" i="16" s="1"/>
  <c r="CC234" i="16"/>
  <c r="FE234" i="16" s="1"/>
  <c r="GS234" i="16" s="1"/>
  <c r="CD363" i="16"/>
  <c r="FF363" i="16" s="1"/>
  <c r="GT363" i="16" s="1"/>
  <c r="CC349" i="16"/>
  <c r="FE349" i="16" s="1"/>
  <c r="GS349" i="16" s="1"/>
  <c r="CE358" i="16"/>
  <c r="FG358" i="16" s="1"/>
  <c r="GU358" i="16" s="1"/>
  <c r="FF230" i="16"/>
  <c r="GT230" i="16" s="1"/>
  <c r="CE232" i="16"/>
  <c r="FG232" i="16" s="1"/>
  <c r="GU232" i="16" s="1"/>
  <c r="CH361" i="16"/>
  <c r="FJ361" i="16" s="1"/>
  <c r="GX361" i="16" s="1"/>
  <c r="CF361" i="16"/>
  <c r="FH361" i="16" s="1"/>
  <c r="GV361" i="16" s="1"/>
  <c r="CF358" i="16"/>
  <c r="FH358" i="16" s="1"/>
  <c r="GV358" i="16" s="1"/>
  <c r="CF385" i="16"/>
  <c r="FH385" i="16" s="1"/>
  <c r="GV385" i="16" s="1"/>
  <c r="CB331" i="16"/>
  <c r="FD331" i="16" s="1"/>
  <c r="GR331" i="16" s="1"/>
  <c r="CD358" i="16"/>
  <c r="FF358" i="16" s="1"/>
  <c r="GT358" i="16" s="1"/>
  <c r="CG385" i="16"/>
  <c r="CH385" i="16" s="1"/>
  <c r="FJ385" i="16" s="1"/>
  <c r="GX385" i="16" s="1"/>
  <c r="FF294" i="16"/>
  <c r="CG388" i="16"/>
  <c r="CH388" i="16" s="1"/>
  <c r="FJ388" i="16" s="1"/>
  <c r="GX388" i="16" s="1"/>
  <c r="CD388" i="16"/>
  <c r="FF388" i="16" s="1"/>
  <c r="GT388" i="16" s="1"/>
  <c r="CC296" i="16"/>
  <c r="FE296" i="16" s="1"/>
  <c r="GS296" i="16" s="1"/>
  <c r="CC390" i="16"/>
  <c r="CD390" i="16" s="1"/>
  <c r="CB390" i="16"/>
  <c r="FD390" i="16" s="1"/>
  <c r="GR390" i="16" s="1"/>
  <c r="CE296" i="16"/>
  <c r="FG296" i="16" s="1"/>
  <c r="GU296" i="16" s="1"/>
  <c r="CG362" i="16"/>
  <c r="FI362" i="16" s="1"/>
  <c r="GW362" i="16" s="1"/>
  <c r="CD362" i="16"/>
  <c r="FF362" i="16" s="1"/>
  <c r="GT362" i="16" s="1"/>
  <c r="CC385" i="16"/>
  <c r="FE385" i="16" s="1"/>
  <c r="GS385" i="16" s="1"/>
  <c r="CH304" i="16"/>
  <c r="CD385" i="16"/>
  <c r="FF385" i="16" s="1"/>
  <c r="GT385" i="16" s="1"/>
  <c r="CD360" i="16"/>
  <c r="FF360" i="16" s="1"/>
  <c r="GT360" i="16" s="1"/>
  <c r="FC385" i="16"/>
  <c r="GQ385" i="16" s="1"/>
  <c r="FC301" i="16"/>
  <c r="GQ301" i="16" s="1"/>
  <c r="CD328" i="16"/>
  <c r="FF328" i="16" s="1"/>
  <c r="GT328" i="16" s="1"/>
  <c r="FJ369" i="16"/>
  <c r="CB384" i="16"/>
  <c r="CE385" i="16"/>
  <c r="FG385" i="16" s="1"/>
  <c r="GU385" i="16" s="1"/>
  <c r="CD364" i="16"/>
  <c r="FF364" i="16" s="1"/>
  <c r="GT364" i="16" s="1"/>
  <c r="FD364" i="16"/>
  <c r="GR364" i="16" s="1"/>
  <c r="CD296" i="16"/>
  <c r="FF296" i="16" s="1"/>
  <c r="GT296" i="16" s="1"/>
  <c r="CH360" i="16"/>
  <c r="FJ360" i="16" s="1"/>
  <c r="GX360" i="16" s="1"/>
  <c r="FI369" i="16"/>
  <c r="CB322" i="16"/>
  <c r="CE322" i="16" s="1"/>
  <c r="FG322" i="16" s="1"/>
  <c r="GU322" i="16" s="1"/>
  <c r="CG360" i="16"/>
  <c r="FI360" i="16" s="1"/>
  <c r="GW360" i="16" s="1"/>
  <c r="CE304" i="16"/>
  <c r="CB387" i="16"/>
  <c r="CF387" i="16" s="1"/>
  <c r="FH387" i="16" s="1"/>
  <c r="GV387" i="16" s="1"/>
  <c r="CI304" i="16"/>
  <c r="CE360" i="16"/>
  <c r="FG360" i="16" s="1"/>
  <c r="GU360" i="16" s="1"/>
  <c r="CC307" i="16"/>
  <c r="CD307" i="16" s="1"/>
  <c r="FF307" i="16" s="1"/>
  <c r="GT307" i="16" s="1"/>
  <c r="CG383" i="16"/>
  <c r="CH383" i="16" s="1"/>
  <c r="CD359" i="16"/>
  <c r="FF359" i="16" s="1"/>
  <c r="GT359" i="16" s="1"/>
  <c r="CC301" i="16"/>
  <c r="FE301" i="16" s="1"/>
  <c r="GS301" i="16" s="1"/>
  <c r="CD325" i="16"/>
  <c r="CE325" i="16" s="1"/>
  <c r="FC307" i="16"/>
  <c r="GQ307" i="16" s="1"/>
  <c r="CF383" i="16"/>
  <c r="FH383" i="16" s="1"/>
  <c r="GV383" i="16" s="1"/>
  <c r="CE359" i="16"/>
  <c r="FG359" i="16" s="1"/>
  <c r="GU359" i="16" s="1"/>
  <c r="FD359" i="16"/>
  <c r="GR359" i="16" s="1"/>
  <c r="CD301" i="16"/>
  <c r="CF301" i="16" s="1"/>
  <c r="FH301" i="16" s="1"/>
  <c r="GV301" i="16" s="1"/>
  <c r="CC325" i="16"/>
  <c r="FE325" i="16" s="1"/>
  <c r="GS325" i="16" s="1"/>
  <c r="CC359" i="16"/>
  <c r="FE359" i="16" s="1"/>
  <c r="GS359" i="16" s="1"/>
  <c r="CO253" i="16"/>
  <c r="FQ253" i="16" s="1"/>
  <c r="HE253" i="16" s="1"/>
  <c r="CC258" i="16"/>
  <c r="FE258" i="16" s="1"/>
  <c r="GS258" i="16" s="1"/>
  <c r="FD258" i="16"/>
  <c r="GR258" i="16" s="1"/>
  <c r="CM258" i="16"/>
  <c r="FO258" i="16" s="1"/>
  <c r="HC258" i="16" s="1"/>
  <c r="CH258" i="16"/>
  <c r="FJ258" i="16" s="1"/>
  <c r="GX258" i="16" s="1"/>
  <c r="CI258" i="16"/>
  <c r="FK258" i="16" s="1"/>
  <c r="GY258" i="16" s="1"/>
  <c r="CD258" i="16"/>
  <c r="FF258" i="16" s="1"/>
  <c r="GT258" i="16" s="1"/>
  <c r="CN258" i="16"/>
  <c r="CE258" i="16"/>
  <c r="FG258" i="16" s="1"/>
  <c r="GU258" i="16" s="1"/>
  <c r="CK258" i="16"/>
  <c r="FM258" i="16" s="1"/>
  <c r="HA258" i="16" s="1"/>
  <c r="CJ258" i="16"/>
  <c r="FL258" i="16" s="1"/>
  <c r="GZ258" i="16" s="1"/>
  <c r="CF258" i="16"/>
  <c r="FH258" i="16" s="1"/>
  <c r="GV258" i="16" s="1"/>
  <c r="CL258" i="16"/>
  <c r="FN258" i="16" s="1"/>
  <c r="HB258" i="16" s="1"/>
  <c r="CG258" i="16"/>
  <c r="FI258" i="16" s="1"/>
  <c r="GW258" i="16" s="1"/>
  <c r="CG261" i="16"/>
  <c r="FI261" i="16" s="1"/>
  <c r="GW261" i="16" s="1"/>
  <c r="FH261" i="16"/>
  <c r="GV261" i="16" s="1"/>
  <c r="FJ234" i="16"/>
  <c r="GX234" i="16" s="1"/>
  <c r="CI234" i="16"/>
  <c r="CN255" i="16"/>
  <c r="FO255" i="16"/>
  <c r="HC255" i="16" s="1"/>
  <c r="FQ247" i="16"/>
  <c r="HE247" i="16" s="1"/>
  <c r="CP247" i="16"/>
  <c r="FR247" i="16" s="1"/>
  <c r="HF247" i="16" s="1"/>
  <c r="DG240" i="16"/>
  <c r="CJ238" i="16"/>
  <c r="FL238" i="16" s="1"/>
  <c r="GZ238" i="16" s="1"/>
  <c r="FK238" i="16"/>
  <c r="GY238" i="16" s="1"/>
  <c r="CC259" i="16"/>
  <c r="FE259" i="16" s="1"/>
  <c r="GS259" i="16" s="1"/>
  <c r="FD259" i="16"/>
  <c r="GR259" i="16" s="1"/>
  <c r="CF259" i="16"/>
  <c r="FH259" i="16" s="1"/>
  <c r="GV259" i="16" s="1"/>
  <c r="CM259" i="16"/>
  <c r="FO259" i="16" s="1"/>
  <c r="HC259" i="16" s="1"/>
  <c r="CH259" i="16"/>
  <c r="FJ259" i="16" s="1"/>
  <c r="GX259" i="16" s="1"/>
  <c r="CJ259" i="16"/>
  <c r="FL259" i="16" s="1"/>
  <c r="GZ259" i="16" s="1"/>
  <c r="CG259" i="16"/>
  <c r="FI259" i="16" s="1"/>
  <c r="GW259" i="16" s="1"/>
  <c r="CL259" i="16"/>
  <c r="FN259" i="16" s="1"/>
  <c r="HB259" i="16" s="1"/>
  <c r="CN259" i="16"/>
  <c r="CK259" i="16"/>
  <c r="FM259" i="16" s="1"/>
  <c r="HA259" i="16" s="1"/>
  <c r="CI259" i="16"/>
  <c r="FK259" i="16" s="1"/>
  <c r="GY259" i="16" s="1"/>
  <c r="CE259" i="16"/>
  <c r="FG259" i="16" s="1"/>
  <c r="GU259" i="16" s="1"/>
  <c r="CD259" i="16"/>
  <c r="FF259" i="16" s="1"/>
  <c r="GT259" i="16" s="1"/>
  <c r="CF244" i="16"/>
  <c r="CB244" i="16"/>
  <c r="FD244" i="16" s="1"/>
  <c r="GR244" i="16" s="1"/>
  <c r="CE244" i="16"/>
  <c r="FG244" i="16" s="1"/>
  <c r="GU244" i="16" s="1"/>
  <c r="FC244" i="16"/>
  <c r="GQ244" i="16" s="1"/>
  <c r="CD244" i="16"/>
  <c r="FF244" i="16" s="1"/>
  <c r="GT244" i="16" s="1"/>
  <c r="CC244" i="16"/>
  <c r="FE244" i="16" s="1"/>
  <c r="GS244" i="16" s="1"/>
  <c r="CH242" i="16"/>
  <c r="FJ242" i="16" s="1"/>
  <c r="GX242" i="16" s="1"/>
  <c r="FI242" i="16"/>
  <c r="GW242" i="16" s="1"/>
  <c r="CG264" i="16"/>
  <c r="FI264" i="16" s="1"/>
  <c r="GW264" i="16" s="1"/>
  <c r="FH264" i="16"/>
  <c r="GV264" i="16" s="1"/>
  <c r="CC246" i="16"/>
  <c r="FE246" i="16" s="1"/>
  <c r="GS246" i="16" s="1"/>
  <c r="CG246" i="16"/>
  <c r="FI246" i="16" s="1"/>
  <c r="GW246" i="16" s="1"/>
  <c r="CK246" i="16"/>
  <c r="FM246" i="16" s="1"/>
  <c r="HA246" i="16" s="1"/>
  <c r="CO246" i="16"/>
  <c r="FQ246" i="16" s="1"/>
  <c r="HE246" i="16" s="1"/>
  <c r="CS246" i="16"/>
  <c r="FU246" i="16" s="1"/>
  <c r="HI246" i="16" s="1"/>
  <c r="CW246" i="16"/>
  <c r="CD246" i="16"/>
  <c r="FF246" i="16" s="1"/>
  <c r="GT246" i="16" s="1"/>
  <c r="CH246" i="16"/>
  <c r="FJ246" i="16" s="1"/>
  <c r="GX246" i="16" s="1"/>
  <c r="CL246" i="16"/>
  <c r="FN246" i="16" s="1"/>
  <c r="HB246" i="16" s="1"/>
  <c r="CP246" i="16"/>
  <c r="FR246" i="16" s="1"/>
  <c r="HF246" i="16" s="1"/>
  <c r="CT246" i="16"/>
  <c r="FV246" i="16" s="1"/>
  <c r="HJ246" i="16" s="1"/>
  <c r="FC246" i="16"/>
  <c r="GQ246" i="16" s="1"/>
  <c r="CE246" i="16"/>
  <c r="FG246" i="16" s="1"/>
  <c r="GU246" i="16" s="1"/>
  <c r="CI246" i="16"/>
  <c r="FK246" i="16" s="1"/>
  <c r="GY246" i="16" s="1"/>
  <c r="CM246" i="16"/>
  <c r="FO246" i="16" s="1"/>
  <c r="HC246" i="16" s="1"/>
  <c r="CQ246" i="16"/>
  <c r="FS246" i="16" s="1"/>
  <c r="HG246" i="16" s="1"/>
  <c r="CU246" i="16"/>
  <c r="FW246" i="16" s="1"/>
  <c r="HK246" i="16" s="1"/>
  <c r="CB246" i="16"/>
  <c r="FD246" i="16" s="1"/>
  <c r="GR246" i="16" s="1"/>
  <c r="CF246" i="16"/>
  <c r="FH246" i="16" s="1"/>
  <c r="GV246" i="16" s="1"/>
  <c r="CJ246" i="16"/>
  <c r="FL246" i="16" s="1"/>
  <c r="GZ246" i="16" s="1"/>
  <c r="CN246" i="16"/>
  <c r="FP246" i="16" s="1"/>
  <c r="HD246" i="16" s="1"/>
  <c r="CR246" i="16"/>
  <c r="FT246" i="16" s="1"/>
  <c r="HH246" i="16" s="1"/>
  <c r="CV246" i="16"/>
  <c r="FX246" i="16" s="1"/>
  <c r="HL246" i="16" s="1"/>
  <c r="CH241" i="16"/>
  <c r="FJ241" i="16" s="1"/>
  <c r="GX241" i="16" s="1"/>
  <c r="FI241" i="16"/>
  <c r="GW241" i="16" s="1"/>
  <c r="CJ265" i="16"/>
  <c r="FL265" i="16" s="1"/>
  <c r="GZ265" i="16" s="1"/>
  <c r="FK265" i="16"/>
  <c r="GY265" i="16" s="1"/>
  <c r="FD257" i="16"/>
  <c r="GR257" i="16" s="1"/>
  <c r="CH257" i="16"/>
  <c r="FJ257" i="16" s="1"/>
  <c r="GX257" i="16" s="1"/>
  <c r="CK257" i="16"/>
  <c r="FM257" i="16" s="1"/>
  <c r="HA257" i="16" s="1"/>
  <c r="CJ257" i="16"/>
  <c r="FL257" i="16" s="1"/>
  <c r="GZ257" i="16" s="1"/>
  <c r="CL257" i="16"/>
  <c r="FN257" i="16" s="1"/>
  <c r="HB257" i="16" s="1"/>
  <c r="CE257" i="16"/>
  <c r="FG257" i="16" s="1"/>
  <c r="GU257" i="16" s="1"/>
  <c r="CN257" i="16"/>
  <c r="CF257" i="16"/>
  <c r="FH257" i="16" s="1"/>
  <c r="GV257" i="16" s="1"/>
  <c r="CI257" i="16"/>
  <c r="FK257" i="16" s="1"/>
  <c r="GY257" i="16" s="1"/>
  <c r="CG257" i="16"/>
  <c r="FI257" i="16" s="1"/>
  <c r="GW257" i="16" s="1"/>
  <c r="CD257" i="16"/>
  <c r="FF257" i="16" s="1"/>
  <c r="GT257" i="16" s="1"/>
  <c r="CC257" i="16"/>
  <c r="FE257" i="16" s="1"/>
  <c r="GS257" i="16" s="1"/>
  <c r="CM257" i="16"/>
  <c r="FO257" i="16" s="1"/>
  <c r="HC257" i="16" s="1"/>
  <c r="CD233" i="16"/>
  <c r="FE233" i="16"/>
  <c r="GS233" i="16" s="1"/>
  <c r="CG263" i="16"/>
  <c r="FI263" i="16" s="1"/>
  <c r="GW263" i="16" s="1"/>
  <c r="FH263" i="16"/>
  <c r="GV263" i="16" s="1"/>
  <c r="CW245" i="16"/>
  <c r="CU245" i="16"/>
  <c r="FW245" i="16" s="1"/>
  <c r="HK245" i="16" s="1"/>
  <c r="CQ245" i="16"/>
  <c r="FS245" i="16" s="1"/>
  <c r="HG245" i="16" s="1"/>
  <c r="CM245" i="16"/>
  <c r="FO245" i="16" s="1"/>
  <c r="HC245" i="16" s="1"/>
  <c r="CI245" i="16"/>
  <c r="FK245" i="16" s="1"/>
  <c r="GY245" i="16" s="1"/>
  <c r="CE245" i="16"/>
  <c r="FG245" i="16" s="1"/>
  <c r="GU245" i="16" s="1"/>
  <c r="CT245" i="16"/>
  <c r="FV245" i="16" s="1"/>
  <c r="HJ245" i="16" s="1"/>
  <c r="CP245" i="16"/>
  <c r="FR245" i="16" s="1"/>
  <c r="HF245" i="16" s="1"/>
  <c r="CL245" i="16"/>
  <c r="FN245" i="16" s="1"/>
  <c r="HB245" i="16" s="1"/>
  <c r="CH245" i="16"/>
  <c r="FJ245" i="16" s="1"/>
  <c r="GX245" i="16" s="1"/>
  <c r="CD245" i="16"/>
  <c r="FF245" i="16" s="1"/>
  <c r="GT245" i="16" s="1"/>
  <c r="CS245" i="16"/>
  <c r="FU245" i="16" s="1"/>
  <c r="HI245" i="16" s="1"/>
  <c r="CO245" i="16"/>
  <c r="FQ245" i="16" s="1"/>
  <c r="HE245" i="16" s="1"/>
  <c r="CK245" i="16"/>
  <c r="FM245" i="16" s="1"/>
  <c r="HA245" i="16" s="1"/>
  <c r="CG245" i="16"/>
  <c r="FI245" i="16" s="1"/>
  <c r="GW245" i="16" s="1"/>
  <c r="CC245" i="16"/>
  <c r="FE245" i="16" s="1"/>
  <c r="GS245" i="16" s="1"/>
  <c r="FC245" i="16"/>
  <c r="GQ245" i="16" s="1"/>
  <c r="CV245" i="16"/>
  <c r="FX245" i="16" s="1"/>
  <c r="HL245" i="16" s="1"/>
  <c r="CR245" i="16"/>
  <c r="FT245" i="16" s="1"/>
  <c r="HH245" i="16" s="1"/>
  <c r="CN245" i="16"/>
  <c r="FP245" i="16" s="1"/>
  <c r="HD245" i="16" s="1"/>
  <c r="CJ245" i="16"/>
  <c r="FL245" i="16" s="1"/>
  <c r="GZ245" i="16" s="1"/>
  <c r="CF245" i="16"/>
  <c r="FH245" i="16" s="1"/>
  <c r="GV245" i="16" s="1"/>
  <c r="CB245" i="16"/>
  <c r="FD245" i="16" s="1"/>
  <c r="GR245" i="16" s="1"/>
  <c r="FG237" i="16"/>
  <c r="GU237" i="16" s="1"/>
  <c r="CF237" i="16"/>
  <c r="FD260" i="16"/>
  <c r="GR260" i="16" s="1"/>
  <c r="CI260" i="16"/>
  <c r="FK260" i="16" s="1"/>
  <c r="GY260" i="16" s="1"/>
  <c r="CL260" i="16"/>
  <c r="FN260" i="16" s="1"/>
  <c r="HB260" i="16" s="1"/>
  <c r="CC260" i="16"/>
  <c r="FE260" i="16" s="1"/>
  <c r="GS260" i="16" s="1"/>
  <c r="CM260" i="16"/>
  <c r="FO260" i="16" s="1"/>
  <c r="HC260" i="16" s="1"/>
  <c r="CF260" i="16"/>
  <c r="FH260" i="16" s="1"/>
  <c r="GV260" i="16" s="1"/>
  <c r="CG260" i="16"/>
  <c r="FI260" i="16" s="1"/>
  <c r="GW260" i="16" s="1"/>
  <c r="CK260" i="16"/>
  <c r="FM260" i="16" s="1"/>
  <c r="HA260" i="16" s="1"/>
  <c r="CJ260" i="16"/>
  <c r="FL260" i="16" s="1"/>
  <c r="GZ260" i="16" s="1"/>
  <c r="CH260" i="16"/>
  <c r="FJ260" i="16" s="1"/>
  <c r="GX260" i="16" s="1"/>
  <c r="CE260" i="16"/>
  <c r="FG260" i="16" s="1"/>
  <c r="GU260" i="16" s="1"/>
  <c r="CD260" i="16"/>
  <c r="FF260" i="16" s="1"/>
  <c r="GT260" i="16" s="1"/>
  <c r="CN260" i="16"/>
  <c r="CA402" i="16"/>
  <c r="FC402" i="16" s="1"/>
  <c r="GQ402" i="16" s="1"/>
  <c r="FA402" i="16"/>
  <c r="GO402" i="16" s="1"/>
  <c r="FH243" i="16"/>
  <c r="GV243" i="16" s="1"/>
  <c r="CH243" i="16"/>
  <c r="FJ243" i="16" s="1"/>
  <c r="GX243" i="16" s="1"/>
  <c r="CG243" i="16"/>
  <c r="FI243" i="16" s="1"/>
  <c r="GW243" i="16" s="1"/>
  <c r="FF229" i="16"/>
  <c r="GT229" i="16" s="1"/>
  <c r="CE229" i="16"/>
  <c r="FG229" i="16" s="1"/>
  <c r="GU229" i="16" s="1"/>
  <c r="CT284" i="16"/>
  <c r="FV284" i="16" s="1"/>
  <c r="HJ284" i="16" s="1"/>
  <c r="FS284" i="16"/>
  <c r="HG284" i="16" s="1"/>
  <c r="CS284" i="16"/>
  <c r="FU284" i="16" s="1"/>
  <c r="HI284" i="16" s="1"/>
  <c r="CR284" i="16"/>
  <c r="FT284" i="16" s="1"/>
  <c r="HH284" i="16" s="1"/>
  <c r="CO256" i="16"/>
  <c r="FQ256" i="16" s="1"/>
  <c r="HE256" i="16" s="1"/>
  <c r="FP256" i="16"/>
  <c r="HD256" i="16" s="1"/>
  <c r="CG288" i="16"/>
  <c r="FI288" i="16" s="1"/>
  <c r="GW288" i="16" s="1"/>
  <c r="FH288" i="16"/>
  <c r="GV288" i="16" s="1"/>
  <c r="CC287" i="16"/>
  <c r="FE287" i="16" s="1"/>
  <c r="GS287" i="16" s="1"/>
  <c r="FC287" i="16"/>
  <c r="GQ287" i="16" s="1"/>
  <c r="CB287" i="16"/>
  <c r="FD287" i="16" s="1"/>
  <c r="GR287" i="16" s="1"/>
  <c r="CD287" i="16"/>
  <c r="FF287" i="16" s="1"/>
  <c r="GT287" i="16" s="1"/>
  <c r="CE287" i="16"/>
  <c r="CO254" i="16"/>
  <c r="FQ254" i="16" s="1"/>
  <c r="HE254" i="16" s="1"/>
  <c r="FP254" i="16"/>
  <c r="HD254" i="16" s="1"/>
  <c r="CG286" i="16"/>
  <c r="FI286" i="16" s="1"/>
  <c r="GW286" i="16" s="1"/>
  <c r="FH286" i="16"/>
  <c r="GV286" i="16" s="1"/>
  <c r="GP285" i="16"/>
  <c r="FD362" i="16"/>
  <c r="GR362" i="16" s="1"/>
  <c r="CB304" i="16"/>
  <c r="CC304" i="16"/>
  <c r="CF362" i="16"/>
  <c r="FH362" i="16" s="1"/>
  <c r="GV362" i="16" s="1"/>
  <c r="CE364" i="16"/>
  <c r="FG364" i="16" s="1"/>
  <c r="GU364" i="16" s="1"/>
  <c r="CF304" i="16"/>
  <c r="CG304" i="16"/>
  <c r="FC289" i="16"/>
  <c r="GQ289" i="16" s="1"/>
  <c r="CB289" i="16"/>
  <c r="FD289" i="16" s="1"/>
  <c r="GR289" i="16" s="1"/>
  <c r="CC289" i="16"/>
  <c r="CB285" i="16"/>
  <c r="FD285" i="16" s="1"/>
  <c r="GR285" i="16" s="1"/>
  <c r="CC285" i="16"/>
  <c r="FE285" i="16" s="1"/>
  <c r="GS285" i="16" s="1"/>
  <c r="CE285" i="16"/>
  <c r="FC285" i="16"/>
  <c r="GQ285" i="16" s="1"/>
  <c r="CD285" i="16"/>
  <c r="FF285" i="16" s="1"/>
  <c r="GT285" i="16" s="1"/>
  <c r="FA397" i="16"/>
  <c r="GO397" i="16" s="1"/>
  <c r="CE362" i="16"/>
  <c r="FG362" i="16" s="1"/>
  <c r="GU362" i="16" s="1"/>
  <c r="CJ304" i="16"/>
  <c r="CK304" i="16" s="1"/>
  <c r="CK303" i="16"/>
  <c r="FG294" i="16"/>
  <c r="CF294" i="16"/>
  <c r="FH294" i="16" s="1"/>
  <c r="CS298" i="16"/>
  <c r="FT298" i="16"/>
  <c r="HH298" i="16" s="1"/>
  <c r="FB396" i="16"/>
  <c r="GP396" i="16" s="1"/>
  <c r="FB400" i="16"/>
  <c r="GP400" i="16" s="1"/>
  <c r="FH297" i="16"/>
  <c r="GV297" i="16" s="1"/>
  <c r="CG297" i="16"/>
  <c r="FI297" i="16" s="1"/>
  <c r="GW297" i="16" s="1"/>
  <c r="CT300" i="16"/>
  <c r="FU300" i="16"/>
  <c r="HI300" i="16" s="1"/>
  <c r="FH295" i="16"/>
  <c r="GV295" i="16" s="1"/>
  <c r="CG295" i="16"/>
  <c r="FI295" i="16" s="1"/>
  <c r="GW295" i="16" s="1"/>
  <c r="CI302" i="16"/>
  <c r="CE302" i="16"/>
  <c r="CH302" i="16"/>
  <c r="CD302" i="16"/>
  <c r="CF302" i="16"/>
  <c r="CC302" i="16"/>
  <c r="CJ302" i="16"/>
  <c r="CB302" i="16"/>
  <c r="CG302" i="16"/>
  <c r="CH290" i="16"/>
  <c r="FJ290" i="16" s="1"/>
  <c r="GX290" i="16" s="1"/>
  <c r="FH290" i="16"/>
  <c r="GV290" i="16" s="1"/>
  <c r="CG290" i="16"/>
  <c r="FI290" i="16" s="1"/>
  <c r="GW290" i="16" s="1"/>
  <c r="CT299" i="16"/>
  <c r="FU299" i="16"/>
  <c r="HI299" i="16" s="1"/>
  <c r="GO310" i="16"/>
  <c r="GO307" i="16"/>
  <c r="GO305" i="16"/>
  <c r="CB346" i="16"/>
  <c r="CD346" i="16" s="1"/>
  <c r="FF346" i="16" s="1"/>
  <c r="GT346" i="16" s="1"/>
  <c r="CB386" i="16"/>
  <c r="FC386" i="16"/>
  <c r="GQ386" i="16" s="1"/>
  <c r="CH351" i="16"/>
  <c r="FJ351" i="16" s="1"/>
  <c r="GX351" i="16" s="1"/>
  <c r="CG351" i="16"/>
  <c r="FI351" i="16" s="1"/>
  <c r="GW351" i="16" s="1"/>
  <c r="CE383" i="16"/>
  <c r="FG383" i="16" s="1"/>
  <c r="GU383" i="16" s="1"/>
  <c r="CC383" i="16"/>
  <c r="FE383" i="16" s="1"/>
  <c r="GS383" i="16" s="1"/>
  <c r="FM396" i="16"/>
  <c r="HA396" i="16" s="1"/>
  <c r="FA401" i="16"/>
  <c r="GO401" i="16" s="1"/>
  <c r="CE396" i="16"/>
  <c r="FG396" i="16" s="1"/>
  <c r="GU396" i="16" s="1"/>
  <c r="CA401" i="16"/>
  <c r="FC401" i="16" s="1"/>
  <c r="GQ401" i="16" s="1"/>
  <c r="FB402" i="16"/>
  <c r="GP402" i="16" s="1"/>
  <c r="CH362" i="16"/>
  <c r="FJ362" i="16" s="1"/>
  <c r="GX362" i="16" s="1"/>
  <c r="FD349" i="16"/>
  <c r="GR349" i="16" s="1"/>
  <c r="FC325" i="16"/>
  <c r="GQ325" i="16" s="1"/>
  <c r="CF359" i="16"/>
  <c r="FH359" i="16" s="1"/>
  <c r="GV359" i="16" s="1"/>
  <c r="CD383" i="16"/>
  <c r="FF383" i="16" s="1"/>
  <c r="GT383" i="16" s="1"/>
  <c r="CC358" i="16"/>
  <c r="FE358" i="16" s="1"/>
  <c r="GS358" i="16" s="1"/>
  <c r="CI358" i="16"/>
  <c r="CG358" i="16"/>
  <c r="FI358" i="16" s="1"/>
  <c r="GW358" i="16" s="1"/>
  <c r="CB363" i="16"/>
  <c r="FD363" i="16" s="1"/>
  <c r="GR363" i="16" s="1"/>
  <c r="CE363" i="16"/>
  <c r="CB314" i="16"/>
  <c r="FC314" i="16"/>
  <c r="GQ314" i="16" s="1"/>
  <c r="FC383" i="16"/>
  <c r="GQ383" i="16" s="1"/>
  <c r="CH396" i="16"/>
  <c r="FJ396" i="16" s="1"/>
  <c r="GX396" i="16" s="1"/>
  <c r="CN397" i="16"/>
  <c r="CO397" i="16" s="1"/>
  <c r="FQ397" i="16" s="1"/>
  <c r="HE397" i="16" s="1"/>
  <c r="CL396" i="16"/>
  <c r="FN396" i="16" s="1"/>
  <c r="HB396" i="16" s="1"/>
  <c r="FF398" i="16"/>
  <c r="GT398" i="16" s="1"/>
  <c r="CD396" i="16"/>
  <c r="FF396" i="16" s="1"/>
  <c r="GT396" i="16" s="1"/>
  <c r="CM396" i="16"/>
  <c r="FO396" i="16" s="1"/>
  <c r="HC396" i="16" s="1"/>
  <c r="FA400" i="16"/>
  <c r="GO400" i="16" s="1"/>
  <c r="BZ401" i="16"/>
  <c r="FB401" i="16" s="1"/>
  <c r="GP401" i="16" s="1"/>
  <c r="CE324" i="16"/>
  <c r="FG324" i="16" s="1"/>
  <c r="GU324" i="16" s="1"/>
  <c r="FF324" i="16"/>
  <c r="GT324" i="16" s="1"/>
  <c r="FB309" i="16"/>
  <c r="GP309" i="16" s="1"/>
  <c r="CA309" i="16"/>
  <c r="CB311" i="16"/>
  <c r="FC311" i="16"/>
  <c r="GQ311" i="16" s="1"/>
  <c r="FH308" i="16"/>
  <c r="GV308" i="16" s="1"/>
  <c r="CG308" i="16"/>
  <c r="FI308" i="16" s="1"/>
  <c r="GW308" i="16" s="1"/>
  <c r="FC318" i="16"/>
  <c r="GQ318" i="16" s="1"/>
  <c r="CB318" i="16"/>
  <c r="FD306" i="16"/>
  <c r="GR306" i="16" s="1"/>
  <c r="CC306" i="16"/>
  <c r="CA310" i="16"/>
  <c r="FC310" i="16" s="1"/>
  <c r="GQ310" i="16" s="1"/>
  <c r="CC310" i="16"/>
  <c r="CB310" i="16"/>
  <c r="FD310" i="16" s="1"/>
  <c r="GR310" i="16" s="1"/>
  <c r="FB310" i="16"/>
  <c r="GP310" i="16" s="1"/>
  <c r="CB317" i="16"/>
  <c r="FC317" i="16"/>
  <c r="GQ317" i="16" s="1"/>
  <c r="CH355" i="16"/>
  <c r="FI355" i="16"/>
  <c r="GW355" i="16" s="1"/>
  <c r="CC360" i="16"/>
  <c r="FE360" i="16" s="1"/>
  <c r="GS360" i="16" s="1"/>
  <c r="FD360" i="16"/>
  <c r="GR360" i="16" s="1"/>
  <c r="FE332" i="16"/>
  <c r="GS332" i="16" s="1"/>
  <c r="CD332" i="16"/>
  <c r="CC337" i="16"/>
  <c r="FD337" i="16"/>
  <c r="GR337" i="16" s="1"/>
  <c r="CB336" i="16"/>
  <c r="FC336" i="16"/>
  <c r="GQ336" i="16" s="1"/>
  <c r="FB340" i="16"/>
  <c r="GP340" i="16" s="1"/>
  <c r="CA340" i="16"/>
  <c r="CE349" i="16"/>
  <c r="FF349" i="16"/>
  <c r="GT349" i="16" s="1"/>
  <c r="CM372" i="16"/>
  <c r="FN372" i="16"/>
  <c r="FI373" i="16"/>
  <c r="CH373" i="16"/>
  <c r="CH370" i="16"/>
  <c r="FI370" i="16"/>
  <c r="CB402" i="16"/>
  <c r="FD402" i="16" s="1"/>
  <c r="GR402" i="16" s="1"/>
  <c r="CB335" i="16"/>
  <c r="CD312" i="16"/>
  <c r="FF312" i="16" s="1"/>
  <c r="GT312" i="16" s="1"/>
  <c r="FE312" i="16"/>
  <c r="GS312" i="16" s="1"/>
  <c r="FE357" i="16"/>
  <c r="GS357" i="16" s="1"/>
  <c r="CD357" i="16"/>
  <c r="CC338" i="16"/>
  <c r="FD338" i="16"/>
  <c r="GR338" i="16" s="1"/>
  <c r="CB319" i="16"/>
  <c r="FC319" i="16"/>
  <c r="GQ319" i="16" s="1"/>
  <c r="FC347" i="16"/>
  <c r="GQ347" i="16" s="1"/>
  <c r="CB347" i="16"/>
  <c r="CC361" i="16"/>
  <c r="FE361" i="16" s="1"/>
  <c r="GS361" i="16" s="1"/>
  <c r="FD361" i="16"/>
  <c r="GR361" i="16" s="1"/>
  <c r="CC388" i="16"/>
  <c r="FE388" i="16" s="1"/>
  <c r="GS388" i="16" s="1"/>
  <c r="FD388" i="16"/>
  <c r="GR388" i="16" s="1"/>
  <c r="FH392" i="16"/>
  <c r="GV392" i="16" s="1"/>
  <c r="CG392" i="16"/>
  <c r="CC402" i="16"/>
  <c r="CM371" i="16"/>
  <c r="FN371" i="16"/>
  <c r="CD313" i="16"/>
  <c r="FF313" i="16" s="1"/>
  <c r="GT313" i="16" s="1"/>
  <c r="FE313" i="16"/>
  <c r="GS313" i="16" s="1"/>
  <c r="CG348" i="16"/>
  <c r="FH348" i="16"/>
  <c r="GV348" i="16" s="1"/>
  <c r="FE329" i="16"/>
  <c r="GS329" i="16" s="1"/>
  <c r="CD329" i="16"/>
  <c r="CB366" i="16"/>
  <c r="FC366" i="16"/>
  <c r="GQ366" i="16" s="1"/>
  <c r="CF345" i="16"/>
  <c r="CM368" i="16"/>
  <c r="FN368" i="16"/>
  <c r="FJ359" i="16"/>
  <c r="GX359" i="16" s="1"/>
  <c r="CK359" i="16"/>
  <c r="FM359" i="16" s="1"/>
  <c r="HA359" i="16" s="1"/>
  <c r="CI359" i="16"/>
  <c r="FK359" i="16" s="1"/>
  <c r="GY359" i="16" s="1"/>
  <c r="CJ359" i="16"/>
  <c r="FL359" i="16" s="1"/>
  <c r="GZ359" i="16" s="1"/>
  <c r="FC389" i="16"/>
  <c r="GQ389" i="16" s="1"/>
  <c r="CB389" i="16"/>
  <c r="FD389" i="16" s="1"/>
  <c r="GR389" i="16" s="1"/>
  <c r="CC389" i="16"/>
  <c r="CD391" i="16"/>
  <c r="FE391" i="16"/>
  <c r="GS391" i="16" s="1"/>
  <c r="FC316" i="16"/>
  <c r="GQ316" i="16" s="1"/>
  <c r="CB316" i="16"/>
  <c r="CD305" i="16"/>
  <c r="FF305" i="16" s="1"/>
  <c r="GT305" i="16" s="1"/>
  <c r="FD305" i="16"/>
  <c r="GR305" i="16" s="1"/>
  <c r="CG305" i="16"/>
  <c r="CC305" i="16"/>
  <c r="FE305" i="16" s="1"/>
  <c r="GS305" i="16" s="1"/>
  <c r="CF305" i="16"/>
  <c r="FH305" i="16" s="1"/>
  <c r="GV305" i="16" s="1"/>
  <c r="CE305" i="16"/>
  <c r="FG305" i="16" s="1"/>
  <c r="GU305" i="16" s="1"/>
  <c r="FC323" i="16"/>
  <c r="GQ323" i="16" s="1"/>
  <c r="CB323" i="16"/>
  <c r="FC315" i="16"/>
  <c r="GQ315" i="16" s="1"/>
  <c r="CB315" i="16"/>
  <c r="FE333" i="16"/>
  <c r="GS333" i="16" s="1"/>
  <c r="CD333" i="16"/>
  <c r="FF356" i="16"/>
  <c r="GT356" i="16" s="1"/>
  <c r="CH356" i="16"/>
  <c r="FJ356" i="16" s="1"/>
  <c r="GX356" i="16" s="1"/>
  <c r="CI356" i="16"/>
  <c r="CF356" i="16"/>
  <c r="FH356" i="16" s="1"/>
  <c r="GV356" i="16" s="1"/>
  <c r="CE356" i="16"/>
  <c r="FG356" i="16" s="1"/>
  <c r="GU356" i="16" s="1"/>
  <c r="CG356" i="16"/>
  <c r="FI356" i="16" s="1"/>
  <c r="GW356" i="16" s="1"/>
  <c r="FN367" i="16"/>
  <c r="CM367" i="16"/>
  <c r="CK365" i="16"/>
  <c r="FM365" i="16" s="1"/>
  <c r="HA365" i="16" s="1"/>
  <c r="CJ365" i="16"/>
  <c r="FL365" i="16" s="1"/>
  <c r="GZ365" i="16" s="1"/>
  <c r="CI365" i="16"/>
  <c r="FK365" i="16" s="1"/>
  <c r="GY365" i="16" s="1"/>
  <c r="CA396" i="16"/>
  <c r="FC396" i="16" s="1"/>
  <c r="GQ396" i="16" s="1"/>
  <c r="CA398" i="16"/>
  <c r="FC398" i="16" s="1"/>
  <c r="GQ398" i="16" s="1"/>
  <c r="CA400" i="16"/>
  <c r="FC400" i="16" s="1"/>
  <c r="GQ400" i="16" s="1"/>
  <c r="FA396" i="16"/>
  <c r="CI396" i="16"/>
  <c r="FK396" i="16" s="1"/>
  <c r="GY396" i="16" s="1"/>
  <c r="BZ397" i="16"/>
  <c r="FB397" i="16" s="1"/>
  <c r="GP397" i="16" s="1"/>
  <c r="FD397" i="16"/>
  <c r="GR397" i="16" s="1"/>
  <c r="CB398" i="16"/>
  <c r="FD398" i="16" s="1"/>
  <c r="GR398" i="16" s="1"/>
  <c r="CB400" i="16"/>
  <c r="FD400" i="16" s="1"/>
  <c r="GR400" i="16" s="1"/>
  <c r="BZ399" i="16"/>
  <c r="FB399" i="16" s="1"/>
  <c r="GP399" i="16" s="1"/>
  <c r="CB399" i="16"/>
  <c r="FD399" i="16" s="1"/>
  <c r="GR399" i="16" s="1"/>
  <c r="FA399" i="16"/>
  <c r="CC399" i="16"/>
  <c r="FE399" i="16" s="1"/>
  <c r="GS399" i="16" s="1"/>
  <c r="CD399" i="16"/>
  <c r="CE398" i="16"/>
  <c r="FD396" i="16"/>
  <c r="GR396" i="16" s="1"/>
  <c r="CF396" i="16"/>
  <c r="FH396" i="16" s="1"/>
  <c r="GV396" i="16" s="1"/>
  <c r="CJ396" i="16"/>
  <c r="FL396" i="16" s="1"/>
  <c r="GZ396" i="16" s="1"/>
  <c r="CN396" i="16"/>
  <c r="CO396" i="16" s="1"/>
  <c r="CC398" i="16"/>
  <c r="FE398" i="16" s="1"/>
  <c r="GS398" i="16" s="1"/>
  <c r="FA398" i="16"/>
  <c r="CC400" i="16"/>
  <c r="CC396" i="16"/>
  <c r="FE396" i="16" s="1"/>
  <c r="GS396" i="16" s="1"/>
  <c r="CG396" i="16"/>
  <c r="FI396" i="16" s="1"/>
  <c r="GW396" i="16" s="1"/>
  <c r="CA397" i="16"/>
  <c r="FC397" i="16" s="1"/>
  <c r="GQ397" i="16" s="1"/>
  <c r="BZ398" i="16"/>
  <c r="FB398" i="16" s="1"/>
  <c r="GP398" i="16" s="1"/>
  <c r="CA399" i="16"/>
  <c r="FC399" i="16" s="1"/>
  <c r="GQ399" i="16" s="1"/>
  <c r="CM397" i="16"/>
  <c r="FO397" i="16" s="1"/>
  <c r="HC397" i="16" s="1"/>
  <c r="CI397" i="16"/>
  <c r="FK397" i="16" s="1"/>
  <c r="GY397" i="16" s="1"/>
  <c r="CE397" i="16"/>
  <c r="FG397" i="16" s="1"/>
  <c r="GU397" i="16" s="1"/>
  <c r="CF397" i="16"/>
  <c r="FH397" i="16" s="1"/>
  <c r="GV397" i="16" s="1"/>
  <c r="CL397" i="16"/>
  <c r="FN397" i="16" s="1"/>
  <c r="HB397" i="16" s="1"/>
  <c r="CH397" i="16"/>
  <c r="FJ397" i="16" s="1"/>
  <c r="GX397" i="16" s="1"/>
  <c r="CD397" i="16"/>
  <c r="FF397" i="16" s="1"/>
  <c r="GT397" i="16" s="1"/>
  <c r="CJ397" i="16"/>
  <c r="FL397" i="16" s="1"/>
  <c r="GZ397" i="16" s="1"/>
  <c r="CK397" i="16"/>
  <c r="FM397" i="16" s="1"/>
  <c r="HA397" i="16" s="1"/>
  <c r="CG397" i="16"/>
  <c r="FI397" i="16" s="1"/>
  <c r="GW397" i="16" s="1"/>
  <c r="AQ403" i="16"/>
  <c r="DS403" i="16"/>
  <c r="DR403" i="16"/>
  <c r="DQ403" i="16"/>
  <c r="DP403" i="16"/>
  <c r="DO403" i="16"/>
  <c r="DN403" i="16"/>
  <c r="DM403" i="16"/>
  <c r="BY403" i="16"/>
  <c r="BZ403" i="16" s="1"/>
  <c r="CC403" i="16" s="1"/>
  <c r="AQ405" i="16"/>
  <c r="AQ406" i="16"/>
  <c r="AQ404" i="16"/>
  <c r="DX406" i="16"/>
  <c r="DW406" i="16"/>
  <c r="DV406" i="16"/>
  <c r="DT406" i="16"/>
  <c r="DU406" i="16"/>
  <c r="DQ406" i="16"/>
  <c r="DR406" i="16"/>
  <c r="DS406" i="16"/>
  <c r="DP406" i="16"/>
  <c r="DO406" i="16"/>
  <c r="DN406" i="16"/>
  <c r="DM406" i="16"/>
  <c r="CB406" i="16"/>
  <c r="FD406" i="16" s="1"/>
  <c r="GR406" i="16" s="1"/>
  <c r="CA406" i="16"/>
  <c r="BZ406" i="16"/>
  <c r="DX405" i="16"/>
  <c r="DW405" i="16"/>
  <c r="DP405" i="16"/>
  <c r="DQ405" i="16"/>
  <c r="DR405" i="16"/>
  <c r="DS405" i="16"/>
  <c r="DT405" i="16"/>
  <c r="DU405" i="16"/>
  <c r="DV405" i="16"/>
  <c r="DO405" i="16"/>
  <c r="DN405" i="16"/>
  <c r="DM405" i="16"/>
  <c r="FA405" i="16" s="1"/>
  <c r="GO405" i="16" s="1"/>
  <c r="CA405" i="16"/>
  <c r="CH405" i="16" s="1"/>
  <c r="CI405" i="16" s="1"/>
  <c r="BZ405" i="16"/>
  <c r="EE404" i="16"/>
  <c r="ED404" i="16"/>
  <c r="EC404" i="16"/>
  <c r="DQ404" i="16"/>
  <c r="DR404" i="16"/>
  <c r="DS404" i="16"/>
  <c r="DT404" i="16"/>
  <c r="DU404" i="16"/>
  <c r="DV404" i="16"/>
  <c r="DW404" i="16"/>
  <c r="DX404" i="16"/>
  <c r="DY404" i="16"/>
  <c r="DZ404" i="16"/>
  <c r="EA404" i="16"/>
  <c r="EB404" i="16"/>
  <c r="DP404" i="16"/>
  <c r="DO404" i="16"/>
  <c r="DN404" i="16"/>
  <c r="DM404" i="16"/>
  <c r="FA404" i="16" s="1"/>
  <c r="GO404" i="16" s="1"/>
  <c r="CB404" i="16"/>
  <c r="CM404" i="16" s="1"/>
  <c r="CA404" i="16"/>
  <c r="FC404" i="16" s="1"/>
  <c r="GQ404" i="16" s="1"/>
  <c r="BZ404" i="16"/>
  <c r="AQ408" i="16"/>
  <c r="AQ407" i="16"/>
  <c r="DM408" i="16"/>
  <c r="FA408" i="16" s="1"/>
  <c r="GO408" i="16" s="1"/>
  <c r="DN408" i="16"/>
  <c r="DO408" i="16"/>
  <c r="DP408" i="16"/>
  <c r="DQ408" i="16"/>
  <c r="DR408" i="16"/>
  <c r="CD408" i="16"/>
  <c r="CC408" i="16"/>
  <c r="CB408" i="16"/>
  <c r="CA408" i="16"/>
  <c r="BZ408" i="16"/>
  <c r="DN407" i="16"/>
  <c r="DO407" i="16"/>
  <c r="DP407" i="16"/>
  <c r="DQ407" i="16"/>
  <c r="DR407" i="16"/>
  <c r="DS407" i="16"/>
  <c r="DT407" i="16"/>
  <c r="DM407" i="16"/>
  <c r="FA407" i="16" s="1"/>
  <c r="BZ407" i="16"/>
  <c r="CB407" i="16" s="1"/>
  <c r="AQ410" i="16"/>
  <c r="AQ409" i="16"/>
  <c r="DX410" i="16"/>
  <c r="CJ410" i="16"/>
  <c r="CI410" i="16"/>
  <c r="DN410" i="16"/>
  <c r="DO410" i="16"/>
  <c r="DP410" i="16"/>
  <c r="DQ410" i="16"/>
  <c r="DR410" i="16"/>
  <c r="DS410" i="16"/>
  <c r="DT410" i="16"/>
  <c r="DU410" i="16"/>
  <c r="DV410" i="16"/>
  <c r="DW410" i="16"/>
  <c r="DM410" i="16"/>
  <c r="FA410" i="16" s="1"/>
  <c r="GO410" i="16" s="1"/>
  <c r="CH410" i="16"/>
  <c r="CG410" i="16"/>
  <c r="CF410" i="16"/>
  <c r="CE410" i="16"/>
  <c r="CD410" i="16"/>
  <c r="CC410" i="16"/>
  <c r="CB410" i="16"/>
  <c r="CA410" i="16"/>
  <c r="BZ410" i="16"/>
  <c r="DN409" i="16"/>
  <c r="DO409" i="16"/>
  <c r="DP409" i="16"/>
  <c r="DQ409" i="16"/>
  <c r="DR409" i="16"/>
  <c r="DS409" i="16"/>
  <c r="DT409" i="16"/>
  <c r="DM409" i="16"/>
  <c r="FA409" i="16" s="1"/>
  <c r="GO409" i="16" s="1"/>
  <c r="BZ409" i="16"/>
  <c r="CE409" i="16" s="1"/>
  <c r="CF409" i="16" s="1"/>
  <c r="AQ412" i="16"/>
  <c r="AQ411" i="16"/>
  <c r="DZ412" i="16"/>
  <c r="EA412" i="16"/>
  <c r="DN412" i="16"/>
  <c r="DO412" i="16"/>
  <c r="DM412" i="16"/>
  <c r="DP412" i="16"/>
  <c r="DQ412" i="16"/>
  <c r="DR412" i="16"/>
  <c r="DS412" i="16"/>
  <c r="DT412" i="16"/>
  <c r="DU412" i="16"/>
  <c r="DV412" i="16"/>
  <c r="DW412" i="16"/>
  <c r="DX412" i="16"/>
  <c r="DY412" i="16"/>
  <c r="EB412" i="16"/>
  <c r="BY412" i="16"/>
  <c r="FA412" i="16" s="1"/>
  <c r="EB411" i="16"/>
  <c r="EA411" i="16"/>
  <c r="DZ411" i="16"/>
  <c r="DY411" i="16"/>
  <c r="DR411" i="16"/>
  <c r="DS411" i="16"/>
  <c r="DT411" i="16"/>
  <c r="DU411" i="16"/>
  <c r="DV411" i="16"/>
  <c r="DW411" i="16"/>
  <c r="DX411" i="16"/>
  <c r="DQ411" i="16"/>
  <c r="DP411" i="16"/>
  <c r="DO411" i="16"/>
  <c r="DM411" i="16"/>
  <c r="DN411" i="16"/>
  <c r="BY411" i="16"/>
  <c r="AQ414" i="16"/>
  <c r="AQ415" i="16"/>
  <c r="AQ413" i="16"/>
  <c r="DM414" i="16"/>
  <c r="FA414" i="16" s="1"/>
  <c r="GO414" i="16" s="1"/>
  <c r="DN414" i="16"/>
  <c r="DO414" i="16"/>
  <c r="DP414" i="16"/>
  <c r="DQ414" i="16"/>
  <c r="DR414" i="16"/>
  <c r="DS414" i="16"/>
  <c r="DT414" i="16"/>
  <c r="DU414" i="16"/>
  <c r="DV414" i="16"/>
  <c r="DW414" i="16"/>
  <c r="DX414" i="16"/>
  <c r="DY414" i="16"/>
  <c r="DM415" i="16"/>
  <c r="FA415" i="16" s="1"/>
  <c r="GO415" i="16" s="1"/>
  <c r="DN415" i="16"/>
  <c r="DO415" i="16"/>
  <c r="DP415" i="16"/>
  <c r="DQ415" i="16"/>
  <c r="DR415" i="16"/>
  <c r="DS415" i="16"/>
  <c r="DT415" i="16"/>
  <c r="DU415" i="16"/>
  <c r="DV415" i="16"/>
  <c r="DW415" i="16"/>
  <c r="DX415" i="16"/>
  <c r="DY415" i="16"/>
  <c r="BZ414" i="16"/>
  <c r="CA414" i="16"/>
  <c r="CB414" i="16"/>
  <c r="CD414" i="16" s="1"/>
  <c r="CI414" i="16"/>
  <c r="BZ415" i="16"/>
  <c r="CA415" i="16"/>
  <c r="CB415" i="16"/>
  <c r="CD415" i="16" s="1"/>
  <c r="CI415" i="16"/>
  <c r="CK415" i="16" s="1"/>
  <c r="DV413" i="16"/>
  <c r="DY413" i="16"/>
  <c r="DX413" i="16"/>
  <c r="DW413" i="16"/>
  <c r="DQ413" i="16"/>
  <c r="DR413" i="16"/>
  <c r="DS413" i="16"/>
  <c r="DT413" i="16"/>
  <c r="DU413" i="16"/>
  <c r="DP413" i="16"/>
  <c r="DO413" i="16"/>
  <c r="DN413" i="16"/>
  <c r="DM413" i="16"/>
  <c r="FA413" i="16" s="1"/>
  <c r="GO413" i="16" s="1"/>
  <c r="CI413" i="16"/>
  <c r="CB413" i="16"/>
  <c r="CF413" i="16" s="1"/>
  <c r="CA413" i="16"/>
  <c r="BZ413" i="16"/>
  <c r="AQ417" i="16"/>
  <c r="AQ418" i="16"/>
  <c r="AQ419" i="16"/>
  <c r="AQ420" i="16"/>
  <c r="AQ421" i="16"/>
  <c r="AQ422" i="16"/>
  <c r="AQ423" i="16"/>
  <c r="AQ424" i="16"/>
  <c r="AQ416" i="16"/>
  <c r="DM417" i="16"/>
  <c r="FA417" i="16" s="1"/>
  <c r="GO417" i="16" s="1"/>
  <c r="DN417" i="16"/>
  <c r="DO417" i="16"/>
  <c r="DP417" i="16"/>
  <c r="DQ417" i="16"/>
  <c r="DR417" i="16"/>
  <c r="DS417" i="16"/>
  <c r="DT417" i="16"/>
  <c r="DU417" i="16"/>
  <c r="DV417" i="16"/>
  <c r="DW417" i="16"/>
  <c r="DM418" i="16"/>
  <c r="FA418" i="16" s="1"/>
  <c r="GO418" i="16" s="1"/>
  <c r="DN418" i="16"/>
  <c r="DO418" i="16"/>
  <c r="DP418" i="16"/>
  <c r="DQ418" i="16"/>
  <c r="DR418" i="16"/>
  <c r="DS418" i="16"/>
  <c r="DT418" i="16"/>
  <c r="DU418" i="16"/>
  <c r="DV418" i="16"/>
  <c r="DW418" i="16"/>
  <c r="DM419" i="16"/>
  <c r="FA419" i="16" s="1"/>
  <c r="GO419" i="16" s="1"/>
  <c r="DN419" i="16"/>
  <c r="DO419" i="16"/>
  <c r="DP419" i="16"/>
  <c r="DQ419" i="16"/>
  <c r="DR419" i="16"/>
  <c r="DS419" i="16"/>
  <c r="DT419" i="16"/>
  <c r="DU419" i="16"/>
  <c r="DV419" i="16"/>
  <c r="DW419" i="16"/>
  <c r="DM420" i="16"/>
  <c r="FA420" i="16" s="1"/>
  <c r="GO420" i="16" s="1"/>
  <c r="DN420" i="16"/>
  <c r="DO420" i="16"/>
  <c r="DP420" i="16"/>
  <c r="DQ420" i="16"/>
  <c r="DR420" i="16"/>
  <c r="DS420" i="16"/>
  <c r="DT420" i="16"/>
  <c r="DU420" i="16"/>
  <c r="DV420" i="16"/>
  <c r="DW420" i="16"/>
  <c r="DM421" i="16"/>
  <c r="FA421" i="16" s="1"/>
  <c r="GO421" i="16" s="1"/>
  <c r="DN421" i="16"/>
  <c r="DO421" i="16"/>
  <c r="DP421" i="16"/>
  <c r="DQ421" i="16"/>
  <c r="DR421" i="16"/>
  <c r="DS421" i="16"/>
  <c r="DT421" i="16"/>
  <c r="DU421" i="16"/>
  <c r="DV421" i="16"/>
  <c r="DW421" i="16"/>
  <c r="DM422" i="16"/>
  <c r="FA422" i="16" s="1"/>
  <c r="GO422" i="16" s="1"/>
  <c r="DN422" i="16"/>
  <c r="DO422" i="16"/>
  <c r="DP422" i="16"/>
  <c r="DQ422" i="16"/>
  <c r="DR422" i="16"/>
  <c r="DS422" i="16"/>
  <c r="DT422" i="16"/>
  <c r="DU422" i="16"/>
  <c r="DV422" i="16"/>
  <c r="DW422" i="16"/>
  <c r="DM423" i="16"/>
  <c r="FA423" i="16" s="1"/>
  <c r="GO423" i="16" s="1"/>
  <c r="DN423" i="16"/>
  <c r="DO423" i="16"/>
  <c r="DP423" i="16"/>
  <c r="DQ423" i="16"/>
  <c r="DR423" i="16"/>
  <c r="DS423" i="16"/>
  <c r="DT423" i="16"/>
  <c r="DU423" i="16"/>
  <c r="DV423" i="16"/>
  <c r="DW423" i="16"/>
  <c r="DM424" i="16"/>
  <c r="FA424" i="16" s="1"/>
  <c r="GO424" i="16" s="1"/>
  <c r="DN424" i="16"/>
  <c r="DO424" i="16"/>
  <c r="DP424" i="16"/>
  <c r="DQ424" i="16"/>
  <c r="DR424" i="16"/>
  <c r="DS424" i="16"/>
  <c r="DT424" i="16"/>
  <c r="DU424" i="16"/>
  <c r="DV424" i="16"/>
  <c r="DW424" i="16"/>
  <c r="BZ417" i="16"/>
  <c r="CA417" i="16"/>
  <c r="CB417" i="16"/>
  <c r="CC417" i="16"/>
  <c r="CD417" i="16"/>
  <c r="CE417" i="16"/>
  <c r="CF417" i="16"/>
  <c r="CG417" i="16"/>
  <c r="CH417" i="16"/>
  <c r="CI417" i="16"/>
  <c r="BZ418" i="16"/>
  <c r="CA418" i="16"/>
  <c r="CB418" i="16"/>
  <c r="CC418" i="16"/>
  <c r="CD418" i="16"/>
  <c r="CE418" i="16"/>
  <c r="CF418" i="16"/>
  <c r="CG418" i="16"/>
  <c r="CH418" i="16"/>
  <c r="CI418" i="16"/>
  <c r="BZ419" i="16"/>
  <c r="CA419" i="16"/>
  <c r="CB419" i="16"/>
  <c r="CC419" i="16"/>
  <c r="CD419" i="16"/>
  <c r="CE419" i="16"/>
  <c r="CF419" i="16"/>
  <c r="CG419" i="16"/>
  <c r="CH419" i="16"/>
  <c r="CI419" i="16"/>
  <c r="BZ420" i="16"/>
  <c r="FB420" i="16" s="1"/>
  <c r="GP420" i="16" s="1"/>
  <c r="CA420" i="16"/>
  <c r="FC420" i="16" s="1"/>
  <c r="GQ420" i="16" s="1"/>
  <c r="CB420" i="16"/>
  <c r="FD420" i="16" s="1"/>
  <c r="GR420" i="16" s="1"/>
  <c r="CC420" i="16"/>
  <c r="FE420" i="16" s="1"/>
  <c r="GS420" i="16" s="1"/>
  <c r="CD420" i="16"/>
  <c r="FF420" i="16" s="1"/>
  <c r="GT420" i="16" s="1"/>
  <c r="CE420" i="16"/>
  <c r="FG420" i="16" s="1"/>
  <c r="GU420" i="16" s="1"/>
  <c r="CF420" i="16"/>
  <c r="FH420" i="16" s="1"/>
  <c r="GV420" i="16" s="1"/>
  <c r="CG420" i="16"/>
  <c r="FI420" i="16" s="1"/>
  <c r="GW420" i="16" s="1"/>
  <c r="CH420" i="16"/>
  <c r="FJ420" i="16" s="1"/>
  <c r="GX420" i="16" s="1"/>
  <c r="CI420" i="16"/>
  <c r="FK420" i="16" s="1"/>
  <c r="GY420" i="16" s="1"/>
  <c r="BZ421" i="16"/>
  <c r="CA421" i="16"/>
  <c r="CB421" i="16"/>
  <c r="CC421" i="16"/>
  <c r="CD421" i="16"/>
  <c r="CE421" i="16"/>
  <c r="CF421" i="16"/>
  <c r="CG421" i="16"/>
  <c r="CH421" i="16"/>
  <c r="CI421" i="16"/>
  <c r="BZ422" i="16"/>
  <c r="CA422" i="16"/>
  <c r="CB422" i="16"/>
  <c r="CC422" i="16"/>
  <c r="CD422" i="16"/>
  <c r="CE422" i="16"/>
  <c r="CF422" i="16"/>
  <c r="CG422" i="16"/>
  <c r="CH422" i="16"/>
  <c r="CI422" i="16"/>
  <c r="BZ423" i="16"/>
  <c r="CA423" i="16"/>
  <c r="CB423" i="16"/>
  <c r="CC423" i="16"/>
  <c r="CD423" i="16"/>
  <c r="CE423" i="16"/>
  <c r="CF423" i="16"/>
  <c r="CG423" i="16"/>
  <c r="CH423" i="16"/>
  <c r="CI423" i="16"/>
  <c r="BZ424" i="16"/>
  <c r="FB424" i="16" s="1"/>
  <c r="GP424" i="16" s="1"/>
  <c r="CA424" i="16"/>
  <c r="FC424" i="16" s="1"/>
  <c r="GQ424" i="16" s="1"/>
  <c r="CB424" i="16"/>
  <c r="FD424" i="16" s="1"/>
  <c r="GR424" i="16" s="1"/>
  <c r="CC424" i="16"/>
  <c r="FE424" i="16" s="1"/>
  <c r="GS424" i="16" s="1"/>
  <c r="CD424" i="16"/>
  <c r="FF424" i="16" s="1"/>
  <c r="GT424" i="16" s="1"/>
  <c r="CE424" i="16"/>
  <c r="FG424" i="16" s="1"/>
  <c r="GU424" i="16" s="1"/>
  <c r="CF424" i="16"/>
  <c r="FH424" i="16" s="1"/>
  <c r="GV424" i="16" s="1"/>
  <c r="CG424" i="16"/>
  <c r="FI424" i="16" s="1"/>
  <c r="GW424" i="16" s="1"/>
  <c r="CH424" i="16"/>
  <c r="FJ424" i="16" s="1"/>
  <c r="GX424" i="16" s="1"/>
  <c r="CI424" i="16"/>
  <c r="FK424" i="16" s="1"/>
  <c r="GY424" i="16" s="1"/>
  <c r="DN416" i="16"/>
  <c r="DO416" i="16"/>
  <c r="DP416" i="16"/>
  <c r="DQ416" i="16"/>
  <c r="DR416" i="16"/>
  <c r="DS416" i="16"/>
  <c r="DT416" i="16"/>
  <c r="DU416" i="16"/>
  <c r="DV416" i="16"/>
  <c r="DW416" i="16"/>
  <c r="DM416" i="16"/>
  <c r="FA416" i="16" s="1"/>
  <c r="GO416" i="16" s="1"/>
  <c r="CF416" i="16"/>
  <c r="CI416" i="16"/>
  <c r="CH416" i="16"/>
  <c r="CG416" i="16"/>
  <c r="CE416" i="16"/>
  <c r="CD416" i="16"/>
  <c r="FF416" i="16" s="1"/>
  <c r="GT416" i="16" s="1"/>
  <c r="CC416" i="16"/>
  <c r="CB416" i="16"/>
  <c r="FD416" i="16" s="1"/>
  <c r="GR416" i="16" s="1"/>
  <c r="CA416" i="16"/>
  <c r="BZ416" i="16"/>
  <c r="FB416" i="16" s="1"/>
  <c r="GP416" i="16" s="1"/>
  <c r="AQ426" i="16"/>
  <c r="AQ425" i="16"/>
  <c r="DM426" i="16"/>
  <c r="DN426" i="16"/>
  <c r="DO426" i="16"/>
  <c r="DP426" i="16"/>
  <c r="DQ426" i="16"/>
  <c r="DR426" i="16"/>
  <c r="DS426" i="16"/>
  <c r="DT426" i="16"/>
  <c r="DU426" i="16"/>
  <c r="DV426" i="16"/>
  <c r="DW426" i="16"/>
  <c r="DX426" i="16"/>
  <c r="DY426" i="16"/>
  <c r="DZ426" i="16"/>
  <c r="EA426" i="16"/>
  <c r="BY426" i="16"/>
  <c r="CD426" i="16"/>
  <c r="CE426" i="16"/>
  <c r="CF426" i="16"/>
  <c r="CG426" i="16"/>
  <c r="CH426" i="16"/>
  <c r="CI426" i="16"/>
  <c r="CJ426" i="16"/>
  <c r="CK426" i="16"/>
  <c r="CL426" i="16"/>
  <c r="CM426" i="16"/>
  <c r="DX425" i="16"/>
  <c r="DY425" i="16"/>
  <c r="DZ425" i="16"/>
  <c r="EA425" i="16"/>
  <c r="DW425" i="16"/>
  <c r="DS425" i="16"/>
  <c r="DT425" i="16"/>
  <c r="DU425" i="16"/>
  <c r="DV425" i="16"/>
  <c r="DR425" i="16"/>
  <c r="DO425" i="16"/>
  <c r="DP425" i="16"/>
  <c r="DQ425" i="16"/>
  <c r="DN425" i="16"/>
  <c r="DM425" i="16"/>
  <c r="CM425" i="16"/>
  <c r="FO425" i="16" s="1"/>
  <c r="HC425" i="16" s="1"/>
  <c r="CL425" i="16"/>
  <c r="CK425" i="16"/>
  <c r="FM425" i="16" s="1"/>
  <c r="HA425" i="16" s="1"/>
  <c r="CJ425" i="16"/>
  <c r="CI425" i="16"/>
  <c r="CH425" i="16"/>
  <c r="FJ425" i="16" s="1"/>
  <c r="GX425" i="16" s="1"/>
  <c r="CG425" i="16"/>
  <c r="CF425" i="16"/>
  <c r="FH425" i="16" s="1"/>
  <c r="GV425" i="16" s="1"/>
  <c r="CE425" i="16"/>
  <c r="CD425" i="16"/>
  <c r="BY425" i="16"/>
  <c r="CC425" i="16" s="1"/>
  <c r="AQ375" i="16"/>
  <c r="AQ376" i="16"/>
  <c r="AQ377" i="16"/>
  <c r="AQ378" i="16"/>
  <c r="AQ379" i="16"/>
  <c r="AQ380" i="16"/>
  <c r="AQ381" i="16"/>
  <c r="AQ382" i="16"/>
  <c r="AQ374" i="16"/>
  <c r="DM375" i="16"/>
  <c r="FA375" i="16" s="1"/>
  <c r="GO375" i="16" s="1"/>
  <c r="DN375" i="16"/>
  <c r="FB375" i="16" s="1"/>
  <c r="GP375" i="16" s="1"/>
  <c r="DO375" i="16"/>
  <c r="DP375" i="16"/>
  <c r="DQ375" i="16"/>
  <c r="DR375" i="16"/>
  <c r="DS375" i="16"/>
  <c r="DM376" i="16"/>
  <c r="FA376" i="16" s="1"/>
  <c r="GO376" i="16" s="1"/>
  <c r="DN376" i="16"/>
  <c r="FB376" i="16" s="1"/>
  <c r="GP376" i="16" s="1"/>
  <c r="DO376" i="16"/>
  <c r="DP376" i="16"/>
  <c r="DQ376" i="16"/>
  <c r="DR376" i="16"/>
  <c r="DS376" i="16"/>
  <c r="DM377" i="16"/>
  <c r="FA377" i="16" s="1"/>
  <c r="GO377" i="16" s="1"/>
  <c r="DN377" i="16"/>
  <c r="FB377" i="16" s="1"/>
  <c r="GP377" i="16" s="1"/>
  <c r="DO377" i="16"/>
  <c r="DP377" i="16"/>
  <c r="DQ377" i="16"/>
  <c r="DR377" i="16"/>
  <c r="DS377" i="16"/>
  <c r="DM378" i="16"/>
  <c r="FA378" i="16" s="1"/>
  <c r="GO378" i="16" s="1"/>
  <c r="DN378" i="16"/>
  <c r="FB378" i="16" s="1"/>
  <c r="GP378" i="16" s="1"/>
  <c r="DO378" i="16"/>
  <c r="DP378" i="16"/>
  <c r="DQ378" i="16"/>
  <c r="DR378" i="16"/>
  <c r="DS378" i="16"/>
  <c r="DM379" i="16"/>
  <c r="FA379" i="16" s="1"/>
  <c r="GO379" i="16" s="1"/>
  <c r="DN379" i="16"/>
  <c r="FB379" i="16" s="1"/>
  <c r="GP379" i="16" s="1"/>
  <c r="DO379" i="16"/>
  <c r="DP379" i="16"/>
  <c r="DQ379" i="16"/>
  <c r="DR379" i="16"/>
  <c r="DS379" i="16"/>
  <c r="DM380" i="16"/>
  <c r="FA380" i="16" s="1"/>
  <c r="GO380" i="16" s="1"/>
  <c r="DN380" i="16"/>
  <c r="FB380" i="16" s="1"/>
  <c r="GP380" i="16" s="1"/>
  <c r="DO380" i="16"/>
  <c r="DP380" i="16"/>
  <c r="DQ380" i="16"/>
  <c r="DR380" i="16"/>
  <c r="DS380" i="16"/>
  <c r="DM381" i="16"/>
  <c r="FA381" i="16" s="1"/>
  <c r="GO381" i="16" s="1"/>
  <c r="DN381" i="16"/>
  <c r="FB381" i="16" s="1"/>
  <c r="GP381" i="16" s="1"/>
  <c r="DO381" i="16"/>
  <c r="DP381" i="16"/>
  <c r="DQ381" i="16"/>
  <c r="DR381" i="16"/>
  <c r="DS381" i="16"/>
  <c r="DM382" i="16"/>
  <c r="FA382" i="16" s="1"/>
  <c r="GO382" i="16" s="1"/>
  <c r="DN382" i="16"/>
  <c r="FB382" i="16" s="1"/>
  <c r="GP382" i="16" s="1"/>
  <c r="DO382" i="16"/>
  <c r="DP382" i="16"/>
  <c r="DQ382" i="16"/>
  <c r="DR382" i="16"/>
  <c r="DS382" i="16"/>
  <c r="CA375" i="16"/>
  <c r="CB375" i="16"/>
  <c r="CC375" i="16"/>
  <c r="CD375" i="16"/>
  <c r="CE375" i="16"/>
  <c r="CA376" i="16"/>
  <c r="FC376" i="16" s="1"/>
  <c r="GQ376" i="16" s="1"/>
  <c r="CB376" i="16"/>
  <c r="FD376" i="16" s="1"/>
  <c r="GR376" i="16" s="1"/>
  <c r="CC376" i="16"/>
  <c r="FE376" i="16" s="1"/>
  <c r="GS376" i="16" s="1"/>
  <c r="CD376" i="16"/>
  <c r="FF376" i="16" s="1"/>
  <c r="GT376" i="16" s="1"/>
  <c r="CE376" i="16"/>
  <c r="FG376" i="16" s="1"/>
  <c r="GU376" i="16" s="1"/>
  <c r="CA377" i="16"/>
  <c r="CB377" i="16"/>
  <c r="CC377" i="16"/>
  <c r="CD377" i="16"/>
  <c r="CE377" i="16"/>
  <c r="CA378" i="16"/>
  <c r="FC378" i="16" s="1"/>
  <c r="GQ378" i="16" s="1"/>
  <c r="CB378" i="16"/>
  <c r="FD378" i="16" s="1"/>
  <c r="GR378" i="16" s="1"/>
  <c r="CC378" i="16"/>
  <c r="FE378" i="16" s="1"/>
  <c r="GS378" i="16" s="1"/>
  <c r="CD378" i="16"/>
  <c r="FF378" i="16" s="1"/>
  <c r="GT378" i="16" s="1"/>
  <c r="CE378" i="16"/>
  <c r="FG378" i="16" s="1"/>
  <c r="GU378" i="16" s="1"/>
  <c r="CA379" i="16"/>
  <c r="CB379" i="16"/>
  <c r="CC379" i="16"/>
  <c r="CD379" i="16"/>
  <c r="CE379" i="16"/>
  <c r="CA380" i="16"/>
  <c r="FC380" i="16" s="1"/>
  <c r="GQ380" i="16" s="1"/>
  <c r="CB380" i="16"/>
  <c r="FD380" i="16" s="1"/>
  <c r="GR380" i="16" s="1"/>
  <c r="CC380" i="16"/>
  <c r="FE380" i="16" s="1"/>
  <c r="GS380" i="16" s="1"/>
  <c r="CD380" i="16"/>
  <c r="FF380" i="16" s="1"/>
  <c r="GT380" i="16" s="1"/>
  <c r="CE380" i="16"/>
  <c r="FG380" i="16" s="1"/>
  <c r="GU380" i="16" s="1"/>
  <c r="CA381" i="16"/>
  <c r="CB381" i="16"/>
  <c r="CC381" i="16"/>
  <c r="CD381" i="16"/>
  <c r="CE381" i="16"/>
  <c r="CA382" i="16"/>
  <c r="FC382" i="16" s="1"/>
  <c r="GQ382" i="16" s="1"/>
  <c r="CB382" i="16"/>
  <c r="FD382" i="16" s="1"/>
  <c r="GR382" i="16" s="1"/>
  <c r="CC382" i="16"/>
  <c r="CD382" i="16"/>
  <c r="FF382" i="16" s="1"/>
  <c r="GT382" i="16" s="1"/>
  <c r="CE382" i="16"/>
  <c r="FG382" i="16" s="1"/>
  <c r="GU382" i="16" s="1"/>
  <c r="DS374" i="16"/>
  <c r="DR374" i="16"/>
  <c r="DQ374" i="16"/>
  <c r="DP374" i="16"/>
  <c r="DO374" i="16"/>
  <c r="DN374" i="16"/>
  <c r="FB374" i="16" s="1"/>
  <c r="GP374" i="16" s="1"/>
  <c r="DM374" i="16"/>
  <c r="FA374" i="16" s="1"/>
  <c r="GO374" i="16" s="1"/>
  <c r="CE374" i="16"/>
  <c r="CD374" i="16"/>
  <c r="CC374" i="16"/>
  <c r="CB374" i="16"/>
  <c r="CA374" i="16"/>
  <c r="FE278" i="16" l="1"/>
  <c r="GS278" i="16" s="1"/>
  <c r="CC322" i="16"/>
  <c r="FE322" i="16" s="1"/>
  <c r="GS322" i="16" s="1"/>
  <c r="CK361" i="16"/>
  <c r="FM361" i="16" s="1"/>
  <c r="HA361" i="16" s="1"/>
  <c r="CC330" i="16"/>
  <c r="FE330" i="16" s="1"/>
  <c r="GS330" i="16" s="1"/>
  <c r="FD330" i="16"/>
  <c r="GR330" i="16" s="1"/>
  <c r="CI360" i="16"/>
  <c r="FK360" i="16" s="1"/>
  <c r="GY360" i="16" s="1"/>
  <c r="CF296" i="16"/>
  <c r="CG296" i="16" s="1"/>
  <c r="FI296" i="16" s="1"/>
  <c r="GW296" i="16" s="1"/>
  <c r="CI364" i="16"/>
  <c r="FK364" i="16" s="1"/>
  <c r="GY364" i="16" s="1"/>
  <c r="CJ364" i="16"/>
  <c r="FL364" i="16" s="1"/>
  <c r="GZ364" i="16" s="1"/>
  <c r="FJ364" i="16"/>
  <c r="GX364" i="16" s="1"/>
  <c r="CD331" i="16"/>
  <c r="FF331" i="16" s="1"/>
  <c r="GT331" i="16" s="1"/>
  <c r="FI388" i="16"/>
  <c r="GW388" i="16" s="1"/>
  <c r="CI361" i="16"/>
  <c r="FK361" i="16" s="1"/>
  <c r="GY361" i="16" s="1"/>
  <c r="CC331" i="16"/>
  <c r="FE331" i="16" s="1"/>
  <c r="GS331" i="16" s="1"/>
  <c r="FK425" i="16"/>
  <c r="GY425" i="16" s="1"/>
  <c r="CJ361" i="16"/>
  <c r="FL361" i="16" s="1"/>
  <c r="GZ361" i="16" s="1"/>
  <c r="CH328" i="16"/>
  <c r="CI328" i="16" s="1"/>
  <c r="CE346" i="16"/>
  <c r="CF346" i="16" s="1"/>
  <c r="CJ388" i="16"/>
  <c r="FL388" i="16" s="1"/>
  <c r="GZ388" i="16" s="1"/>
  <c r="FI385" i="16"/>
  <c r="GW385" i="16" s="1"/>
  <c r="FF301" i="16"/>
  <c r="GT301" i="16" s="1"/>
  <c r="CQ397" i="16"/>
  <c r="FS397" i="16" s="1"/>
  <c r="HG397" i="16" s="1"/>
  <c r="FP397" i="16"/>
  <c r="HD397" i="16" s="1"/>
  <c r="CK362" i="16"/>
  <c r="FM362" i="16" s="1"/>
  <c r="HA362" i="16" s="1"/>
  <c r="CP397" i="16"/>
  <c r="FR397" i="16" s="1"/>
  <c r="HF397" i="16" s="1"/>
  <c r="CI362" i="16"/>
  <c r="FK362" i="16" s="1"/>
  <c r="GY362" i="16" s="1"/>
  <c r="CJ362" i="16"/>
  <c r="FL362" i="16" s="1"/>
  <c r="GZ362" i="16" s="1"/>
  <c r="CF328" i="16"/>
  <c r="FH328" i="16" s="1"/>
  <c r="GV328" i="16" s="1"/>
  <c r="CE328" i="16"/>
  <c r="FG328" i="16" s="1"/>
  <c r="GU328" i="16" s="1"/>
  <c r="CE301" i="16"/>
  <c r="FG301" i="16" s="1"/>
  <c r="GU301" i="16" s="1"/>
  <c r="FI383" i="16"/>
  <c r="GW383" i="16" s="1"/>
  <c r="CG328" i="16"/>
  <c r="FI328" i="16" s="1"/>
  <c r="GW328" i="16" s="1"/>
  <c r="CI388" i="16"/>
  <c r="FK388" i="16" s="1"/>
  <c r="GY388" i="16" s="1"/>
  <c r="FE390" i="16"/>
  <c r="GS390" i="16" s="1"/>
  <c r="CC346" i="16"/>
  <c r="FE346" i="16" s="1"/>
  <c r="GS346" i="16" s="1"/>
  <c r="CG387" i="16"/>
  <c r="FI387" i="16" s="1"/>
  <c r="GW387" i="16" s="1"/>
  <c r="FD346" i="16"/>
  <c r="GR346" i="16" s="1"/>
  <c r="FG325" i="16"/>
  <c r="GU325" i="16" s="1"/>
  <c r="CG325" i="16"/>
  <c r="FI325" i="16" s="1"/>
  <c r="GW325" i="16" s="1"/>
  <c r="CF325" i="16"/>
  <c r="FH325" i="16" s="1"/>
  <c r="GV325" i="16" s="1"/>
  <c r="CG324" i="16"/>
  <c r="FI324" i="16" s="1"/>
  <c r="GW324" i="16" s="1"/>
  <c r="CE387" i="16"/>
  <c r="FG387" i="16" s="1"/>
  <c r="GU387" i="16" s="1"/>
  <c r="FF325" i="16"/>
  <c r="GT325" i="16" s="1"/>
  <c r="FD387" i="16"/>
  <c r="GR387" i="16" s="1"/>
  <c r="CF324" i="16"/>
  <c r="FH324" i="16" s="1"/>
  <c r="GV324" i="16" s="1"/>
  <c r="CC387" i="16"/>
  <c r="FE387" i="16" s="1"/>
  <c r="GS387" i="16" s="1"/>
  <c r="CD387" i="16"/>
  <c r="FF387" i="16" s="1"/>
  <c r="GT387" i="16" s="1"/>
  <c r="CD384" i="16"/>
  <c r="FF384" i="16" s="1"/>
  <c r="GT384" i="16" s="1"/>
  <c r="CF384" i="16"/>
  <c r="FH384" i="16" s="1"/>
  <c r="GV384" i="16" s="1"/>
  <c r="CE384" i="16"/>
  <c r="FG384" i="16" s="1"/>
  <c r="GU384" i="16" s="1"/>
  <c r="CG384" i="16"/>
  <c r="CJ360" i="16"/>
  <c r="FL360" i="16" s="1"/>
  <c r="GZ360" i="16" s="1"/>
  <c r="FD384" i="16"/>
  <c r="GR384" i="16" s="1"/>
  <c r="FE307" i="16"/>
  <c r="GS307" i="16" s="1"/>
  <c r="CF313" i="16"/>
  <c r="FH313" i="16" s="1"/>
  <c r="GV313" i="16" s="1"/>
  <c r="CK360" i="16"/>
  <c r="FM360" i="16" s="1"/>
  <c r="HA360" i="16" s="1"/>
  <c r="CC384" i="16"/>
  <c r="FE384" i="16" s="1"/>
  <c r="GS384" i="16" s="1"/>
  <c r="CG313" i="16"/>
  <c r="CH313" i="16" s="1"/>
  <c r="CD322" i="16"/>
  <c r="FF322" i="16" s="1"/>
  <c r="GT322" i="16" s="1"/>
  <c r="CF322" i="16"/>
  <c r="FD322" i="16"/>
  <c r="GR322" i="16" s="1"/>
  <c r="CE233" i="16"/>
  <c r="FG233" i="16" s="1"/>
  <c r="GU233" i="16" s="1"/>
  <c r="FF233" i="16"/>
  <c r="GT233" i="16" s="1"/>
  <c r="CF233" i="16"/>
  <c r="FH233" i="16" s="1"/>
  <c r="GV233" i="16" s="1"/>
  <c r="FF278" i="16"/>
  <c r="GT278" i="16" s="1"/>
  <c r="CE278" i="16"/>
  <c r="FG278" i="16" s="1"/>
  <c r="GU278" i="16" s="1"/>
  <c r="CF278" i="16"/>
  <c r="FH278" i="16" s="1"/>
  <c r="GV278" i="16" s="1"/>
  <c r="CO255" i="16"/>
  <c r="FQ255" i="16" s="1"/>
  <c r="HE255" i="16" s="1"/>
  <c r="FP255" i="16"/>
  <c r="HD255" i="16" s="1"/>
  <c r="CO258" i="16"/>
  <c r="FP258" i="16"/>
  <c r="HD258" i="16" s="1"/>
  <c r="CC405" i="16"/>
  <c r="FE405" i="16" s="1"/>
  <c r="GS405" i="16" s="1"/>
  <c r="CG237" i="16"/>
  <c r="FI237" i="16" s="1"/>
  <c r="GW237" i="16" s="1"/>
  <c r="CJ237" i="16"/>
  <c r="FL237" i="16" s="1"/>
  <c r="GZ237" i="16" s="1"/>
  <c r="CI237" i="16"/>
  <c r="FK237" i="16" s="1"/>
  <c r="GY237" i="16" s="1"/>
  <c r="FH237" i="16"/>
  <c r="GV237" i="16" s="1"/>
  <c r="CH237" i="16"/>
  <c r="FJ237" i="16" s="1"/>
  <c r="GX237" i="16" s="1"/>
  <c r="FY245" i="16"/>
  <c r="HM245" i="16" s="1"/>
  <c r="CX245" i="16"/>
  <c r="FZ245" i="16" s="1"/>
  <c r="HN245" i="16" s="1"/>
  <c r="FH244" i="16"/>
  <c r="GV244" i="16" s="1"/>
  <c r="CG244" i="16"/>
  <c r="CF287" i="16"/>
  <c r="FG287" i="16"/>
  <c r="GU287" i="16" s="1"/>
  <c r="CO260" i="16"/>
  <c r="FP260" i="16"/>
  <c r="HD260" i="16" s="1"/>
  <c r="CO257" i="16"/>
  <c r="FP257" i="16"/>
  <c r="HD257" i="16" s="1"/>
  <c r="FY246" i="16"/>
  <c r="HM246" i="16" s="1"/>
  <c r="CX246" i="16"/>
  <c r="CO259" i="16"/>
  <c r="FP259" i="16"/>
  <c r="HD259" i="16" s="1"/>
  <c r="FK234" i="16"/>
  <c r="GY234" i="16" s="1"/>
  <c r="CK234" i="16"/>
  <c r="FM234" i="16" s="1"/>
  <c r="HA234" i="16" s="1"/>
  <c r="CJ234" i="16"/>
  <c r="FL234" i="16" s="1"/>
  <c r="GZ234" i="16" s="1"/>
  <c r="FE289" i="16"/>
  <c r="GS289" i="16" s="1"/>
  <c r="CD289" i="16"/>
  <c r="CF285" i="16"/>
  <c r="FG285" i="16"/>
  <c r="GU285" i="16" s="1"/>
  <c r="BZ412" i="16"/>
  <c r="FB412" i="16" s="1"/>
  <c r="FE410" i="16"/>
  <c r="GS410" i="16" s="1"/>
  <c r="CU299" i="16"/>
  <c r="FW299" i="16" s="1"/>
  <c r="HK299" i="16" s="1"/>
  <c r="FV299" i="16"/>
  <c r="HJ299" i="16" s="1"/>
  <c r="CK302" i="16"/>
  <c r="CT298" i="16"/>
  <c r="FU298" i="16"/>
  <c r="HI298" i="16" s="1"/>
  <c r="FO404" i="16"/>
  <c r="HC404" i="16" s="1"/>
  <c r="CD405" i="16"/>
  <c r="FF405" i="16" s="1"/>
  <c r="GT405" i="16" s="1"/>
  <c r="CG312" i="16"/>
  <c r="FI312" i="16" s="1"/>
  <c r="GW312" i="16" s="1"/>
  <c r="CU300" i="16"/>
  <c r="FW300" i="16" s="1"/>
  <c r="HK300" i="16" s="1"/>
  <c r="FV300" i="16"/>
  <c r="HJ300" i="16" s="1"/>
  <c r="FA403" i="16"/>
  <c r="GO403" i="16" s="1"/>
  <c r="CI385" i="16"/>
  <c r="FK385" i="16" s="1"/>
  <c r="GY385" i="16" s="1"/>
  <c r="CF312" i="16"/>
  <c r="FH312" i="16" s="1"/>
  <c r="GV312" i="16" s="1"/>
  <c r="CL304" i="16"/>
  <c r="FH296" i="16"/>
  <c r="GV296" i="16" s="1"/>
  <c r="CH296" i="16"/>
  <c r="FJ296" i="16" s="1"/>
  <c r="GX296" i="16" s="1"/>
  <c r="CL303" i="16"/>
  <c r="FL425" i="16"/>
  <c r="GZ425" i="16" s="1"/>
  <c r="FK413" i="16"/>
  <c r="GY413" i="16" s="1"/>
  <c r="FB405" i="16"/>
  <c r="GP405" i="16" s="1"/>
  <c r="CC406" i="16"/>
  <c r="FE406" i="16" s="1"/>
  <c r="GS406" i="16" s="1"/>
  <c r="CH312" i="16"/>
  <c r="FJ312" i="16" s="1"/>
  <c r="GX312" i="16" s="1"/>
  <c r="CB401" i="16"/>
  <c r="CY401" i="16" s="1"/>
  <c r="GA401" i="16" s="1"/>
  <c r="HO401" i="16" s="1"/>
  <c r="CD386" i="16"/>
  <c r="FF386" i="16" s="1"/>
  <c r="GT386" i="16" s="1"/>
  <c r="CF386" i="16"/>
  <c r="FH386" i="16" s="1"/>
  <c r="GV386" i="16" s="1"/>
  <c r="CG386" i="16"/>
  <c r="CE386" i="16"/>
  <c r="FG386" i="16" s="1"/>
  <c r="GU386" i="16" s="1"/>
  <c r="CC386" i="16"/>
  <c r="FE386" i="16" s="1"/>
  <c r="GS386" i="16" s="1"/>
  <c r="FD386" i="16"/>
  <c r="GR386" i="16" s="1"/>
  <c r="FE382" i="16"/>
  <c r="GS382" i="16" s="1"/>
  <c r="FE425" i="16"/>
  <c r="GS425" i="16" s="1"/>
  <c r="FH423" i="16"/>
  <c r="GV423" i="16" s="1"/>
  <c r="FD423" i="16"/>
  <c r="GR423" i="16" s="1"/>
  <c r="CE312" i="16"/>
  <c r="FG312" i="16" s="1"/>
  <c r="GU312" i="16" s="1"/>
  <c r="CC314" i="16"/>
  <c r="FE314" i="16" s="1"/>
  <c r="GS314" i="16" s="1"/>
  <c r="CD314" i="16"/>
  <c r="FD314" i="16"/>
  <c r="GR314" i="16" s="1"/>
  <c r="CK358" i="16"/>
  <c r="FM358" i="16" s="1"/>
  <c r="HA358" i="16" s="1"/>
  <c r="CJ358" i="16"/>
  <c r="FL358" i="16" s="1"/>
  <c r="GZ358" i="16" s="1"/>
  <c r="CL358" i="16"/>
  <c r="FN358" i="16" s="1"/>
  <c r="HB358" i="16" s="1"/>
  <c r="FK358" i="16"/>
  <c r="GY358" i="16" s="1"/>
  <c r="CJ385" i="16"/>
  <c r="FL385" i="16" s="1"/>
  <c r="GZ385" i="16" s="1"/>
  <c r="CG363" i="16"/>
  <c r="FI363" i="16" s="1"/>
  <c r="GW363" i="16" s="1"/>
  <c r="CF363" i="16"/>
  <c r="FH363" i="16" s="1"/>
  <c r="GV363" i="16" s="1"/>
  <c r="FG363" i="16"/>
  <c r="GU363" i="16" s="1"/>
  <c r="FK356" i="16"/>
  <c r="GY356" i="16" s="1"/>
  <c r="CJ356" i="16"/>
  <c r="CC315" i="16"/>
  <c r="FE315" i="16" s="1"/>
  <c r="GS315" i="16" s="1"/>
  <c r="FD315" i="16"/>
  <c r="GR315" i="16" s="1"/>
  <c r="CD315" i="16"/>
  <c r="CE391" i="16"/>
  <c r="FG391" i="16" s="1"/>
  <c r="GU391" i="16" s="1"/>
  <c r="FF391" i="16"/>
  <c r="GT391" i="16" s="1"/>
  <c r="CN368" i="16"/>
  <c r="FP368" i="16" s="1"/>
  <c r="FO368" i="16"/>
  <c r="CF366" i="16"/>
  <c r="FH366" i="16" s="1"/>
  <c r="GV366" i="16" s="1"/>
  <c r="CE366" i="16"/>
  <c r="FG366" i="16" s="1"/>
  <c r="GU366" i="16" s="1"/>
  <c r="CH366" i="16"/>
  <c r="CC366" i="16"/>
  <c r="FE366" i="16" s="1"/>
  <c r="GS366" i="16" s="1"/>
  <c r="FD366" i="16"/>
  <c r="GR366" i="16" s="1"/>
  <c r="CD366" i="16"/>
  <c r="FF366" i="16" s="1"/>
  <c r="GT366" i="16" s="1"/>
  <c r="CG366" i="16"/>
  <c r="FI366" i="16" s="1"/>
  <c r="GW366" i="16" s="1"/>
  <c r="FI348" i="16"/>
  <c r="GW348" i="16" s="1"/>
  <c r="CH348" i="16"/>
  <c r="FJ348" i="16" s="1"/>
  <c r="GX348" i="16" s="1"/>
  <c r="FG349" i="16"/>
  <c r="GU349" i="16" s="1"/>
  <c r="CG349" i="16"/>
  <c r="FI349" i="16" s="1"/>
  <c r="GW349" i="16" s="1"/>
  <c r="CF349" i="16"/>
  <c r="FH349" i="16" s="1"/>
  <c r="GV349" i="16" s="1"/>
  <c r="FJ355" i="16"/>
  <c r="GX355" i="16" s="1"/>
  <c r="CJ355" i="16"/>
  <c r="FL355" i="16" s="1"/>
  <c r="GZ355" i="16" s="1"/>
  <c r="CI355" i="16"/>
  <c r="FK355" i="16" s="1"/>
  <c r="GY355" i="16" s="1"/>
  <c r="CD310" i="16"/>
  <c r="FF310" i="16" s="1"/>
  <c r="GT310" i="16" s="1"/>
  <c r="FE310" i="16"/>
  <c r="GS310" i="16" s="1"/>
  <c r="CE318" i="16"/>
  <c r="FG318" i="16" s="1"/>
  <c r="GU318" i="16" s="1"/>
  <c r="CH318" i="16"/>
  <c r="CD318" i="16"/>
  <c r="FF318" i="16" s="1"/>
  <c r="GT318" i="16" s="1"/>
  <c r="CG318" i="16"/>
  <c r="FI318" i="16" s="1"/>
  <c r="GW318" i="16" s="1"/>
  <c r="FD318" i="16"/>
  <c r="GR318" i="16" s="1"/>
  <c r="CF318" i="16"/>
  <c r="FH318" i="16" s="1"/>
  <c r="GV318" i="16" s="1"/>
  <c r="CC318" i="16"/>
  <c r="FE318" i="16" s="1"/>
  <c r="GS318" i="16" s="1"/>
  <c r="FC405" i="16"/>
  <c r="GQ405" i="16" s="1"/>
  <c r="CD406" i="16"/>
  <c r="FF406" i="16" s="1"/>
  <c r="GT406" i="16" s="1"/>
  <c r="CE313" i="16"/>
  <c r="FG313" i="16" s="1"/>
  <c r="GU313" i="16" s="1"/>
  <c r="FF333" i="16"/>
  <c r="GT333" i="16" s="1"/>
  <c r="CF333" i="16"/>
  <c r="FH333" i="16" s="1"/>
  <c r="GV333" i="16" s="1"/>
  <c r="CE333" i="16"/>
  <c r="FG333" i="16" s="1"/>
  <c r="GU333" i="16" s="1"/>
  <c r="FF330" i="16"/>
  <c r="GT330" i="16" s="1"/>
  <c r="CE330" i="16"/>
  <c r="CE316" i="16"/>
  <c r="FG316" i="16" s="1"/>
  <c r="GU316" i="16" s="1"/>
  <c r="CD316" i="16"/>
  <c r="FF316" i="16" s="1"/>
  <c r="GT316" i="16" s="1"/>
  <c r="CC316" i="16"/>
  <c r="FE316" i="16" s="1"/>
  <c r="GS316" i="16" s="1"/>
  <c r="FD316" i="16"/>
  <c r="GR316" i="16" s="1"/>
  <c r="CF316" i="16"/>
  <c r="FH316" i="16" s="1"/>
  <c r="GV316" i="16" s="1"/>
  <c r="CG316" i="16"/>
  <c r="FE389" i="16"/>
  <c r="GS389" i="16" s="1"/>
  <c r="CD389" i="16"/>
  <c r="CE390" i="16"/>
  <c r="FG390" i="16" s="1"/>
  <c r="GU390" i="16" s="1"/>
  <c r="FF390" i="16"/>
  <c r="GT390" i="16" s="1"/>
  <c r="CC347" i="16"/>
  <c r="FE347" i="16" s="1"/>
  <c r="GS347" i="16" s="1"/>
  <c r="FD347" i="16"/>
  <c r="GR347" i="16" s="1"/>
  <c r="CE347" i="16"/>
  <c r="CD347" i="16"/>
  <c r="FF347" i="16" s="1"/>
  <c r="GT347" i="16" s="1"/>
  <c r="CC319" i="16"/>
  <c r="CF319" i="16"/>
  <c r="CG319" i="16"/>
  <c r="CE319" i="16"/>
  <c r="CD319" i="16"/>
  <c r="CD338" i="16"/>
  <c r="FE338" i="16"/>
  <c r="GS338" i="16" s="1"/>
  <c r="CN372" i="16"/>
  <c r="FP372" i="16" s="1"/>
  <c r="FO372" i="16"/>
  <c r="CC336" i="16"/>
  <c r="FD336" i="16"/>
  <c r="GR336" i="16" s="1"/>
  <c r="FD311" i="16"/>
  <c r="GR311" i="16" s="1"/>
  <c r="CC311" i="16"/>
  <c r="CE406" i="16"/>
  <c r="FG406" i="16" s="1"/>
  <c r="GU406" i="16" s="1"/>
  <c r="CC323" i="16"/>
  <c r="FE323" i="16" s="1"/>
  <c r="GS323" i="16" s="1"/>
  <c r="FD323" i="16"/>
  <c r="GR323" i="16" s="1"/>
  <c r="CD323" i="16"/>
  <c r="FF323" i="16" s="1"/>
  <c r="GT323" i="16" s="1"/>
  <c r="CE323" i="16"/>
  <c r="FG323" i="16" s="1"/>
  <c r="GU323" i="16" s="1"/>
  <c r="CF323" i="16"/>
  <c r="FI305" i="16"/>
  <c r="GW305" i="16" s="1"/>
  <c r="CH305" i="16"/>
  <c r="CJ383" i="16"/>
  <c r="FL383" i="16" s="1"/>
  <c r="GZ383" i="16" s="1"/>
  <c r="CI383" i="16"/>
  <c r="FK383" i="16" s="1"/>
  <c r="GY383" i="16" s="1"/>
  <c r="FJ383" i="16"/>
  <c r="GX383" i="16" s="1"/>
  <c r="CI345" i="16"/>
  <c r="CH345" i="16"/>
  <c r="CG345" i="16"/>
  <c r="CN345" i="16"/>
  <c r="CR345" i="16"/>
  <c r="CJ345" i="16"/>
  <c r="CQ345" i="16"/>
  <c r="CP345" i="16"/>
  <c r="CO345" i="16"/>
  <c r="CM345" i="16"/>
  <c r="CL345" i="16"/>
  <c r="CK345" i="16"/>
  <c r="CG329" i="16"/>
  <c r="CF329" i="16"/>
  <c r="FH329" i="16" s="1"/>
  <c r="GV329" i="16" s="1"/>
  <c r="CE329" i="16"/>
  <c r="FG329" i="16" s="1"/>
  <c r="GU329" i="16" s="1"/>
  <c r="FF329" i="16"/>
  <c r="GT329" i="16" s="1"/>
  <c r="CD402" i="16"/>
  <c r="FE402" i="16"/>
  <c r="GS402" i="16" s="1"/>
  <c r="CG357" i="16"/>
  <c r="FI357" i="16" s="1"/>
  <c r="GW357" i="16" s="1"/>
  <c r="CH357" i="16"/>
  <c r="FJ357" i="16" s="1"/>
  <c r="GX357" i="16" s="1"/>
  <c r="FF357" i="16"/>
  <c r="GT357" i="16" s="1"/>
  <c r="CF357" i="16"/>
  <c r="FH357" i="16" s="1"/>
  <c r="GV357" i="16" s="1"/>
  <c r="CI357" i="16"/>
  <c r="CE357" i="16"/>
  <c r="FG357" i="16" s="1"/>
  <c r="GU357" i="16" s="1"/>
  <c r="CI370" i="16"/>
  <c r="FK370" i="16" s="1"/>
  <c r="FJ370" i="16"/>
  <c r="CI373" i="16"/>
  <c r="FK373" i="16" s="1"/>
  <c r="FJ373" i="16"/>
  <c r="CB340" i="16"/>
  <c r="FC340" i="16"/>
  <c r="GQ340" i="16" s="1"/>
  <c r="CF332" i="16"/>
  <c r="CE332" i="16"/>
  <c r="FE306" i="16"/>
  <c r="GS306" i="16" s="1"/>
  <c r="CD306" i="16"/>
  <c r="CB309" i="16"/>
  <c r="FC309" i="16"/>
  <c r="GQ309" i="16" s="1"/>
  <c r="FE403" i="16"/>
  <c r="GS403" i="16" s="1"/>
  <c r="CD400" i="16"/>
  <c r="FF400" i="16" s="1"/>
  <c r="GT400" i="16" s="1"/>
  <c r="FE400" i="16"/>
  <c r="GS400" i="16" s="1"/>
  <c r="CN367" i="16"/>
  <c r="FP367" i="16" s="1"/>
  <c r="FO367" i="16"/>
  <c r="CN371" i="16"/>
  <c r="FP371" i="16" s="1"/>
  <c r="FO371" i="16"/>
  <c r="CH392" i="16"/>
  <c r="FJ392" i="16" s="1"/>
  <c r="GX392" i="16" s="1"/>
  <c r="CI392" i="16"/>
  <c r="FK392" i="16" s="1"/>
  <c r="GY392" i="16" s="1"/>
  <c r="FI392" i="16"/>
  <c r="GW392" i="16" s="1"/>
  <c r="CC335" i="16"/>
  <c r="FD335" i="16"/>
  <c r="GR335" i="16" s="1"/>
  <c r="CD337" i="16"/>
  <c r="FE337" i="16"/>
  <c r="GS337" i="16" s="1"/>
  <c r="CC317" i="16"/>
  <c r="FE317" i="16" s="1"/>
  <c r="GS317" i="16" s="1"/>
  <c r="FD317" i="16"/>
  <c r="GR317" i="16" s="1"/>
  <c r="CF317" i="16"/>
  <c r="FH317" i="16" s="1"/>
  <c r="GV317" i="16" s="1"/>
  <c r="CG317" i="16"/>
  <c r="CE317" i="16"/>
  <c r="FG317" i="16" s="1"/>
  <c r="GU317" i="16" s="1"/>
  <c r="CD317" i="16"/>
  <c r="FF317" i="16" s="1"/>
  <c r="GT317" i="16" s="1"/>
  <c r="GO399" i="16"/>
  <c r="GO398" i="16"/>
  <c r="GO396" i="16"/>
  <c r="FJ405" i="16"/>
  <c r="GX405" i="16" s="1"/>
  <c r="FB404" i="16"/>
  <c r="GP404" i="16" s="1"/>
  <c r="CF405" i="16"/>
  <c r="FH405" i="16" s="1"/>
  <c r="GV405" i="16" s="1"/>
  <c r="CB405" i="16"/>
  <c r="FD405" i="16" s="1"/>
  <c r="GR405" i="16" s="1"/>
  <c r="CG405" i="16"/>
  <c r="FI405" i="16" s="1"/>
  <c r="GW405" i="16" s="1"/>
  <c r="CG406" i="16"/>
  <c r="FI406" i="16" s="1"/>
  <c r="GW406" i="16" s="1"/>
  <c r="FP396" i="16"/>
  <c r="HD396" i="16" s="1"/>
  <c r="FK405" i="16"/>
  <c r="GY405" i="16" s="1"/>
  <c r="CJ405" i="16"/>
  <c r="FL405" i="16" s="1"/>
  <c r="GZ405" i="16" s="1"/>
  <c r="CF404" i="16"/>
  <c r="FH404" i="16" s="1"/>
  <c r="GV404" i="16" s="1"/>
  <c r="CN404" i="16"/>
  <c r="GO407" i="16"/>
  <c r="CC404" i="16"/>
  <c r="FE404" i="16" s="1"/>
  <c r="GS404" i="16" s="1"/>
  <c r="CG404" i="16"/>
  <c r="FI404" i="16" s="1"/>
  <c r="GW404" i="16" s="1"/>
  <c r="CK404" i="16"/>
  <c r="FM404" i="16" s="1"/>
  <c r="HA404" i="16" s="1"/>
  <c r="CA403" i="16"/>
  <c r="FC403" i="16" s="1"/>
  <c r="GQ403" i="16" s="1"/>
  <c r="CJ404" i="16"/>
  <c r="FL404" i="16" s="1"/>
  <c r="GZ404" i="16" s="1"/>
  <c r="CD403" i="16"/>
  <c r="FE374" i="16"/>
  <c r="GS374" i="16" s="1"/>
  <c r="FK414" i="16"/>
  <c r="GY414" i="16" s="1"/>
  <c r="FE408" i="16"/>
  <c r="GS408" i="16" s="1"/>
  <c r="CD404" i="16"/>
  <c r="FF404" i="16" s="1"/>
  <c r="GT404" i="16" s="1"/>
  <c r="CH404" i="16"/>
  <c r="FJ404" i="16" s="1"/>
  <c r="GX404" i="16" s="1"/>
  <c r="CL404" i="16"/>
  <c r="FN404" i="16" s="1"/>
  <c r="HB404" i="16" s="1"/>
  <c r="FD404" i="16"/>
  <c r="GR404" i="16" s="1"/>
  <c r="CB403" i="16"/>
  <c r="FD403" i="16" s="1"/>
  <c r="GR403" i="16" s="1"/>
  <c r="FB403" i="16"/>
  <c r="GP403" i="16" s="1"/>
  <c r="CH398" i="16"/>
  <c r="FJ398" i="16" s="1"/>
  <c r="GX398" i="16" s="1"/>
  <c r="CK398" i="16"/>
  <c r="CG398" i="16"/>
  <c r="FI398" i="16" s="1"/>
  <c r="GW398" i="16" s="1"/>
  <c r="CJ398" i="16"/>
  <c r="FL398" i="16" s="1"/>
  <c r="GZ398" i="16" s="1"/>
  <c r="CF398" i="16"/>
  <c r="FH398" i="16" s="1"/>
  <c r="GV398" i="16" s="1"/>
  <c r="CI398" i="16"/>
  <c r="FK398" i="16" s="1"/>
  <c r="GY398" i="16" s="1"/>
  <c r="FG398" i="16"/>
  <c r="GU398" i="16" s="1"/>
  <c r="FO426" i="16"/>
  <c r="HC426" i="16" s="1"/>
  <c r="FG426" i="16"/>
  <c r="GU426" i="16" s="1"/>
  <c r="FK416" i="16"/>
  <c r="GY416" i="16" s="1"/>
  <c r="FH413" i="16"/>
  <c r="GV413" i="16" s="1"/>
  <c r="FF415" i="16"/>
  <c r="GT415" i="16" s="1"/>
  <c r="FA411" i="16"/>
  <c r="FB408" i="16"/>
  <c r="GP408" i="16" s="1"/>
  <c r="FF408" i="16"/>
  <c r="GT408" i="16" s="1"/>
  <c r="CE404" i="16"/>
  <c r="FG404" i="16" s="1"/>
  <c r="GU404" i="16" s="1"/>
  <c r="CI404" i="16"/>
  <c r="FK404" i="16" s="1"/>
  <c r="GY404" i="16" s="1"/>
  <c r="CE405" i="16"/>
  <c r="FG405" i="16" s="1"/>
  <c r="GU405" i="16" s="1"/>
  <c r="CF406" i="16"/>
  <c r="FH406" i="16" s="1"/>
  <c r="GV406" i="16" s="1"/>
  <c r="FQ396" i="16"/>
  <c r="HE396" i="16" s="1"/>
  <c r="CQ396" i="16"/>
  <c r="FS396" i="16" s="1"/>
  <c r="HG396" i="16" s="1"/>
  <c r="CP396" i="16"/>
  <c r="FR396" i="16" s="1"/>
  <c r="HF396" i="16" s="1"/>
  <c r="CE399" i="16"/>
  <c r="FF399" i="16"/>
  <c r="GT399" i="16" s="1"/>
  <c r="CJ415" i="16"/>
  <c r="FL415" i="16" s="1"/>
  <c r="GZ415" i="16" s="1"/>
  <c r="FH409" i="16"/>
  <c r="GV409" i="16" s="1"/>
  <c r="FI410" i="16"/>
  <c r="GW410" i="16" s="1"/>
  <c r="FG379" i="16"/>
  <c r="GU379" i="16" s="1"/>
  <c r="FE377" i="16"/>
  <c r="GS377" i="16" s="1"/>
  <c r="FC375" i="16"/>
  <c r="GQ375" i="16" s="1"/>
  <c r="FJ426" i="16"/>
  <c r="GX426" i="16" s="1"/>
  <c r="FJ423" i="16"/>
  <c r="GX423" i="16" s="1"/>
  <c r="FF423" i="16"/>
  <c r="GT423" i="16" s="1"/>
  <c r="FB423" i="16"/>
  <c r="GP423" i="16" s="1"/>
  <c r="FJ419" i="16"/>
  <c r="GX419" i="16" s="1"/>
  <c r="FF419" i="16"/>
  <c r="GT419" i="16" s="1"/>
  <c r="FB419" i="16"/>
  <c r="GP419" i="16" s="1"/>
  <c r="CJ414" i="16"/>
  <c r="FL414" i="16" s="1"/>
  <c r="GZ414" i="16" s="1"/>
  <c r="FD408" i="16"/>
  <c r="GR408" i="16" s="1"/>
  <c r="FC408" i="16"/>
  <c r="GQ408" i="16" s="1"/>
  <c r="FB413" i="16"/>
  <c r="GP413" i="16" s="1"/>
  <c r="CJ413" i="16"/>
  <c r="FL413" i="16" s="1"/>
  <c r="GZ413" i="16" s="1"/>
  <c r="FB410" i="16"/>
  <c r="GP410" i="16" s="1"/>
  <c r="FF410" i="16"/>
  <c r="GT410" i="16" s="1"/>
  <c r="FJ410" i="16"/>
  <c r="GX410" i="16" s="1"/>
  <c r="FN426" i="16"/>
  <c r="HB426" i="16" s="1"/>
  <c r="FJ416" i="16"/>
  <c r="GX416" i="16" s="1"/>
  <c r="CK413" i="16"/>
  <c r="FM413" i="16" s="1"/>
  <c r="HA413" i="16" s="1"/>
  <c r="FD407" i="16"/>
  <c r="GR407" i="16" s="1"/>
  <c r="FF426" i="16"/>
  <c r="GT426" i="16" s="1"/>
  <c r="FK421" i="16"/>
  <c r="GY421" i="16" s="1"/>
  <c r="FG421" i="16"/>
  <c r="GU421" i="16" s="1"/>
  <c r="FC421" i="16"/>
  <c r="GQ421" i="16" s="1"/>
  <c r="FK417" i="16"/>
  <c r="GY417" i="16" s="1"/>
  <c r="FG417" i="16"/>
  <c r="GU417" i="16" s="1"/>
  <c r="FC417" i="16"/>
  <c r="GQ417" i="16" s="1"/>
  <c r="CD413" i="16"/>
  <c r="FF413" i="16" s="1"/>
  <c r="GT413" i="16" s="1"/>
  <c r="FD413" i="16"/>
  <c r="GR413" i="16" s="1"/>
  <c r="BZ411" i="16"/>
  <c r="FB411" i="16" s="1"/>
  <c r="CB409" i="16"/>
  <c r="FD409" i="16" s="1"/>
  <c r="GR409" i="16" s="1"/>
  <c r="FN425" i="16"/>
  <c r="HB425" i="16" s="1"/>
  <c r="FM426" i="16"/>
  <c r="HA426" i="16" s="1"/>
  <c r="FI426" i="16"/>
  <c r="GW426" i="16" s="1"/>
  <c r="FD422" i="16"/>
  <c r="GR422" i="16" s="1"/>
  <c r="CG413" i="16"/>
  <c r="FI413" i="16" s="1"/>
  <c r="GW413" i="16" s="1"/>
  <c r="CA411" i="16"/>
  <c r="FC411" i="16" s="1"/>
  <c r="FB407" i="16"/>
  <c r="GP407" i="16" s="1"/>
  <c r="FG425" i="16"/>
  <c r="GU425" i="16" s="1"/>
  <c r="FI423" i="16"/>
  <c r="GW423" i="16" s="1"/>
  <c r="FE419" i="16"/>
  <c r="GS419" i="16" s="1"/>
  <c r="FC415" i="16"/>
  <c r="GQ415" i="16" s="1"/>
  <c r="CC414" i="16"/>
  <c r="FE414" i="16" s="1"/>
  <c r="GS414" i="16" s="1"/>
  <c r="CA412" i="16"/>
  <c r="FC412" i="16" s="1"/>
  <c r="FK426" i="16"/>
  <c r="FI421" i="16"/>
  <c r="GW421" i="16" s="1"/>
  <c r="FE421" i="16"/>
  <c r="GS421" i="16" s="1"/>
  <c r="FI417" i="16"/>
  <c r="GW417" i="16" s="1"/>
  <c r="FE417" i="16"/>
  <c r="GS417" i="16" s="1"/>
  <c r="FC413" i="16"/>
  <c r="GQ413" i="16" s="1"/>
  <c r="FF414" i="16"/>
  <c r="GT414" i="16" s="1"/>
  <c r="FD410" i="16"/>
  <c r="GR410" i="16" s="1"/>
  <c r="FH410" i="16"/>
  <c r="GV410" i="16" s="1"/>
  <c r="FC410" i="16"/>
  <c r="GQ410" i="16" s="1"/>
  <c r="FL410" i="16"/>
  <c r="GZ410" i="16" s="1"/>
  <c r="FF374" i="16"/>
  <c r="GT374" i="16" s="1"/>
  <c r="FC374" i="16"/>
  <c r="GQ374" i="16" s="1"/>
  <c r="FG381" i="16"/>
  <c r="GU381" i="16" s="1"/>
  <c r="FC381" i="16"/>
  <c r="GQ381" i="16" s="1"/>
  <c r="FE379" i="16"/>
  <c r="GS379" i="16" s="1"/>
  <c r="FG377" i="16"/>
  <c r="GU377" i="16" s="1"/>
  <c r="FC377" i="16"/>
  <c r="GQ377" i="16" s="1"/>
  <c r="FE375" i="16"/>
  <c r="GS375" i="16" s="1"/>
  <c r="FE381" i="16"/>
  <c r="GS381" i="16" s="1"/>
  <c r="FC379" i="16"/>
  <c r="GQ379" i="16" s="1"/>
  <c r="FG375" i="16"/>
  <c r="GU375" i="16" s="1"/>
  <c r="BZ425" i="16"/>
  <c r="FB425" i="16" s="1"/>
  <c r="GP425" i="16" s="1"/>
  <c r="FJ422" i="16"/>
  <c r="GX422" i="16" s="1"/>
  <c r="FF422" i="16"/>
  <c r="GT422" i="16" s="1"/>
  <c r="FB422" i="16"/>
  <c r="GP422" i="16" s="1"/>
  <c r="FH421" i="16"/>
  <c r="GV421" i="16" s="1"/>
  <c r="FD421" i="16"/>
  <c r="GR421" i="16" s="1"/>
  <c r="FJ418" i="16"/>
  <c r="GX418" i="16" s="1"/>
  <c r="FF418" i="16"/>
  <c r="GT418" i="16" s="1"/>
  <c r="FB418" i="16"/>
  <c r="GP418" i="16" s="1"/>
  <c r="FH417" i="16"/>
  <c r="GV417" i="16" s="1"/>
  <c r="FD417" i="16"/>
  <c r="GR417" i="16" s="1"/>
  <c r="FE423" i="16"/>
  <c r="GS423" i="16" s="1"/>
  <c r="FH422" i="16"/>
  <c r="GV422" i="16" s="1"/>
  <c r="FI419" i="16"/>
  <c r="GW419" i="16" s="1"/>
  <c r="FH418" i="16"/>
  <c r="GV418" i="16" s="1"/>
  <c r="FD418" i="16"/>
  <c r="GR418" i="16" s="1"/>
  <c r="CH413" i="16"/>
  <c r="FJ413" i="16" s="1"/>
  <c r="GX413" i="16" s="1"/>
  <c r="FM415" i="16"/>
  <c r="HA415" i="16" s="1"/>
  <c r="CG414" i="16"/>
  <c r="FI414" i="16" s="1"/>
  <c r="GW414" i="16" s="1"/>
  <c r="FD415" i="16"/>
  <c r="GR415" i="16" s="1"/>
  <c r="FD414" i="16"/>
  <c r="GR414" i="16" s="1"/>
  <c r="FB409" i="16"/>
  <c r="GP409" i="16" s="1"/>
  <c r="FG409" i="16"/>
  <c r="GU409" i="16" s="1"/>
  <c r="FF381" i="16"/>
  <c r="GT381" i="16" s="1"/>
  <c r="FD379" i="16"/>
  <c r="GR379" i="16" s="1"/>
  <c r="FF377" i="16"/>
  <c r="GT377" i="16" s="1"/>
  <c r="FD375" i="16"/>
  <c r="GR375" i="16" s="1"/>
  <c r="FD381" i="16"/>
  <c r="GR381" i="16" s="1"/>
  <c r="FF379" i="16"/>
  <c r="GT379" i="16" s="1"/>
  <c r="FD377" i="16"/>
  <c r="GR377" i="16" s="1"/>
  <c r="FF375" i="16"/>
  <c r="GT375" i="16" s="1"/>
  <c r="FI425" i="16"/>
  <c r="GW425" i="16" s="1"/>
  <c r="FC416" i="16"/>
  <c r="GQ416" i="16" s="1"/>
  <c r="FG416" i="16"/>
  <c r="GU416" i="16" s="1"/>
  <c r="FH416" i="16"/>
  <c r="GV416" i="16" s="1"/>
  <c r="FI416" i="16"/>
  <c r="GW416" i="16" s="1"/>
  <c r="FE416" i="16"/>
  <c r="GS416" i="16" s="1"/>
  <c r="FK423" i="16"/>
  <c r="GY423" i="16" s="1"/>
  <c r="FG423" i="16"/>
  <c r="GU423" i="16" s="1"/>
  <c r="FC423" i="16"/>
  <c r="GQ423" i="16" s="1"/>
  <c r="FI422" i="16"/>
  <c r="GW422" i="16" s="1"/>
  <c r="FE422" i="16"/>
  <c r="GS422" i="16" s="1"/>
  <c r="FK419" i="16"/>
  <c r="GY419" i="16" s="1"/>
  <c r="FG419" i="16"/>
  <c r="GU419" i="16" s="1"/>
  <c r="FC419" i="16"/>
  <c r="GQ419" i="16" s="1"/>
  <c r="FI418" i="16"/>
  <c r="GW418" i="16" s="1"/>
  <c r="FE418" i="16"/>
  <c r="GS418" i="16" s="1"/>
  <c r="FK422" i="16"/>
  <c r="GY422" i="16" s="1"/>
  <c r="FG422" i="16"/>
  <c r="GU422" i="16" s="1"/>
  <c r="FC422" i="16"/>
  <c r="GQ422" i="16" s="1"/>
  <c r="FJ421" i="16"/>
  <c r="GX421" i="16" s="1"/>
  <c r="FF421" i="16"/>
  <c r="GT421" i="16" s="1"/>
  <c r="FB421" i="16"/>
  <c r="GP421" i="16" s="1"/>
  <c r="FK418" i="16"/>
  <c r="GY418" i="16" s="1"/>
  <c r="FG418" i="16"/>
  <c r="GU418" i="16" s="1"/>
  <c r="FC418" i="16"/>
  <c r="GQ418" i="16" s="1"/>
  <c r="FJ417" i="16"/>
  <c r="GX417" i="16" s="1"/>
  <c r="FF417" i="16"/>
  <c r="GT417" i="16" s="1"/>
  <c r="FB417" i="16"/>
  <c r="GP417" i="16" s="1"/>
  <c r="CC413" i="16"/>
  <c r="FE413" i="16" s="1"/>
  <c r="GS413" i="16" s="1"/>
  <c r="CC415" i="16"/>
  <c r="FE415" i="16" s="1"/>
  <c r="GS415" i="16" s="1"/>
  <c r="CK414" i="16"/>
  <c r="FM414" i="16" s="1"/>
  <c r="HA414" i="16" s="1"/>
  <c r="CF414" i="16"/>
  <c r="FH414" i="16" s="1"/>
  <c r="GV414" i="16" s="1"/>
  <c r="FB414" i="16"/>
  <c r="GP414" i="16" s="1"/>
  <c r="CB412" i="16"/>
  <c r="CC412" i="16" s="1"/>
  <c r="FE412" i="16" s="1"/>
  <c r="CA409" i="16"/>
  <c r="FC409" i="16" s="1"/>
  <c r="GQ409" i="16" s="1"/>
  <c r="FK410" i="16"/>
  <c r="GY410" i="16" s="1"/>
  <c r="CC407" i="16"/>
  <c r="FE407" i="16" s="1"/>
  <c r="GS407" i="16" s="1"/>
  <c r="FL426" i="16"/>
  <c r="GZ426" i="16" s="1"/>
  <c r="FH426" i="16"/>
  <c r="GV426" i="16" s="1"/>
  <c r="FG374" i="16"/>
  <c r="GU374" i="16" s="1"/>
  <c r="FD374" i="16"/>
  <c r="GR374" i="16" s="1"/>
  <c r="FF425" i="16"/>
  <c r="GT425" i="16" s="1"/>
  <c r="FB415" i="16"/>
  <c r="GP415" i="16" s="1"/>
  <c r="FC414" i="16"/>
  <c r="GQ414" i="16" s="1"/>
  <c r="FG410" i="16"/>
  <c r="BZ426" i="16"/>
  <c r="FB426" i="16" s="1"/>
  <c r="GP426" i="16" s="1"/>
  <c r="CC426" i="16"/>
  <c r="FE426" i="16" s="1"/>
  <c r="GS426" i="16" s="1"/>
  <c r="FA426" i="16"/>
  <c r="GO426" i="16" s="1"/>
  <c r="CB425" i="16"/>
  <c r="FD425" i="16" s="1"/>
  <c r="GR425" i="16" s="1"/>
  <c r="FA425" i="16"/>
  <c r="GO425" i="16" s="1"/>
  <c r="CA425" i="16"/>
  <c r="FC425" i="16" s="1"/>
  <c r="GQ425" i="16" s="1"/>
  <c r="FH419" i="16"/>
  <c r="GV419" i="16" s="1"/>
  <c r="FD419" i="16"/>
  <c r="GR419" i="16" s="1"/>
  <c r="FK415" i="16"/>
  <c r="GY415" i="16" s="1"/>
  <c r="CD407" i="16"/>
  <c r="FF407" i="16" s="1"/>
  <c r="GT407" i="16" s="1"/>
  <c r="CE413" i="16"/>
  <c r="FG413" i="16" s="1"/>
  <c r="CG415" i="16"/>
  <c r="FI415" i="16" s="1"/>
  <c r="GW415" i="16" s="1"/>
  <c r="CB411" i="16"/>
  <c r="CC409" i="16"/>
  <c r="FE409" i="16" s="1"/>
  <c r="GS409" i="16" s="1"/>
  <c r="CA407" i="16"/>
  <c r="FC407" i="16" s="1"/>
  <c r="GQ407" i="16" s="1"/>
  <c r="CE407" i="16"/>
  <c r="CF415" i="16"/>
  <c r="FH415" i="16" s="1"/>
  <c r="GV415" i="16" s="1"/>
  <c r="CD409" i="16"/>
  <c r="FF409" i="16" s="1"/>
  <c r="GT409" i="16" s="1"/>
  <c r="CE415" i="16"/>
  <c r="FG415" i="16" s="1"/>
  <c r="CE414" i="16"/>
  <c r="FG414" i="16" s="1"/>
  <c r="CH415" i="16"/>
  <c r="FJ415" i="16" s="1"/>
  <c r="GX415" i="16" s="1"/>
  <c r="CH414" i="16"/>
  <c r="FJ414" i="16" s="1"/>
  <c r="GX414" i="16" s="1"/>
  <c r="CB426" i="16"/>
  <c r="FD426" i="16" s="1"/>
  <c r="GR426" i="16" s="1"/>
  <c r="CA426" i="16"/>
  <c r="FC426" i="16" s="1"/>
  <c r="GQ426" i="16" s="1"/>
  <c r="AC293" i="16"/>
  <c r="Z293" i="16" s="1"/>
  <c r="AD293" i="16"/>
  <c r="AQ293" i="16"/>
  <c r="AS293" i="16" s="1"/>
  <c r="DN293" i="16"/>
  <c r="DO293" i="16"/>
  <c r="DP293" i="16"/>
  <c r="DQ293" i="16"/>
  <c r="DM293" i="16"/>
  <c r="FA293" i="16" s="1"/>
  <c r="GO293" i="16" s="1"/>
  <c r="CC293" i="16"/>
  <c r="CB293" i="16"/>
  <c r="FD293" i="16" s="1"/>
  <c r="GR293" i="16" s="1"/>
  <c r="CA293" i="16"/>
  <c r="BZ293" i="16"/>
  <c r="FB293" i="16" s="1"/>
  <c r="GP293" i="16" s="1"/>
  <c r="BD278" i="16"/>
  <c r="BD277" i="16"/>
  <c r="AC282" i="16"/>
  <c r="Z282" i="16" s="1"/>
  <c r="AD282" i="16"/>
  <c r="AC275" i="16"/>
  <c r="Z275" i="16" s="1"/>
  <c r="AD275" i="16"/>
  <c r="AC276" i="16"/>
  <c r="Z276" i="16" s="1"/>
  <c r="AD276" i="16"/>
  <c r="DS282" i="16"/>
  <c r="DR282" i="16"/>
  <c r="DQ282" i="16"/>
  <c r="DP282" i="16"/>
  <c r="DO282" i="16"/>
  <c r="DN282" i="16"/>
  <c r="DM282" i="16"/>
  <c r="FA282" i="16" s="1"/>
  <c r="DM276" i="16"/>
  <c r="FA276" i="16" s="1"/>
  <c r="GO276" i="16" s="1"/>
  <c r="DN276" i="16"/>
  <c r="DO276" i="16"/>
  <c r="DP276" i="16"/>
  <c r="DQ276" i="16"/>
  <c r="DR276" i="16"/>
  <c r="DS276" i="16"/>
  <c r="DN275" i="16"/>
  <c r="DO275" i="16"/>
  <c r="DP275" i="16"/>
  <c r="DQ275" i="16"/>
  <c r="DR275" i="16"/>
  <c r="DS275" i="16"/>
  <c r="DM275" i="16"/>
  <c r="FA275" i="16" s="1"/>
  <c r="GO275" i="16" s="1"/>
  <c r="CE282" i="16"/>
  <c r="CD282" i="16"/>
  <c r="CC282" i="16"/>
  <c r="CB282" i="16"/>
  <c r="CA282" i="16"/>
  <c r="BZ282" i="16"/>
  <c r="BZ276" i="16"/>
  <c r="CA276" i="16"/>
  <c r="CB276" i="16"/>
  <c r="CC276" i="16"/>
  <c r="CD276" i="16"/>
  <c r="CE276" i="16"/>
  <c r="CE275" i="16"/>
  <c r="CD275" i="16"/>
  <c r="FF275" i="16" s="1"/>
  <c r="GT275" i="16" s="1"/>
  <c r="CC275" i="16"/>
  <c r="CB275" i="16"/>
  <c r="FD275" i="16" s="1"/>
  <c r="GR275" i="16" s="1"/>
  <c r="CA275" i="16"/>
  <c r="BZ275" i="16"/>
  <c r="FB275" i="16" s="1"/>
  <c r="AQ282" i="16"/>
  <c r="AS282" i="16" s="1"/>
  <c r="AQ276" i="16"/>
  <c r="AQ275" i="16"/>
  <c r="AS275" i="16" s="1"/>
  <c r="AC278" i="16"/>
  <c r="Z278" i="16" s="1"/>
  <c r="AD278" i="16"/>
  <c r="AC279" i="16"/>
  <c r="Z279" i="16" s="1"/>
  <c r="AD279" i="16"/>
  <c r="AC280" i="16"/>
  <c r="Z280" i="16" s="1"/>
  <c r="AD280" i="16"/>
  <c r="AC281" i="16"/>
  <c r="Z281" i="16" s="1"/>
  <c r="AD281" i="16"/>
  <c r="AD277" i="16"/>
  <c r="AC277" i="16"/>
  <c r="Z277" i="16" s="1"/>
  <c r="BM281" i="16"/>
  <c r="BO281" i="16" s="1"/>
  <c r="BM280" i="16"/>
  <c r="BO280" i="16" s="1"/>
  <c r="BM279" i="16"/>
  <c r="BO279" i="16" s="1"/>
  <c r="BM278" i="16"/>
  <c r="BO278" i="16" s="1"/>
  <c r="BM277" i="16"/>
  <c r="BO277" i="16" s="1"/>
  <c r="BI282" i="16"/>
  <c r="BK282" i="16" s="1"/>
  <c r="BI278" i="16"/>
  <c r="BK278" i="16" s="1"/>
  <c r="BI279" i="16"/>
  <c r="BK279" i="16" s="1"/>
  <c r="BI280" i="16"/>
  <c r="BK280" i="16" s="1"/>
  <c r="BI281" i="16"/>
  <c r="BK281" i="16" s="1"/>
  <c r="BI277" i="16"/>
  <c r="BK277" i="16" s="1"/>
  <c r="BI276" i="16"/>
  <c r="BK276" i="16" s="1"/>
  <c r="BI275" i="16"/>
  <c r="BK275" i="16" s="1"/>
  <c r="BF278" i="16"/>
  <c r="BF277" i="16"/>
  <c r="BG278" i="16"/>
  <c r="BG277" i="16"/>
  <c r="AP280" i="16"/>
  <c r="AS280" i="16" s="1"/>
  <c r="AI280" i="16" s="1"/>
  <c r="AP281" i="16"/>
  <c r="AP279" i="16"/>
  <c r="AR279" i="16" s="1"/>
  <c r="BL279" i="16" s="1"/>
  <c r="AC267" i="16"/>
  <c r="Z267" i="16" s="1"/>
  <c r="AD267" i="16"/>
  <c r="AC268" i="16"/>
  <c r="Z268" i="16" s="1"/>
  <c r="AD268" i="16"/>
  <c r="AC269" i="16"/>
  <c r="Z269" i="16" s="1"/>
  <c r="AD269" i="16"/>
  <c r="AC270" i="16"/>
  <c r="Z270" i="16" s="1"/>
  <c r="AD270" i="16"/>
  <c r="AC271" i="16"/>
  <c r="Z271" i="16" s="1"/>
  <c r="AD271" i="16"/>
  <c r="AC272" i="16"/>
  <c r="Z272" i="16" s="1"/>
  <c r="AD272" i="16"/>
  <c r="AC273" i="16"/>
  <c r="Z273" i="16" s="1"/>
  <c r="AD273" i="16"/>
  <c r="AC274" i="16"/>
  <c r="Z274" i="16" s="1"/>
  <c r="AD274" i="16"/>
  <c r="DM274" i="16"/>
  <c r="DN274" i="16"/>
  <c r="DO274" i="16"/>
  <c r="DP274" i="16"/>
  <c r="DP273" i="16"/>
  <c r="DO273" i="16"/>
  <c r="DN273" i="16"/>
  <c r="DM273" i="16"/>
  <c r="DM270" i="16"/>
  <c r="FA270" i="16" s="1"/>
  <c r="GO270" i="16" s="1"/>
  <c r="DN270" i="16"/>
  <c r="DO270" i="16"/>
  <c r="DP270" i="16"/>
  <c r="DQ270" i="16"/>
  <c r="DM271" i="16"/>
  <c r="FA271" i="16" s="1"/>
  <c r="GO271" i="16" s="1"/>
  <c r="DN271" i="16"/>
  <c r="DO271" i="16"/>
  <c r="DP271" i="16"/>
  <c r="DQ271" i="16"/>
  <c r="DM272" i="16"/>
  <c r="FA272" i="16" s="1"/>
  <c r="GO272" i="16" s="1"/>
  <c r="DN272" i="16"/>
  <c r="DO272" i="16"/>
  <c r="DP272" i="16"/>
  <c r="DQ272" i="16"/>
  <c r="DQ269" i="16"/>
  <c r="DO269" i="16"/>
  <c r="DP269" i="16"/>
  <c r="DN269" i="16"/>
  <c r="DM269" i="16"/>
  <c r="FA269" i="16" s="1"/>
  <c r="GO269" i="16" s="1"/>
  <c r="DM268" i="16"/>
  <c r="FA268" i="16" s="1"/>
  <c r="DN268" i="16"/>
  <c r="DO268" i="16"/>
  <c r="DP268" i="16"/>
  <c r="DQ268" i="16"/>
  <c r="DN267" i="16"/>
  <c r="DO267" i="16"/>
  <c r="DP267" i="16"/>
  <c r="DQ267" i="16"/>
  <c r="DM267" i="16"/>
  <c r="FA267" i="16" s="1"/>
  <c r="BY274" i="16"/>
  <c r="BZ274" i="16"/>
  <c r="CA274" i="16"/>
  <c r="CB274" i="16"/>
  <c r="CB273" i="16"/>
  <c r="CA273" i="16"/>
  <c r="BZ273" i="16"/>
  <c r="BY273" i="16"/>
  <c r="BZ268" i="16"/>
  <c r="CA268" i="16"/>
  <c r="CB268" i="16"/>
  <c r="CC268" i="16"/>
  <c r="BZ269" i="16"/>
  <c r="FB269" i="16" s="1"/>
  <c r="CA269" i="16"/>
  <c r="CB269" i="16"/>
  <c r="CC269" i="16"/>
  <c r="BZ270" i="16"/>
  <c r="CA270" i="16"/>
  <c r="CB270" i="16"/>
  <c r="CC270" i="16"/>
  <c r="BZ271" i="16"/>
  <c r="FB271" i="16" s="1"/>
  <c r="CA271" i="16"/>
  <c r="CB271" i="16"/>
  <c r="FD271" i="16" s="1"/>
  <c r="GR271" i="16" s="1"/>
  <c r="CC271" i="16"/>
  <c r="FE271" i="16" s="1"/>
  <c r="GS271" i="16" s="1"/>
  <c r="BZ272" i="16"/>
  <c r="CA272" i="16"/>
  <c r="CB272" i="16"/>
  <c r="CC272" i="16"/>
  <c r="CC267" i="16"/>
  <c r="CB267" i="16"/>
  <c r="FD267" i="16" s="1"/>
  <c r="GR267" i="16" s="1"/>
  <c r="CA267" i="16"/>
  <c r="BZ267" i="16"/>
  <c r="FB267" i="16" s="1"/>
  <c r="GP267" i="16" s="1"/>
  <c r="BI273" i="16"/>
  <c r="BK273" i="16" s="1"/>
  <c r="BI274" i="16"/>
  <c r="BK274" i="16" s="1"/>
  <c r="BI268" i="16"/>
  <c r="BK268" i="16" s="1"/>
  <c r="BI269" i="16"/>
  <c r="BK269" i="16" s="1"/>
  <c r="BI270" i="16"/>
  <c r="BK270" i="16" s="1"/>
  <c r="BI271" i="16"/>
  <c r="BK271" i="16" s="1"/>
  <c r="BI272" i="16"/>
  <c r="BK272" i="16" s="1"/>
  <c r="BI267" i="16"/>
  <c r="BK267" i="16" s="1"/>
  <c r="AQ268" i="16"/>
  <c r="AS268" i="16" s="1"/>
  <c r="AQ269" i="16"/>
  <c r="AS269" i="16" s="1"/>
  <c r="AQ270" i="16"/>
  <c r="AS270" i="16" s="1"/>
  <c r="AQ271" i="16"/>
  <c r="AS271" i="16" s="1"/>
  <c r="AQ272" i="16"/>
  <c r="AS272" i="16" s="1"/>
  <c r="AQ273" i="16"/>
  <c r="AS273" i="16" s="1"/>
  <c r="AQ274" i="16"/>
  <c r="AS274" i="16" s="1"/>
  <c r="AQ267" i="16"/>
  <c r="AS267" i="16" s="1"/>
  <c r="DT327" i="16"/>
  <c r="DS327" i="16"/>
  <c r="DR327" i="16"/>
  <c r="DQ327" i="16"/>
  <c r="DP327" i="16"/>
  <c r="DO327" i="16"/>
  <c r="DN327" i="16"/>
  <c r="DM327" i="16"/>
  <c r="FA327" i="16" s="1"/>
  <c r="GO327" i="16" s="1"/>
  <c r="DT326" i="16"/>
  <c r="DS326" i="16"/>
  <c r="DR326" i="16"/>
  <c r="DQ326" i="16"/>
  <c r="DP326" i="16"/>
  <c r="DO326" i="16"/>
  <c r="DN326" i="16"/>
  <c r="DM326" i="16"/>
  <c r="FA326" i="16" s="1"/>
  <c r="GO326" i="16" s="1"/>
  <c r="CF327" i="16"/>
  <c r="FH327" i="16" s="1"/>
  <c r="GV327" i="16" s="1"/>
  <c r="CE327" i="16"/>
  <c r="FG327" i="16" s="1"/>
  <c r="GU327" i="16" s="1"/>
  <c r="CD327" i="16"/>
  <c r="CC327" i="16"/>
  <c r="FE327" i="16" s="1"/>
  <c r="GS327" i="16" s="1"/>
  <c r="CB327" i="16"/>
  <c r="FD327" i="16" s="1"/>
  <c r="GR327" i="16" s="1"/>
  <c r="CA327" i="16"/>
  <c r="FC327" i="16" s="1"/>
  <c r="GQ327" i="16" s="1"/>
  <c r="BZ327" i="16"/>
  <c r="FB327" i="16" s="1"/>
  <c r="GP327" i="16" s="1"/>
  <c r="CF326" i="16"/>
  <c r="CE326" i="16"/>
  <c r="CD326" i="16"/>
  <c r="CC326" i="16"/>
  <c r="CB326" i="16"/>
  <c r="CA326" i="16"/>
  <c r="BZ326" i="16"/>
  <c r="BI327" i="16"/>
  <c r="BK327" i="16" s="1"/>
  <c r="BI326" i="16"/>
  <c r="BK326" i="16" s="1"/>
  <c r="AQ327" i="16"/>
  <c r="AS327" i="16" s="1"/>
  <c r="AQ326" i="16"/>
  <c r="AS326" i="16" s="1"/>
  <c r="BM331" i="16"/>
  <c r="BO331" i="16" s="1"/>
  <c r="BM330" i="16"/>
  <c r="BO330" i="16" s="1"/>
  <c r="BM329" i="16"/>
  <c r="BO329" i="16" s="1"/>
  <c r="BM328" i="16"/>
  <c r="BO328" i="16" s="1"/>
  <c r="BM324" i="16"/>
  <c r="BO324" i="16" s="1"/>
  <c r="BM325" i="16"/>
  <c r="BO325" i="16" s="1"/>
  <c r="BM323" i="16"/>
  <c r="BO323" i="16" s="1"/>
  <c r="BM322" i="16"/>
  <c r="BO322" i="16" s="1"/>
  <c r="BI331" i="16"/>
  <c r="BK331" i="16" s="1"/>
  <c r="BI330" i="16"/>
  <c r="BK330" i="16" s="1"/>
  <c r="BI329" i="16"/>
  <c r="BK329" i="16" s="1"/>
  <c r="BI328" i="16"/>
  <c r="BK328" i="16" s="1"/>
  <c r="BI325" i="16"/>
  <c r="BK325" i="16" s="1"/>
  <c r="BI324" i="16"/>
  <c r="BK324" i="16" s="1"/>
  <c r="BI323" i="16"/>
  <c r="BK323" i="16" s="1"/>
  <c r="BI322" i="16"/>
  <c r="BK322" i="16" s="1"/>
  <c r="BH325" i="16"/>
  <c r="BH324" i="16"/>
  <c r="AS329" i="16"/>
  <c r="AR329" i="16"/>
  <c r="BL329" i="16" s="1"/>
  <c r="AS330" i="16"/>
  <c r="AR330" i="16"/>
  <c r="BL330" i="16" s="1"/>
  <c r="AS331" i="16"/>
  <c r="AR331" i="16"/>
  <c r="BL331" i="16" s="1"/>
  <c r="AR328" i="16"/>
  <c r="BL328" i="16" s="1"/>
  <c r="AS328" i="16"/>
  <c r="AS323" i="16"/>
  <c r="AR323" i="16"/>
  <c r="BL323" i="16" s="1"/>
  <c r="AS324" i="16"/>
  <c r="AR324" i="16"/>
  <c r="BL324" i="16" s="1"/>
  <c r="AS325" i="16"/>
  <c r="AR325" i="16"/>
  <c r="BL325" i="16" s="1"/>
  <c r="AR322" i="16"/>
  <c r="BL322" i="16" s="1"/>
  <c r="AS322" i="16"/>
  <c r="DT321" i="16"/>
  <c r="DO321" i="16"/>
  <c r="DP321" i="16"/>
  <c r="DQ321" i="16"/>
  <c r="DR321" i="16"/>
  <c r="DS321" i="16"/>
  <c r="DN321" i="16"/>
  <c r="DM321" i="16"/>
  <c r="FA321" i="16" s="1"/>
  <c r="GO321" i="16" s="1"/>
  <c r="DT320" i="16"/>
  <c r="DO320" i="16"/>
  <c r="DP320" i="16"/>
  <c r="DQ320" i="16"/>
  <c r="DR320" i="16"/>
  <c r="DS320" i="16"/>
  <c r="DN320" i="16"/>
  <c r="DM320" i="16"/>
  <c r="FA320" i="16" s="1"/>
  <c r="GO320" i="16" s="1"/>
  <c r="BZ321" i="16"/>
  <c r="CA321" i="16"/>
  <c r="FC321" i="16" s="1"/>
  <c r="GQ321" i="16" s="1"/>
  <c r="CB321" i="16"/>
  <c r="FD321" i="16" s="1"/>
  <c r="GR321" i="16" s="1"/>
  <c r="CC321" i="16"/>
  <c r="FE321" i="16" s="1"/>
  <c r="GS321" i="16" s="1"/>
  <c r="CD321" i="16"/>
  <c r="FF321" i="16" s="1"/>
  <c r="GT321" i="16" s="1"/>
  <c r="CE321" i="16"/>
  <c r="FG321" i="16" s="1"/>
  <c r="GU321" i="16" s="1"/>
  <c r="CF321" i="16"/>
  <c r="CF320" i="16"/>
  <c r="CE320" i="16"/>
  <c r="CD320" i="16"/>
  <c r="CC320" i="16"/>
  <c r="CB320" i="16"/>
  <c r="CA320" i="16"/>
  <c r="BZ320" i="16"/>
  <c r="BI321" i="16"/>
  <c r="BK321" i="16" s="1"/>
  <c r="BI320" i="16"/>
  <c r="BK320" i="16" s="1"/>
  <c r="AQ321" i="16"/>
  <c r="AS321" i="16" s="1"/>
  <c r="AQ320" i="16"/>
  <c r="AS320" i="16" s="1"/>
  <c r="DP341" i="16"/>
  <c r="DO341" i="16"/>
  <c r="DN341" i="16"/>
  <c r="DM341" i="16"/>
  <c r="FA341" i="16" s="1"/>
  <c r="GO341" i="16" s="1"/>
  <c r="DP339" i="16"/>
  <c r="DO339" i="16"/>
  <c r="DN339" i="16"/>
  <c r="DM339" i="16"/>
  <c r="FA339" i="16" s="1"/>
  <c r="GO339" i="16" s="1"/>
  <c r="BZ341" i="16"/>
  <c r="CA341" i="16" s="1"/>
  <c r="CB341" i="16" s="1"/>
  <c r="FD341" i="16" s="1"/>
  <c r="GR341" i="16" s="1"/>
  <c r="BZ339" i="16"/>
  <c r="CA339" i="16" s="1"/>
  <c r="BI341" i="16"/>
  <c r="BK341" i="16" s="1"/>
  <c r="BI339" i="16"/>
  <c r="BK339" i="16" s="1"/>
  <c r="AQ341" i="16"/>
  <c r="AS341" i="16" s="1"/>
  <c r="AQ339" i="16"/>
  <c r="AS339" i="16" s="1"/>
  <c r="BM340" i="16"/>
  <c r="BO340" i="16" s="1"/>
  <c r="BI340" i="16"/>
  <c r="BK340" i="16" s="1"/>
  <c r="AP340" i="16"/>
  <c r="AR340" i="16" s="1"/>
  <c r="BL340" i="16" s="1"/>
  <c r="BM338" i="16"/>
  <c r="BO338" i="16" s="1"/>
  <c r="BI338" i="16"/>
  <c r="BK338" i="16" s="1"/>
  <c r="AE354" i="16"/>
  <c r="AQ354" i="16"/>
  <c r="AS354" i="16" s="1"/>
  <c r="DN354" i="16"/>
  <c r="DO354" i="16"/>
  <c r="DP354" i="16"/>
  <c r="DQ354" i="16"/>
  <c r="DM354" i="16"/>
  <c r="FA354" i="16" s="1"/>
  <c r="GO354" i="16" s="1"/>
  <c r="CC354" i="16"/>
  <c r="CB354" i="16"/>
  <c r="CA354" i="16"/>
  <c r="BZ354" i="16"/>
  <c r="FB354" i="16" s="1"/>
  <c r="GP354" i="16" s="1"/>
  <c r="AV354" i="16"/>
  <c r="DM395" i="16"/>
  <c r="FA395" i="16" s="1"/>
  <c r="DN395" i="16"/>
  <c r="DO395" i="16"/>
  <c r="DP395" i="16"/>
  <c r="DQ395" i="16"/>
  <c r="DR395" i="16"/>
  <c r="DS395" i="16"/>
  <c r="DT395" i="16"/>
  <c r="DU395" i="16"/>
  <c r="DV395" i="16"/>
  <c r="DW395" i="16"/>
  <c r="DX395" i="16"/>
  <c r="DY395" i="16"/>
  <c r="DZ395" i="16"/>
  <c r="EA395" i="16"/>
  <c r="BZ395" i="16"/>
  <c r="CA395" i="16"/>
  <c r="CB395" i="16"/>
  <c r="CC395" i="16"/>
  <c r="CD395" i="16"/>
  <c r="CE395" i="16"/>
  <c r="CF395" i="16"/>
  <c r="CG395" i="16"/>
  <c r="CH395" i="16"/>
  <c r="CI395" i="16"/>
  <c r="CJ395" i="16"/>
  <c r="CK395" i="16"/>
  <c r="CL395" i="16"/>
  <c r="CM395" i="16"/>
  <c r="DM394" i="16"/>
  <c r="FA394" i="16" s="1"/>
  <c r="DN394" i="16"/>
  <c r="DO394" i="16"/>
  <c r="DP394" i="16"/>
  <c r="DQ394" i="16"/>
  <c r="DR394" i="16"/>
  <c r="DS394" i="16"/>
  <c r="DT394" i="16"/>
  <c r="DU394" i="16"/>
  <c r="DV394" i="16"/>
  <c r="DW394" i="16"/>
  <c r="DX394" i="16"/>
  <c r="DY394" i="16"/>
  <c r="DZ394" i="16"/>
  <c r="EA394" i="16"/>
  <c r="CA394" i="16"/>
  <c r="CB394" i="16"/>
  <c r="CC394" i="16"/>
  <c r="CD394" i="16"/>
  <c r="CE394" i="16"/>
  <c r="CF394" i="16"/>
  <c r="CG394" i="16"/>
  <c r="CH394" i="16"/>
  <c r="CI394" i="16"/>
  <c r="CJ394" i="16"/>
  <c r="CK394" i="16"/>
  <c r="CL394" i="16"/>
  <c r="CM394" i="16"/>
  <c r="BZ394" i="16"/>
  <c r="CE331" i="16" l="1"/>
  <c r="CI312" i="16"/>
  <c r="FK312" i="16" s="1"/>
  <c r="GY312" i="16" s="1"/>
  <c r="FC271" i="16"/>
  <c r="GQ271" i="16" s="1"/>
  <c r="FJ328" i="16"/>
  <c r="GX328" i="16" s="1"/>
  <c r="FF327" i="16"/>
  <c r="GT327" i="16" s="1"/>
  <c r="FG346" i="16"/>
  <c r="GU346" i="16" s="1"/>
  <c r="FF326" i="16"/>
  <c r="GT326" i="16" s="1"/>
  <c r="CL401" i="16"/>
  <c r="FN401" i="16" s="1"/>
  <c r="HB401" i="16" s="1"/>
  <c r="CO400" i="16"/>
  <c r="FQ400" i="16" s="1"/>
  <c r="HE400" i="16" s="1"/>
  <c r="CR401" i="16"/>
  <c r="FT401" i="16" s="1"/>
  <c r="HH401" i="16" s="1"/>
  <c r="CJ312" i="16"/>
  <c r="FL312" i="16" s="1"/>
  <c r="GZ312" i="16" s="1"/>
  <c r="CS401" i="16"/>
  <c r="FU401" i="16" s="1"/>
  <c r="HI401" i="16" s="1"/>
  <c r="AG275" i="16"/>
  <c r="AG280" i="16"/>
  <c r="AG282" i="16"/>
  <c r="AG320" i="16"/>
  <c r="AG339" i="16"/>
  <c r="AG326" i="16"/>
  <c r="AG341" i="16"/>
  <c r="AG270" i="16"/>
  <c r="AG273" i="16"/>
  <c r="AG329" i="16"/>
  <c r="AG324" i="16"/>
  <c r="AG330" i="16"/>
  <c r="AG267" i="16"/>
  <c r="AG269" i="16"/>
  <c r="AG321" i="16"/>
  <c r="AG325" i="16"/>
  <c r="AG331" i="16"/>
  <c r="AG327" i="16"/>
  <c r="AG272" i="16"/>
  <c r="AG268" i="16"/>
  <c r="AG323" i="16"/>
  <c r="AG322" i="16"/>
  <c r="AG328" i="16"/>
  <c r="AG271" i="16"/>
  <c r="AG274" i="16"/>
  <c r="CU401" i="16"/>
  <c r="FW401" i="16" s="1"/>
  <c r="HK401" i="16" s="1"/>
  <c r="CQ401" i="16"/>
  <c r="FS401" i="16" s="1"/>
  <c r="HG401" i="16" s="1"/>
  <c r="CH387" i="16"/>
  <c r="CE400" i="16"/>
  <c r="FG400" i="16" s="1"/>
  <c r="GU400" i="16" s="1"/>
  <c r="CJ400" i="16"/>
  <c r="FL400" i="16" s="1"/>
  <c r="GZ400" i="16" s="1"/>
  <c r="CC401" i="16"/>
  <c r="FE401" i="16" s="1"/>
  <c r="GS401" i="16" s="1"/>
  <c r="DD401" i="16"/>
  <c r="GF401" i="16" s="1"/>
  <c r="HT401" i="16" s="1"/>
  <c r="CE401" i="16"/>
  <c r="FG401" i="16" s="1"/>
  <c r="GU401" i="16" s="1"/>
  <c r="CN401" i="16"/>
  <c r="FP401" i="16" s="1"/>
  <c r="HD401" i="16" s="1"/>
  <c r="CM401" i="16"/>
  <c r="FO401" i="16" s="1"/>
  <c r="HC401" i="16" s="1"/>
  <c r="CO401" i="16"/>
  <c r="FQ401" i="16" s="1"/>
  <c r="HE401" i="16" s="1"/>
  <c r="CI401" i="16"/>
  <c r="FK401" i="16" s="1"/>
  <c r="GY401" i="16" s="1"/>
  <c r="CH401" i="16"/>
  <c r="FJ401" i="16" s="1"/>
  <c r="GX401" i="16" s="1"/>
  <c r="CX401" i="16"/>
  <c r="FZ401" i="16" s="1"/>
  <c r="HN401" i="16" s="1"/>
  <c r="DC401" i="16"/>
  <c r="GE401" i="16" s="1"/>
  <c r="HS401" i="16" s="1"/>
  <c r="CF401" i="16"/>
  <c r="FH401" i="16" s="1"/>
  <c r="GV401" i="16" s="1"/>
  <c r="CV401" i="16"/>
  <c r="FX401" i="16" s="1"/>
  <c r="HL401" i="16" s="1"/>
  <c r="CG401" i="16"/>
  <c r="FI401" i="16" s="1"/>
  <c r="GW401" i="16" s="1"/>
  <c r="CW401" i="16"/>
  <c r="FY401" i="16" s="1"/>
  <c r="HM401" i="16" s="1"/>
  <c r="CZ401" i="16"/>
  <c r="GB401" i="16" s="1"/>
  <c r="HP401" i="16" s="1"/>
  <c r="CP401" i="16"/>
  <c r="FR401" i="16" s="1"/>
  <c r="HF401" i="16" s="1"/>
  <c r="FD401" i="16"/>
  <c r="GR401" i="16" s="1"/>
  <c r="CJ401" i="16"/>
  <c r="FL401" i="16" s="1"/>
  <c r="GZ401" i="16" s="1"/>
  <c r="DA401" i="16"/>
  <c r="GC401" i="16" s="1"/>
  <c r="HQ401" i="16" s="1"/>
  <c r="CK401" i="16"/>
  <c r="FM401" i="16" s="1"/>
  <c r="HA401" i="16" s="1"/>
  <c r="DB401" i="16"/>
  <c r="GD401" i="16" s="1"/>
  <c r="HR401" i="16" s="1"/>
  <c r="CD401" i="16"/>
  <c r="FF401" i="16" s="1"/>
  <c r="GT401" i="16" s="1"/>
  <c r="CT401" i="16"/>
  <c r="FV401" i="16" s="1"/>
  <c r="HJ401" i="16" s="1"/>
  <c r="FJ313" i="16"/>
  <c r="GX313" i="16" s="1"/>
  <c r="CK313" i="16"/>
  <c r="FM313" i="16" s="1"/>
  <c r="HA313" i="16" s="1"/>
  <c r="CI313" i="16"/>
  <c r="FK313" i="16" s="1"/>
  <c r="GY313" i="16" s="1"/>
  <c r="CJ313" i="16"/>
  <c r="FL313" i="16" s="1"/>
  <c r="GZ313" i="16" s="1"/>
  <c r="CL313" i="16"/>
  <c r="FN313" i="16" s="1"/>
  <c r="HB313" i="16" s="1"/>
  <c r="FI384" i="16"/>
  <c r="GW384" i="16" s="1"/>
  <c r="CH384" i="16"/>
  <c r="FI313" i="16"/>
  <c r="GW313" i="16" s="1"/>
  <c r="CU400" i="16"/>
  <c r="FW400" i="16" s="1"/>
  <c r="HK400" i="16" s="1"/>
  <c r="CX400" i="16"/>
  <c r="FZ400" i="16" s="1"/>
  <c r="HN400" i="16" s="1"/>
  <c r="CF400" i="16"/>
  <c r="FH400" i="16" s="1"/>
  <c r="GV400" i="16" s="1"/>
  <c r="FH322" i="16"/>
  <c r="GV322" i="16" s="1"/>
  <c r="CG322" i="16"/>
  <c r="CZ400" i="16"/>
  <c r="GB400" i="16" s="1"/>
  <c r="HP400" i="16" s="1"/>
  <c r="CL400" i="16"/>
  <c r="FN400" i="16" s="1"/>
  <c r="HB400" i="16" s="1"/>
  <c r="CS400" i="16"/>
  <c r="FU400" i="16" s="1"/>
  <c r="HI400" i="16" s="1"/>
  <c r="DB400" i="16"/>
  <c r="DC400" i="16" s="1"/>
  <c r="CV400" i="16"/>
  <c r="FX400" i="16" s="1"/>
  <c r="HL400" i="16" s="1"/>
  <c r="CH400" i="16"/>
  <c r="FJ400" i="16" s="1"/>
  <c r="GX400" i="16" s="1"/>
  <c r="FQ259" i="16"/>
  <c r="HE259" i="16" s="1"/>
  <c r="CP259" i="16"/>
  <c r="FR259" i="16" s="1"/>
  <c r="HF259" i="16" s="1"/>
  <c r="CQ259" i="16"/>
  <c r="FS259" i="16" s="1"/>
  <c r="HG259" i="16" s="1"/>
  <c r="CQ257" i="16"/>
  <c r="FS257" i="16" s="1"/>
  <c r="HG257" i="16" s="1"/>
  <c r="FQ257" i="16"/>
  <c r="HE257" i="16" s="1"/>
  <c r="CP257" i="16"/>
  <c r="FR257" i="16" s="1"/>
  <c r="HF257" i="16" s="1"/>
  <c r="CG287" i="16"/>
  <c r="FI287" i="16" s="1"/>
  <c r="GW287" i="16" s="1"/>
  <c r="FH287" i="16"/>
  <c r="GV287" i="16" s="1"/>
  <c r="CY246" i="16"/>
  <c r="GA246" i="16" s="1"/>
  <c r="HO246" i="16" s="1"/>
  <c r="FZ246" i="16"/>
  <c r="HN246" i="16" s="1"/>
  <c r="FI244" i="16"/>
  <c r="GW244" i="16" s="1"/>
  <c r="CH244" i="16"/>
  <c r="FJ244" i="16" s="1"/>
  <c r="GX244" i="16" s="1"/>
  <c r="CY245" i="16"/>
  <c r="GA245" i="16" s="1"/>
  <c r="HO245" i="16" s="1"/>
  <c r="CQ258" i="16"/>
  <c r="FS258" i="16" s="1"/>
  <c r="HG258" i="16" s="1"/>
  <c r="FQ258" i="16"/>
  <c r="HE258" i="16" s="1"/>
  <c r="CP258" i="16"/>
  <c r="FR258" i="16" s="1"/>
  <c r="HF258" i="16" s="1"/>
  <c r="FB270" i="16"/>
  <c r="GP270" i="16" s="1"/>
  <c r="FB268" i="16"/>
  <c r="GP268" i="16" s="1"/>
  <c r="FF282" i="16"/>
  <c r="GT282" i="16" s="1"/>
  <c r="CP260" i="16"/>
  <c r="FR260" i="16" s="1"/>
  <c r="HF260" i="16" s="1"/>
  <c r="FQ260" i="16"/>
  <c r="HE260" i="16" s="1"/>
  <c r="CQ260" i="16"/>
  <c r="FS260" i="16" s="1"/>
  <c r="HG260" i="16" s="1"/>
  <c r="FH285" i="16"/>
  <c r="GV285" i="16" s="1"/>
  <c r="CG285" i="16"/>
  <c r="FI285" i="16" s="1"/>
  <c r="GW285" i="16" s="1"/>
  <c r="CE289" i="16"/>
  <c r="FG289" i="16" s="1"/>
  <c r="GU289" i="16" s="1"/>
  <c r="FF289" i="16"/>
  <c r="GT289" i="16" s="1"/>
  <c r="AI330" i="16"/>
  <c r="CM400" i="16"/>
  <c r="FO400" i="16" s="1"/>
  <c r="HC400" i="16" s="1"/>
  <c r="CI400" i="16"/>
  <c r="FK400" i="16" s="1"/>
  <c r="GY400" i="16" s="1"/>
  <c r="CN400" i="16"/>
  <c r="FP400" i="16" s="1"/>
  <c r="HD400" i="16" s="1"/>
  <c r="CG400" i="16"/>
  <c r="FI400" i="16" s="1"/>
  <c r="GW400" i="16" s="1"/>
  <c r="CW400" i="16"/>
  <c r="FY400" i="16" s="1"/>
  <c r="HM400" i="16" s="1"/>
  <c r="CP400" i="16"/>
  <c r="FR400" i="16" s="1"/>
  <c r="HF400" i="16" s="1"/>
  <c r="FV298" i="16"/>
  <c r="HJ298" i="16" s="1"/>
  <c r="CU298" i="16"/>
  <c r="FW298" i="16" s="1"/>
  <c r="HK298" i="16" s="1"/>
  <c r="CL302" i="16"/>
  <c r="FD354" i="16"/>
  <c r="GR354" i="16" s="1"/>
  <c r="FC354" i="16"/>
  <c r="GQ354" i="16" s="1"/>
  <c r="FF320" i="16"/>
  <c r="GT320" i="16" s="1"/>
  <c r="CQ400" i="16"/>
  <c r="FS400" i="16" s="1"/>
  <c r="HG400" i="16" s="1"/>
  <c r="CY400" i="16"/>
  <c r="GA400" i="16" s="1"/>
  <c r="HO400" i="16" s="1"/>
  <c r="CR400" i="16"/>
  <c r="FT400" i="16" s="1"/>
  <c r="HH400" i="16" s="1"/>
  <c r="CK400" i="16"/>
  <c r="FM400" i="16" s="1"/>
  <c r="HA400" i="16" s="1"/>
  <c r="DA400" i="16"/>
  <c r="GC400" i="16" s="1"/>
  <c r="HQ400" i="16" s="1"/>
  <c r="CT400" i="16"/>
  <c r="FV400" i="16" s="1"/>
  <c r="HJ400" i="16" s="1"/>
  <c r="CH386" i="16"/>
  <c r="FI386" i="16"/>
  <c r="GW386" i="16" s="1"/>
  <c r="FE326" i="16"/>
  <c r="GS326" i="16" s="1"/>
  <c r="CE314" i="16"/>
  <c r="FF314" i="16"/>
  <c r="GT314" i="16" s="1"/>
  <c r="FG320" i="16"/>
  <c r="GU320" i="16" s="1"/>
  <c r="FC320" i="16"/>
  <c r="GQ320" i="16" s="1"/>
  <c r="CM328" i="16"/>
  <c r="FO328" i="16" s="1"/>
  <c r="HC328" i="16" s="1"/>
  <c r="FK328" i="16"/>
  <c r="GY328" i="16" s="1"/>
  <c r="CL328" i="16"/>
  <c r="FN328" i="16" s="1"/>
  <c r="HB328" i="16" s="1"/>
  <c r="CJ328" i="16"/>
  <c r="FL328" i="16" s="1"/>
  <c r="GZ328" i="16" s="1"/>
  <c r="CK328" i="16"/>
  <c r="FM328" i="16" s="1"/>
  <c r="HA328" i="16" s="1"/>
  <c r="FF306" i="16"/>
  <c r="GT306" i="16" s="1"/>
  <c r="CE306" i="16"/>
  <c r="CJ357" i="16"/>
  <c r="FK357" i="16"/>
  <c r="GY357" i="16" s="1"/>
  <c r="FJ305" i="16"/>
  <c r="GX305" i="16" s="1"/>
  <c r="CI305" i="16"/>
  <c r="CD336" i="16"/>
  <c r="FE336" i="16"/>
  <c r="GS336" i="16" s="1"/>
  <c r="CE389" i="16"/>
  <c r="FG389" i="16" s="1"/>
  <c r="GU389" i="16" s="1"/>
  <c r="FF389" i="16"/>
  <c r="GT389" i="16" s="1"/>
  <c r="FG330" i="16"/>
  <c r="GU330" i="16" s="1"/>
  <c r="CG330" i="16"/>
  <c r="FI330" i="16" s="1"/>
  <c r="GW330" i="16" s="1"/>
  <c r="CF330" i="16"/>
  <c r="FH330" i="16" s="1"/>
  <c r="GV330" i="16" s="1"/>
  <c r="CD335" i="16"/>
  <c r="FE335" i="16"/>
  <c r="GS335" i="16" s="1"/>
  <c r="FE311" i="16"/>
  <c r="GS311" i="16" s="1"/>
  <c r="CD311" i="16"/>
  <c r="FG331" i="16"/>
  <c r="GU331" i="16" s="1"/>
  <c r="CF331" i="16"/>
  <c r="FH331" i="16" s="1"/>
  <c r="GV331" i="16" s="1"/>
  <c r="CG331" i="16"/>
  <c r="FI331" i="16" s="1"/>
  <c r="GW331" i="16" s="1"/>
  <c r="CI318" i="16"/>
  <c r="FJ318" i="16"/>
  <c r="GX318" i="16" s="1"/>
  <c r="CK356" i="16"/>
  <c r="FM356" i="16" s="1"/>
  <c r="HA356" i="16" s="1"/>
  <c r="CM356" i="16"/>
  <c r="FO356" i="16" s="1"/>
  <c r="HC356" i="16" s="1"/>
  <c r="FL356" i="16"/>
  <c r="GZ356" i="16" s="1"/>
  <c r="CL356" i="16"/>
  <c r="FN356" i="16" s="1"/>
  <c r="HB356" i="16" s="1"/>
  <c r="CN356" i="16"/>
  <c r="FP356" i="16" s="1"/>
  <c r="HD356" i="16" s="1"/>
  <c r="CF337" i="16"/>
  <c r="CE337" i="16"/>
  <c r="FD340" i="16"/>
  <c r="GR340" i="16" s="1"/>
  <c r="CC340" i="16"/>
  <c r="CT402" i="16"/>
  <c r="CP402" i="16"/>
  <c r="FR402" i="16" s="1"/>
  <c r="HF402" i="16" s="1"/>
  <c r="CL402" i="16"/>
  <c r="FN402" i="16" s="1"/>
  <c r="HB402" i="16" s="1"/>
  <c r="CH402" i="16"/>
  <c r="FJ402" i="16" s="1"/>
  <c r="GX402" i="16" s="1"/>
  <c r="CS402" i="16"/>
  <c r="FU402" i="16" s="1"/>
  <c r="HI402" i="16" s="1"/>
  <c r="CO402" i="16"/>
  <c r="FQ402" i="16" s="1"/>
  <c r="HE402" i="16" s="1"/>
  <c r="CK402" i="16"/>
  <c r="FM402" i="16" s="1"/>
  <c r="HA402" i="16" s="1"/>
  <c r="CG402" i="16"/>
  <c r="FI402" i="16" s="1"/>
  <c r="GW402" i="16" s="1"/>
  <c r="FF402" i="16"/>
  <c r="GT402" i="16" s="1"/>
  <c r="CR402" i="16"/>
  <c r="FT402" i="16" s="1"/>
  <c r="HH402" i="16" s="1"/>
  <c r="CN402" i="16"/>
  <c r="FP402" i="16" s="1"/>
  <c r="HD402" i="16" s="1"/>
  <c r="CJ402" i="16"/>
  <c r="FL402" i="16" s="1"/>
  <c r="GZ402" i="16" s="1"/>
  <c r="CF402" i="16"/>
  <c r="FH402" i="16" s="1"/>
  <c r="GV402" i="16" s="1"/>
  <c r="CQ402" i="16"/>
  <c r="FS402" i="16" s="1"/>
  <c r="HG402" i="16" s="1"/>
  <c r="CM402" i="16"/>
  <c r="FO402" i="16" s="1"/>
  <c r="HC402" i="16" s="1"/>
  <c r="CI402" i="16"/>
  <c r="FK402" i="16" s="1"/>
  <c r="GY402" i="16" s="1"/>
  <c r="CE402" i="16"/>
  <c r="FG402" i="16" s="1"/>
  <c r="GU402" i="16" s="1"/>
  <c r="CG323" i="16"/>
  <c r="FH323" i="16"/>
  <c r="GV323" i="16" s="1"/>
  <c r="CH319" i="16"/>
  <c r="CH316" i="16"/>
  <c r="FI316" i="16"/>
  <c r="GW316" i="16" s="1"/>
  <c r="CI366" i="16"/>
  <c r="FJ366" i="16"/>
  <c r="GX366" i="16" s="1"/>
  <c r="CE315" i="16"/>
  <c r="FF315" i="16"/>
  <c r="GT315" i="16" s="1"/>
  <c r="FO394" i="16"/>
  <c r="HC394" i="16" s="1"/>
  <c r="FK394" i="16"/>
  <c r="GY394" i="16" s="1"/>
  <c r="CH317" i="16"/>
  <c r="FI317" i="16"/>
  <c r="GW317" i="16" s="1"/>
  <c r="FH346" i="16"/>
  <c r="GV346" i="16" s="1"/>
  <c r="CH346" i="16"/>
  <c r="FJ346" i="16" s="1"/>
  <c r="GX346" i="16" s="1"/>
  <c r="CG346" i="16"/>
  <c r="FI346" i="16" s="1"/>
  <c r="GW346" i="16" s="1"/>
  <c r="FD309" i="16"/>
  <c r="GR309" i="16" s="1"/>
  <c r="CC309" i="16"/>
  <c r="FI329" i="16"/>
  <c r="GW329" i="16" s="1"/>
  <c r="CH329" i="16"/>
  <c r="CS345" i="16"/>
  <c r="FF338" i="16"/>
  <c r="GT338" i="16" s="1"/>
  <c r="CF338" i="16"/>
  <c r="CE338" i="16"/>
  <c r="CF347" i="16"/>
  <c r="FG347" i="16"/>
  <c r="GU347" i="16" s="1"/>
  <c r="FB326" i="16"/>
  <c r="GP326" i="16" s="1"/>
  <c r="CH406" i="16"/>
  <c r="CJ406" i="16" s="1"/>
  <c r="CL398" i="16"/>
  <c r="FM398" i="16"/>
  <c r="HA398" i="16" s="1"/>
  <c r="FB272" i="16"/>
  <c r="GP272" i="16" s="1"/>
  <c r="FG399" i="16"/>
  <c r="GU399" i="16" s="1"/>
  <c r="CG399" i="16"/>
  <c r="FI399" i="16" s="1"/>
  <c r="GW399" i="16" s="1"/>
  <c r="CF399" i="16"/>
  <c r="FH399" i="16" s="1"/>
  <c r="GV399" i="16" s="1"/>
  <c r="CK399" i="16"/>
  <c r="CI399" i="16"/>
  <c r="FK399" i="16" s="1"/>
  <c r="GY399" i="16" s="1"/>
  <c r="CJ399" i="16"/>
  <c r="FL399" i="16" s="1"/>
  <c r="GZ399" i="16" s="1"/>
  <c r="CH399" i="16"/>
  <c r="FJ399" i="16" s="1"/>
  <c r="GX399" i="16" s="1"/>
  <c r="FH326" i="16"/>
  <c r="GV326" i="16" s="1"/>
  <c r="FG394" i="16"/>
  <c r="GU394" i="16" s="1"/>
  <c r="FC394" i="16"/>
  <c r="GQ394" i="16" s="1"/>
  <c r="FB321" i="16"/>
  <c r="GP321" i="16" s="1"/>
  <c r="FE269" i="16"/>
  <c r="GS269" i="16" s="1"/>
  <c r="FA273" i="16"/>
  <c r="GO273" i="16" s="1"/>
  <c r="FD274" i="16"/>
  <c r="GR274" i="16" s="1"/>
  <c r="FP404" i="16"/>
  <c r="HD404" i="16" s="1"/>
  <c r="CO404" i="16"/>
  <c r="FD326" i="16"/>
  <c r="GR326" i="16" s="1"/>
  <c r="FD270" i="16"/>
  <c r="GR270" i="16" s="1"/>
  <c r="FD268" i="16"/>
  <c r="GR268" i="16" s="1"/>
  <c r="FC276" i="16"/>
  <c r="GQ276" i="16" s="1"/>
  <c r="FF403" i="16"/>
  <c r="GT403" i="16" s="1"/>
  <c r="CE403" i="16"/>
  <c r="FG403" i="16" s="1"/>
  <c r="GU403" i="16" s="1"/>
  <c r="GU410" i="16"/>
  <c r="GO394" i="16"/>
  <c r="GP271" i="16"/>
  <c r="GP269" i="16"/>
  <c r="GP275" i="16"/>
  <c r="GO282" i="16"/>
  <c r="GU415" i="16"/>
  <c r="GU413" i="16"/>
  <c r="GO268" i="16"/>
  <c r="GU414" i="16"/>
  <c r="GO267" i="16"/>
  <c r="GY426" i="16"/>
  <c r="GO395" i="16"/>
  <c r="FC272" i="16"/>
  <c r="GQ272" i="16" s="1"/>
  <c r="AI322" i="16"/>
  <c r="FE270" i="16"/>
  <c r="GS270" i="16" s="1"/>
  <c r="FD276" i="16"/>
  <c r="GR276" i="16" s="1"/>
  <c r="FC282" i="16"/>
  <c r="GQ282" i="16" s="1"/>
  <c r="FG282" i="16"/>
  <c r="GU282" i="16" s="1"/>
  <c r="FE282" i="16"/>
  <c r="GS282" i="16" s="1"/>
  <c r="CH412" i="16"/>
  <c r="FJ412" i="16" s="1"/>
  <c r="FB394" i="16"/>
  <c r="GP394" i="16" s="1"/>
  <c r="FH320" i="16"/>
  <c r="GV320" i="16" s="1"/>
  <c r="AI323" i="16"/>
  <c r="AI329" i="16"/>
  <c r="CG412" i="16"/>
  <c r="FI412" i="16" s="1"/>
  <c r="CF407" i="16"/>
  <c r="FH407" i="16" s="1"/>
  <c r="GV407" i="16" s="1"/>
  <c r="FG407" i="16"/>
  <c r="GU407" i="16" s="1"/>
  <c r="FO395" i="16"/>
  <c r="HC395" i="16" s="1"/>
  <c r="FK395" i="16"/>
  <c r="GY395" i="16" s="1"/>
  <c r="FG395" i="16"/>
  <c r="GU395" i="16" s="1"/>
  <c r="FC395" i="16"/>
  <c r="GQ395" i="16" s="1"/>
  <c r="FM395" i="16"/>
  <c r="HA395" i="16" s="1"/>
  <c r="AI325" i="16"/>
  <c r="FE267" i="16"/>
  <c r="GS267" i="16" s="1"/>
  <c r="FD273" i="16"/>
  <c r="GR273" i="16" s="1"/>
  <c r="FA274" i="16"/>
  <c r="GO274" i="16" s="1"/>
  <c r="FC274" i="16"/>
  <c r="GQ274" i="16" s="1"/>
  <c r="AR280" i="16"/>
  <c r="BL280" i="16" s="1"/>
  <c r="FB282" i="16"/>
  <c r="GP282" i="16" s="1"/>
  <c r="FN394" i="16"/>
  <c r="HB394" i="16" s="1"/>
  <c r="FJ394" i="16"/>
  <c r="GX394" i="16" s="1"/>
  <c r="FF394" i="16"/>
  <c r="GT394" i="16" s="1"/>
  <c r="FB339" i="16"/>
  <c r="GP339" i="16" s="1"/>
  <c r="AI331" i="16"/>
  <c r="FE268" i="16"/>
  <c r="GS268" i="16" s="1"/>
  <c r="FD269" i="16"/>
  <c r="GR269" i="16" s="1"/>
  <c r="FB274" i="16"/>
  <c r="FB320" i="16"/>
  <c r="FN395" i="16"/>
  <c r="HB395" i="16" s="1"/>
  <c r="FB395" i="16"/>
  <c r="GP395" i="16" s="1"/>
  <c r="FH321" i="16"/>
  <c r="GV321" i="16" s="1"/>
  <c r="FC267" i="16"/>
  <c r="GQ267" i="16" s="1"/>
  <c r="FD272" i="16"/>
  <c r="GR272" i="16" s="1"/>
  <c r="FB273" i="16"/>
  <c r="FG276" i="16"/>
  <c r="GU276" i="16" s="1"/>
  <c r="CD412" i="16"/>
  <c r="FF412" i="16" s="1"/>
  <c r="AI324" i="16"/>
  <c r="FJ395" i="16"/>
  <c r="GX395" i="16" s="1"/>
  <c r="FF395" i="16"/>
  <c r="GT395" i="16" s="1"/>
  <c r="FM394" i="16"/>
  <c r="HA394" i="16" s="1"/>
  <c r="FI394" i="16"/>
  <c r="GW394" i="16" s="1"/>
  <c r="FI395" i="16"/>
  <c r="GW395" i="16" s="1"/>
  <c r="FE395" i="16"/>
  <c r="GS395" i="16" s="1"/>
  <c r="FE354" i="16"/>
  <c r="GS354" i="16" s="1"/>
  <c r="FD320" i="16"/>
  <c r="GR320" i="16" s="1"/>
  <c r="FE320" i="16"/>
  <c r="GS320" i="16" s="1"/>
  <c r="AI328" i="16"/>
  <c r="FC326" i="16"/>
  <c r="GQ326" i="16" s="1"/>
  <c r="FG326" i="16"/>
  <c r="GU326" i="16" s="1"/>
  <c r="FC270" i="16"/>
  <c r="GQ270" i="16" s="1"/>
  <c r="FC269" i="16"/>
  <c r="GQ269" i="16" s="1"/>
  <c r="FC268" i="16"/>
  <c r="GQ268" i="16" s="1"/>
  <c r="FC273" i="16"/>
  <c r="GQ273" i="16" s="1"/>
  <c r="FE275" i="16"/>
  <c r="GS275" i="16" s="1"/>
  <c r="FF276" i="16"/>
  <c r="GT276" i="16" s="1"/>
  <c r="FB276" i="16"/>
  <c r="FC293" i="16"/>
  <c r="GQ293" i="16" s="1"/>
  <c r="FE293" i="16"/>
  <c r="GS293" i="16" s="1"/>
  <c r="CJ412" i="16"/>
  <c r="CK412" i="16" s="1"/>
  <c r="CI412" i="16"/>
  <c r="FK412" i="16" s="1"/>
  <c r="FD412" i="16"/>
  <c r="CF412" i="16"/>
  <c r="FH412" i="16" s="1"/>
  <c r="CE412" i="16"/>
  <c r="FG412" i="16" s="1"/>
  <c r="FE276" i="16"/>
  <c r="GS276" i="16" s="1"/>
  <c r="FE394" i="16"/>
  <c r="GS394" i="16" s="1"/>
  <c r="FC341" i="16"/>
  <c r="GQ341" i="16" s="1"/>
  <c r="FC275" i="16"/>
  <c r="GQ275" i="16" s="1"/>
  <c r="FG275" i="16"/>
  <c r="GU275" i="16" s="1"/>
  <c r="AR281" i="16"/>
  <c r="BL281" i="16" s="1"/>
  <c r="AS281" i="16"/>
  <c r="AG281" i="16" s="1"/>
  <c r="FL394" i="16"/>
  <c r="GZ394" i="16" s="1"/>
  <c r="FH394" i="16"/>
  <c r="GV394" i="16" s="1"/>
  <c r="FD394" i="16"/>
  <c r="GR394" i="16" s="1"/>
  <c r="FL395" i="16"/>
  <c r="GZ395" i="16" s="1"/>
  <c r="FH395" i="16"/>
  <c r="GV395" i="16" s="1"/>
  <c r="FD395" i="16"/>
  <c r="GR395" i="16" s="1"/>
  <c r="FE272" i="16"/>
  <c r="GS272" i="16" s="1"/>
  <c r="AS279" i="16"/>
  <c r="AG279" i="16" s="1"/>
  <c r="FD282" i="16"/>
  <c r="GR282" i="16" s="1"/>
  <c r="FD411" i="16"/>
  <c r="CC411" i="16"/>
  <c r="AS276" i="16"/>
  <c r="AG276" i="16" s="1"/>
  <c r="FC339" i="16"/>
  <c r="GQ339" i="16" s="1"/>
  <c r="CB339" i="16"/>
  <c r="FD339" i="16" s="1"/>
  <c r="GR339" i="16" s="1"/>
  <c r="AS340" i="16"/>
  <c r="AG340" i="16" s="1"/>
  <c r="FB341" i="16"/>
  <c r="GP341" i="16" s="1"/>
  <c r="AC298" i="16"/>
  <c r="AD298" i="16"/>
  <c r="AC299" i="16"/>
  <c r="AD299" i="16"/>
  <c r="AC300" i="16"/>
  <c r="AD300" i="16"/>
  <c r="BM299" i="16"/>
  <c r="BO299" i="16" s="1"/>
  <c r="BM300" i="16"/>
  <c r="BO300" i="16" s="1"/>
  <c r="BM298" i="16"/>
  <c r="BO298" i="16" s="1"/>
  <c r="BI300" i="16"/>
  <c r="BK300" i="16" s="1"/>
  <c r="BI299" i="16"/>
  <c r="BK299" i="16" s="1"/>
  <c r="BI298" i="16"/>
  <c r="BK298" i="16" s="1"/>
  <c r="BG299" i="16"/>
  <c r="BG300" i="16"/>
  <c r="BG298" i="16"/>
  <c r="BF299" i="16"/>
  <c r="BF300" i="16"/>
  <c r="BF298" i="16"/>
  <c r="BD298" i="16"/>
  <c r="BD299" i="16"/>
  <c r="BD300" i="16"/>
  <c r="BC300" i="16"/>
  <c r="BC299" i="16"/>
  <c r="BC298" i="16"/>
  <c r="AS300" i="16"/>
  <c r="AR300" i="16"/>
  <c r="AS299" i="16"/>
  <c r="AR299" i="16"/>
  <c r="AS298" i="16"/>
  <c r="AR298" i="16"/>
  <c r="AC297" i="16"/>
  <c r="Z297" i="16" s="1"/>
  <c r="AD297" i="16"/>
  <c r="BM297" i="16"/>
  <c r="BO297" i="16" s="1"/>
  <c r="BI297" i="16"/>
  <c r="BK297" i="16" s="1"/>
  <c r="BC297" i="16"/>
  <c r="AS297" i="16"/>
  <c r="AR297" i="16"/>
  <c r="BL297" i="16" s="1"/>
  <c r="AC296" i="16"/>
  <c r="AD296" i="16"/>
  <c r="BM296" i="16"/>
  <c r="BO296" i="16" s="1"/>
  <c r="BI296" i="16"/>
  <c r="BK296" i="16" s="1"/>
  <c r="BG296" i="16"/>
  <c r="BF296" i="16"/>
  <c r="BE296" i="16"/>
  <c r="BD296" i="16"/>
  <c r="BC296" i="16"/>
  <c r="AS296" i="16"/>
  <c r="AR296" i="16"/>
  <c r="AC295" i="16"/>
  <c r="AD295" i="16"/>
  <c r="BM295" i="16"/>
  <c r="BO295" i="16" s="1"/>
  <c r="BI295" i="16"/>
  <c r="BK295" i="16" s="1"/>
  <c r="BG295" i="16"/>
  <c r="BF295" i="16"/>
  <c r="BD295" i="16"/>
  <c r="BC295" i="16"/>
  <c r="AS295" i="16"/>
  <c r="AR295" i="16"/>
  <c r="AD294" i="16"/>
  <c r="AC294" i="16"/>
  <c r="BM294" i="16"/>
  <c r="BO294" i="16" s="1"/>
  <c r="BI294" i="16"/>
  <c r="BK294" i="16" s="1"/>
  <c r="BG294" i="16"/>
  <c r="BF294" i="16"/>
  <c r="BE294" i="16"/>
  <c r="BD294" i="16"/>
  <c r="BC294" i="16"/>
  <c r="AC290" i="16"/>
  <c r="Z290" i="16" s="1"/>
  <c r="AD290" i="16"/>
  <c r="AC291" i="16"/>
  <c r="Z291" i="16" s="1"/>
  <c r="AD291" i="16"/>
  <c r="AC292" i="16"/>
  <c r="Z292" i="16" s="1"/>
  <c r="AD292" i="16"/>
  <c r="AS292" i="16"/>
  <c r="AR292" i="16"/>
  <c r="AS291" i="16"/>
  <c r="AR291" i="16"/>
  <c r="BM292" i="16"/>
  <c r="BO292" i="16" s="1"/>
  <c r="AI292" i="16" s="1"/>
  <c r="BM291" i="16"/>
  <c r="BO291" i="16" s="1"/>
  <c r="BM290" i="16"/>
  <c r="BO290" i="16" s="1"/>
  <c r="BI293" i="16"/>
  <c r="BK293" i="16" s="1"/>
  <c r="AG293" i="16" s="1"/>
  <c r="BI292" i="16"/>
  <c r="BK292" i="16" s="1"/>
  <c r="AG292" i="16" s="1"/>
  <c r="BI291" i="16"/>
  <c r="BK291" i="16" s="1"/>
  <c r="BI290" i="16"/>
  <c r="BK290" i="16" s="1"/>
  <c r="BG292" i="16"/>
  <c r="BG291" i="16"/>
  <c r="BG290" i="16"/>
  <c r="BF292" i="16"/>
  <c r="BF291" i="16"/>
  <c r="BL291" i="16" s="1"/>
  <c r="BF290" i="16"/>
  <c r="BC292" i="16"/>
  <c r="BC291" i="16"/>
  <c r="BD290" i="16"/>
  <c r="BC290" i="16"/>
  <c r="AS290" i="16"/>
  <c r="AR290" i="16"/>
  <c r="AC289" i="16"/>
  <c r="Z289" i="16" s="1"/>
  <c r="AD289" i="16"/>
  <c r="BM289" i="16"/>
  <c r="BO289" i="16" s="1"/>
  <c r="BI289" i="16"/>
  <c r="BK289" i="16" s="1"/>
  <c r="BG289" i="16"/>
  <c r="BC289" i="16"/>
  <c r="AS289" i="16"/>
  <c r="AR289" i="16"/>
  <c r="BL289" i="16" s="1"/>
  <c r="AC285" i="16"/>
  <c r="Z285" i="16" s="1"/>
  <c r="AD285" i="16"/>
  <c r="AC286" i="16"/>
  <c r="Z286" i="16" s="1"/>
  <c r="AD286" i="16"/>
  <c r="AC287" i="16"/>
  <c r="Z287" i="16" s="1"/>
  <c r="AD287" i="16"/>
  <c r="AC288" i="16"/>
  <c r="Z288" i="16" s="1"/>
  <c r="AD288" i="16"/>
  <c r="BM286" i="16"/>
  <c r="BO286" i="16" s="1"/>
  <c r="BM287" i="16"/>
  <c r="BO287" i="16" s="1"/>
  <c r="BM288" i="16"/>
  <c r="BO288" i="16" s="1"/>
  <c r="BM285" i="16"/>
  <c r="BO285" i="16" s="1"/>
  <c r="BI286" i="16"/>
  <c r="BK286" i="16" s="1"/>
  <c r="BI287" i="16"/>
  <c r="BK287" i="16" s="1"/>
  <c r="BI288" i="16"/>
  <c r="BK288" i="16" s="1"/>
  <c r="BI285" i="16"/>
  <c r="BK285" i="16" s="1"/>
  <c r="BG285" i="16"/>
  <c r="BC286" i="16"/>
  <c r="BC287" i="16"/>
  <c r="BC288" i="16"/>
  <c r="BC285" i="16"/>
  <c r="AS285" i="16"/>
  <c r="AR285" i="16"/>
  <c r="BL285" i="16" s="1"/>
  <c r="AS286" i="16"/>
  <c r="AR286" i="16"/>
  <c r="BL286" i="16" s="1"/>
  <c r="AS287" i="16"/>
  <c r="AR287" i="16"/>
  <c r="BL287" i="16" s="1"/>
  <c r="AS288" i="16"/>
  <c r="AR288" i="16"/>
  <c r="BL288" i="16" s="1"/>
  <c r="BM284" i="16"/>
  <c r="BO284" i="16" s="1"/>
  <c r="BF284" i="16" s="1"/>
  <c r="BM283" i="16"/>
  <c r="BO283" i="16" s="1"/>
  <c r="BF283" i="16" s="1"/>
  <c r="AD284" i="16"/>
  <c r="AC284" i="16"/>
  <c r="Z284" i="16" s="1"/>
  <c r="AD283" i="16"/>
  <c r="AC283" i="16"/>
  <c r="Z283" i="16" s="1"/>
  <c r="BI284" i="16"/>
  <c r="BK284" i="16" s="1"/>
  <c r="BI283" i="16"/>
  <c r="BK283" i="16" s="1"/>
  <c r="BG284" i="16"/>
  <c r="BG283" i="16"/>
  <c r="AR278" i="16"/>
  <c r="BL278" i="16" s="1"/>
  <c r="AS278" i="16"/>
  <c r="AG278" i="16" s="1"/>
  <c r="AR277" i="16"/>
  <c r="BL277" i="16" s="1"/>
  <c r="AS277" i="16"/>
  <c r="AG277" i="16" s="1"/>
  <c r="AP284" i="16"/>
  <c r="AR284" i="16" s="1"/>
  <c r="AP283" i="16"/>
  <c r="AC261" i="16"/>
  <c r="Z261" i="16" s="1"/>
  <c r="AD261" i="16"/>
  <c r="AC262" i="16"/>
  <c r="Z262" i="16" s="1"/>
  <c r="AD262" i="16"/>
  <c r="AC263" i="16"/>
  <c r="Z263" i="16" s="1"/>
  <c r="AD263" i="16"/>
  <c r="AC264" i="16"/>
  <c r="Z264" i="16" s="1"/>
  <c r="AD264" i="16"/>
  <c r="AC265" i="16"/>
  <c r="Z265" i="16" s="1"/>
  <c r="AD265" i="16"/>
  <c r="AC266" i="16"/>
  <c r="Z266" i="16" s="1"/>
  <c r="AD266" i="16"/>
  <c r="BG262" i="16"/>
  <c r="BG263" i="16"/>
  <c r="BG264" i="16"/>
  <c r="BG265" i="16"/>
  <c r="BG266" i="16"/>
  <c r="BG261" i="16"/>
  <c r="BM263" i="16"/>
  <c r="BO263" i="16" s="1"/>
  <c r="BF263" i="16" s="1"/>
  <c r="BM264" i="16"/>
  <c r="BO264" i="16" s="1"/>
  <c r="BF264" i="16" s="1"/>
  <c r="BM265" i="16"/>
  <c r="BO265" i="16" s="1"/>
  <c r="BF265" i="16" s="1"/>
  <c r="BM266" i="16"/>
  <c r="BO266" i="16" s="1"/>
  <c r="BF266" i="16" s="1"/>
  <c r="BM262" i="16"/>
  <c r="BO262" i="16" s="1"/>
  <c r="BM261" i="16"/>
  <c r="BO261" i="16" s="1"/>
  <c r="BI266" i="16"/>
  <c r="BK266" i="16" s="1"/>
  <c r="BI264" i="16"/>
  <c r="BK264" i="16" s="1"/>
  <c r="BI265" i="16"/>
  <c r="BK265" i="16" s="1"/>
  <c r="BI263" i="16"/>
  <c r="BK263" i="16" s="1"/>
  <c r="BI262" i="16"/>
  <c r="BK262" i="16" s="1"/>
  <c r="BI261" i="16"/>
  <c r="BK261" i="16" s="1"/>
  <c r="AS266" i="16"/>
  <c r="AR266" i="16"/>
  <c r="AS265" i="16"/>
  <c r="AR265" i="16"/>
  <c r="AS264" i="16"/>
  <c r="AR264" i="16"/>
  <c r="AS263" i="16"/>
  <c r="AR263" i="16"/>
  <c r="AS262" i="16"/>
  <c r="AR262" i="16"/>
  <c r="AS261" i="16"/>
  <c r="AR261" i="16"/>
  <c r="AC252" i="16"/>
  <c r="AD252" i="16"/>
  <c r="AE252" i="16"/>
  <c r="BT252" i="16" s="1"/>
  <c r="AC253" i="16"/>
  <c r="AD253" i="16"/>
  <c r="AE253" i="16"/>
  <c r="BT253" i="16" s="1"/>
  <c r="AC254" i="16"/>
  <c r="AD254" i="16"/>
  <c r="AE254" i="16"/>
  <c r="BT254" i="16" s="1"/>
  <c r="AC255" i="16"/>
  <c r="AD255" i="16"/>
  <c r="AE255" i="16"/>
  <c r="BT255" i="16" s="1"/>
  <c r="AC256" i="16"/>
  <c r="AD256" i="16"/>
  <c r="AE256" i="16"/>
  <c r="BT256" i="16" s="1"/>
  <c r="AC257" i="16"/>
  <c r="AD257" i="16"/>
  <c r="AE257" i="16"/>
  <c r="BT257" i="16" s="1"/>
  <c r="AC258" i="16"/>
  <c r="AD258" i="16"/>
  <c r="AE258" i="16"/>
  <c r="BT258" i="16" s="1"/>
  <c r="AC259" i="16"/>
  <c r="AD259" i="16"/>
  <c r="AE259" i="16"/>
  <c r="BT259" i="16" s="1"/>
  <c r="AC260" i="16"/>
  <c r="AD260" i="16"/>
  <c r="AE260" i="16"/>
  <c r="BT260" i="16" s="1"/>
  <c r="AE251" i="16"/>
  <c r="BT251" i="16" s="1"/>
  <c r="AD251" i="16"/>
  <c r="AC251" i="16"/>
  <c r="BM258" i="16"/>
  <c r="BO258" i="16" s="1"/>
  <c r="BM259" i="16"/>
  <c r="BO259" i="16" s="1"/>
  <c r="BM260" i="16"/>
  <c r="BO260" i="16" s="1"/>
  <c r="BM257" i="16"/>
  <c r="BO257" i="16" s="1"/>
  <c r="BM254" i="16"/>
  <c r="BO254" i="16" s="1"/>
  <c r="BM255" i="16"/>
  <c r="BO255" i="16" s="1"/>
  <c r="BM256" i="16"/>
  <c r="BO256" i="16" s="1"/>
  <c r="BM253" i="16"/>
  <c r="BO253" i="16" s="1"/>
  <c r="BI258" i="16"/>
  <c r="BK258" i="16" s="1"/>
  <c r="BI259" i="16"/>
  <c r="BK259" i="16" s="1"/>
  <c r="BI260" i="16"/>
  <c r="BK260" i="16" s="1"/>
  <c r="BI257" i="16"/>
  <c r="BK257" i="16" s="1"/>
  <c r="BI252" i="16"/>
  <c r="BK252" i="16" s="1"/>
  <c r="BI253" i="16"/>
  <c r="BK253" i="16" s="1"/>
  <c r="BI254" i="16"/>
  <c r="BK254" i="16" s="1"/>
  <c r="BI255" i="16"/>
  <c r="BK255" i="16" s="1"/>
  <c r="BI256" i="16"/>
  <c r="BK256" i="16" s="1"/>
  <c r="BI251" i="16"/>
  <c r="BK251" i="16" s="1"/>
  <c r="BG260" i="16"/>
  <c r="BG259" i="16"/>
  <c r="BG256" i="16"/>
  <c r="BG255" i="16"/>
  <c r="AC247" i="16"/>
  <c r="AD247" i="16"/>
  <c r="AE247" i="16"/>
  <c r="BT247" i="16" s="1"/>
  <c r="BM247" i="16"/>
  <c r="BO247" i="16" s="1"/>
  <c r="BF247" i="16" s="1"/>
  <c r="BI247" i="16"/>
  <c r="BK247" i="16" s="1"/>
  <c r="BG247" i="16"/>
  <c r="Y247" i="16"/>
  <c r="S247" i="16" s="1"/>
  <c r="CM312" i="16" l="1"/>
  <c r="FO312" i="16" s="1"/>
  <c r="HC312" i="16" s="1"/>
  <c r="CL312" i="16"/>
  <c r="FN312" i="16" s="1"/>
  <c r="HB312" i="16" s="1"/>
  <c r="CK312" i="16"/>
  <c r="FM312" i="16" s="1"/>
  <c r="HA312" i="16" s="1"/>
  <c r="BL299" i="16"/>
  <c r="BL295" i="16"/>
  <c r="BL298" i="16"/>
  <c r="BL296" i="16"/>
  <c r="Z296" i="16"/>
  <c r="BL300" i="16"/>
  <c r="DE401" i="16"/>
  <c r="GG401" i="16" s="1"/>
  <c r="HU401" i="16" s="1"/>
  <c r="AG291" i="16"/>
  <c r="AG297" i="16"/>
  <c r="AG263" i="16"/>
  <c r="AG286" i="16"/>
  <c r="AG296" i="16"/>
  <c r="AG265" i="16"/>
  <c r="AG285" i="16"/>
  <c r="AG289" i="16"/>
  <c r="AG290" i="16"/>
  <c r="AG295" i="16"/>
  <c r="AG298" i="16"/>
  <c r="AG261" i="16"/>
  <c r="AG264" i="16"/>
  <c r="AG288" i="16"/>
  <c r="AG299" i="16"/>
  <c r="AG262" i="16"/>
  <c r="AG266" i="16"/>
  <c r="AG287" i="16"/>
  <c r="AG300" i="16"/>
  <c r="FJ387" i="16"/>
  <c r="GX387" i="16" s="1"/>
  <c r="CJ387" i="16"/>
  <c r="FL387" i="16" s="1"/>
  <c r="GZ387" i="16" s="1"/>
  <c r="CI387" i="16"/>
  <c r="FK387" i="16" s="1"/>
  <c r="GY387" i="16" s="1"/>
  <c r="FJ384" i="16"/>
  <c r="GX384" i="16" s="1"/>
  <c r="CJ384" i="16"/>
  <c r="FL384" i="16" s="1"/>
  <c r="GZ384" i="16" s="1"/>
  <c r="CI384" i="16"/>
  <c r="FK384" i="16" s="1"/>
  <c r="GY384" i="16" s="1"/>
  <c r="Z254" i="16"/>
  <c r="X254" i="16" s="1"/>
  <c r="Z256" i="16"/>
  <c r="X256" i="16" s="1"/>
  <c r="Z252" i="16"/>
  <c r="X252" i="16" s="1"/>
  <c r="Z247" i="16"/>
  <c r="X247" i="16" s="1"/>
  <c r="Z260" i="16"/>
  <c r="X260" i="16" s="1"/>
  <c r="Z257" i="16"/>
  <c r="X257" i="16" s="1"/>
  <c r="Z253" i="16"/>
  <c r="X253" i="16" s="1"/>
  <c r="Z258" i="16"/>
  <c r="X258" i="16" s="1"/>
  <c r="Z251" i="16"/>
  <c r="X251" i="16" s="1"/>
  <c r="Z259" i="16"/>
  <c r="X259" i="16" s="1"/>
  <c r="Z255" i="16"/>
  <c r="X255" i="16" s="1"/>
  <c r="BL290" i="16"/>
  <c r="BL292" i="16"/>
  <c r="BL265" i="16"/>
  <c r="BL284" i="16"/>
  <c r="BL264" i="16"/>
  <c r="BL263" i="16"/>
  <c r="BL266" i="16"/>
  <c r="CH322" i="16"/>
  <c r="FJ322" i="16" s="1"/>
  <c r="GX322" i="16" s="1"/>
  <c r="FI322" i="16"/>
  <c r="GW322" i="16" s="1"/>
  <c r="CI322" i="16"/>
  <c r="FK322" i="16" s="1"/>
  <c r="GY322" i="16" s="1"/>
  <c r="GD400" i="16"/>
  <c r="HR400" i="16" s="1"/>
  <c r="BE300" i="16"/>
  <c r="Z300" i="16" s="1"/>
  <c r="BE299" i="16"/>
  <c r="Z299" i="16" s="1"/>
  <c r="BE295" i="16"/>
  <c r="Z295" i="16" s="1"/>
  <c r="BE298" i="16"/>
  <c r="Z298" i="16" s="1"/>
  <c r="FG314" i="16"/>
  <c r="GU314" i="16" s="1"/>
  <c r="CG314" i="16"/>
  <c r="FI314" i="16" s="1"/>
  <c r="GW314" i="16" s="1"/>
  <c r="CF314" i="16"/>
  <c r="FH314" i="16" s="1"/>
  <c r="GV314" i="16" s="1"/>
  <c r="FJ386" i="16"/>
  <c r="GX386" i="16" s="1"/>
  <c r="CI386" i="16"/>
  <c r="FK386" i="16" s="1"/>
  <c r="GY386" i="16" s="1"/>
  <c r="CJ386" i="16"/>
  <c r="FL386" i="16" s="1"/>
  <c r="GZ386" i="16" s="1"/>
  <c r="FI323" i="16"/>
  <c r="GW323" i="16" s="1"/>
  <c r="CH323" i="16"/>
  <c r="FJ323" i="16" s="1"/>
  <c r="GX323" i="16" s="1"/>
  <c r="CI323" i="16"/>
  <c r="FK323" i="16" s="1"/>
  <c r="GY323" i="16" s="1"/>
  <c r="FV402" i="16"/>
  <c r="HJ402" i="16" s="1"/>
  <c r="CU402" i="16"/>
  <c r="FK305" i="16"/>
  <c r="GY305" i="16" s="1"/>
  <c r="CJ305" i="16"/>
  <c r="FL305" i="16" s="1"/>
  <c r="GZ305" i="16" s="1"/>
  <c r="CT345" i="16"/>
  <c r="CY345" i="16"/>
  <c r="CW345" i="16"/>
  <c r="CU345" i="16"/>
  <c r="CV345" i="16"/>
  <c r="CX345" i="16"/>
  <c r="FK366" i="16"/>
  <c r="GY366" i="16" s="1"/>
  <c r="CK366" i="16"/>
  <c r="FM366" i="16" s="1"/>
  <c r="HA366" i="16" s="1"/>
  <c r="CJ366" i="16"/>
  <c r="FL366" i="16" s="1"/>
  <c r="GZ366" i="16" s="1"/>
  <c r="FJ319" i="16"/>
  <c r="GX319" i="16" s="1"/>
  <c r="CJ319" i="16"/>
  <c r="FL319" i="16" s="1"/>
  <c r="GZ319" i="16" s="1"/>
  <c r="CI319" i="16"/>
  <c r="FK319" i="16" s="1"/>
  <c r="GY319" i="16" s="1"/>
  <c r="FG306" i="16"/>
  <c r="GU306" i="16" s="1"/>
  <c r="CF306" i="16"/>
  <c r="FH306" i="16" s="1"/>
  <c r="GV306" i="16" s="1"/>
  <c r="CI406" i="16"/>
  <c r="FH347" i="16"/>
  <c r="GV347" i="16" s="1"/>
  <c r="CG347" i="16"/>
  <c r="FI347" i="16" s="1"/>
  <c r="GW347" i="16" s="1"/>
  <c r="CH347" i="16"/>
  <c r="FJ347" i="16" s="1"/>
  <c r="GX347" i="16" s="1"/>
  <c r="FE309" i="16"/>
  <c r="GS309" i="16" s="1"/>
  <c r="CD309" i="16"/>
  <c r="FJ317" i="16"/>
  <c r="GX317" i="16" s="1"/>
  <c r="CJ317" i="16"/>
  <c r="FL317" i="16" s="1"/>
  <c r="GZ317" i="16" s="1"/>
  <c r="CI317" i="16"/>
  <c r="FK317" i="16" s="1"/>
  <c r="GY317" i="16" s="1"/>
  <c r="FG315" i="16"/>
  <c r="GU315" i="16" s="1"/>
  <c r="CG315" i="16"/>
  <c r="FI315" i="16" s="1"/>
  <c r="GW315" i="16" s="1"/>
  <c r="CF315" i="16"/>
  <c r="FH315" i="16" s="1"/>
  <c r="GV315" i="16" s="1"/>
  <c r="FE340" i="16"/>
  <c r="GS340" i="16" s="1"/>
  <c r="CD340" i="16"/>
  <c r="DG400" i="16"/>
  <c r="GI400" i="16" s="1"/>
  <c r="HW400" i="16" s="1"/>
  <c r="DF400" i="16"/>
  <c r="GH400" i="16" s="1"/>
  <c r="HV400" i="16" s="1"/>
  <c r="DD400" i="16"/>
  <c r="GF400" i="16" s="1"/>
  <c r="HT400" i="16" s="1"/>
  <c r="GE400" i="16"/>
  <c r="HS400" i="16" s="1"/>
  <c r="DE400" i="16"/>
  <c r="GG400" i="16" s="1"/>
  <c r="HU400" i="16" s="1"/>
  <c r="FF311" i="16"/>
  <c r="GT311" i="16" s="1"/>
  <c r="CE311" i="16"/>
  <c r="FL357" i="16"/>
  <c r="GZ357" i="16" s="1"/>
  <c r="CL357" i="16"/>
  <c r="FN357" i="16" s="1"/>
  <c r="HB357" i="16" s="1"/>
  <c r="CM357" i="16"/>
  <c r="FO357" i="16" s="1"/>
  <c r="HC357" i="16" s="1"/>
  <c r="CN357" i="16"/>
  <c r="FP357" i="16" s="1"/>
  <c r="HD357" i="16" s="1"/>
  <c r="CK357" i="16"/>
  <c r="FM357" i="16" s="1"/>
  <c r="HA357" i="16" s="1"/>
  <c r="CJ329" i="16"/>
  <c r="FL329" i="16" s="1"/>
  <c r="GZ329" i="16" s="1"/>
  <c r="CI329" i="16"/>
  <c r="FK329" i="16" s="1"/>
  <c r="GY329" i="16" s="1"/>
  <c r="CK329" i="16"/>
  <c r="FM329" i="16" s="1"/>
  <c r="HA329" i="16" s="1"/>
  <c r="FJ329" i="16"/>
  <c r="GX329" i="16" s="1"/>
  <c r="CL329" i="16"/>
  <c r="FN329" i="16" s="1"/>
  <c r="HB329" i="16" s="1"/>
  <c r="CI316" i="16"/>
  <c r="FK316" i="16" s="1"/>
  <c r="GY316" i="16" s="1"/>
  <c r="FJ316" i="16"/>
  <c r="GX316" i="16" s="1"/>
  <c r="CJ316" i="16"/>
  <c r="FL316" i="16" s="1"/>
  <c r="GZ316" i="16" s="1"/>
  <c r="FK318" i="16"/>
  <c r="GY318" i="16" s="1"/>
  <c r="CJ318" i="16"/>
  <c r="FL318" i="16" s="1"/>
  <c r="GZ318" i="16" s="1"/>
  <c r="CK318" i="16"/>
  <c r="FM318" i="16" s="1"/>
  <c r="HA318" i="16" s="1"/>
  <c r="CE335" i="16"/>
  <c r="CF335" i="16"/>
  <c r="FF336" i="16"/>
  <c r="GT336" i="16" s="1"/>
  <c r="CE336" i="16"/>
  <c r="FG336" i="16" s="1"/>
  <c r="GU336" i="16" s="1"/>
  <c r="CF336" i="16"/>
  <c r="FH336" i="16" s="1"/>
  <c r="GV336" i="16" s="1"/>
  <c r="FL412" i="16"/>
  <c r="CL399" i="16"/>
  <c r="FM399" i="16"/>
  <c r="HA399" i="16" s="1"/>
  <c r="FQ404" i="16"/>
  <c r="HE404" i="16" s="1"/>
  <c r="CQ404" i="16"/>
  <c r="FS404" i="16" s="1"/>
  <c r="HG404" i="16" s="1"/>
  <c r="CP404" i="16"/>
  <c r="FR404" i="16" s="1"/>
  <c r="HF404" i="16" s="1"/>
  <c r="FN398" i="16"/>
  <c r="HB398" i="16" s="1"/>
  <c r="CP398" i="16"/>
  <c r="FR398" i="16" s="1"/>
  <c r="HF398" i="16" s="1"/>
  <c r="CO398" i="16"/>
  <c r="FQ398" i="16" s="1"/>
  <c r="HE398" i="16" s="1"/>
  <c r="CN398" i="16"/>
  <c r="FP398" i="16" s="1"/>
  <c r="HD398" i="16" s="1"/>
  <c r="CQ398" i="16"/>
  <c r="FS398" i="16" s="1"/>
  <c r="HG398" i="16" s="1"/>
  <c r="CM398" i="16"/>
  <c r="FO398" i="16" s="1"/>
  <c r="HC398" i="16" s="1"/>
  <c r="GP320" i="16"/>
  <c r="GP276" i="16"/>
  <c r="GP273" i="16"/>
  <c r="GP274" i="16"/>
  <c r="FM412" i="16"/>
  <c r="CM412" i="16"/>
  <c r="FO412" i="16" s="1"/>
  <c r="HC412" i="16" s="1"/>
  <c r="CN412" i="16"/>
  <c r="FP412" i="16" s="1"/>
  <c r="HD412" i="16" s="1"/>
  <c r="AI288" i="16"/>
  <c r="AI289" i="16"/>
  <c r="AI291" i="16"/>
  <c r="AI287" i="16"/>
  <c r="AI281" i="16"/>
  <c r="AI277" i="16"/>
  <c r="AI265" i="16"/>
  <c r="AI263" i="16"/>
  <c r="AI278" i="16"/>
  <c r="AS284" i="16"/>
  <c r="AG284" i="16" s="1"/>
  <c r="AI290" i="16"/>
  <c r="AI295" i="16"/>
  <c r="AI299" i="16"/>
  <c r="CL412" i="16"/>
  <c r="FN412" i="16" s="1"/>
  <c r="HB412" i="16" s="1"/>
  <c r="FE411" i="16"/>
  <c r="CG411" i="16"/>
  <c r="FI411" i="16" s="1"/>
  <c r="CJ411" i="16"/>
  <c r="CF411" i="16"/>
  <c r="FH411" i="16" s="1"/>
  <c r="CI411" i="16"/>
  <c r="FK411" i="16" s="1"/>
  <c r="CE411" i="16"/>
  <c r="FG411" i="16" s="1"/>
  <c r="CH411" i="16"/>
  <c r="FJ411" i="16" s="1"/>
  <c r="CD411" i="16"/>
  <c r="FF411" i="16" s="1"/>
  <c r="AI279" i="16"/>
  <c r="AI297" i="16"/>
  <c r="AI285" i="16"/>
  <c r="AS283" i="16"/>
  <c r="AG283" i="16" s="1"/>
  <c r="AR283" i="16"/>
  <c r="BL283" i="16" s="1"/>
  <c r="AI300" i="16"/>
  <c r="AI264" i="16"/>
  <c r="BF262" i="16"/>
  <c r="BL262" i="16" s="1"/>
  <c r="AI262" i="16"/>
  <c r="AI286" i="16"/>
  <c r="AI298" i="16"/>
  <c r="AI261" i="16"/>
  <c r="BF261" i="16"/>
  <c r="BL261" i="16" s="1"/>
  <c r="AI266" i="16"/>
  <c r="AI296" i="16"/>
  <c r="AC245" i="16"/>
  <c r="Z245" i="16" s="1"/>
  <c r="AD245" i="16"/>
  <c r="AE245" i="16"/>
  <c r="AC246" i="16"/>
  <c r="Z246" i="16" s="1"/>
  <c r="AD246" i="16"/>
  <c r="AE246" i="16"/>
  <c r="BO246" i="16"/>
  <c r="BO245" i="16"/>
  <c r="BK246" i="16"/>
  <c r="BK245" i="16"/>
  <c r="BF246" i="16"/>
  <c r="BF245" i="16"/>
  <c r="BD245" i="16"/>
  <c r="AW246" i="16"/>
  <c r="AW245" i="16"/>
  <c r="Y246" i="16"/>
  <c r="S246" i="16" s="1"/>
  <c r="Y245" i="16"/>
  <c r="S245" i="16" s="1"/>
  <c r="AC244" i="16"/>
  <c r="AD244" i="16"/>
  <c r="AE244" i="16"/>
  <c r="BT244" i="16" s="1"/>
  <c r="BM244" i="16"/>
  <c r="BO244" i="16" s="1"/>
  <c r="BI244" i="16"/>
  <c r="BK244" i="16" s="1"/>
  <c r="Y244" i="16"/>
  <c r="S244" i="16" s="1"/>
  <c r="AC241" i="16"/>
  <c r="AD241" i="16"/>
  <c r="AE241" i="16"/>
  <c r="BT241" i="16" s="1"/>
  <c r="AC242" i="16"/>
  <c r="AD242" i="16"/>
  <c r="AE242" i="16"/>
  <c r="BT242" i="16" s="1"/>
  <c r="AC243" i="16"/>
  <c r="AD243" i="16"/>
  <c r="AE243" i="16"/>
  <c r="BM243" i="16"/>
  <c r="BO243" i="16" s="1"/>
  <c r="BM242" i="16"/>
  <c r="BO242" i="16" s="1"/>
  <c r="BM241" i="16"/>
  <c r="BO241" i="16" s="1"/>
  <c r="BI243" i="16"/>
  <c r="BK243" i="16" s="1"/>
  <c r="BI242" i="16"/>
  <c r="BK242" i="16" s="1"/>
  <c r="BI241" i="16"/>
  <c r="BK241" i="16" s="1"/>
  <c r="AW243" i="16"/>
  <c r="AC239" i="16"/>
  <c r="AD239" i="16"/>
  <c r="AE239" i="16"/>
  <c r="AC240" i="16"/>
  <c r="AD240" i="16"/>
  <c r="AE240" i="16"/>
  <c r="Y243" i="16"/>
  <c r="S243" i="16" s="1"/>
  <c r="Y242" i="16"/>
  <c r="S242" i="16" s="1"/>
  <c r="Y241" i="16"/>
  <c r="S241" i="16" s="1"/>
  <c r="AL261" i="16"/>
  <c r="AL262" i="16"/>
  <c r="AL263" i="16"/>
  <c r="AL264" i="16"/>
  <c r="AL265" i="16"/>
  <c r="AL266" i="16"/>
  <c r="AL267" i="16"/>
  <c r="AL268" i="16"/>
  <c r="AL269" i="16"/>
  <c r="AL270" i="16"/>
  <c r="AL271" i="16"/>
  <c r="AL272" i="16"/>
  <c r="AL273" i="16"/>
  <c r="AL274" i="16"/>
  <c r="AL275" i="16"/>
  <c r="AL276" i="16"/>
  <c r="AL277" i="16"/>
  <c r="AL278" i="16"/>
  <c r="AL279" i="16"/>
  <c r="AL280" i="16"/>
  <c r="AL281" i="16"/>
  <c r="AL282" i="16"/>
  <c r="AL283" i="16"/>
  <c r="AL284" i="16"/>
  <c r="AL285" i="16"/>
  <c r="AL286" i="16"/>
  <c r="AL287" i="16"/>
  <c r="AL288" i="16"/>
  <c r="AL289" i="16"/>
  <c r="AL290" i="16"/>
  <c r="AL291" i="16"/>
  <c r="AL292" i="16"/>
  <c r="AL293" i="16"/>
  <c r="AL294" i="16"/>
  <c r="AL295" i="16"/>
  <c r="AL296" i="16"/>
  <c r="AL297" i="16"/>
  <c r="AL298" i="16"/>
  <c r="AL299" i="16"/>
  <c r="AL300" i="16"/>
  <c r="AW240" i="16"/>
  <c r="AW239" i="16"/>
  <c r="BG240" i="16"/>
  <c r="BG239" i="16"/>
  <c r="BF240" i="16"/>
  <c r="BF239" i="16"/>
  <c r="BI240" i="16"/>
  <c r="BK240" i="16" s="1"/>
  <c r="BI239" i="16"/>
  <c r="BK239" i="16" s="1"/>
  <c r="L2" i="17"/>
  <c r="L3" i="17"/>
  <c r="L4" i="17"/>
  <c r="L5" i="17"/>
  <c r="L6" i="17"/>
  <c r="L7" i="17"/>
  <c r="L8" i="17"/>
  <c r="K9" i="17"/>
  <c r="L9" i="17"/>
  <c r="L10" i="17"/>
  <c r="L11" i="17"/>
  <c r="L12" i="17"/>
  <c r="L13" i="17"/>
  <c r="L14" i="17"/>
  <c r="L15" i="17"/>
  <c r="L16" i="17"/>
  <c r="K17" i="17"/>
  <c r="L17" i="17"/>
  <c r="L18" i="17"/>
  <c r="L19" i="17"/>
  <c r="L20" i="17"/>
  <c r="L21" i="17"/>
  <c r="L22" i="17"/>
  <c r="L23" i="17"/>
  <c r="L24" i="17"/>
  <c r="K25" i="17"/>
  <c r="L25" i="17"/>
  <c r="L26" i="17"/>
  <c r="L1" i="17"/>
  <c r="J2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1" i="17"/>
  <c r="H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1" i="17"/>
  <c r="F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1" i="17"/>
  <c r="D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1" i="17"/>
  <c r="A158" i="17"/>
  <c r="M2" i="17" s="1"/>
  <c r="A159" i="17"/>
  <c r="M3" i="17" s="1"/>
  <c r="A160" i="17"/>
  <c r="M4" i="17" s="1"/>
  <c r="A161" i="17"/>
  <c r="M5" i="17" s="1"/>
  <c r="A162" i="17"/>
  <c r="M6" i="17" s="1"/>
  <c r="A163" i="17"/>
  <c r="M7" i="17" s="1"/>
  <c r="A164" i="17"/>
  <c r="M8" i="17" s="1"/>
  <c r="A165" i="17"/>
  <c r="M9" i="17" s="1"/>
  <c r="A166" i="17"/>
  <c r="M10" i="17" s="1"/>
  <c r="A167" i="17"/>
  <c r="M11" i="17" s="1"/>
  <c r="A168" i="17"/>
  <c r="M12" i="17" s="1"/>
  <c r="A169" i="17"/>
  <c r="M13" i="17" s="1"/>
  <c r="A170" i="17"/>
  <c r="M14" i="17" s="1"/>
  <c r="A171" i="17"/>
  <c r="M15" i="17" s="1"/>
  <c r="A172" i="17"/>
  <c r="M16" i="17" s="1"/>
  <c r="A173" i="17"/>
  <c r="M17" i="17" s="1"/>
  <c r="A174" i="17"/>
  <c r="M18" i="17" s="1"/>
  <c r="A175" i="17"/>
  <c r="M19" i="17" s="1"/>
  <c r="A176" i="17"/>
  <c r="M20" i="17" s="1"/>
  <c r="A177" i="17"/>
  <c r="M21" i="17" s="1"/>
  <c r="A178" i="17"/>
  <c r="M22" i="17" s="1"/>
  <c r="A179" i="17"/>
  <c r="M23" i="17" s="1"/>
  <c r="A180" i="17"/>
  <c r="M24" i="17" s="1"/>
  <c r="A181" i="17"/>
  <c r="M25" i="17" s="1"/>
  <c r="A157" i="17"/>
  <c r="M1" i="17" s="1"/>
  <c r="A156" i="17"/>
  <c r="K26" i="17" s="1"/>
  <c r="A132" i="17"/>
  <c r="K2" i="17" s="1"/>
  <c r="A133" i="17"/>
  <c r="K3" i="17" s="1"/>
  <c r="A134" i="17"/>
  <c r="K4" i="17" s="1"/>
  <c r="A135" i="17"/>
  <c r="K5" i="17" s="1"/>
  <c r="A136" i="17"/>
  <c r="K6" i="17" s="1"/>
  <c r="A137" i="17"/>
  <c r="K7" i="17" s="1"/>
  <c r="A138" i="17"/>
  <c r="K8" i="17" s="1"/>
  <c r="A139" i="17"/>
  <c r="A140" i="17"/>
  <c r="K10" i="17" s="1"/>
  <c r="A141" i="17"/>
  <c r="K11" i="17" s="1"/>
  <c r="A142" i="17"/>
  <c r="K12" i="17" s="1"/>
  <c r="A143" i="17"/>
  <c r="K13" i="17" s="1"/>
  <c r="A144" i="17"/>
  <c r="K14" i="17" s="1"/>
  <c r="A145" i="17"/>
  <c r="K15" i="17" s="1"/>
  <c r="A146" i="17"/>
  <c r="K16" i="17" s="1"/>
  <c r="A147" i="17"/>
  <c r="A148" i="17"/>
  <c r="K18" i="17" s="1"/>
  <c r="A149" i="17"/>
  <c r="K19" i="17" s="1"/>
  <c r="A150" i="17"/>
  <c r="K20" i="17" s="1"/>
  <c r="A151" i="17"/>
  <c r="K21" i="17" s="1"/>
  <c r="A152" i="17"/>
  <c r="K22" i="17" s="1"/>
  <c r="A153" i="17"/>
  <c r="K23" i="17" s="1"/>
  <c r="A154" i="17"/>
  <c r="K24" i="17" s="1"/>
  <c r="A155" i="17"/>
  <c r="A131" i="17"/>
  <c r="K1" i="17" s="1"/>
  <c r="A106" i="17"/>
  <c r="I2" i="17" s="1"/>
  <c r="A107" i="17"/>
  <c r="I3" i="17" s="1"/>
  <c r="A108" i="17"/>
  <c r="I4" i="17" s="1"/>
  <c r="A109" i="17"/>
  <c r="I5" i="17" s="1"/>
  <c r="A110" i="17"/>
  <c r="I6" i="17" s="1"/>
  <c r="A111" i="17"/>
  <c r="I7" i="17" s="1"/>
  <c r="A112" i="17"/>
  <c r="I8" i="17" s="1"/>
  <c r="A113" i="17"/>
  <c r="I9" i="17" s="1"/>
  <c r="A114" i="17"/>
  <c r="I10" i="17" s="1"/>
  <c r="A115" i="17"/>
  <c r="I11" i="17" s="1"/>
  <c r="A116" i="17"/>
  <c r="I12" i="17" s="1"/>
  <c r="A117" i="17"/>
  <c r="I13" i="17" s="1"/>
  <c r="A118" i="17"/>
  <c r="I14" i="17" s="1"/>
  <c r="A119" i="17"/>
  <c r="I15" i="17" s="1"/>
  <c r="A120" i="17"/>
  <c r="I16" i="17" s="1"/>
  <c r="A121" i="17"/>
  <c r="I17" i="17" s="1"/>
  <c r="A122" i="17"/>
  <c r="I18" i="17" s="1"/>
  <c r="A123" i="17"/>
  <c r="I19" i="17" s="1"/>
  <c r="A124" i="17"/>
  <c r="I20" i="17" s="1"/>
  <c r="A125" i="17"/>
  <c r="I21" i="17" s="1"/>
  <c r="A126" i="17"/>
  <c r="I22" i="17" s="1"/>
  <c r="A127" i="17"/>
  <c r="I23" i="17" s="1"/>
  <c r="A128" i="17"/>
  <c r="I24" i="17" s="1"/>
  <c r="A129" i="17"/>
  <c r="I25" i="17" s="1"/>
  <c r="A130" i="17"/>
  <c r="I26" i="17" s="1"/>
  <c r="A105" i="17"/>
  <c r="I1" i="17" s="1"/>
  <c r="A80" i="17"/>
  <c r="G2" i="17" s="1"/>
  <c r="A81" i="17"/>
  <c r="G3" i="17" s="1"/>
  <c r="A82" i="17"/>
  <c r="G4" i="17" s="1"/>
  <c r="A83" i="17"/>
  <c r="G5" i="17" s="1"/>
  <c r="A84" i="17"/>
  <c r="G6" i="17" s="1"/>
  <c r="A85" i="17"/>
  <c r="G7" i="17" s="1"/>
  <c r="A86" i="17"/>
  <c r="G8" i="17" s="1"/>
  <c r="A87" i="17"/>
  <c r="G9" i="17" s="1"/>
  <c r="A88" i="17"/>
  <c r="G10" i="17" s="1"/>
  <c r="A89" i="17"/>
  <c r="G11" i="17" s="1"/>
  <c r="A90" i="17"/>
  <c r="G12" i="17" s="1"/>
  <c r="A91" i="17"/>
  <c r="G13" i="17" s="1"/>
  <c r="A92" i="17"/>
  <c r="G14" i="17" s="1"/>
  <c r="A93" i="17"/>
  <c r="G15" i="17" s="1"/>
  <c r="A94" i="17"/>
  <c r="G16" i="17" s="1"/>
  <c r="A95" i="17"/>
  <c r="G17" i="17" s="1"/>
  <c r="A96" i="17"/>
  <c r="G18" i="17" s="1"/>
  <c r="A97" i="17"/>
  <c r="G19" i="17" s="1"/>
  <c r="A98" i="17"/>
  <c r="G20" i="17" s="1"/>
  <c r="A99" i="17"/>
  <c r="G21" i="17" s="1"/>
  <c r="A100" i="17"/>
  <c r="G22" i="17" s="1"/>
  <c r="A101" i="17"/>
  <c r="G23" i="17" s="1"/>
  <c r="A102" i="17"/>
  <c r="G24" i="17" s="1"/>
  <c r="A103" i="17"/>
  <c r="G25" i="17" s="1"/>
  <c r="A104" i="17"/>
  <c r="G26" i="17" s="1"/>
  <c r="A79" i="17"/>
  <c r="G1" i="17" s="1"/>
  <c r="A54" i="17"/>
  <c r="E2" i="17" s="1"/>
  <c r="A55" i="17"/>
  <c r="E3" i="17" s="1"/>
  <c r="A56" i="17"/>
  <c r="E4" i="17" s="1"/>
  <c r="A57" i="17"/>
  <c r="E5" i="17" s="1"/>
  <c r="A58" i="17"/>
  <c r="E6" i="17" s="1"/>
  <c r="A59" i="17"/>
  <c r="E7" i="17" s="1"/>
  <c r="A60" i="17"/>
  <c r="E8" i="17" s="1"/>
  <c r="A61" i="17"/>
  <c r="E9" i="17" s="1"/>
  <c r="A62" i="17"/>
  <c r="E10" i="17" s="1"/>
  <c r="A63" i="17"/>
  <c r="E11" i="17" s="1"/>
  <c r="A64" i="17"/>
  <c r="E12" i="17" s="1"/>
  <c r="A65" i="17"/>
  <c r="E13" i="17" s="1"/>
  <c r="A66" i="17"/>
  <c r="E14" i="17" s="1"/>
  <c r="A67" i="17"/>
  <c r="E15" i="17" s="1"/>
  <c r="A68" i="17"/>
  <c r="E16" i="17" s="1"/>
  <c r="A69" i="17"/>
  <c r="E17" i="17" s="1"/>
  <c r="A70" i="17"/>
  <c r="E18" i="17" s="1"/>
  <c r="A71" i="17"/>
  <c r="E19" i="17" s="1"/>
  <c r="A72" i="17"/>
  <c r="E20" i="17" s="1"/>
  <c r="A73" i="17"/>
  <c r="E21" i="17" s="1"/>
  <c r="A74" i="17"/>
  <c r="E22" i="17" s="1"/>
  <c r="A75" i="17"/>
  <c r="E23" i="17" s="1"/>
  <c r="A76" i="17"/>
  <c r="E24" i="17" s="1"/>
  <c r="A77" i="17"/>
  <c r="E25" i="17" s="1"/>
  <c r="A78" i="17"/>
  <c r="E26" i="17" s="1"/>
  <c r="A53" i="17"/>
  <c r="E1" i="17" s="1"/>
  <c r="A28" i="17"/>
  <c r="C2" i="17" s="1"/>
  <c r="A29" i="17"/>
  <c r="C3" i="17" s="1"/>
  <c r="A30" i="17"/>
  <c r="C4" i="17" s="1"/>
  <c r="A31" i="17"/>
  <c r="C5" i="17" s="1"/>
  <c r="A32" i="17"/>
  <c r="C6" i="17" s="1"/>
  <c r="A33" i="17"/>
  <c r="C7" i="17" s="1"/>
  <c r="A34" i="17"/>
  <c r="C8" i="17" s="1"/>
  <c r="A35" i="17"/>
  <c r="C9" i="17" s="1"/>
  <c r="A36" i="17"/>
  <c r="C10" i="17" s="1"/>
  <c r="A37" i="17"/>
  <c r="C11" i="17" s="1"/>
  <c r="A38" i="17"/>
  <c r="C12" i="17" s="1"/>
  <c r="A39" i="17"/>
  <c r="C13" i="17" s="1"/>
  <c r="A40" i="17"/>
  <c r="C14" i="17" s="1"/>
  <c r="A41" i="17"/>
  <c r="C15" i="17" s="1"/>
  <c r="A42" i="17"/>
  <c r="C16" i="17" s="1"/>
  <c r="A43" i="17"/>
  <c r="C17" i="17" s="1"/>
  <c r="A44" i="17"/>
  <c r="C18" i="17" s="1"/>
  <c r="A45" i="17"/>
  <c r="C19" i="17" s="1"/>
  <c r="A46" i="17"/>
  <c r="C20" i="17" s="1"/>
  <c r="A47" i="17"/>
  <c r="C21" i="17" s="1"/>
  <c r="A48" i="17"/>
  <c r="C22" i="17" s="1"/>
  <c r="A49" i="17"/>
  <c r="C23" i="17" s="1"/>
  <c r="A50" i="17"/>
  <c r="C24" i="17" s="1"/>
  <c r="A51" i="17"/>
  <c r="C25" i="17" s="1"/>
  <c r="A52" i="17"/>
  <c r="C26" i="17" s="1"/>
  <c r="A27" i="17"/>
  <c r="C1" i="17" s="1"/>
  <c r="A26" i="17"/>
  <c r="A25" i="17"/>
  <c r="A24" i="17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1" i="17"/>
  <c r="DX393" i="16"/>
  <c r="DY393" i="16"/>
  <c r="DZ393" i="16"/>
  <c r="EA393" i="16"/>
  <c r="DW393" i="16"/>
  <c r="DS393" i="16"/>
  <c r="DT393" i="16"/>
  <c r="DU393" i="16"/>
  <c r="DV393" i="16"/>
  <c r="DR393" i="16"/>
  <c r="CI393" i="16"/>
  <c r="CH393" i="16"/>
  <c r="CG393" i="16"/>
  <c r="CF393" i="16"/>
  <c r="CE393" i="16"/>
  <c r="CD393" i="16"/>
  <c r="DN393" i="16"/>
  <c r="DO393" i="16"/>
  <c r="DP393" i="16"/>
  <c r="DQ393" i="16"/>
  <c r="DM393" i="16"/>
  <c r="CM393" i="16"/>
  <c r="CL393" i="16"/>
  <c r="CK393" i="16"/>
  <c r="CJ393" i="16"/>
  <c r="FL393" i="16" s="1"/>
  <c r="GZ393" i="16" s="1"/>
  <c r="CC393" i="16"/>
  <c r="CB393" i="16"/>
  <c r="FD393" i="16" s="1"/>
  <c r="GR393" i="16" s="1"/>
  <c r="CA393" i="16"/>
  <c r="BZ393" i="16"/>
  <c r="BT243" i="16" l="1"/>
  <c r="BT246" i="16"/>
  <c r="BT245" i="16"/>
  <c r="DF401" i="16"/>
  <c r="GH401" i="16" s="1"/>
  <c r="HV401" i="16" s="1"/>
  <c r="FN393" i="16"/>
  <c r="HB393" i="16" s="1"/>
  <c r="DG401" i="16"/>
  <c r="GI401" i="16" s="1"/>
  <c r="HW401" i="16" s="1"/>
  <c r="BE239" i="16"/>
  <c r="BD239" i="16" s="1"/>
  <c r="BT239" i="16" s="1"/>
  <c r="Z244" i="16"/>
  <c r="X244" i="16" s="1"/>
  <c r="Z241" i="16"/>
  <c r="X241" i="16" s="1"/>
  <c r="Z243" i="16"/>
  <c r="X243" i="16" s="1"/>
  <c r="Z242" i="16"/>
  <c r="X242" i="16" s="1"/>
  <c r="BO239" i="16"/>
  <c r="DN239" i="16" s="1"/>
  <c r="FB239" i="16" s="1"/>
  <c r="GP239" i="16" s="1"/>
  <c r="BO240" i="16"/>
  <c r="EU240" i="16" s="1"/>
  <c r="GI240" i="16" s="1"/>
  <c r="HW240" i="16" s="1"/>
  <c r="FC393" i="16"/>
  <c r="GQ393" i="16" s="1"/>
  <c r="FF393" i="16"/>
  <c r="GT393" i="16" s="1"/>
  <c r="CF311" i="16"/>
  <c r="FG311" i="16"/>
  <c r="GU311" i="16" s="1"/>
  <c r="CX402" i="16"/>
  <c r="FZ402" i="16" s="1"/>
  <c r="HN402" i="16" s="1"/>
  <c r="FW402" i="16"/>
  <c r="HK402" i="16" s="1"/>
  <c r="CW402" i="16"/>
  <c r="FY402" i="16" s="1"/>
  <c r="HM402" i="16" s="1"/>
  <c r="CV402" i="16"/>
  <c r="FX402" i="16" s="1"/>
  <c r="HL402" i="16" s="1"/>
  <c r="CY402" i="16"/>
  <c r="GA402" i="16" s="1"/>
  <c r="HO402" i="16" s="1"/>
  <c r="CE309" i="16"/>
  <c r="FF309" i="16"/>
  <c r="GT309" i="16" s="1"/>
  <c r="FH393" i="16"/>
  <c r="GV393" i="16" s="1"/>
  <c r="FN399" i="16"/>
  <c r="HB399" i="16" s="1"/>
  <c r="CN399" i="16"/>
  <c r="FP399" i="16" s="1"/>
  <c r="HD399" i="16" s="1"/>
  <c r="CM399" i="16"/>
  <c r="FO399" i="16" s="1"/>
  <c r="HC399" i="16" s="1"/>
  <c r="CO399" i="16"/>
  <c r="FQ399" i="16" s="1"/>
  <c r="HE399" i="16" s="1"/>
  <c r="CQ399" i="16"/>
  <c r="FS399" i="16" s="1"/>
  <c r="HG399" i="16" s="1"/>
  <c r="CP399" i="16"/>
  <c r="FR399" i="16" s="1"/>
  <c r="HF399" i="16" s="1"/>
  <c r="FG393" i="16"/>
  <c r="GU393" i="16" s="1"/>
  <c r="FO393" i="16"/>
  <c r="HC393" i="16" s="1"/>
  <c r="FE393" i="16"/>
  <c r="GS393" i="16" s="1"/>
  <c r="AI284" i="16"/>
  <c r="AI283" i="16"/>
  <c r="CK411" i="16"/>
  <c r="FL411" i="16"/>
  <c r="X246" i="16"/>
  <c r="FK393" i="16"/>
  <c r="GY393" i="16" s="1"/>
  <c r="X245" i="16"/>
  <c r="BE240" i="16"/>
  <c r="BD240" i="16" s="1"/>
  <c r="BT240" i="16" s="1"/>
  <c r="FB393" i="16"/>
  <c r="GP393" i="16" s="1"/>
  <c r="FA393" i="16"/>
  <c r="FI393" i="16"/>
  <c r="GW393" i="16" s="1"/>
  <c r="FJ393" i="16"/>
  <c r="GX393" i="16" s="1"/>
  <c r="FM393" i="16"/>
  <c r="HA393" i="16" s="1"/>
  <c r="AN350" i="16"/>
  <c r="AN351" i="16"/>
  <c r="AN352" i="16"/>
  <c r="AN353" i="16"/>
  <c r="AN354" i="16"/>
  <c r="AN356" i="16"/>
  <c r="AN357" i="16"/>
  <c r="AN358" i="16"/>
  <c r="AN367" i="16"/>
  <c r="AN368" i="16"/>
  <c r="AN369" i="16"/>
  <c r="AN370" i="16"/>
  <c r="AN371" i="16"/>
  <c r="AN372" i="16"/>
  <c r="AN373" i="16"/>
  <c r="AN392" i="16"/>
  <c r="AN393" i="16"/>
  <c r="AN394" i="16"/>
  <c r="AN395" i="16"/>
  <c r="AN396" i="16"/>
  <c r="AN397" i="16"/>
  <c r="AN398" i="16"/>
  <c r="AN399" i="16"/>
  <c r="AN400" i="16"/>
  <c r="AN401" i="16"/>
  <c r="AN402" i="16"/>
  <c r="AN403" i="16"/>
  <c r="AN407" i="16"/>
  <c r="AN408" i="16"/>
  <c r="AN409" i="16"/>
  <c r="AN410" i="16"/>
  <c r="AN411" i="16"/>
  <c r="AN412" i="16"/>
  <c r="AN413" i="16"/>
  <c r="AN414" i="16"/>
  <c r="AN415" i="16"/>
  <c r="AN416" i="16"/>
  <c r="AN417" i="16"/>
  <c r="AN418" i="16"/>
  <c r="AN419" i="16"/>
  <c r="AN420" i="16"/>
  <c r="AN421" i="16"/>
  <c r="AN422" i="16"/>
  <c r="AN423" i="16"/>
  <c r="AN424" i="16"/>
  <c r="AN425" i="16"/>
  <c r="AN426" i="16"/>
  <c r="AN15" i="16"/>
  <c r="AN16" i="16"/>
  <c r="AN17" i="16"/>
  <c r="AN18" i="16"/>
  <c r="AN19" i="16"/>
  <c r="AN20" i="16"/>
  <c r="AN21" i="16"/>
  <c r="AN22" i="16"/>
  <c r="AN23" i="16"/>
  <c r="AN24" i="16"/>
  <c r="AN25" i="16"/>
  <c r="AN26" i="16"/>
  <c r="AN27" i="16"/>
  <c r="AN28" i="16"/>
  <c r="AN29" i="16"/>
  <c r="AN30" i="16"/>
  <c r="AN31" i="16"/>
  <c r="AN32" i="16"/>
  <c r="AN33" i="16"/>
  <c r="AN34" i="16"/>
  <c r="AN35" i="16"/>
  <c r="AN36" i="16"/>
  <c r="AN37" i="16"/>
  <c r="AN38" i="16"/>
  <c r="AN39" i="16"/>
  <c r="AN40" i="16"/>
  <c r="AN41" i="16"/>
  <c r="AN42" i="16"/>
  <c r="AN43" i="16"/>
  <c r="AN44" i="16"/>
  <c r="AN45" i="16"/>
  <c r="AN46" i="16"/>
  <c r="AN47" i="16"/>
  <c r="AN48" i="16"/>
  <c r="AN49" i="16"/>
  <c r="AN50" i="16"/>
  <c r="AN51" i="16"/>
  <c r="AN52" i="16"/>
  <c r="AN53" i="16"/>
  <c r="AN54" i="16"/>
  <c r="AN55" i="16"/>
  <c r="AN56" i="16"/>
  <c r="AN57" i="16"/>
  <c r="AN58" i="16"/>
  <c r="AN59" i="16"/>
  <c r="AN60" i="16"/>
  <c r="AN61" i="16"/>
  <c r="AN62" i="16"/>
  <c r="AN63" i="16"/>
  <c r="AN64" i="16"/>
  <c r="AN65" i="16"/>
  <c r="AN66" i="16"/>
  <c r="AN67" i="16"/>
  <c r="AN68" i="16"/>
  <c r="AN69" i="16"/>
  <c r="AN70" i="16"/>
  <c r="AN71" i="16"/>
  <c r="AN72" i="16"/>
  <c r="AN73" i="16"/>
  <c r="AN74" i="16"/>
  <c r="AN75" i="16"/>
  <c r="AN76" i="16"/>
  <c r="AN77" i="16"/>
  <c r="AN78" i="16"/>
  <c r="AN79" i="16"/>
  <c r="AN80" i="16"/>
  <c r="AN81" i="16"/>
  <c r="AN82" i="16"/>
  <c r="AN83" i="16"/>
  <c r="AN84" i="16"/>
  <c r="AN85" i="16"/>
  <c r="AN86" i="16"/>
  <c r="AN87" i="16"/>
  <c r="AN88" i="16"/>
  <c r="AN89" i="16"/>
  <c r="AN90" i="16"/>
  <c r="AN91" i="16"/>
  <c r="AN92" i="16"/>
  <c r="AN93" i="16"/>
  <c r="AN94" i="16"/>
  <c r="AN95" i="16"/>
  <c r="AN96" i="16"/>
  <c r="AN97" i="16"/>
  <c r="AN98" i="16"/>
  <c r="AN99" i="16"/>
  <c r="AN100" i="16"/>
  <c r="AN101" i="16"/>
  <c r="AN102" i="16"/>
  <c r="AN103" i="16"/>
  <c r="AN104" i="16"/>
  <c r="AN105" i="16"/>
  <c r="AN106" i="16"/>
  <c r="AN107" i="16"/>
  <c r="AN108" i="16"/>
  <c r="AN109" i="16"/>
  <c r="AN110" i="16"/>
  <c r="AN111" i="16"/>
  <c r="AN112" i="16"/>
  <c r="AN113" i="16"/>
  <c r="AN114" i="16"/>
  <c r="AN115" i="16"/>
  <c r="AN116" i="16"/>
  <c r="AN117" i="16"/>
  <c r="AN118" i="16"/>
  <c r="AN119" i="16"/>
  <c r="AN120" i="16"/>
  <c r="AN121" i="16"/>
  <c r="AN122" i="16"/>
  <c r="AN123" i="16"/>
  <c r="AN124" i="16"/>
  <c r="AN125" i="16"/>
  <c r="AN126" i="16"/>
  <c r="AN127" i="16"/>
  <c r="AN128" i="16"/>
  <c r="AN129" i="16"/>
  <c r="AN130" i="16"/>
  <c r="AN131" i="16"/>
  <c r="AN132" i="16"/>
  <c r="AN133" i="16"/>
  <c r="AN134" i="16"/>
  <c r="AN135" i="16"/>
  <c r="AN136" i="16"/>
  <c r="AN137" i="16"/>
  <c r="AN138" i="16"/>
  <c r="AN139" i="16"/>
  <c r="AN140" i="16"/>
  <c r="AN141" i="16"/>
  <c r="AN142" i="16"/>
  <c r="AN143" i="16"/>
  <c r="AN144" i="16"/>
  <c r="AN145" i="16"/>
  <c r="AN146" i="16"/>
  <c r="AN147" i="16"/>
  <c r="AN148" i="16"/>
  <c r="AN149" i="16"/>
  <c r="AN150" i="16"/>
  <c r="AN151" i="16"/>
  <c r="AN152" i="16"/>
  <c r="AN153" i="16"/>
  <c r="AN154" i="16"/>
  <c r="AN155" i="16"/>
  <c r="AN156" i="16"/>
  <c r="AN157" i="16"/>
  <c r="AN158" i="16"/>
  <c r="AN159" i="16"/>
  <c r="AN160" i="16"/>
  <c r="AN161" i="16"/>
  <c r="AN162" i="16"/>
  <c r="AN163" i="16"/>
  <c r="AN164" i="16"/>
  <c r="AN165" i="16"/>
  <c r="AN166" i="16"/>
  <c r="AN167" i="16"/>
  <c r="AN168" i="16"/>
  <c r="AN169" i="16"/>
  <c r="AN170" i="16"/>
  <c r="AN171" i="16"/>
  <c r="AN172" i="16"/>
  <c r="AN173" i="16"/>
  <c r="AN174" i="16"/>
  <c r="AN175" i="16"/>
  <c r="AN176" i="16"/>
  <c r="AN177" i="16"/>
  <c r="AN178" i="16"/>
  <c r="AN200" i="16"/>
  <c r="AN201" i="16"/>
  <c r="AN202" i="16"/>
  <c r="AN203" i="16"/>
  <c r="AN205" i="16"/>
  <c r="AN206" i="16"/>
  <c r="AN207" i="16"/>
  <c r="AN208" i="16"/>
  <c r="AN209" i="16"/>
  <c r="AN210" i="16"/>
  <c r="AN211" i="16"/>
  <c r="AN212" i="16"/>
  <c r="AN213" i="16"/>
  <c r="AN214" i="16"/>
  <c r="AN215" i="16"/>
  <c r="AN216" i="16"/>
  <c r="AN217" i="16"/>
  <c r="AN218" i="16"/>
  <c r="AN219" i="16"/>
  <c r="AN220" i="16"/>
  <c r="AN221" i="16"/>
  <c r="AN222" i="16"/>
  <c r="AN223" i="16"/>
  <c r="AN224" i="16"/>
  <c r="AN225" i="16"/>
  <c r="AN226" i="16"/>
  <c r="AN227" i="16"/>
  <c r="AN228" i="16"/>
  <c r="AN229" i="16"/>
  <c r="AN230" i="16"/>
  <c r="AN231" i="16"/>
  <c r="AN232" i="16"/>
  <c r="AN233" i="16"/>
  <c r="AN234" i="16"/>
  <c r="AN235" i="16"/>
  <c r="AN236" i="16"/>
  <c r="AN237" i="16"/>
  <c r="AN238" i="16"/>
  <c r="AN239" i="16"/>
  <c r="AN240" i="16"/>
  <c r="AN241" i="16"/>
  <c r="AN242" i="16"/>
  <c r="AN243" i="16"/>
  <c r="AN244" i="16"/>
  <c r="AN245" i="16"/>
  <c r="AN246" i="16"/>
  <c r="AN247" i="16"/>
  <c r="AN248" i="16"/>
  <c r="AN249" i="16"/>
  <c r="AN250" i="16"/>
  <c r="AN251" i="16"/>
  <c r="AN252" i="16"/>
  <c r="AN253" i="16"/>
  <c r="AN254" i="16"/>
  <c r="AN255" i="16"/>
  <c r="AN256" i="16"/>
  <c r="AN257" i="16"/>
  <c r="AN258" i="16"/>
  <c r="AN259" i="16"/>
  <c r="AN260" i="16"/>
  <c r="AN261" i="16"/>
  <c r="AN262" i="16"/>
  <c r="AN263" i="16"/>
  <c r="AN264" i="16"/>
  <c r="AN265" i="16"/>
  <c r="AN266" i="16"/>
  <c r="AN267" i="16"/>
  <c r="AN268" i="16"/>
  <c r="AN269" i="16"/>
  <c r="AN270" i="16"/>
  <c r="AN271" i="16"/>
  <c r="AN272" i="16"/>
  <c r="AN273" i="16"/>
  <c r="AN274" i="16"/>
  <c r="AN275" i="16"/>
  <c r="AN276" i="16"/>
  <c r="AN277" i="16"/>
  <c r="AN278" i="16"/>
  <c r="AN279" i="16"/>
  <c r="AN280" i="16"/>
  <c r="AN281" i="16"/>
  <c r="AN282" i="16"/>
  <c r="AN283" i="16"/>
  <c r="AN284" i="16"/>
  <c r="AN285" i="16"/>
  <c r="AN286" i="16"/>
  <c r="AN287" i="16"/>
  <c r="AN288" i="16"/>
  <c r="AN289" i="16"/>
  <c r="AN290" i="16"/>
  <c r="AN291" i="16"/>
  <c r="AN292" i="16"/>
  <c r="AN293" i="16"/>
  <c r="AN294" i="16"/>
  <c r="AN295" i="16"/>
  <c r="AN296" i="16"/>
  <c r="AN297" i="16"/>
  <c r="AN298" i="16"/>
  <c r="AN299" i="16"/>
  <c r="AN300" i="16"/>
  <c r="AN301" i="16"/>
  <c r="AN305" i="16"/>
  <c r="AN306" i="16"/>
  <c r="AN307" i="16"/>
  <c r="AN308" i="16"/>
  <c r="AN309" i="16"/>
  <c r="AN310" i="16"/>
  <c r="AN311" i="16"/>
  <c r="AN312" i="16"/>
  <c r="AN313" i="16"/>
  <c r="AN314" i="16"/>
  <c r="AN315" i="16"/>
  <c r="AN316" i="16"/>
  <c r="AN317" i="16"/>
  <c r="AN318" i="16"/>
  <c r="AN319" i="16"/>
  <c r="AN320" i="16"/>
  <c r="AN321" i="16"/>
  <c r="AN322" i="16"/>
  <c r="AN323" i="16"/>
  <c r="AN324" i="16"/>
  <c r="AN325" i="16"/>
  <c r="AN326" i="16"/>
  <c r="AN327" i="16"/>
  <c r="AN328" i="16"/>
  <c r="AN329" i="16"/>
  <c r="AN330" i="16"/>
  <c r="AN331" i="16"/>
  <c r="AN332" i="16"/>
  <c r="AN333" i="16"/>
  <c r="AN334" i="16"/>
  <c r="AN335" i="16"/>
  <c r="AN336" i="16"/>
  <c r="AN337" i="16"/>
  <c r="AN338" i="16"/>
  <c r="AN339" i="16"/>
  <c r="AN340" i="16"/>
  <c r="AN341" i="16"/>
  <c r="AM338" i="16"/>
  <c r="AM339" i="16"/>
  <c r="BR339" i="16" s="1"/>
  <c r="AM340" i="16"/>
  <c r="AH340" i="16" s="1"/>
  <c r="AM341" i="16"/>
  <c r="BR341" i="16" s="1"/>
  <c r="AM320" i="16"/>
  <c r="BR320" i="16" s="1"/>
  <c r="AM321" i="16"/>
  <c r="BR321" i="16" s="1"/>
  <c r="AM322" i="16"/>
  <c r="AM323" i="16"/>
  <c r="AM324" i="16"/>
  <c r="AM325" i="16"/>
  <c r="AM326" i="16"/>
  <c r="BR326" i="16" s="1"/>
  <c r="AM327" i="16"/>
  <c r="BR327" i="16" s="1"/>
  <c r="AM328" i="16"/>
  <c r="AM329" i="16"/>
  <c r="AM330" i="16"/>
  <c r="AM331" i="16"/>
  <c r="AM84" i="16"/>
  <c r="AM85" i="16"/>
  <c r="AM86" i="16"/>
  <c r="AM87" i="16"/>
  <c r="AM88" i="16"/>
  <c r="AM89" i="16"/>
  <c r="AM90" i="16"/>
  <c r="AM91" i="16"/>
  <c r="AM92" i="16"/>
  <c r="AM93" i="16"/>
  <c r="AM94" i="16"/>
  <c r="AM95" i="16"/>
  <c r="AM96" i="16"/>
  <c r="AM97" i="16"/>
  <c r="AM98" i="16"/>
  <c r="AM99" i="16"/>
  <c r="AM100" i="16"/>
  <c r="AM101" i="16"/>
  <c r="AM102" i="16"/>
  <c r="AM103" i="16"/>
  <c r="AM104" i="16"/>
  <c r="AM105" i="16"/>
  <c r="AM106" i="16"/>
  <c r="AM107" i="16"/>
  <c r="AM108" i="16"/>
  <c r="AM109" i="16"/>
  <c r="AM110" i="16"/>
  <c r="AM111" i="16"/>
  <c r="AM112" i="16"/>
  <c r="AM113" i="16"/>
  <c r="AM114" i="16"/>
  <c r="AM115" i="16"/>
  <c r="AM116" i="16"/>
  <c r="AM117" i="16"/>
  <c r="AM118" i="16"/>
  <c r="AM119" i="16"/>
  <c r="AM120" i="16"/>
  <c r="AM121" i="16"/>
  <c r="AM122" i="16"/>
  <c r="AM123" i="16"/>
  <c r="AM124" i="16"/>
  <c r="AM125" i="16"/>
  <c r="AM126" i="16"/>
  <c r="AM127" i="16"/>
  <c r="AM128" i="16"/>
  <c r="AM129" i="16"/>
  <c r="AM130" i="16"/>
  <c r="AM131" i="16"/>
  <c r="AM132" i="16"/>
  <c r="AM133" i="16"/>
  <c r="AM134" i="16"/>
  <c r="AM135" i="16"/>
  <c r="AM136" i="16"/>
  <c r="AM137" i="16"/>
  <c r="AM138" i="16"/>
  <c r="AM139" i="16"/>
  <c r="AM140" i="16"/>
  <c r="AM141" i="16"/>
  <c r="AM142" i="16"/>
  <c r="AM143" i="16"/>
  <c r="AM144" i="16"/>
  <c r="AM145" i="16"/>
  <c r="AM146" i="16"/>
  <c r="AM147" i="16"/>
  <c r="AM148" i="16"/>
  <c r="AM149" i="16"/>
  <c r="AM150" i="16"/>
  <c r="AM151" i="16"/>
  <c r="AM152" i="16"/>
  <c r="AM153" i="16"/>
  <c r="AM154" i="16"/>
  <c r="AM155" i="16"/>
  <c r="AM156" i="16"/>
  <c r="AM157" i="16"/>
  <c r="AM158" i="16"/>
  <c r="AM159" i="16"/>
  <c r="AM160" i="16"/>
  <c r="AM161" i="16"/>
  <c r="AM162" i="16"/>
  <c r="AM163" i="16"/>
  <c r="AM164" i="16"/>
  <c r="AM165" i="16"/>
  <c r="AM166" i="16"/>
  <c r="AM167" i="16"/>
  <c r="AM168" i="16"/>
  <c r="AM169" i="16"/>
  <c r="AM170" i="16"/>
  <c r="AM171" i="16"/>
  <c r="AM172" i="16"/>
  <c r="AM173" i="16"/>
  <c r="AM174" i="16"/>
  <c r="AM175" i="16"/>
  <c r="AM176" i="16"/>
  <c r="AM177" i="16"/>
  <c r="AM178" i="16"/>
  <c r="AM200" i="16"/>
  <c r="AM201" i="16"/>
  <c r="AM202" i="16"/>
  <c r="AM203" i="16"/>
  <c r="AM205" i="16"/>
  <c r="AM206" i="16"/>
  <c r="AM207" i="16"/>
  <c r="AM208" i="16"/>
  <c r="AM209" i="16"/>
  <c r="AM210" i="16"/>
  <c r="AM211" i="16"/>
  <c r="AM212" i="16"/>
  <c r="AM213" i="16"/>
  <c r="AM214" i="16"/>
  <c r="AM215" i="16"/>
  <c r="AM216" i="16"/>
  <c r="AM217" i="16"/>
  <c r="AM218" i="16"/>
  <c r="AM219" i="16"/>
  <c r="AM220" i="16"/>
  <c r="AM221" i="16"/>
  <c r="AM222" i="16"/>
  <c r="AM223" i="16"/>
  <c r="AM224" i="16"/>
  <c r="AM225" i="16"/>
  <c r="AM226" i="16"/>
  <c r="AM227" i="16"/>
  <c r="AM228" i="16"/>
  <c r="AM83" i="16"/>
  <c r="BA302" i="16"/>
  <c r="AZ302" i="16" s="1"/>
  <c r="BA303" i="16"/>
  <c r="AZ303" i="16" s="1"/>
  <c r="BA304" i="16"/>
  <c r="AZ304" i="16" s="1"/>
  <c r="BA319" i="16"/>
  <c r="AZ319" i="16" s="1"/>
  <c r="BA345" i="16"/>
  <c r="AZ345" i="16" s="1"/>
  <c r="Z239" i="16" l="1"/>
  <c r="X239" i="16" s="1"/>
  <c r="AH145" i="16"/>
  <c r="AB145" i="16" s="1"/>
  <c r="BQ145" i="16"/>
  <c r="AH141" i="16"/>
  <c r="AB141" i="16" s="1"/>
  <c r="BQ141" i="16"/>
  <c r="AH142" i="16"/>
  <c r="AB142" i="16" s="1"/>
  <c r="BQ142" i="16"/>
  <c r="AH100" i="16"/>
  <c r="AB100" i="16" s="1"/>
  <c r="BQ100" i="16"/>
  <c r="BR100" i="16"/>
  <c r="BP100" i="16" s="1"/>
  <c r="AH144" i="16"/>
  <c r="AB144" i="16" s="1"/>
  <c r="BQ144" i="16"/>
  <c r="AH140" i="16"/>
  <c r="AB140" i="16" s="1"/>
  <c r="BQ140" i="16"/>
  <c r="AH146" i="16"/>
  <c r="AB146" i="16" s="1"/>
  <c r="BQ146" i="16"/>
  <c r="AH147" i="16"/>
  <c r="AB147" i="16" s="1"/>
  <c r="BQ147" i="16"/>
  <c r="AH143" i="16"/>
  <c r="AB143" i="16" s="1"/>
  <c r="BQ143" i="16"/>
  <c r="AH139" i="16"/>
  <c r="AB139" i="16" s="1"/>
  <c r="BQ139" i="16"/>
  <c r="AH101" i="16"/>
  <c r="AB101" i="16" s="1"/>
  <c r="BQ101" i="16"/>
  <c r="BR101" i="16"/>
  <c r="BP101" i="16" s="1"/>
  <c r="DM239" i="16"/>
  <c r="FA239" i="16" s="1"/>
  <c r="GO239" i="16" s="1"/>
  <c r="DM240" i="16"/>
  <c r="FA240" i="16" s="1"/>
  <c r="GO240" i="16" s="1"/>
  <c r="ET240" i="16"/>
  <c r="GH240" i="16" s="1"/>
  <c r="HV240" i="16" s="1"/>
  <c r="DN240" i="16"/>
  <c r="FB240" i="16" s="1"/>
  <c r="GP240" i="16" s="1"/>
  <c r="Z240" i="16"/>
  <c r="X240" i="16" s="1"/>
  <c r="EL239" i="16"/>
  <c r="FZ239" i="16" s="1"/>
  <c r="HN239" i="16" s="1"/>
  <c r="EM239" i="16"/>
  <c r="GA239" i="16" s="1"/>
  <c r="HO239" i="16" s="1"/>
  <c r="AH125" i="16"/>
  <c r="AB125" i="16" s="1"/>
  <c r="BQ125" i="16"/>
  <c r="BR125" i="16"/>
  <c r="BP125" i="16" s="1"/>
  <c r="T125" i="16" s="1"/>
  <c r="AH117" i="16"/>
  <c r="AB117" i="16" s="1"/>
  <c r="BR117" i="16"/>
  <c r="BP117" i="16" s="1"/>
  <c r="T117" i="16" s="1"/>
  <c r="BQ117" i="16"/>
  <c r="AH103" i="16"/>
  <c r="AB103" i="16" s="1"/>
  <c r="BQ103" i="16"/>
  <c r="BR103" i="16"/>
  <c r="BP103" i="16" s="1"/>
  <c r="T103" i="16" s="1"/>
  <c r="AH92" i="16"/>
  <c r="AB92" i="16" s="1"/>
  <c r="BQ92" i="16"/>
  <c r="BR92" i="16"/>
  <c r="BP92" i="16" s="1"/>
  <c r="T92" i="16" s="1"/>
  <c r="BQ178" i="16"/>
  <c r="BR178" i="16"/>
  <c r="BP178" i="16" s="1"/>
  <c r="AH154" i="16"/>
  <c r="AB154" i="16" s="1"/>
  <c r="BQ154" i="16"/>
  <c r="BR154" i="16"/>
  <c r="BP154" i="16" s="1"/>
  <c r="T154" i="16" s="1"/>
  <c r="AH150" i="16"/>
  <c r="AB150" i="16" s="1"/>
  <c r="BQ150" i="16"/>
  <c r="BR150" i="16"/>
  <c r="BP150" i="16" s="1"/>
  <c r="T150" i="16" s="1"/>
  <c r="AH138" i="16"/>
  <c r="AB138" i="16" s="1"/>
  <c r="BQ138" i="16"/>
  <c r="AH134" i="16"/>
  <c r="AB134" i="16" s="1"/>
  <c r="BR134" i="16"/>
  <c r="BP134" i="16" s="1"/>
  <c r="T134" i="16" s="1"/>
  <c r="BQ134" i="16"/>
  <c r="AH130" i="16"/>
  <c r="AB130" i="16" s="1"/>
  <c r="BR130" i="16"/>
  <c r="BP130" i="16" s="1"/>
  <c r="T130" i="16" s="1"/>
  <c r="BQ130" i="16"/>
  <c r="AH126" i="16"/>
  <c r="AB126" i="16" s="1"/>
  <c r="BR126" i="16"/>
  <c r="BP126" i="16" s="1"/>
  <c r="T126" i="16" s="1"/>
  <c r="BQ126" i="16"/>
  <c r="AH122" i="16"/>
  <c r="AB122" i="16" s="1"/>
  <c r="BQ122" i="16"/>
  <c r="BR122" i="16"/>
  <c r="BP122" i="16" s="1"/>
  <c r="T122" i="16" s="1"/>
  <c r="AH118" i="16"/>
  <c r="AB118" i="16" s="1"/>
  <c r="BQ118" i="16"/>
  <c r="BR118" i="16"/>
  <c r="BP118" i="16" s="1"/>
  <c r="T118" i="16" s="1"/>
  <c r="AH115" i="16"/>
  <c r="AB115" i="16" s="1"/>
  <c r="BR115" i="16"/>
  <c r="BP115" i="16" s="1"/>
  <c r="T115" i="16" s="1"/>
  <c r="BQ115" i="16"/>
  <c r="AH112" i="16"/>
  <c r="AB112" i="16" s="1"/>
  <c r="BQ112" i="16"/>
  <c r="BR112" i="16"/>
  <c r="BP112" i="16" s="1"/>
  <c r="T112" i="16" s="1"/>
  <c r="AH108" i="16"/>
  <c r="AB108" i="16" s="1"/>
  <c r="BQ108" i="16"/>
  <c r="BR108" i="16"/>
  <c r="BP108" i="16" s="1"/>
  <c r="T108" i="16" s="1"/>
  <c r="AH104" i="16"/>
  <c r="AB104" i="16" s="1"/>
  <c r="BR104" i="16"/>
  <c r="BP104" i="16" s="1"/>
  <c r="T104" i="16" s="1"/>
  <c r="BQ104" i="16"/>
  <c r="BQ96" i="16"/>
  <c r="BR96" i="16"/>
  <c r="BP96" i="16" s="1"/>
  <c r="T96" i="16" s="1"/>
  <c r="AH96" i="16"/>
  <c r="AB96" i="16" s="1"/>
  <c r="AH89" i="16"/>
  <c r="AB89" i="16" s="1"/>
  <c r="BQ89" i="16"/>
  <c r="BR89" i="16"/>
  <c r="BP89" i="16" s="1"/>
  <c r="T89" i="16" s="1"/>
  <c r="AH85" i="16"/>
  <c r="AB85" i="16" s="1"/>
  <c r="BQ85" i="16"/>
  <c r="BR85" i="16"/>
  <c r="BP85" i="16" s="1"/>
  <c r="T85" i="16" s="1"/>
  <c r="AH153" i="16"/>
  <c r="AB153" i="16" s="1"/>
  <c r="BQ153" i="16"/>
  <c r="BR153" i="16"/>
  <c r="BP153" i="16" s="1"/>
  <c r="T153" i="16" s="1"/>
  <c r="AH83" i="16"/>
  <c r="AB83" i="16" s="1"/>
  <c r="BQ83" i="16"/>
  <c r="BR83" i="16"/>
  <c r="BP83" i="16" s="1"/>
  <c r="T83" i="16" s="1"/>
  <c r="AH133" i="16"/>
  <c r="AB133" i="16" s="1"/>
  <c r="BQ133" i="16"/>
  <c r="BR133" i="16"/>
  <c r="BP133" i="16" s="1"/>
  <c r="T133" i="16" s="1"/>
  <c r="AH121" i="16"/>
  <c r="AB121" i="16" s="1"/>
  <c r="BQ121" i="16"/>
  <c r="BR121" i="16"/>
  <c r="BP121" i="16" s="1"/>
  <c r="T121" i="16" s="1"/>
  <c r="AH114" i="16"/>
  <c r="AB114" i="16" s="1"/>
  <c r="BQ114" i="16"/>
  <c r="BR114" i="16"/>
  <c r="BP114" i="16" s="1"/>
  <c r="T114" i="16" s="1"/>
  <c r="AH107" i="16"/>
  <c r="AB107" i="16" s="1"/>
  <c r="BR107" i="16"/>
  <c r="BP107" i="16" s="1"/>
  <c r="T107" i="16" s="1"/>
  <c r="BQ107" i="16"/>
  <c r="AH95" i="16"/>
  <c r="AB95" i="16" s="1"/>
  <c r="BQ95" i="16"/>
  <c r="BR95" i="16"/>
  <c r="BP95" i="16" s="1"/>
  <c r="T95" i="16" s="1"/>
  <c r="AH88" i="16"/>
  <c r="AB88" i="16" s="1"/>
  <c r="BQ88" i="16"/>
  <c r="BR88" i="16"/>
  <c r="BP88" i="16" s="1"/>
  <c r="T88" i="16" s="1"/>
  <c r="AH152" i="16"/>
  <c r="AB152" i="16" s="1"/>
  <c r="BQ152" i="16"/>
  <c r="BR152" i="16"/>
  <c r="BP152" i="16" s="1"/>
  <c r="T152" i="16" s="1"/>
  <c r="AH148" i="16"/>
  <c r="AB148" i="16" s="1"/>
  <c r="BR148" i="16"/>
  <c r="BP148" i="16" s="1"/>
  <c r="T148" i="16" s="1"/>
  <c r="BQ148" i="16"/>
  <c r="AH136" i="16"/>
  <c r="AB136" i="16" s="1"/>
  <c r="BQ136" i="16"/>
  <c r="BR136" i="16"/>
  <c r="BP136" i="16" s="1"/>
  <c r="T136" i="16" s="1"/>
  <c r="AH132" i="16"/>
  <c r="AB132" i="16" s="1"/>
  <c r="BQ132" i="16"/>
  <c r="BR132" i="16"/>
  <c r="BP132" i="16" s="1"/>
  <c r="T132" i="16" s="1"/>
  <c r="AH128" i="16"/>
  <c r="AB128" i="16" s="1"/>
  <c r="BQ128" i="16"/>
  <c r="BR128" i="16"/>
  <c r="BP128" i="16" s="1"/>
  <c r="T128" i="16" s="1"/>
  <c r="AH124" i="16"/>
  <c r="AB124" i="16" s="1"/>
  <c r="BR124" i="16"/>
  <c r="BP124" i="16" s="1"/>
  <c r="T124" i="16" s="1"/>
  <c r="BQ124" i="16"/>
  <c r="AH120" i="16"/>
  <c r="AB120" i="16" s="1"/>
  <c r="BQ120" i="16"/>
  <c r="BR120" i="16"/>
  <c r="BP120" i="16" s="1"/>
  <c r="T120" i="16" s="1"/>
  <c r="AH116" i="16"/>
  <c r="AB116" i="16" s="1"/>
  <c r="BQ116" i="16"/>
  <c r="BR116" i="16"/>
  <c r="BP116" i="16" s="1"/>
  <c r="T116" i="16" s="1"/>
  <c r="AH113" i="16"/>
  <c r="AB113" i="16" s="1"/>
  <c r="BQ113" i="16"/>
  <c r="BR113" i="16"/>
  <c r="BP113" i="16" s="1"/>
  <c r="T113" i="16" s="1"/>
  <c r="AH110" i="16"/>
  <c r="AB110" i="16" s="1"/>
  <c r="BQ110" i="16"/>
  <c r="BR110" i="16"/>
  <c r="BP110" i="16" s="1"/>
  <c r="T110" i="16" s="1"/>
  <c r="AH106" i="16"/>
  <c r="AB106" i="16" s="1"/>
  <c r="BQ106" i="16"/>
  <c r="BR106" i="16"/>
  <c r="BP106" i="16" s="1"/>
  <c r="T106" i="16" s="1"/>
  <c r="AH102" i="16"/>
  <c r="AB102" i="16" s="1"/>
  <c r="BQ102" i="16"/>
  <c r="BR102" i="16"/>
  <c r="BP102" i="16" s="1"/>
  <c r="T102" i="16" s="1"/>
  <c r="BR98" i="16"/>
  <c r="BP98" i="16" s="1"/>
  <c r="T98" i="16" s="1"/>
  <c r="BQ98" i="16"/>
  <c r="AH98" i="16"/>
  <c r="AB98" i="16" s="1"/>
  <c r="AH94" i="16"/>
  <c r="AB94" i="16" s="1"/>
  <c r="BQ94" i="16"/>
  <c r="BR94" i="16"/>
  <c r="BP94" i="16" s="1"/>
  <c r="T94" i="16" s="1"/>
  <c r="AH91" i="16"/>
  <c r="AB91" i="16" s="1"/>
  <c r="BQ91" i="16"/>
  <c r="BR91" i="16"/>
  <c r="BP91" i="16" s="1"/>
  <c r="T91" i="16" s="1"/>
  <c r="AH87" i="16"/>
  <c r="AB87" i="16" s="1"/>
  <c r="BQ87" i="16"/>
  <c r="BR87" i="16"/>
  <c r="BP87" i="16" s="1"/>
  <c r="T87" i="16" s="1"/>
  <c r="AH149" i="16"/>
  <c r="AB149" i="16" s="1"/>
  <c r="BQ149" i="16"/>
  <c r="BR149" i="16"/>
  <c r="BP149" i="16" s="1"/>
  <c r="T149" i="16" s="1"/>
  <c r="AH137" i="16"/>
  <c r="AB137" i="16" s="1"/>
  <c r="BQ137" i="16"/>
  <c r="BR137" i="16"/>
  <c r="BP137" i="16" s="1"/>
  <c r="T137" i="16" s="1"/>
  <c r="AH129" i="16"/>
  <c r="AB129" i="16" s="1"/>
  <c r="BQ129" i="16"/>
  <c r="BR129" i="16"/>
  <c r="BP129" i="16" s="1"/>
  <c r="T129" i="16" s="1"/>
  <c r="AH111" i="16"/>
  <c r="AB111" i="16" s="1"/>
  <c r="BQ111" i="16"/>
  <c r="BR111" i="16"/>
  <c r="BP111" i="16" s="1"/>
  <c r="T111" i="16" s="1"/>
  <c r="BQ99" i="16"/>
  <c r="BR99" i="16"/>
  <c r="BP99" i="16" s="1"/>
  <c r="T99" i="16" s="1"/>
  <c r="AH99" i="16"/>
  <c r="AB99" i="16" s="1"/>
  <c r="AH84" i="16"/>
  <c r="AB84" i="16" s="1"/>
  <c r="BR84" i="16"/>
  <c r="BP84" i="16" s="1"/>
  <c r="T84" i="16" s="1"/>
  <c r="BQ84" i="16"/>
  <c r="AH155" i="16"/>
  <c r="AB155" i="16" s="1"/>
  <c r="BQ155" i="16"/>
  <c r="BR155" i="16"/>
  <c r="BP155" i="16" s="1"/>
  <c r="T155" i="16" s="1"/>
  <c r="AH151" i="16"/>
  <c r="AB151" i="16" s="1"/>
  <c r="BQ151" i="16"/>
  <c r="BR151" i="16"/>
  <c r="BP151" i="16" s="1"/>
  <c r="T151" i="16" s="1"/>
  <c r="AH135" i="16"/>
  <c r="AB135" i="16" s="1"/>
  <c r="BQ135" i="16"/>
  <c r="BR135" i="16"/>
  <c r="BP135" i="16" s="1"/>
  <c r="T135" i="16" s="1"/>
  <c r="AH131" i="16"/>
  <c r="AB131" i="16" s="1"/>
  <c r="BQ131" i="16"/>
  <c r="BR131" i="16"/>
  <c r="BP131" i="16" s="1"/>
  <c r="T131" i="16" s="1"/>
  <c r="AH127" i="16"/>
  <c r="AB127" i="16" s="1"/>
  <c r="BQ127" i="16"/>
  <c r="BR127" i="16"/>
  <c r="BP127" i="16" s="1"/>
  <c r="T127" i="16" s="1"/>
  <c r="AH123" i="16"/>
  <c r="AB123" i="16" s="1"/>
  <c r="BQ123" i="16"/>
  <c r="BR123" i="16"/>
  <c r="BP123" i="16" s="1"/>
  <c r="T123" i="16" s="1"/>
  <c r="AH119" i="16"/>
  <c r="AB119" i="16" s="1"/>
  <c r="BQ119" i="16"/>
  <c r="BR119" i="16"/>
  <c r="BP119" i="16" s="1"/>
  <c r="T119" i="16" s="1"/>
  <c r="AH109" i="16"/>
  <c r="AB109" i="16" s="1"/>
  <c r="BR109" i="16"/>
  <c r="BP109" i="16" s="1"/>
  <c r="T109" i="16" s="1"/>
  <c r="BQ109" i="16"/>
  <c r="AH105" i="16"/>
  <c r="AB105" i="16" s="1"/>
  <c r="BR105" i="16"/>
  <c r="BP105" i="16" s="1"/>
  <c r="T105" i="16" s="1"/>
  <c r="BQ105" i="16"/>
  <c r="BQ97" i="16"/>
  <c r="BR97" i="16"/>
  <c r="BP97" i="16" s="1"/>
  <c r="T97" i="16" s="1"/>
  <c r="AH97" i="16"/>
  <c r="AB97" i="16" s="1"/>
  <c r="AH93" i="16"/>
  <c r="AB93" i="16" s="1"/>
  <c r="BQ93" i="16"/>
  <c r="BR93" i="16"/>
  <c r="BP93" i="16" s="1"/>
  <c r="T93" i="16" s="1"/>
  <c r="AH90" i="16"/>
  <c r="AB90" i="16" s="1"/>
  <c r="BR90" i="16"/>
  <c r="BP90" i="16" s="1"/>
  <c r="T90" i="16" s="1"/>
  <c r="BQ90" i="16"/>
  <c r="AH86" i="16"/>
  <c r="AB86" i="16" s="1"/>
  <c r="BQ86" i="16"/>
  <c r="BR86" i="16"/>
  <c r="BP86" i="16" s="1"/>
  <c r="T86" i="16" s="1"/>
  <c r="BR200" i="16"/>
  <c r="BP200" i="16" s="1"/>
  <c r="BQ200" i="16"/>
  <c r="BQ167" i="16"/>
  <c r="BR167" i="16"/>
  <c r="BP167" i="16" s="1"/>
  <c r="BQ166" i="16"/>
  <c r="BR166" i="16"/>
  <c r="BP166" i="16" s="1"/>
  <c r="AH207" i="16"/>
  <c r="AB207" i="16" s="1"/>
  <c r="BQ207" i="16"/>
  <c r="BR207" i="16"/>
  <c r="BP207" i="16" s="1"/>
  <c r="BQ171" i="16"/>
  <c r="BR171" i="16"/>
  <c r="BP171" i="16" s="1"/>
  <c r="BQ163" i="16"/>
  <c r="BR163" i="16"/>
  <c r="BP163" i="16" s="1"/>
  <c r="AH206" i="16"/>
  <c r="AB206" i="16" s="1"/>
  <c r="BQ206" i="16"/>
  <c r="BR206" i="16"/>
  <c r="BP206" i="16" s="1"/>
  <c r="BQ170" i="16"/>
  <c r="BR170" i="16"/>
  <c r="BP170" i="16" s="1"/>
  <c r="BQ162" i="16"/>
  <c r="BR162" i="16"/>
  <c r="BP162" i="16" s="1"/>
  <c r="AH205" i="16"/>
  <c r="AB205" i="16" s="1"/>
  <c r="BQ205" i="16"/>
  <c r="BR205" i="16"/>
  <c r="BP205" i="16" s="1"/>
  <c r="AH201" i="16"/>
  <c r="AB201" i="16" s="1"/>
  <c r="BR201" i="16"/>
  <c r="BP201" i="16" s="1"/>
  <c r="BQ201" i="16"/>
  <c r="AH177" i="16"/>
  <c r="AB177" i="16" s="1"/>
  <c r="BQ177" i="16"/>
  <c r="BR177" i="16"/>
  <c r="BP177" i="16" s="1"/>
  <c r="AH173" i="16"/>
  <c r="AB173" i="16" s="1"/>
  <c r="BQ173" i="16"/>
  <c r="BR173" i="16"/>
  <c r="BP173" i="16" s="1"/>
  <c r="BQ169" i="16"/>
  <c r="BR169" i="16"/>
  <c r="BP169" i="16" s="1"/>
  <c r="BQ165" i="16"/>
  <c r="BR165" i="16"/>
  <c r="BP165" i="16" s="1"/>
  <c r="BQ161" i="16"/>
  <c r="BR161" i="16"/>
  <c r="BP161" i="16" s="1"/>
  <c r="BQ157" i="16"/>
  <c r="BR157" i="16"/>
  <c r="BP157" i="16" s="1"/>
  <c r="AH203" i="16"/>
  <c r="AB203" i="16" s="1"/>
  <c r="BQ203" i="16"/>
  <c r="BR203" i="16"/>
  <c r="BP203" i="16" s="1"/>
  <c r="BQ159" i="16"/>
  <c r="BR159" i="16"/>
  <c r="BP159" i="16" s="1"/>
  <c r="AH202" i="16"/>
  <c r="AB202" i="16" s="1"/>
  <c r="BQ202" i="16"/>
  <c r="BR202" i="16"/>
  <c r="BP202" i="16" s="1"/>
  <c r="BR174" i="16"/>
  <c r="BP174" i="16" s="1"/>
  <c r="BQ174" i="16"/>
  <c r="BQ158" i="16"/>
  <c r="BR158" i="16"/>
  <c r="BP158" i="16" s="1"/>
  <c r="AH176" i="16"/>
  <c r="AB176" i="16" s="1"/>
  <c r="BQ176" i="16"/>
  <c r="BR176" i="16"/>
  <c r="BP176" i="16" s="1"/>
  <c r="AH172" i="16"/>
  <c r="AB172" i="16" s="1"/>
  <c r="BQ172" i="16"/>
  <c r="BR172" i="16"/>
  <c r="BP172" i="16" s="1"/>
  <c r="BQ168" i="16"/>
  <c r="BR168" i="16"/>
  <c r="BP168" i="16" s="1"/>
  <c r="BQ164" i="16"/>
  <c r="BR164" i="16"/>
  <c r="BP164" i="16" s="1"/>
  <c r="BQ160" i="16"/>
  <c r="BR160" i="16"/>
  <c r="BP160" i="16" s="1"/>
  <c r="BQ156" i="16"/>
  <c r="BR156" i="16"/>
  <c r="BP156" i="16" s="1"/>
  <c r="AH175" i="16"/>
  <c r="AB175" i="16" s="1"/>
  <c r="BQ175" i="16"/>
  <c r="BR175" i="16"/>
  <c r="BP175" i="16" s="1"/>
  <c r="BR225" i="16"/>
  <c r="BP225" i="16" s="1"/>
  <c r="BQ225" i="16"/>
  <c r="BR221" i="16"/>
  <c r="BP221" i="16" s="1"/>
  <c r="BQ221" i="16"/>
  <c r="BQ217" i="16"/>
  <c r="BR217" i="16"/>
  <c r="BP217" i="16" s="1"/>
  <c r="BQ213" i="16"/>
  <c r="BR213" i="16"/>
  <c r="BP213" i="16" s="1"/>
  <c r="AH209" i="16"/>
  <c r="AB209" i="16" s="1"/>
  <c r="BQ209" i="16"/>
  <c r="BR209" i="16"/>
  <c r="BP209" i="16" s="1"/>
  <c r="BQ228" i="16"/>
  <c r="BR228" i="16"/>
  <c r="BP228" i="16" s="1"/>
  <c r="BQ224" i="16"/>
  <c r="BR224" i="16"/>
  <c r="BP224" i="16" s="1"/>
  <c r="BQ220" i="16"/>
  <c r="BR220" i="16"/>
  <c r="BP220" i="16" s="1"/>
  <c r="BQ216" i="16"/>
  <c r="BR216" i="16"/>
  <c r="BP216" i="16" s="1"/>
  <c r="BR212" i="16"/>
  <c r="BP212" i="16" s="1"/>
  <c r="BQ212" i="16"/>
  <c r="AH208" i="16"/>
  <c r="AB208" i="16" s="1"/>
  <c r="BQ208" i="16"/>
  <c r="BR208" i="16"/>
  <c r="BP208" i="16" s="1"/>
  <c r="BQ227" i="16"/>
  <c r="BR227" i="16"/>
  <c r="BP227" i="16" s="1"/>
  <c r="BQ223" i="16"/>
  <c r="BR223" i="16"/>
  <c r="BP223" i="16" s="1"/>
  <c r="BQ219" i="16"/>
  <c r="BR219" i="16"/>
  <c r="BP219" i="16" s="1"/>
  <c r="BQ215" i="16"/>
  <c r="BR215" i="16"/>
  <c r="BP215" i="16" s="1"/>
  <c r="BQ211" i="16"/>
  <c r="BR211" i="16"/>
  <c r="BP211" i="16" s="1"/>
  <c r="BQ226" i="16"/>
  <c r="BR226" i="16"/>
  <c r="BP226" i="16" s="1"/>
  <c r="BQ222" i="16"/>
  <c r="BR222" i="16"/>
  <c r="BP222" i="16" s="1"/>
  <c r="BQ218" i="16"/>
  <c r="BR218" i="16"/>
  <c r="BP218" i="16" s="1"/>
  <c r="BQ214" i="16"/>
  <c r="BR214" i="16"/>
  <c r="BP214" i="16" s="1"/>
  <c r="BR210" i="16"/>
  <c r="BP210" i="16" s="1"/>
  <c r="BQ210" i="16"/>
  <c r="FI304" i="16"/>
  <c r="FK304" i="16"/>
  <c r="FD304" i="16"/>
  <c r="FJ304" i="16"/>
  <c r="FL304" i="16"/>
  <c r="FG304" i="16"/>
  <c r="FE304" i="16"/>
  <c r="FC304" i="16"/>
  <c r="FF304" i="16"/>
  <c r="FH304" i="16"/>
  <c r="FC303" i="16"/>
  <c r="FD303" i="16"/>
  <c r="FH303" i="16"/>
  <c r="FL303" i="16"/>
  <c r="FK303" i="16"/>
  <c r="FF303" i="16"/>
  <c r="FG303" i="16"/>
  <c r="FJ303" i="16"/>
  <c r="FE303" i="16"/>
  <c r="FI303" i="16"/>
  <c r="FC302" i="16"/>
  <c r="FL302" i="16"/>
  <c r="FE302" i="16"/>
  <c r="FG302" i="16"/>
  <c r="FK302" i="16"/>
  <c r="FH302" i="16"/>
  <c r="FF302" i="16"/>
  <c r="FJ302" i="16"/>
  <c r="FI302" i="16"/>
  <c r="FD302" i="16"/>
  <c r="AH331" i="16"/>
  <c r="AB331" i="16" s="1"/>
  <c r="BR331" i="16"/>
  <c r="BP331" i="16" s="1"/>
  <c r="AH323" i="16"/>
  <c r="AB323" i="16" s="1"/>
  <c r="BR323" i="16"/>
  <c r="BP323" i="16" s="1"/>
  <c r="FH345" i="16"/>
  <c r="FR345" i="16"/>
  <c r="FS345" i="16"/>
  <c r="FO345" i="16"/>
  <c r="FK345" i="16"/>
  <c r="FP345" i="16"/>
  <c r="FI345" i="16"/>
  <c r="FL345" i="16"/>
  <c r="FQ345" i="16"/>
  <c r="FJ345" i="16"/>
  <c r="FM345" i="16"/>
  <c r="FN345" i="16"/>
  <c r="FT345" i="16"/>
  <c r="FD319" i="16"/>
  <c r="GR319" i="16" s="1"/>
  <c r="FH319" i="16"/>
  <c r="GV319" i="16" s="1"/>
  <c r="FF319" i="16"/>
  <c r="GT319" i="16" s="1"/>
  <c r="FG319" i="16"/>
  <c r="GU319" i="16" s="1"/>
  <c r="FE319" i="16"/>
  <c r="GS319" i="16" s="1"/>
  <c r="FI319" i="16"/>
  <c r="GW319" i="16" s="1"/>
  <c r="AH330" i="16"/>
  <c r="AB330" i="16" s="1"/>
  <c r="BR330" i="16"/>
  <c r="BP330" i="16" s="1"/>
  <c r="AH322" i="16"/>
  <c r="AB322" i="16" s="1"/>
  <c r="BR322" i="16"/>
  <c r="BP322" i="16" s="1"/>
  <c r="CF309" i="16"/>
  <c r="FG309" i="16"/>
  <c r="GU309" i="16" s="1"/>
  <c r="AH329" i="16"/>
  <c r="AB329" i="16" s="1"/>
  <c r="BR329" i="16"/>
  <c r="BP329" i="16" s="1"/>
  <c r="AH325" i="16"/>
  <c r="AB325" i="16" s="1"/>
  <c r="BR325" i="16"/>
  <c r="BP325" i="16" s="1"/>
  <c r="FH311" i="16"/>
  <c r="GV311" i="16" s="1"/>
  <c r="CG311" i="16"/>
  <c r="AH328" i="16"/>
  <c r="AB328" i="16" s="1"/>
  <c r="BR328" i="16"/>
  <c r="BP328" i="16" s="1"/>
  <c r="AH324" i="16"/>
  <c r="AB324" i="16" s="1"/>
  <c r="BR324" i="16"/>
  <c r="BP324" i="16" s="1"/>
  <c r="GO393" i="16"/>
  <c r="FM411" i="16"/>
  <c r="CM411" i="16"/>
  <c r="FO411" i="16" s="1"/>
  <c r="CN411" i="16"/>
  <c r="FP411" i="16" s="1"/>
  <c r="CL411" i="16"/>
  <c r="FN411" i="16" s="1"/>
  <c r="AM239" i="16"/>
  <c r="AM240" i="16"/>
  <c r="AM241" i="16"/>
  <c r="AM242" i="16"/>
  <c r="AM243" i="16"/>
  <c r="AM244" i="16"/>
  <c r="AM245" i="16"/>
  <c r="AM246" i="16"/>
  <c r="AM247" i="16"/>
  <c r="AM248" i="16"/>
  <c r="AM249" i="16"/>
  <c r="AM250" i="16"/>
  <c r="AM251" i="16"/>
  <c r="AM252" i="16"/>
  <c r="AM253" i="16"/>
  <c r="AM254" i="16"/>
  <c r="AM255" i="16"/>
  <c r="AM256" i="16"/>
  <c r="AM257" i="16"/>
  <c r="AM258" i="16"/>
  <c r="AM259" i="16"/>
  <c r="AM260" i="16"/>
  <c r="AM261" i="16"/>
  <c r="AM262" i="16"/>
  <c r="AM263" i="16"/>
  <c r="AM264" i="16"/>
  <c r="AM265" i="16"/>
  <c r="AM266" i="16"/>
  <c r="AM267" i="16"/>
  <c r="AM268" i="16"/>
  <c r="AM269" i="16"/>
  <c r="AM270" i="16"/>
  <c r="AM271" i="16"/>
  <c r="AM272" i="16"/>
  <c r="AM273" i="16"/>
  <c r="AM274" i="16"/>
  <c r="AM275" i="16"/>
  <c r="AM276" i="16"/>
  <c r="AM277" i="16"/>
  <c r="AM278" i="16"/>
  <c r="AM279" i="16"/>
  <c r="AM280" i="16"/>
  <c r="AM281" i="16"/>
  <c r="AM282" i="16"/>
  <c r="AM283" i="16"/>
  <c r="AM284" i="16"/>
  <c r="AM285" i="16"/>
  <c r="AM286" i="16"/>
  <c r="AM287" i="16"/>
  <c r="AM288" i="16"/>
  <c r="AM289" i="16"/>
  <c r="AM290" i="16"/>
  <c r="AM291" i="16"/>
  <c r="AM292" i="16"/>
  <c r="AM293" i="16"/>
  <c r="AM294" i="16"/>
  <c r="BQ294" i="16" s="1"/>
  <c r="AM295" i="16"/>
  <c r="AM296" i="16"/>
  <c r="AM297" i="16"/>
  <c r="AM298" i="16"/>
  <c r="AM299" i="16"/>
  <c r="AM300" i="16"/>
  <c r="AV298" i="16"/>
  <c r="AV299" i="16"/>
  <c r="AV300" i="16"/>
  <c r="AV249" i="16"/>
  <c r="AV250" i="16"/>
  <c r="AV251" i="16"/>
  <c r="AV252" i="16"/>
  <c r="AV253" i="16"/>
  <c r="AV254" i="16"/>
  <c r="AV255" i="16"/>
  <c r="AV256" i="16"/>
  <c r="AV257" i="16"/>
  <c r="AV258" i="16"/>
  <c r="AV259" i="16"/>
  <c r="AV260" i="16"/>
  <c r="AV261" i="16"/>
  <c r="AV262" i="16"/>
  <c r="AV263" i="16"/>
  <c r="AV264" i="16"/>
  <c r="AV265" i="16"/>
  <c r="AV266" i="16"/>
  <c r="AV241" i="16"/>
  <c r="AV242" i="16"/>
  <c r="AV244" i="16"/>
  <c r="AV247" i="16"/>
  <c r="AV248" i="16"/>
  <c r="BG238" i="16"/>
  <c r="AC238" i="16"/>
  <c r="AD238" i="16"/>
  <c r="AE238" i="16"/>
  <c r="BM238" i="16"/>
  <c r="BO238" i="16" s="1"/>
  <c r="AM238" i="16"/>
  <c r="BI238" i="16"/>
  <c r="BK238" i="16" s="1"/>
  <c r="AW238" i="16"/>
  <c r="AC234" i="16"/>
  <c r="AD234" i="16"/>
  <c r="AE234" i="16"/>
  <c r="AC235" i="16"/>
  <c r="AD235" i="16"/>
  <c r="AE235" i="16"/>
  <c r="AC236" i="16"/>
  <c r="AD236" i="16"/>
  <c r="AE236" i="16"/>
  <c r="AC237" i="16"/>
  <c r="AD237" i="16"/>
  <c r="AE237" i="16"/>
  <c r="BG237" i="16"/>
  <c r="BG236" i="16"/>
  <c r="BG235" i="16"/>
  <c r="BD236" i="16"/>
  <c r="BD237" i="16"/>
  <c r="AV234" i="16"/>
  <c r="AV235" i="16"/>
  <c r="AV236" i="16"/>
  <c r="AV237" i="16"/>
  <c r="BM236" i="16"/>
  <c r="BO236" i="16" s="1"/>
  <c r="BM237" i="16"/>
  <c r="BO237" i="16" s="1"/>
  <c r="BF237" i="16" s="1"/>
  <c r="BM235" i="16"/>
  <c r="BO235" i="16" s="1"/>
  <c r="BG234" i="16"/>
  <c r="BD235" i="16"/>
  <c r="BD234" i="16"/>
  <c r="BM234" i="16"/>
  <c r="BO234" i="16" s="1"/>
  <c r="AM234" i="16"/>
  <c r="AM235" i="16"/>
  <c r="AM236" i="16"/>
  <c r="AM237" i="16"/>
  <c r="BI237" i="16"/>
  <c r="BK237" i="16" s="1"/>
  <c r="BI236" i="16"/>
  <c r="BK236" i="16" s="1"/>
  <c r="BI235" i="16"/>
  <c r="BK235" i="16" s="1"/>
  <c r="BI234" i="16"/>
  <c r="BK234" i="16" s="1"/>
  <c r="AC233" i="16"/>
  <c r="AD233" i="16"/>
  <c r="AE233" i="16"/>
  <c r="AM233" i="16"/>
  <c r="BI233" i="16"/>
  <c r="BK233" i="16" s="1"/>
  <c r="AV233" i="16"/>
  <c r="BG233" i="16"/>
  <c r="BM233" i="16"/>
  <c r="BO233" i="16" s="1"/>
  <c r="BE233" i="16"/>
  <c r="AS233" i="16"/>
  <c r="AR233" i="16"/>
  <c r="BD233" i="16" s="1"/>
  <c r="AS234" i="16"/>
  <c r="AR234" i="16"/>
  <c r="AS235" i="16"/>
  <c r="AR235" i="16"/>
  <c r="AS236" i="16"/>
  <c r="AR236" i="16"/>
  <c r="AS237" i="16"/>
  <c r="AR237" i="16"/>
  <c r="AS238" i="16"/>
  <c r="AR238" i="16"/>
  <c r="AS239" i="16"/>
  <c r="AG239" i="16" s="1"/>
  <c r="AR239" i="16"/>
  <c r="BL239" i="16" s="1"/>
  <c r="AS240" i="16"/>
  <c r="AG240" i="16" s="1"/>
  <c r="AR240" i="16"/>
  <c r="AV240" i="16" s="1"/>
  <c r="AS241" i="16"/>
  <c r="AG241" i="16" s="1"/>
  <c r="AR241" i="16"/>
  <c r="BL241" i="16" s="1"/>
  <c r="AS242" i="16"/>
  <c r="AG242" i="16" s="1"/>
  <c r="AR242" i="16"/>
  <c r="BL242" i="16" s="1"/>
  <c r="AS243" i="16"/>
  <c r="AG243" i="16" s="1"/>
  <c r="AR243" i="16"/>
  <c r="BL243" i="16" s="1"/>
  <c r="AS244" i="16"/>
  <c r="AG244" i="16" s="1"/>
  <c r="AR244" i="16"/>
  <c r="BL244" i="16" s="1"/>
  <c r="AS245" i="16"/>
  <c r="AG245" i="16" s="1"/>
  <c r="AR245" i="16"/>
  <c r="BL245" i="16" s="1"/>
  <c r="AS246" i="16"/>
  <c r="AG246" i="16" s="1"/>
  <c r="AR246" i="16"/>
  <c r="BL246" i="16" s="1"/>
  <c r="AS247" i="16"/>
  <c r="AG247" i="16" s="1"/>
  <c r="AR247" i="16"/>
  <c r="BL247" i="16" s="1"/>
  <c r="AS248" i="16"/>
  <c r="AG248" i="16" s="1"/>
  <c r="AR248" i="16"/>
  <c r="AS249" i="16"/>
  <c r="AG249" i="16" s="1"/>
  <c r="AR249" i="16"/>
  <c r="AS250" i="16"/>
  <c r="AG250" i="16" s="1"/>
  <c r="AR250" i="16"/>
  <c r="AS251" i="16"/>
  <c r="AG251" i="16" s="1"/>
  <c r="AR251" i="16"/>
  <c r="AS252" i="16"/>
  <c r="AG252" i="16" s="1"/>
  <c r="AR252" i="16"/>
  <c r="AS253" i="16"/>
  <c r="AG253" i="16" s="1"/>
  <c r="AR253" i="16"/>
  <c r="BL253" i="16" s="1"/>
  <c r="AS254" i="16"/>
  <c r="AG254" i="16" s="1"/>
  <c r="AR254" i="16"/>
  <c r="BL254" i="16" s="1"/>
  <c r="AS255" i="16"/>
  <c r="AG255" i="16" s="1"/>
  <c r="AR255" i="16"/>
  <c r="BL255" i="16" s="1"/>
  <c r="AS256" i="16"/>
  <c r="AG256" i="16" s="1"/>
  <c r="AR256" i="16"/>
  <c r="BL256" i="16" s="1"/>
  <c r="AS257" i="16"/>
  <c r="AG257" i="16" s="1"/>
  <c r="AR257" i="16"/>
  <c r="BL257" i="16" s="1"/>
  <c r="AS258" i="16"/>
  <c r="AG258" i="16" s="1"/>
  <c r="AR258" i="16"/>
  <c r="BL258" i="16" s="1"/>
  <c r="AS259" i="16"/>
  <c r="AG259" i="16" s="1"/>
  <c r="AR259" i="16"/>
  <c r="BL259" i="16" s="1"/>
  <c r="AS260" i="16"/>
  <c r="AG260" i="16" s="1"/>
  <c r="AR260" i="16"/>
  <c r="BL260" i="16" s="1"/>
  <c r="AL233" i="16"/>
  <c r="AL234" i="16"/>
  <c r="AL235" i="16"/>
  <c r="AL236" i="16"/>
  <c r="AL237" i="16"/>
  <c r="AL238" i="16"/>
  <c r="AL239" i="16"/>
  <c r="AL240" i="16"/>
  <c r="AL241" i="16"/>
  <c r="AL242" i="16"/>
  <c r="AL243" i="16"/>
  <c r="AL244" i="16"/>
  <c r="AL245" i="16"/>
  <c r="AL246" i="16"/>
  <c r="AL247" i="16"/>
  <c r="AL248" i="16"/>
  <c r="AL249" i="16"/>
  <c r="AL250" i="16"/>
  <c r="AL251" i="16"/>
  <c r="AL252" i="16"/>
  <c r="AL253" i="16"/>
  <c r="AL254" i="16"/>
  <c r="AL255" i="16"/>
  <c r="AL256" i="16"/>
  <c r="AL257" i="16"/>
  <c r="AL258" i="16"/>
  <c r="AL259" i="16"/>
  <c r="AL260" i="16"/>
  <c r="BT236" i="16" l="1"/>
  <c r="BT237" i="16"/>
  <c r="BT238" i="16"/>
  <c r="BT235" i="16"/>
  <c r="BT233" i="16"/>
  <c r="BT234" i="16"/>
  <c r="AF248" i="16"/>
  <c r="AA248" i="16" s="1"/>
  <c r="W248" i="16" s="1"/>
  <c r="V101" i="16"/>
  <c r="T101" i="16"/>
  <c r="U101" i="16"/>
  <c r="U100" i="16"/>
  <c r="T100" i="16"/>
  <c r="V100" i="16"/>
  <c r="AF258" i="16"/>
  <c r="AF242" i="16"/>
  <c r="AF254" i="16"/>
  <c r="AF250" i="16"/>
  <c r="AA250" i="16" s="1"/>
  <c r="W250" i="16" s="1"/>
  <c r="AG235" i="16"/>
  <c r="AG234" i="16"/>
  <c r="AG236" i="16"/>
  <c r="AG238" i="16"/>
  <c r="AG233" i="16"/>
  <c r="AG237" i="16"/>
  <c r="AF253" i="16"/>
  <c r="AF257" i="16"/>
  <c r="AF249" i="16"/>
  <c r="AA249" i="16" s="1"/>
  <c r="W249" i="16" s="1"/>
  <c r="AF241" i="16"/>
  <c r="AF252" i="16"/>
  <c r="AA252" i="16" s="1"/>
  <c r="W252" i="16" s="1"/>
  <c r="AF244" i="16"/>
  <c r="AF260" i="16"/>
  <c r="AF256" i="16"/>
  <c r="AF259" i="16"/>
  <c r="AF255" i="16"/>
  <c r="AA255" i="16" s="1"/>
  <c r="W255" i="16" s="1"/>
  <c r="AF251" i="16"/>
  <c r="AF247" i="16"/>
  <c r="AF240" i="16"/>
  <c r="Z238" i="16"/>
  <c r="X238" i="16" s="1"/>
  <c r="Z233" i="16"/>
  <c r="X233" i="16" s="1"/>
  <c r="AF233" i="16"/>
  <c r="AF234" i="16"/>
  <c r="AF235" i="16"/>
  <c r="AF236" i="16"/>
  <c r="AF237" i="16"/>
  <c r="V330" i="16"/>
  <c r="V220" i="16"/>
  <c r="U220" i="16"/>
  <c r="V228" i="16"/>
  <c r="U228" i="16"/>
  <c r="U225" i="16"/>
  <c r="V225" i="16"/>
  <c r="V156" i="16"/>
  <c r="V164" i="16"/>
  <c r="V172" i="16"/>
  <c r="U172" i="16"/>
  <c r="V203" i="16"/>
  <c r="U203" i="16"/>
  <c r="U205" i="16"/>
  <c r="V205" i="16"/>
  <c r="V171" i="16"/>
  <c r="V105" i="16"/>
  <c r="U105" i="16"/>
  <c r="V127" i="16"/>
  <c r="U127" i="16"/>
  <c r="V155" i="16"/>
  <c r="U155" i="16"/>
  <c r="V84" i="16"/>
  <c r="U84" i="16"/>
  <c r="V87" i="16"/>
  <c r="U87" i="16"/>
  <c r="V102" i="16"/>
  <c r="U102" i="16"/>
  <c r="V116" i="16"/>
  <c r="U116" i="16"/>
  <c r="V128" i="16"/>
  <c r="U128" i="16"/>
  <c r="V152" i="16"/>
  <c r="U152" i="16"/>
  <c r="V114" i="16"/>
  <c r="U114" i="16"/>
  <c r="V153" i="16"/>
  <c r="U153" i="16"/>
  <c r="V104" i="16"/>
  <c r="U104" i="16"/>
  <c r="V130" i="16"/>
  <c r="U130" i="16"/>
  <c r="V125" i="16"/>
  <c r="U125" i="16"/>
  <c r="V324" i="16"/>
  <c r="V329" i="16"/>
  <c r="V331" i="16"/>
  <c r="V218" i="16"/>
  <c r="U218" i="16"/>
  <c r="V226" i="16"/>
  <c r="U226" i="16"/>
  <c r="V215" i="16"/>
  <c r="U215" i="16"/>
  <c r="V223" i="16"/>
  <c r="U223" i="16"/>
  <c r="V208" i="16"/>
  <c r="U208" i="16"/>
  <c r="V212" i="16"/>
  <c r="U212" i="16"/>
  <c r="V213" i="16"/>
  <c r="U213" i="16"/>
  <c r="V175" i="16"/>
  <c r="U175" i="16"/>
  <c r="V161" i="16"/>
  <c r="V169" i="16"/>
  <c r="V170" i="16"/>
  <c r="V166" i="16"/>
  <c r="V93" i="16"/>
  <c r="U93" i="16"/>
  <c r="V97" i="16"/>
  <c r="U97" i="16"/>
  <c r="V123" i="16"/>
  <c r="U123" i="16"/>
  <c r="V151" i="16"/>
  <c r="U151" i="16"/>
  <c r="V111" i="16"/>
  <c r="U111" i="16"/>
  <c r="V149" i="16"/>
  <c r="U149" i="16"/>
  <c r="V113" i="16"/>
  <c r="U113" i="16"/>
  <c r="V83" i="16"/>
  <c r="U83" i="16"/>
  <c r="V96" i="16"/>
  <c r="U96" i="16"/>
  <c r="V112" i="16"/>
  <c r="U112" i="16"/>
  <c r="U115" i="16"/>
  <c r="V115" i="16"/>
  <c r="V122" i="16"/>
  <c r="U122" i="16"/>
  <c r="U126" i="16"/>
  <c r="V126" i="16"/>
  <c r="U178" i="16"/>
  <c r="V178" i="16"/>
  <c r="BL237" i="16"/>
  <c r="V322" i="16"/>
  <c r="V210" i="16"/>
  <c r="V216" i="16"/>
  <c r="U216" i="16"/>
  <c r="V224" i="16"/>
  <c r="U224" i="16"/>
  <c r="U209" i="16"/>
  <c r="V209" i="16"/>
  <c r="U221" i="16"/>
  <c r="V221" i="16"/>
  <c r="V160" i="16"/>
  <c r="V168" i="16"/>
  <c r="U174" i="16"/>
  <c r="V174" i="16"/>
  <c r="V159" i="16"/>
  <c r="V177" i="16"/>
  <c r="U177" i="16"/>
  <c r="U201" i="16"/>
  <c r="V201" i="16"/>
  <c r="V163" i="16"/>
  <c r="V207" i="16"/>
  <c r="U207" i="16"/>
  <c r="V200" i="16"/>
  <c r="V119" i="16"/>
  <c r="U119" i="16"/>
  <c r="V135" i="16"/>
  <c r="U135" i="16"/>
  <c r="V137" i="16"/>
  <c r="U137" i="16"/>
  <c r="V94" i="16"/>
  <c r="U94" i="16"/>
  <c r="V110" i="16"/>
  <c r="U110" i="16"/>
  <c r="V120" i="16"/>
  <c r="U120" i="16"/>
  <c r="V124" i="16"/>
  <c r="U124" i="16"/>
  <c r="V136" i="16"/>
  <c r="U136" i="16"/>
  <c r="V148" i="16"/>
  <c r="U148" i="16"/>
  <c r="V95" i="16"/>
  <c r="U95" i="16"/>
  <c r="V107" i="16"/>
  <c r="U107" i="16"/>
  <c r="V133" i="16"/>
  <c r="U133" i="16"/>
  <c r="V89" i="16"/>
  <c r="U89" i="16"/>
  <c r="V108" i="16"/>
  <c r="U108" i="16"/>
  <c r="U118" i="16"/>
  <c r="V118" i="16"/>
  <c r="U154" i="16"/>
  <c r="V154" i="16"/>
  <c r="V103" i="16"/>
  <c r="U103" i="16"/>
  <c r="V117" i="16"/>
  <c r="U117" i="16"/>
  <c r="V328" i="16"/>
  <c r="V325" i="16"/>
  <c r="V323" i="16"/>
  <c r="V214" i="16"/>
  <c r="U214" i="16"/>
  <c r="V222" i="16"/>
  <c r="U222" i="16"/>
  <c r="V211" i="16"/>
  <c r="V219" i="16"/>
  <c r="U219" i="16"/>
  <c r="V227" i="16"/>
  <c r="U227" i="16"/>
  <c r="U217" i="16"/>
  <c r="V217" i="16"/>
  <c r="V176" i="16"/>
  <c r="U176" i="16"/>
  <c r="V158" i="16"/>
  <c r="V202" i="16"/>
  <c r="U202" i="16"/>
  <c r="V157" i="16"/>
  <c r="V165" i="16"/>
  <c r="V173" i="16"/>
  <c r="U173" i="16"/>
  <c r="V162" i="16"/>
  <c r="V206" i="16"/>
  <c r="U206" i="16"/>
  <c r="V167" i="16"/>
  <c r="V86" i="16"/>
  <c r="U86" i="16"/>
  <c r="V90" i="16"/>
  <c r="U90" i="16"/>
  <c r="V109" i="16"/>
  <c r="U109" i="16"/>
  <c r="V131" i="16"/>
  <c r="U131" i="16"/>
  <c r="V99" i="16"/>
  <c r="U99" i="16"/>
  <c r="V129" i="16"/>
  <c r="U129" i="16"/>
  <c r="V91" i="16"/>
  <c r="U91" i="16"/>
  <c r="V98" i="16"/>
  <c r="U98" i="16"/>
  <c r="V106" i="16"/>
  <c r="U106" i="16"/>
  <c r="V132" i="16"/>
  <c r="U132" i="16"/>
  <c r="V88" i="16"/>
  <c r="U88" i="16"/>
  <c r="V121" i="16"/>
  <c r="U121" i="16"/>
  <c r="V85" i="16"/>
  <c r="U85" i="16"/>
  <c r="U134" i="16"/>
  <c r="V134" i="16"/>
  <c r="V150" i="16"/>
  <c r="U150" i="16"/>
  <c r="V92" i="16"/>
  <c r="U92" i="16"/>
  <c r="BL240" i="16"/>
  <c r="AI250" i="16"/>
  <c r="AI248" i="16"/>
  <c r="BR235" i="16"/>
  <c r="BP235" i="16" s="1"/>
  <c r="BQ235" i="16"/>
  <c r="AH286" i="16"/>
  <c r="BQ286" i="16"/>
  <c r="BR286" i="16"/>
  <c r="AH278" i="16"/>
  <c r="BQ278" i="16"/>
  <c r="BR278" i="16"/>
  <c r="AH266" i="16"/>
  <c r="BQ266" i="16"/>
  <c r="BR266" i="16"/>
  <c r="AH262" i="16"/>
  <c r="BQ262" i="16"/>
  <c r="BR262" i="16"/>
  <c r="BQ258" i="16"/>
  <c r="BR258" i="16"/>
  <c r="BP258" i="16" s="1"/>
  <c r="BQ254" i="16"/>
  <c r="BR254" i="16"/>
  <c r="BP254" i="16" s="1"/>
  <c r="AH250" i="16"/>
  <c r="BQ250" i="16"/>
  <c r="BR250" i="16"/>
  <c r="BP250" i="16" s="1"/>
  <c r="BQ246" i="16"/>
  <c r="BR246" i="16"/>
  <c r="BP246" i="16" s="1"/>
  <c r="BR242" i="16"/>
  <c r="BP242" i="16" s="1"/>
  <c r="BQ242" i="16"/>
  <c r="AV245" i="16"/>
  <c r="AF245" i="16" s="1"/>
  <c r="AV243" i="16"/>
  <c r="AF243" i="16" s="1"/>
  <c r="AV239" i="16"/>
  <c r="AF239" i="16" s="1"/>
  <c r="AV238" i="16"/>
  <c r="AF238" i="16" s="1"/>
  <c r="BR234" i="16"/>
  <c r="BP234" i="16" s="1"/>
  <c r="BQ234" i="16"/>
  <c r="AH285" i="16"/>
  <c r="BR285" i="16"/>
  <c r="BQ285" i="16"/>
  <c r="AH281" i="16"/>
  <c r="BQ281" i="16"/>
  <c r="BR281" i="16"/>
  <c r="AH277" i="16"/>
  <c r="BQ277" i="16"/>
  <c r="BR277" i="16"/>
  <c r="AH265" i="16"/>
  <c r="BQ265" i="16"/>
  <c r="BR265" i="16"/>
  <c r="AH261" i="16"/>
  <c r="BQ261" i="16"/>
  <c r="BR261" i="16"/>
  <c r="BQ257" i="16"/>
  <c r="BR257" i="16"/>
  <c r="BP257" i="16" s="1"/>
  <c r="BQ253" i="16"/>
  <c r="BR253" i="16"/>
  <c r="BP253" i="16" s="1"/>
  <c r="AH249" i="16"/>
  <c r="BQ249" i="16"/>
  <c r="BR249" i="16"/>
  <c r="BP249" i="16" s="1"/>
  <c r="BR245" i="16"/>
  <c r="BP245" i="16" s="1"/>
  <c r="BQ245" i="16"/>
  <c r="BQ241" i="16"/>
  <c r="BR241" i="16"/>
  <c r="BP241" i="16" s="1"/>
  <c r="AI249" i="16"/>
  <c r="BQ233" i="16"/>
  <c r="BR233" i="16"/>
  <c r="BP233" i="16" s="1"/>
  <c r="BQ237" i="16"/>
  <c r="BR237" i="16"/>
  <c r="BP237" i="16" s="1"/>
  <c r="AH288" i="16"/>
  <c r="BQ288" i="16"/>
  <c r="BR288" i="16"/>
  <c r="AH284" i="16"/>
  <c r="BQ284" i="16"/>
  <c r="BR284" i="16"/>
  <c r="AH280" i="16"/>
  <c r="BQ280" i="16"/>
  <c r="BR280" i="16"/>
  <c r="AH264" i="16"/>
  <c r="BQ264" i="16"/>
  <c r="BR264" i="16"/>
  <c r="BQ260" i="16"/>
  <c r="BR260" i="16"/>
  <c r="BP260" i="16" s="1"/>
  <c r="BQ256" i="16"/>
  <c r="BR256" i="16"/>
  <c r="BP256" i="16" s="1"/>
  <c r="BQ252" i="16"/>
  <c r="BR252" i="16"/>
  <c r="BP252" i="16" s="1"/>
  <c r="AH248" i="16"/>
  <c r="BQ248" i="16"/>
  <c r="BR248" i="16"/>
  <c r="BP248" i="16" s="1"/>
  <c r="BQ244" i="16"/>
  <c r="BR244" i="16"/>
  <c r="BP244" i="16" s="1"/>
  <c r="BQ240" i="16"/>
  <c r="BR240" i="16"/>
  <c r="BP240" i="16" s="1"/>
  <c r="AV246" i="16"/>
  <c r="AF246" i="16" s="1"/>
  <c r="BQ236" i="16"/>
  <c r="BR236" i="16"/>
  <c r="BP236" i="16" s="1"/>
  <c r="BQ238" i="16"/>
  <c r="BR238" i="16"/>
  <c r="BP238" i="16" s="1"/>
  <c r="AH287" i="16"/>
  <c r="BQ287" i="16"/>
  <c r="BR287" i="16"/>
  <c r="AH283" i="16"/>
  <c r="BR283" i="16"/>
  <c r="BQ283" i="16"/>
  <c r="AH279" i="16"/>
  <c r="BQ279" i="16"/>
  <c r="BR279" i="16"/>
  <c r="AH263" i="16"/>
  <c r="BR263" i="16"/>
  <c r="BQ263" i="16"/>
  <c r="BQ259" i="16"/>
  <c r="BR259" i="16"/>
  <c r="BP259" i="16" s="1"/>
  <c r="BQ255" i="16"/>
  <c r="BR255" i="16"/>
  <c r="BP255" i="16" s="1"/>
  <c r="BR251" i="16"/>
  <c r="BP251" i="16" s="1"/>
  <c r="BQ251" i="16"/>
  <c r="BQ247" i="16"/>
  <c r="BR247" i="16"/>
  <c r="BP247" i="16" s="1"/>
  <c r="BQ243" i="16"/>
  <c r="BR243" i="16"/>
  <c r="BP243" i="16" s="1"/>
  <c r="BR239" i="16"/>
  <c r="BP239" i="16" s="1"/>
  <c r="BQ239" i="16"/>
  <c r="AH292" i="16"/>
  <c r="BQ292" i="16"/>
  <c r="BR292" i="16"/>
  <c r="AH291" i="16"/>
  <c r="BQ291" i="16"/>
  <c r="BR291" i="16"/>
  <c r="AH290" i="16"/>
  <c r="BR290" i="16"/>
  <c r="BQ290" i="16"/>
  <c r="AH289" i="16"/>
  <c r="BQ289" i="16"/>
  <c r="BR289" i="16"/>
  <c r="AH300" i="16"/>
  <c r="BQ300" i="16"/>
  <c r="BR300" i="16"/>
  <c r="AH296" i="16"/>
  <c r="BQ296" i="16"/>
  <c r="BR296" i="16"/>
  <c r="AH299" i="16"/>
  <c r="BQ299" i="16"/>
  <c r="BR299" i="16"/>
  <c r="AH295" i="16"/>
  <c r="BR295" i="16"/>
  <c r="AH298" i="16"/>
  <c r="BQ298" i="16"/>
  <c r="BR298" i="16"/>
  <c r="AH297" i="16"/>
  <c r="AB297" i="16" s="1"/>
  <c r="BR297" i="16"/>
  <c r="BP297" i="16" s="1"/>
  <c r="BQ282" i="16"/>
  <c r="BR282" i="16"/>
  <c r="BR274" i="16"/>
  <c r="BQ274" i="16"/>
  <c r="BR270" i="16"/>
  <c r="BQ270" i="16"/>
  <c r="FI311" i="16"/>
  <c r="GW311" i="16" s="1"/>
  <c r="CH311" i="16"/>
  <c r="FH309" i="16"/>
  <c r="GV309" i="16" s="1"/>
  <c r="CG309" i="16"/>
  <c r="BQ293" i="16"/>
  <c r="BR293" i="16"/>
  <c r="BQ273" i="16"/>
  <c r="BR273" i="16"/>
  <c r="BQ269" i="16"/>
  <c r="BR269" i="16"/>
  <c r="BR276" i="16"/>
  <c r="BQ276" i="16"/>
  <c r="BR272" i="16"/>
  <c r="BQ272" i="16"/>
  <c r="BR268" i="16"/>
  <c r="BQ268" i="16"/>
  <c r="BQ275" i="16"/>
  <c r="BR275" i="16"/>
  <c r="BQ271" i="16"/>
  <c r="BR271" i="16"/>
  <c r="BQ267" i="16"/>
  <c r="BR267" i="16"/>
  <c r="AI245" i="16"/>
  <c r="AI259" i="16"/>
  <c r="AI257" i="16"/>
  <c r="AI255" i="16"/>
  <c r="AI253" i="16"/>
  <c r="AI251" i="16"/>
  <c r="AI247" i="16"/>
  <c r="AH257" i="16"/>
  <c r="AH253" i="16"/>
  <c r="AH245" i="16"/>
  <c r="AH241" i="16"/>
  <c r="AI243" i="16"/>
  <c r="AI241" i="16"/>
  <c r="AI239" i="16"/>
  <c r="AH260" i="16"/>
  <c r="AH256" i="16"/>
  <c r="AH252" i="16"/>
  <c r="AH244" i="16"/>
  <c r="AH240" i="16"/>
  <c r="AI260" i="16"/>
  <c r="AI258" i="16"/>
  <c r="AI256" i="16"/>
  <c r="AI254" i="16"/>
  <c r="AI252" i="16"/>
  <c r="AI246" i="16"/>
  <c r="AH259" i="16"/>
  <c r="AH255" i="16"/>
  <c r="AH251" i="16"/>
  <c r="AH247" i="16"/>
  <c r="AH243" i="16"/>
  <c r="AH239" i="16"/>
  <c r="AI244" i="16"/>
  <c r="AI242" i="16"/>
  <c r="AI240" i="16"/>
  <c r="AH258" i="16"/>
  <c r="AH254" i="16"/>
  <c r="AH246" i="16"/>
  <c r="AH242" i="16"/>
  <c r="AH238" i="16"/>
  <c r="AI238" i="16"/>
  <c r="AH237" i="16"/>
  <c r="AH235" i="16"/>
  <c r="AH234" i="16"/>
  <c r="AI236" i="16"/>
  <c r="BF236" i="16"/>
  <c r="BL236" i="16" s="1"/>
  <c r="AI234" i="16"/>
  <c r="AH236" i="16"/>
  <c r="AH233" i="16"/>
  <c r="BF234" i="16"/>
  <c r="BL234" i="16" s="1"/>
  <c r="AI233" i="16"/>
  <c r="BF233" i="16"/>
  <c r="BL233" i="16" s="1"/>
  <c r="BE234" i="16"/>
  <c r="Z234" i="16" s="1"/>
  <c r="BE235" i="16"/>
  <c r="BE236" i="16"/>
  <c r="Z236" i="16" s="1"/>
  <c r="BF235" i="16"/>
  <c r="BL235" i="16" s="1"/>
  <c r="AI235" i="16"/>
  <c r="BE237" i="16"/>
  <c r="Z237" i="16" s="1"/>
  <c r="AI237" i="16"/>
  <c r="BF238" i="16"/>
  <c r="BL238" i="16" s="1"/>
  <c r="AB239" i="16" l="1"/>
  <c r="AB250" i="16"/>
  <c r="T248" i="16"/>
  <c r="X234" i="16"/>
  <c r="X237" i="16"/>
  <c r="X236" i="16"/>
  <c r="Z235" i="16"/>
  <c r="X235" i="16" s="1"/>
  <c r="T249" i="16"/>
  <c r="T250" i="16"/>
  <c r="T252" i="16"/>
  <c r="T255" i="16"/>
  <c r="V239" i="16"/>
  <c r="U239" i="16"/>
  <c r="V256" i="16"/>
  <c r="U256" i="16"/>
  <c r="U237" i="16"/>
  <c r="V237" i="16"/>
  <c r="V241" i="16"/>
  <c r="U241" i="16"/>
  <c r="V249" i="16"/>
  <c r="U249" i="16"/>
  <c r="U250" i="16"/>
  <c r="V250" i="16"/>
  <c r="V235" i="16"/>
  <c r="AA253" i="16"/>
  <c r="W253" i="16" s="1"/>
  <c r="V243" i="16"/>
  <c r="U243" i="16"/>
  <c r="V259" i="16"/>
  <c r="U259" i="16"/>
  <c r="V238" i="16"/>
  <c r="U238" i="16"/>
  <c r="V244" i="16"/>
  <c r="U244" i="16"/>
  <c r="V257" i="16"/>
  <c r="U257" i="16"/>
  <c r="U242" i="16"/>
  <c r="V242" i="16"/>
  <c r="U258" i="16"/>
  <c r="V258" i="16"/>
  <c r="V251" i="16"/>
  <c r="U251" i="16"/>
  <c r="V252" i="16"/>
  <c r="U252" i="16"/>
  <c r="V260" i="16"/>
  <c r="U260" i="16"/>
  <c r="U233" i="16"/>
  <c r="V233" i="16"/>
  <c r="U246" i="16"/>
  <c r="V246" i="16"/>
  <c r="V297" i="16"/>
  <c r="V247" i="16"/>
  <c r="U247" i="16"/>
  <c r="V255" i="16"/>
  <c r="U255" i="16"/>
  <c r="V236" i="16"/>
  <c r="U236" i="16"/>
  <c r="V240" i="16"/>
  <c r="U240" i="16"/>
  <c r="V248" i="16"/>
  <c r="U248" i="16"/>
  <c r="V245" i="16"/>
  <c r="U245" i="16"/>
  <c r="V253" i="16"/>
  <c r="U253" i="16"/>
  <c r="V234" i="16"/>
  <c r="U234" i="16"/>
  <c r="V254" i="16"/>
  <c r="U254" i="16"/>
  <c r="AA259" i="16"/>
  <c r="W259" i="16" s="1"/>
  <c r="AA247" i="16"/>
  <c r="W247" i="16" s="1"/>
  <c r="AA257" i="16"/>
  <c r="W257" i="16" s="1"/>
  <c r="AB248" i="16"/>
  <c r="AB249" i="16"/>
  <c r="AB255" i="16"/>
  <c r="AA251" i="16"/>
  <c r="T251" i="16" s="1"/>
  <c r="AA244" i="16"/>
  <c r="T244" i="16" s="1"/>
  <c r="AA241" i="16"/>
  <c r="W241" i="16" s="1"/>
  <c r="FI309" i="16"/>
  <c r="CH309" i="16"/>
  <c r="FJ311" i="16"/>
  <c r="GX311" i="16" s="1"/>
  <c r="CI311" i="16"/>
  <c r="FK311" i="16" s="1"/>
  <c r="AA254" i="16"/>
  <c r="T254" i="16" s="1"/>
  <c r="AA243" i="16"/>
  <c r="T243" i="16" s="1"/>
  <c r="AB246" i="16"/>
  <c r="AB253" i="16"/>
  <c r="AB234" i="16"/>
  <c r="AB254" i="16"/>
  <c r="AA245" i="16"/>
  <c r="T245" i="16" s="1"/>
  <c r="AA256" i="16"/>
  <c r="T256" i="16" s="1"/>
  <c r="AA239" i="16"/>
  <c r="T239" i="16" s="1"/>
  <c r="AB252" i="16"/>
  <c r="AB238" i="16"/>
  <c r="AB257" i="16"/>
  <c r="AA260" i="16"/>
  <c r="T260" i="16" s="1"/>
  <c r="AB242" i="16"/>
  <c r="AA246" i="16"/>
  <c r="T246" i="16" s="1"/>
  <c r="AB258" i="16"/>
  <c r="AA240" i="16"/>
  <c r="T240" i="16" s="1"/>
  <c r="AB247" i="16"/>
  <c r="AA258" i="16"/>
  <c r="T258" i="16" s="1"/>
  <c r="AB243" i="16"/>
  <c r="AB259" i="16"/>
  <c r="AA242" i="16"/>
  <c r="T242" i="16" s="1"/>
  <c r="AB251" i="16"/>
  <c r="AB245" i="16"/>
  <c r="AB256" i="16"/>
  <c r="AB240" i="16"/>
  <c r="AB260" i="16"/>
  <c r="AB241" i="16"/>
  <c r="AB244" i="16"/>
  <c r="AA238" i="16"/>
  <c r="T238" i="16" s="1"/>
  <c r="AA233" i="16"/>
  <c r="T233" i="16" s="1"/>
  <c r="AB237" i="16"/>
  <c r="AB235" i="16"/>
  <c r="AA235" i="16"/>
  <c r="T235" i="16" s="1"/>
  <c r="AB236" i="16"/>
  <c r="AA236" i="16"/>
  <c r="T236" i="16" s="1"/>
  <c r="AB233" i="16"/>
  <c r="AA234" i="16"/>
  <c r="T234" i="16" s="1"/>
  <c r="AA237" i="16"/>
  <c r="T237" i="16" s="1"/>
  <c r="AC230" i="16"/>
  <c r="AD230" i="16"/>
  <c r="AE230" i="16"/>
  <c r="BT230" i="16" s="1"/>
  <c r="AC231" i="16"/>
  <c r="AD231" i="16"/>
  <c r="AE231" i="16"/>
  <c r="BT231" i="16" s="1"/>
  <c r="AC232" i="16"/>
  <c r="AD232" i="16"/>
  <c r="AE232" i="16"/>
  <c r="BT232" i="16" s="1"/>
  <c r="AE229" i="16"/>
  <c r="BT229" i="16" s="1"/>
  <c r="AD229" i="16"/>
  <c r="AC229" i="16"/>
  <c r="BM231" i="16"/>
  <c r="BO231" i="16" s="1"/>
  <c r="BM232" i="16"/>
  <c r="BO232" i="16" s="1"/>
  <c r="BM230" i="16"/>
  <c r="BO230" i="16" s="1"/>
  <c r="BM229" i="16"/>
  <c r="BO229" i="16" s="1"/>
  <c r="BI230" i="16"/>
  <c r="BK230" i="16" s="1"/>
  <c r="BI231" i="16"/>
  <c r="BK231" i="16" s="1"/>
  <c r="BI232" i="16"/>
  <c r="BK232" i="16" s="1"/>
  <c r="BI229" i="16"/>
  <c r="BK229" i="16" s="1"/>
  <c r="AM230" i="16"/>
  <c r="AM231" i="16"/>
  <c r="AM232" i="16"/>
  <c r="AM229" i="16"/>
  <c r="AV230" i="16"/>
  <c r="AV231" i="16"/>
  <c r="AV232" i="16"/>
  <c r="AV229" i="16"/>
  <c r="AS230" i="16"/>
  <c r="AR230" i="16"/>
  <c r="BL230" i="16" s="1"/>
  <c r="AS231" i="16"/>
  <c r="AR231" i="16"/>
  <c r="BL231" i="16" s="1"/>
  <c r="AS232" i="16"/>
  <c r="AR232" i="16"/>
  <c r="BL232" i="16" s="1"/>
  <c r="AR229" i="16"/>
  <c r="BL229" i="16" s="1"/>
  <c r="AS229" i="16"/>
  <c r="AS212" i="16"/>
  <c r="AG212" i="16" s="1"/>
  <c r="AR212" i="16"/>
  <c r="BL212" i="16" s="1"/>
  <c r="AS213" i="16"/>
  <c r="AG213" i="16" s="1"/>
  <c r="AR213" i="16"/>
  <c r="BL213" i="16" s="1"/>
  <c r="AS214" i="16"/>
  <c r="AG214" i="16" s="1"/>
  <c r="AR214" i="16"/>
  <c r="BL214" i="16" s="1"/>
  <c r="AS215" i="16"/>
  <c r="AG215" i="16" s="1"/>
  <c r="AR215" i="16"/>
  <c r="BL215" i="16" s="1"/>
  <c r="AS216" i="16"/>
  <c r="AG216" i="16" s="1"/>
  <c r="AR216" i="16"/>
  <c r="BL216" i="16" s="1"/>
  <c r="AS217" i="16"/>
  <c r="AG217" i="16" s="1"/>
  <c r="AR217" i="16"/>
  <c r="BL217" i="16" s="1"/>
  <c r="AS218" i="16"/>
  <c r="AG218" i="16" s="1"/>
  <c r="AR218" i="16"/>
  <c r="BL218" i="16" s="1"/>
  <c r="AS219" i="16"/>
  <c r="AG219" i="16" s="1"/>
  <c r="AR219" i="16"/>
  <c r="BL219" i="16" s="1"/>
  <c r="AS220" i="16"/>
  <c r="AG220" i="16" s="1"/>
  <c r="AR220" i="16"/>
  <c r="BL220" i="16" s="1"/>
  <c r="AS221" i="16"/>
  <c r="AG221" i="16" s="1"/>
  <c r="AR221" i="16"/>
  <c r="BL221" i="16" s="1"/>
  <c r="AS222" i="16"/>
  <c r="AG222" i="16" s="1"/>
  <c r="AR222" i="16"/>
  <c r="BL222" i="16" s="1"/>
  <c r="AS223" i="16"/>
  <c r="AG223" i="16" s="1"/>
  <c r="AR223" i="16"/>
  <c r="BL223" i="16" s="1"/>
  <c r="AS224" i="16"/>
  <c r="AG224" i="16" s="1"/>
  <c r="AR224" i="16"/>
  <c r="BL224" i="16" s="1"/>
  <c r="AC211" i="16"/>
  <c r="Z211" i="16" s="1"/>
  <c r="AD211" i="16"/>
  <c r="AE211" i="16"/>
  <c r="BT211" i="16" s="1"/>
  <c r="AE210" i="16"/>
  <c r="BT210" i="16" s="1"/>
  <c r="AD210" i="16"/>
  <c r="AC210" i="16"/>
  <c r="Z210" i="16" s="1"/>
  <c r="BM211" i="16"/>
  <c r="BO211" i="16" s="1"/>
  <c r="BM210" i="16"/>
  <c r="BO210" i="16" s="1"/>
  <c r="BI211" i="16"/>
  <c r="BK211" i="16" s="1"/>
  <c r="BI210" i="16"/>
  <c r="BK210" i="16" s="1"/>
  <c r="AV211" i="16"/>
  <c r="AV210" i="16"/>
  <c r="AS211" i="16"/>
  <c r="AR211" i="16"/>
  <c r="BL211" i="16" s="1"/>
  <c r="AR210" i="16"/>
  <c r="BL210" i="16" s="1"/>
  <c r="AS210" i="16"/>
  <c r="AG231" i="16" l="1"/>
  <c r="AG230" i="16"/>
  <c r="AG210" i="16"/>
  <c r="AG229" i="16"/>
  <c r="AG211" i="16"/>
  <c r="AG232" i="16"/>
  <c r="U235" i="16"/>
  <c r="Z229" i="16"/>
  <c r="X229" i="16" s="1"/>
  <c r="Z231" i="16"/>
  <c r="X231" i="16" s="1"/>
  <c r="Z232" i="16"/>
  <c r="X232" i="16" s="1"/>
  <c r="T253" i="16"/>
  <c r="Z230" i="16"/>
  <c r="X230" i="16" s="1"/>
  <c r="T259" i="16"/>
  <c r="T247" i="16"/>
  <c r="T257" i="16"/>
  <c r="T241" i="16"/>
  <c r="W237" i="16"/>
  <c r="W234" i="16"/>
  <c r="W236" i="16"/>
  <c r="W233" i="16"/>
  <c r="W242" i="16"/>
  <c r="W246" i="16"/>
  <c r="W245" i="16"/>
  <c r="W244" i="16"/>
  <c r="X210" i="16"/>
  <c r="U210" i="16"/>
  <c r="X211" i="16"/>
  <c r="U211" i="16"/>
  <c r="W238" i="16"/>
  <c r="W240" i="16"/>
  <c r="W243" i="16"/>
  <c r="W251" i="16"/>
  <c r="W258" i="16"/>
  <c r="W256" i="16"/>
  <c r="W235" i="16"/>
  <c r="W260" i="16"/>
  <c r="W239" i="16"/>
  <c r="W254" i="16"/>
  <c r="BQ231" i="16"/>
  <c r="BR231" i="16"/>
  <c r="BP231" i="16" s="1"/>
  <c r="AI224" i="16"/>
  <c r="AH224" i="16"/>
  <c r="AI222" i="16"/>
  <c r="AH222" i="16"/>
  <c r="AI220" i="16"/>
  <c r="AH220" i="16"/>
  <c r="AI218" i="16"/>
  <c r="AH218" i="16"/>
  <c r="AI216" i="16"/>
  <c r="AH216" i="16"/>
  <c r="AI214" i="16"/>
  <c r="AH214" i="16"/>
  <c r="AI212" i="16"/>
  <c r="AH212" i="16"/>
  <c r="BQ230" i="16"/>
  <c r="BR230" i="16"/>
  <c r="BP230" i="16" s="1"/>
  <c r="BQ229" i="16"/>
  <c r="BR229" i="16"/>
  <c r="BP229" i="16" s="1"/>
  <c r="AI223" i="16"/>
  <c r="AH223" i="16"/>
  <c r="AI221" i="16"/>
  <c r="AH221" i="16"/>
  <c r="AI219" i="16"/>
  <c r="AH219" i="16"/>
  <c r="AI217" i="16"/>
  <c r="AH217" i="16"/>
  <c r="AI215" i="16"/>
  <c r="AH215" i="16"/>
  <c r="AI213" i="16"/>
  <c r="AH213" i="16"/>
  <c r="BQ232" i="16"/>
  <c r="BR232" i="16"/>
  <c r="BP232" i="16" s="1"/>
  <c r="GY311" i="16"/>
  <c r="GW309" i="16"/>
  <c r="CI309" i="16"/>
  <c r="FJ309" i="16"/>
  <c r="GX309" i="16" s="1"/>
  <c r="AH211" i="16"/>
  <c r="AH231" i="16"/>
  <c r="AI232" i="16"/>
  <c r="AI231" i="16"/>
  <c r="AI230" i="16"/>
  <c r="AI211" i="16"/>
  <c r="AH229" i="16"/>
  <c r="AI229" i="16"/>
  <c r="AI210" i="16"/>
  <c r="AH230" i="16"/>
  <c r="AH210" i="16"/>
  <c r="AH232" i="16"/>
  <c r="AE200" i="16"/>
  <c r="BT200" i="16" s="1"/>
  <c r="AD200" i="16"/>
  <c r="AC200" i="16"/>
  <c r="Z200" i="16" s="1"/>
  <c r="BM200" i="16"/>
  <c r="BO200" i="16" s="1"/>
  <c r="BI200" i="16"/>
  <c r="BK200" i="16" s="1"/>
  <c r="AV200" i="16"/>
  <c r="AR200" i="16"/>
  <c r="BL200" i="16" s="1"/>
  <c r="AS200" i="16"/>
  <c r="AL200" i="16"/>
  <c r="AL201" i="16"/>
  <c r="AF201" i="16" s="1"/>
  <c r="AL202" i="16"/>
  <c r="AL203" i="16"/>
  <c r="AL205" i="16"/>
  <c r="AL206" i="16"/>
  <c r="AL207" i="16"/>
  <c r="AL208" i="16"/>
  <c r="AF208" i="16" s="1"/>
  <c r="AL209" i="16"/>
  <c r="AF209" i="16" s="1"/>
  <c r="AL210" i="16"/>
  <c r="AF210" i="16" s="1"/>
  <c r="AL211" i="16"/>
  <c r="AF211" i="16" s="1"/>
  <c r="AL212" i="16"/>
  <c r="AF212" i="16" s="1"/>
  <c r="AL213" i="16"/>
  <c r="AF213" i="16" s="1"/>
  <c r="AL214" i="16"/>
  <c r="AF214" i="16" s="1"/>
  <c r="AL215" i="16"/>
  <c r="AF215" i="16" s="1"/>
  <c r="AL216" i="16"/>
  <c r="AF216" i="16" s="1"/>
  <c r="AL217" i="16"/>
  <c r="AF217" i="16" s="1"/>
  <c r="AL218" i="16"/>
  <c r="AF218" i="16" s="1"/>
  <c r="AL219" i="16"/>
  <c r="AF219" i="16" s="1"/>
  <c r="AL220" i="16"/>
  <c r="AF220" i="16" s="1"/>
  <c r="AL221" i="16"/>
  <c r="AF221" i="16" s="1"/>
  <c r="AL222" i="16"/>
  <c r="AF222" i="16" s="1"/>
  <c r="AL223" i="16"/>
  <c r="AF223" i="16" s="1"/>
  <c r="AL224" i="16"/>
  <c r="AF224" i="16" s="1"/>
  <c r="AL225" i="16"/>
  <c r="AF225" i="16" s="1"/>
  <c r="AL226" i="16"/>
  <c r="AF226" i="16" s="1"/>
  <c r="AL227" i="16"/>
  <c r="AF227" i="16" s="1"/>
  <c r="AL228" i="16"/>
  <c r="AF228" i="16" s="1"/>
  <c r="AL229" i="16"/>
  <c r="AF229" i="16" s="1"/>
  <c r="AL230" i="16"/>
  <c r="AF230" i="16" s="1"/>
  <c r="AL231" i="16"/>
  <c r="AF231" i="16" s="1"/>
  <c r="AL232" i="16"/>
  <c r="AF232" i="16" s="1"/>
  <c r="AC168" i="16"/>
  <c r="Z168" i="16" s="1"/>
  <c r="AD168" i="16"/>
  <c r="AE168" i="16"/>
  <c r="BT168" i="16" s="1"/>
  <c r="AC169" i="16"/>
  <c r="Z169" i="16" s="1"/>
  <c r="AD169" i="16"/>
  <c r="AE169" i="16"/>
  <c r="BT169" i="16" s="1"/>
  <c r="AC170" i="16"/>
  <c r="Z170" i="16" s="1"/>
  <c r="AD170" i="16"/>
  <c r="AE170" i="16"/>
  <c r="BT170" i="16" s="1"/>
  <c r="AC171" i="16"/>
  <c r="Z171" i="16" s="1"/>
  <c r="AD171" i="16"/>
  <c r="AE171" i="16"/>
  <c r="BT171" i="16" s="1"/>
  <c r="BM171" i="16"/>
  <c r="BO171" i="16" s="1"/>
  <c r="BM170" i="16"/>
  <c r="BO170" i="16" s="1"/>
  <c r="BM169" i="16"/>
  <c r="BO169" i="16" s="1"/>
  <c r="BM168" i="16"/>
  <c r="BO168" i="16" s="1"/>
  <c r="BI171" i="16"/>
  <c r="BK171" i="16" s="1"/>
  <c r="BI170" i="16"/>
  <c r="BK170" i="16" s="1"/>
  <c r="BI169" i="16"/>
  <c r="BK169" i="16" s="1"/>
  <c r="BI168" i="16"/>
  <c r="BK168" i="16" s="1"/>
  <c r="AV168" i="16"/>
  <c r="AV169" i="16"/>
  <c r="AV170" i="16"/>
  <c r="AV171" i="16"/>
  <c r="BG171" i="16"/>
  <c r="BG170" i="16"/>
  <c r="BG169" i="16"/>
  <c r="BG168" i="16"/>
  <c r="AS168" i="16"/>
  <c r="AR168" i="16"/>
  <c r="BL168" i="16" s="1"/>
  <c r="AS169" i="16"/>
  <c r="AR169" i="16"/>
  <c r="BL169" i="16" s="1"/>
  <c r="AS170" i="16"/>
  <c r="AR170" i="16"/>
  <c r="BL170" i="16" s="1"/>
  <c r="AS171" i="16"/>
  <c r="AR171" i="16"/>
  <c r="BL171" i="16" s="1"/>
  <c r="AC162" i="16"/>
  <c r="Z162" i="16" s="1"/>
  <c r="AD162" i="16"/>
  <c r="AE162" i="16"/>
  <c r="AC163" i="16"/>
  <c r="Z163" i="16" s="1"/>
  <c r="AD163" i="16"/>
  <c r="AE163" i="16"/>
  <c r="AC164" i="16"/>
  <c r="Z164" i="16" s="1"/>
  <c r="AD164" i="16"/>
  <c r="AE164" i="16"/>
  <c r="AC165" i="16"/>
  <c r="Z165" i="16" s="1"/>
  <c r="AD165" i="16"/>
  <c r="AE165" i="16"/>
  <c r="AC166" i="16"/>
  <c r="Z166" i="16" s="1"/>
  <c r="AD166" i="16"/>
  <c r="AE166" i="16"/>
  <c r="AC167" i="16"/>
  <c r="Z167" i="16" s="1"/>
  <c r="AD167" i="16"/>
  <c r="AE167" i="16"/>
  <c r="BM165" i="16"/>
  <c r="BO165" i="16" s="1"/>
  <c r="BM166" i="16"/>
  <c r="BO166" i="16" s="1"/>
  <c r="BM167" i="16"/>
  <c r="BO167" i="16" s="1"/>
  <c r="BM164" i="16"/>
  <c r="BO164" i="16" s="1"/>
  <c r="BM163" i="16"/>
  <c r="BO163" i="16" s="1"/>
  <c r="BM162" i="16"/>
  <c r="BO162" i="16" s="1"/>
  <c r="BI163" i="16"/>
  <c r="BK163" i="16" s="1"/>
  <c r="BI164" i="16"/>
  <c r="BK164" i="16" s="1"/>
  <c r="BI165" i="16"/>
  <c r="BK165" i="16" s="1"/>
  <c r="BI166" i="16"/>
  <c r="BK166" i="16" s="1"/>
  <c r="BI167" i="16"/>
  <c r="BK167" i="16" s="1"/>
  <c r="BI162" i="16"/>
  <c r="BK162" i="16" s="1"/>
  <c r="BH163" i="16"/>
  <c r="BH164" i="16"/>
  <c r="BH165" i="16"/>
  <c r="BH166" i="16"/>
  <c r="BH167" i="16"/>
  <c r="BH162" i="16"/>
  <c r="AV164" i="16"/>
  <c r="AV165" i="16"/>
  <c r="AV166" i="16"/>
  <c r="AV167" i="16"/>
  <c r="AP167" i="16"/>
  <c r="AR167" i="16" s="1"/>
  <c r="BL167" i="16" s="1"/>
  <c r="AP164" i="16"/>
  <c r="AS164" i="16" s="1"/>
  <c r="AP166" i="16"/>
  <c r="AP165" i="16"/>
  <c r="AR165" i="16" s="1"/>
  <c r="BL165" i="16" s="1"/>
  <c r="AP163" i="16"/>
  <c r="AR163" i="16" s="1"/>
  <c r="BL163" i="16" s="1"/>
  <c r="AV163" i="16"/>
  <c r="AP162" i="16"/>
  <c r="AV162" i="16"/>
  <c r="AC157" i="16"/>
  <c r="Z157" i="16" s="1"/>
  <c r="AD157" i="16"/>
  <c r="AE157" i="16"/>
  <c r="AC158" i="16"/>
  <c r="Z158" i="16" s="1"/>
  <c r="AD158" i="16"/>
  <c r="AE158" i="16"/>
  <c r="AC159" i="16"/>
  <c r="Z159" i="16" s="1"/>
  <c r="AD159" i="16"/>
  <c r="AE159" i="16"/>
  <c r="AC160" i="16"/>
  <c r="Z160" i="16" s="1"/>
  <c r="AD160" i="16"/>
  <c r="AE160" i="16"/>
  <c r="AC161" i="16"/>
  <c r="Z161" i="16" s="1"/>
  <c r="AD161" i="16"/>
  <c r="AE161" i="16"/>
  <c r="AE156" i="16"/>
  <c r="AD156" i="16"/>
  <c r="AC156" i="16"/>
  <c r="Z156" i="16" s="1"/>
  <c r="BM161" i="16"/>
  <c r="BO161" i="16" s="1"/>
  <c r="BM160" i="16"/>
  <c r="BO160" i="16" s="1"/>
  <c r="BM159" i="16"/>
  <c r="BO159" i="16" s="1"/>
  <c r="BM158" i="16"/>
  <c r="BO158" i="16" s="1"/>
  <c r="BM157" i="16"/>
  <c r="BO157" i="16" s="1"/>
  <c r="BM156" i="16"/>
  <c r="BO156" i="16" s="1"/>
  <c r="BI159" i="16"/>
  <c r="BK159" i="16" s="1"/>
  <c r="BI160" i="16"/>
  <c r="BK160" i="16" s="1"/>
  <c r="BI161" i="16"/>
  <c r="BK161" i="16" s="1"/>
  <c r="BI158" i="16"/>
  <c r="BK158" i="16" s="1"/>
  <c r="BI157" i="16"/>
  <c r="BK157" i="16" s="1"/>
  <c r="BI156" i="16"/>
  <c r="BK156" i="16" s="1"/>
  <c r="AV157" i="16"/>
  <c r="AV158" i="16"/>
  <c r="AV159" i="16"/>
  <c r="AV160" i="16"/>
  <c r="AV161" i="16"/>
  <c r="AV156" i="16"/>
  <c r="AP160" i="16"/>
  <c r="AS160" i="16" s="1"/>
  <c r="AP161" i="16"/>
  <c r="AR161" i="16" s="1"/>
  <c r="BL161" i="16" s="1"/>
  <c r="AP159" i="16"/>
  <c r="AP158" i="16"/>
  <c r="AS158" i="16" s="1"/>
  <c r="AP157" i="16"/>
  <c r="AR157" i="16" s="1"/>
  <c r="BL157" i="16" s="1"/>
  <c r="AP156" i="16"/>
  <c r="AS156" i="16" s="1"/>
  <c r="AL157" i="16"/>
  <c r="AL158" i="16"/>
  <c r="AL159" i="16"/>
  <c r="AL160" i="16"/>
  <c r="AL161" i="16"/>
  <c r="AL162" i="16"/>
  <c r="AL163" i="16"/>
  <c r="AL164" i="16"/>
  <c r="AL165" i="16"/>
  <c r="AL166" i="16"/>
  <c r="AL167" i="16"/>
  <c r="AL168" i="16"/>
  <c r="AL169" i="16"/>
  <c r="AL170" i="16"/>
  <c r="AL171" i="16"/>
  <c r="AL172" i="16"/>
  <c r="AF172" i="16" s="1"/>
  <c r="AL173" i="16"/>
  <c r="AF173" i="16" s="1"/>
  <c r="AL174" i="16"/>
  <c r="AF174" i="16" s="1"/>
  <c r="AL175" i="16"/>
  <c r="AF175" i="16" s="1"/>
  <c r="AL176" i="16"/>
  <c r="AF176" i="16" s="1"/>
  <c r="AL177" i="16"/>
  <c r="AF177" i="16" s="1"/>
  <c r="AL178" i="16"/>
  <c r="AL156" i="16"/>
  <c r="AC80" i="16"/>
  <c r="AD80" i="16"/>
  <c r="AE80" i="16"/>
  <c r="BM80" i="16"/>
  <c r="BO80" i="16" s="1"/>
  <c r="AM80" i="16"/>
  <c r="BI80" i="16"/>
  <c r="BK80" i="16" s="1"/>
  <c r="AV80" i="16"/>
  <c r="BG80" i="16"/>
  <c r="BE80" i="16"/>
  <c r="AP80" i="16"/>
  <c r="AR80" i="16" s="1"/>
  <c r="AC76" i="16"/>
  <c r="AD76" i="16"/>
  <c r="AE76" i="16"/>
  <c r="AC77" i="16"/>
  <c r="AD77" i="16"/>
  <c r="AE77" i="16"/>
  <c r="AC78" i="16"/>
  <c r="AD78" i="16"/>
  <c r="AE78" i="16"/>
  <c r="AC79" i="16"/>
  <c r="AD79" i="16"/>
  <c r="AE79" i="16"/>
  <c r="BM79" i="16"/>
  <c r="BO79" i="16" s="1"/>
  <c r="BM77" i="16"/>
  <c r="BO77" i="16" s="1"/>
  <c r="BM76" i="16"/>
  <c r="BO76" i="16" s="1"/>
  <c r="BM78" i="16"/>
  <c r="BO78" i="16" s="1"/>
  <c r="AM76" i="16"/>
  <c r="AM77" i="16"/>
  <c r="AM78" i="16"/>
  <c r="AM79" i="16"/>
  <c r="BI78" i="16"/>
  <c r="BK78" i="16" s="1"/>
  <c r="BI79" i="16"/>
  <c r="BK79" i="16" s="1"/>
  <c r="BI77" i="16"/>
  <c r="BK77" i="16" s="1"/>
  <c r="BI76" i="16"/>
  <c r="BK76" i="16" s="1"/>
  <c r="BG79" i="16"/>
  <c r="BG78" i="16"/>
  <c r="BG77" i="16"/>
  <c r="BG76" i="16"/>
  <c r="BE79" i="16"/>
  <c r="BE77" i="16"/>
  <c r="BE78" i="16"/>
  <c r="BE76" i="16"/>
  <c r="BH79" i="16"/>
  <c r="BH77" i="16"/>
  <c r="BH78" i="16"/>
  <c r="BH76" i="16"/>
  <c r="AW77" i="16"/>
  <c r="AW78" i="16"/>
  <c r="AW79" i="16"/>
  <c r="AW76" i="16"/>
  <c r="AP77" i="16"/>
  <c r="AP78" i="16"/>
  <c r="AP79" i="16"/>
  <c r="AP76" i="16"/>
  <c r="AO77" i="16"/>
  <c r="AO78" i="16"/>
  <c r="AO79" i="16"/>
  <c r="AO76" i="16"/>
  <c r="AC67" i="16"/>
  <c r="AD67" i="16"/>
  <c r="AE67" i="16"/>
  <c r="BT67" i="16" s="1"/>
  <c r="AC68" i="16"/>
  <c r="AD68" i="16"/>
  <c r="AE68" i="16"/>
  <c r="BT68" i="16" s="1"/>
  <c r="AC69" i="16"/>
  <c r="AD69" i="16"/>
  <c r="AE69" i="16"/>
  <c r="BT69" i="16" s="1"/>
  <c r="AC70" i="16"/>
  <c r="AD70" i="16"/>
  <c r="AE70" i="16"/>
  <c r="BT70" i="16" s="1"/>
  <c r="AC71" i="16"/>
  <c r="AD71" i="16"/>
  <c r="AE71" i="16"/>
  <c r="BT71" i="16" s="1"/>
  <c r="AC72" i="16"/>
  <c r="AD72" i="16"/>
  <c r="AE72" i="16"/>
  <c r="BT72" i="16" s="1"/>
  <c r="AC73" i="16"/>
  <c r="AD73" i="16"/>
  <c r="AE73" i="16"/>
  <c r="BT73" i="16" s="1"/>
  <c r="AC74" i="16"/>
  <c r="AD74" i="16"/>
  <c r="AE74" i="16"/>
  <c r="BT74" i="16" s="1"/>
  <c r="AC75" i="16"/>
  <c r="AD75" i="16"/>
  <c r="AE75" i="16"/>
  <c r="BT75" i="16" s="1"/>
  <c r="BM68" i="16"/>
  <c r="BO68" i="16" s="1"/>
  <c r="BM69" i="16"/>
  <c r="BO69" i="16" s="1"/>
  <c r="BM70" i="16"/>
  <c r="BO70" i="16" s="1"/>
  <c r="BM71" i="16"/>
  <c r="BO71" i="16" s="1"/>
  <c r="BM72" i="16"/>
  <c r="BO72" i="16" s="1"/>
  <c r="BM73" i="16"/>
  <c r="BO73" i="16" s="1"/>
  <c r="BM74" i="16"/>
  <c r="BO74" i="16" s="1"/>
  <c r="BM75" i="16"/>
  <c r="BO75" i="16" s="1"/>
  <c r="BM67" i="16"/>
  <c r="BO67" i="16" s="1"/>
  <c r="AM67" i="16"/>
  <c r="AM68" i="16"/>
  <c r="AM69" i="16"/>
  <c r="AM70" i="16"/>
  <c r="AM71" i="16"/>
  <c r="AM72" i="16"/>
  <c r="AM73" i="16"/>
  <c r="AM74" i="16"/>
  <c r="AM75" i="16"/>
  <c r="BI75" i="16"/>
  <c r="BK75" i="16" s="1"/>
  <c r="BI74" i="16"/>
  <c r="BK74" i="16" s="1"/>
  <c r="BI73" i="16"/>
  <c r="BK73" i="16" s="1"/>
  <c r="BI72" i="16"/>
  <c r="BK72" i="16" s="1"/>
  <c r="BI71" i="16"/>
  <c r="BK71" i="16" s="1"/>
  <c r="BI70" i="16"/>
  <c r="BK70" i="16" s="1"/>
  <c r="BI69" i="16"/>
  <c r="BK69" i="16" s="1"/>
  <c r="BI68" i="16"/>
  <c r="BK68" i="16" s="1"/>
  <c r="BI67" i="16"/>
  <c r="BK67" i="16" s="1"/>
  <c r="AV67" i="16"/>
  <c r="AV68" i="16"/>
  <c r="AV69" i="16"/>
  <c r="AV70" i="16"/>
  <c r="AV71" i="16"/>
  <c r="AV72" i="16"/>
  <c r="AV73" i="16"/>
  <c r="AV74" i="16"/>
  <c r="AV75" i="16"/>
  <c r="BG68" i="16"/>
  <c r="BG69" i="16"/>
  <c r="BG70" i="16"/>
  <c r="BG71" i="16"/>
  <c r="BG72" i="16"/>
  <c r="BG73" i="16"/>
  <c r="BG74" i="16"/>
  <c r="BG75" i="16"/>
  <c r="BG67" i="16"/>
  <c r="AS67" i="16"/>
  <c r="AR67" i="16"/>
  <c r="AS68" i="16"/>
  <c r="AR68" i="16"/>
  <c r="AS69" i="16"/>
  <c r="AR69" i="16"/>
  <c r="AS70" i="16"/>
  <c r="AR70" i="16"/>
  <c r="AS71" i="16"/>
  <c r="AR71" i="16"/>
  <c r="AS72" i="16"/>
  <c r="AR72" i="16"/>
  <c r="AS73" i="16"/>
  <c r="AR73" i="16"/>
  <c r="AS74" i="16"/>
  <c r="AR74" i="16"/>
  <c r="AS75" i="16"/>
  <c r="AR75" i="16"/>
  <c r="BE68" i="16"/>
  <c r="BE69" i="16"/>
  <c r="BE70" i="16"/>
  <c r="BE71" i="16"/>
  <c r="BE72" i="16"/>
  <c r="BE73" i="16"/>
  <c r="BE74" i="16"/>
  <c r="BE75" i="16"/>
  <c r="BE67" i="16"/>
  <c r="AC62" i="16"/>
  <c r="AD62" i="16"/>
  <c r="AE62" i="16"/>
  <c r="AC63" i="16"/>
  <c r="AD63" i="16"/>
  <c r="AE63" i="16"/>
  <c r="AC64" i="16"/>
  <c r="AD64" i="16"/>
  <c r="AE64" i="16"/>
  <c r="AC65" i="16"/>
  <c r="AD65" i="16"/>
  <c r="AE65" i="16"/>
  <c r="AC66" i="16"/>
  <c r="AD66" i="16"/>
  <c r="AE66" i="16"/>
  <c r="BM65" i="16"/>
  <c r="BO65" i="16" s="1"/>
  <c r="BM66" i="16"/>
  <c r="BO66" i="16" s="1"/>
  <c r="BM64" i="16"/>
  <c r="BO64" i="16" s="1"/>
  <c r="BM63" i="16"/>
  <c r="BO63" i="16" s="1"/>
  <c r="BM62" i="16"/>
  <c r="BO62" i="16" s="1"/>
  <c r="AM62" i="16"/>
  <c r="AM63" i="16"/>
  <c r="AM64" i="16"/>
  <c r="AM65" i="16"/>
  <c r="AM66" i="16"/>
  <c r="BI66" i="16"/>
  <c r="BK66" i="16" s="1"/>
  <c r="BI65" i="16"/>
  <c r="BK65" i="16" s="1"/>
  <c r="BI64" i="16"/>
  <c r="BK64" i="16" s="1"/>
  <c r="BI63" i="16"/>
  <c r="BK63" i="16" s="1"/>
  <c r="BI62" i="16"/>
  <c r="BK62" i="16" s="1"/>
  <c r="BH66" i="16"/>
  <c r="BH65" i="16"/>
  <c r="BH64" i="16"/>
  <c r="BH63" i="16"/>
  <c r="BH62" i="16"/>
  <c r="AV62" i="16"/>
  <c r="AV63" i="16"/>
  <c r="AV64" i="16"/>
  <c r="AV65" i="16"/>
  <c r="AV66" i="16"/>
  <c r="BG63" i="16"/>
  <c r="BG64" i="16"/>
  <c r="BG65" i="16"/>
  <c r="BG66" i="16"/>
  <c r="BG62" i="16"/>
  <c r="BE66" i="16"/>
  <c r="BE65" i="16"/>
  <c r="BE64" i="16"/>
  <c r="BE63" i="16"/>
  <c r="BE62" i="16"/>
  <c r="AP63" i="16"/>
  <c r="AP64" i="16"/>
  <c r="AP65" i="16"/>
  <c r="AP66" i="16"/>
  <c r="AP62" i="16"/>
  <c r="AO63" i="16"/>
  <c r="AO64" i="16"/>
  <c r="AO65" i="16"/>
  <c r="AO66" i="16"/>
  <c r="AO62" i="16"/>
  <c r="AC59" i="16"/>
  <c r="AD59" i="16"/>
  <c r="AE59" i="16"/>
  <c r="AC60" i="16"/>
  <c r="AD60" i="16"/>
  <c r="AE60" i="16"/>
  <c r="AC61" i="16"/>
  <c r="AD61" i="16"/>
  <c r="AE61" i="16"/>
  <c r="BM60" i="16"/>
  <c r="BO60" i="16" s="1"/>
  <c r="BM61" i="16"/>
  <c r="BO61" i="16" s="1"/>
  <c r="BM59" i="16"/>
  <c r="BO59" i="16" s="1"/>
  <c r="AM59" i="16"/>
  <c r="AM60" i="16"/>
  <c r="AM61" i="16"/>
  <c r="BI60" i="16"/>
  <c r="BK60" i="16" s="1"/>
  <c r="BI61" i="16"/>
  <c r="BK61" i="16" s="1"/>
  <c r="BI59" i="16"/>
  <c r="BK59" i="16" s="1"/>
  <c r="AV59" i="16"/>
  <c r="AV60" i="16"/>
  <c r="AV61" i="16"/>
  <c r="BE60" i="16"/>
  <c r="BE61" i="16"/>
  <c r="BE59" i="16"/>
  <c r="AP60" i="16"/>
  <c r="AS60" i="16" s="1"/>
  <c r="AP61" i="16"/>
  <c r="AR61" i="16" s="1"/>
  <c r="AP59" i="16"/>
  <c r="AS59" i="16" s="1"/>
  <c r="AC54" i="16"/>
  <c r="AD54" i="16"/>
  <c r="AE54" i="16"/>
  <c r="AC55" i="16"/>
  <c r="AD55" i="16"/>
  <c r="AE55" i="16"/>
  <c r="AC56" i="16"/>
  <c r="AD56" i="16"/>
  <c r="AE56" i="16"/>
  <c r="AC57" i="16"/>
  <c r="AD57" i="16"/>
  <c r="AE57" i="16"/>
  <c r="AC58" i="16"/>
  <c r="AD58" i="16"/>
  <c r="AE58" i="16"/>
  <c r="BM58" i="16"/>
  <c r="BO58" i="16" s="1"/>
  <c r="BM57" i="16"/>
  <c r="BO57" i="16" s="1"/>
  <c r="BM56" i="16"/>
  <c r="BO56" i="16" s="1"/>
  <c r="BM55" i="16"/>
  <c r="BO55" i="16" s="1"/>
  <c r="BM54" i="16"/>
  <c r="BO54" i="16" s="1"/>
  <c r="AM54" i="16"/>
  <c r="AM55" i="16"/>
  <c r="AM56" i="16"/>
  <c r="AM57" i="16"/>
  <c r="AM58" i="16"/>
  <c r="BI58" i="16"/>
  <c r="BK58" i="16" s="1"/>
  <c r="BI57" i="16"/>
  <c r="BK57" i="16" s="1"/>
  <c r="BI56" i="16"/>
  <c r="BK56" i="16" s="1"/>
  <c r="BI55" i="16"/>
  <c r="BK55" i="16" s="1"/>
  <c r="BI54" i="16"/>
  <c r="BK54" i="16" s="1"/>
  <c r="BH58" i="16"/>
  <c r="BH57" i="16"/>
  <c r="BH56" i="16"/>
  <c r="BH55" i="16"/>
  <c r="BH54" i="16"/>
  <c r="AV54" i="16"/>
  <c r="AV55" i="16"/>
  <c r="AV56" i="16"/>
  <c r="AV57" i="16"/>
  <c r="AV58" i="16"/>
  <c r="BG58" i="16"/>
  <c r="BG55" i="16"/>
  <c r="BG56" i="16"/>
  <c r="BG57" i="16"/>
  <c r="BG54" i="16"/>
  <c r="BE55" i="16"/>
  <c r="BE56" i="16"/>
  <c r="BE57" i="16"/>
  <c r="BE58" i="16"/>
  <c r="BE54" i="16"/>
  <c r="AP57" i="16"/>
  <c r="AP58" i="16"/>
  <c r="AP56" i="16"/>
  <c r="AP55" i="16"/>
  <c r="AP54" i="16"/>
  <c r="AO56" i="16"/>
  <c r="AO57" i="16"/>
  <c r="AO58" i="16"/>
  <c r="AO55" i="16"/>
  <c r="AO54" i="16"/>
  <c r="BT61" i="16" l="1"/>
  <c r="BT64" i="16"/>
  <c r="BT79" i="16"/>
  <c r="BT161" i="16"/>
  <c r="BT157" i="16"/>
  <c r="BT158" i="16"/>
  <c r="BT167" i="16"/>
  <c r="BT163" i="16"/>
  <c r="BT55" i="16"/>
  <c r="BT166" i="16"/>
  <c r="BT56" i="16"/>
  <c r="BT65" i="16"/>
  <c r="BT76" i="16"/>
  <c r="BT57" i="16"/>
  <c r="BT59" i="16"/>
  <c r="BT66" i="16"/>
  <c r="BT62" i="16"/>
  <c r="BT77" i="16"/>
  <c r="BT159" i="16"/>
  <c r="BT164" i="16"/>
  <c r="BT162" i="16"/>
  <c r="BT58" i="16"/>
  <c r="BT54" i="16"/>
  <c r="BT60" i="16"/>
  <c r="BT63" i="16"/>
  <c r="BT78" i="16"/>
  <c r="BT80" i="16"/>
  <c r="BT156" i="16"/>
  <c r="BT160" i="16"/>
  <c r="BT165" i="16"/>
  <c r="Z59" i="16"/>
  <c r="X59" i="16" s="1"/>
  <c r="Z80" i="16"/>
  <c r="X80" i="16" s="1"/>
  <c r="AX57" i="16"/>
  <c r="GO57" i="16"/>
  <c r="GP57" i="16"/>
  <c r="GQ57" i="16"/>
  <c r="GT57" i="16"/>
  <c r="GU57" i="16"/>
  <c r="GS57" i="16"/>
  <c r="GR57" i="16"/>
  <c r="GV57" i="16"/>
  <c r="GW57" i="16"/>
  <c r="GY57" i="16"/>
  <c r="GX57" i="16"/>
  <c r="Z60" i="16"/>
  <c r="AX62" i="16"/>
  <c r="Z62" i="16" s="1"/>
  <c r="X62" i="16" s="1"/>
  <c r="GO62" i="16"/>
  <c r="GP62" i="16"/>
  <c r="GQ62" i="16"/>
  <c r="GU62" i="16"/>
  <c r="GS62" i="16"/>
  <c r="GW62" i="16"/>
  <c r="GV62" i="16"/>
  <c r="GR62" i="16"/>
  <c r="GT62" i="16"/>
  <c r="GX62" i="16"/>
  <c r="HA62" i="16"/>
  <c r="HB62" i="16"/>
  <c r="GY62" i="16"/>
  <c r="GZ62" i="16"/>
  <c r="AX63" i="16"/>
  <c r="Z63" i="16" s="1"/>
  <c r="X63" i="16" s="1"/>
  <c r="GR63" i="16"/>
  <c r="GP63" i="16"/>
  <c r="GO63" i="16"/>
  <c r="GQ63" i="16"/>
  <c r="GU63" i="16"/>
  <c r="GS63" i="16"/>
  <c r="GT63" i="16"/>
  <c r="GV63" i="16"/>
  <c r="GW63" i="16"/>
  <c r="GZ63" i="16"/>
  <c r="GY63" i="16"/>
  <c r="HA63" i="16"/>
  <c r="GX63" i="16"/>
  <c r="AX79" i="16"/>
  <c r="GT79" i="16"/>
  <c r="GO79" i="16"/>
  <c r="GW79" i="16"/>
  <c r="GR79" i="16"/>
  <c r="GV79" i="16"/>
  <c r="GQ79" i="16"/>
  <c r="GS79" i="16"/>
  <c r="GX79" i="16"/>
  <c r="GU79" i="16"/>
  <c r="GP79" i="16"/>
  <c r="AX58" i="16"/>
  <c r="Z58" i="16" s="1"/>
  <c r="X58" i="16" s="1"/>
  <c r="GO58" i="16"/>
  <c r="GW58" i="16"/>
  <c r="GP58" i="16"/>
  <c r="GT58" i="16"/>
  <c r="GV58" i="16"/>
  <c r="GR58" i="16"/>
  <c r="GS58" i="16"/>
  <c r="GQ58" i="16"/>
  <c r="GU58" i="16"/>
  <c r="GY58" i="16"/>
  <c r="GX58" i="16"/>
  <c r="GZ58" i="16"/>
  <c r="HA58" i="16"/>
  <c r="HB58" i="16"/>
  <c r="HC58" i="16"/>
  <c r="AX64" i="16"/>
  <c r="Z64" i="16" s="1"/>
  <c r="X64" i="16" s="1"/>
  <c r="GP64" i="16"/>
  <c r="GO64" i="16"/>
  <c r="GQ64" i="16"/>
  <c r="GR64" i="16"/>
  <c r="GS64" i="16"/>
  <c r="GT64" i="16"/>
  <c r="GW64" i="16"/>
  <c r="GV64" i="16"/>
  <c r="GU64" i="16"/>
  <c r="GX64" i="16"/>
  <c r="GY64" i="16"/>
  <c r="HA64" i="16"/>
  <c r="GZ64" i="16"/>
  <c r="HB64" i="16"/>
  <c r="HC64" i="16"/>
  <c r="AX76" i="16"/>
  <c r="Z76" i="16" s="1"/>
  <c r="X76" i="16" s="1"/>
  <c r="GP76" i="16"/>
  <c r="GO76" i="16"/>
  <c r="GU76" i="16"/>
  <c r="GQ76" i="16"/>
  <c r="GS76" i="16"/>
  <c r="GV76" i="16"/>
  <c r="GT76" i="16"/>
  <c r="GR76" i="16"/>
  <c r="GW76" i="16"/>
  <c r="GX76" i="16"/>
  <c r="AX54" i="16"/>
  <c r="GO54" i="16"/>
  <c r="GP54" i="16"/>
  <c r="GQ54" i="16"/>
  <c r="GV54" i="16"/>
  <c r="GS54" i="16"/>
  <c r="GU54" i="16"/>
  <c r="GT54" i="16"/>
  <c r="GR54" i="16"/>
  <c r="GW54" i="16"/>
  <c r="GX54" i="16"/>
  <c r="GY54" i="16"/>
  <c r="GZ54" i="16"/>
  <c r="AX56" i="16"/>
  <c r="Z56" i="16" s="1"/>
  <c r="X56" i="16" s="1"/>
  <c r="GO56" i="16"/>
  <c r="GQ56" i="16"/>
  <c r="GP56" i="16"/>
  <c r="GS56" i="16"/>
  <c r="GX56" i="16"/>
  <c r="GR56" i="16"/>
  <c r="GW56" i="16"/>
  <c r="GV56" i="16"/>
  <c r="GU56" i="16"/>
  <c r="GT56" i="16"/>
  <c r="GY56" i="16"/>
  <c r="GZ56" i="16"/>
  <c r="HA56" i="16"/>
  <c r="HB56" i="16"/>
  <c r="HC56" i="16"/>
  <c r="Z61" i="16"/>
  <c r="X61" i="16" s="1"/>
  <c r="AX66" i="16"/>
  <c r="Z66" i="16" s="1"/>
  <c r="X66" i="16" s="1"/>
  <c r="GR66" i="16"/>
  <c r="GO66" i="16"/>
  <c r="GV66" i="16"/>
  <c r="GQ66" i="16"/>
  <c r="GP66" i="16"/>
  <c r="GT66" i="16"/>
  <c r="GS66" i="16"/>
  <c r="GU66" i="16"/>
  <c r="GW66" i="16"/>
  <c r="HA66" i="16"/>
  <c r="GX66" i="16"/>
  <c r="GZ66" i="16"/>
  <c r="GY66" i="16"/>
  <c r="AR78" i="16"/>
  <c r="AV78" i="16" s="1"/>
  <c r="AX78" i="16"/>
  <c r="Z78" i="16" s="1"/>
  <c r="X78" i="16" s="1"/>
  <c r="GV78" i="16"/>
  <c r="GO78" i="16"/>
  <c r="GR78" i="16"/>
  <c r="GS78" i="16"/>
  <c r="GP78" i="16"/>
  <c r="GQ78" i="16"/>
  <c r="GU78" i="16"/>
  <c r="GT78" i="16"/>
  <c r="GW78" i="16"/>
  <c r="GX78" i="16"/>
  <c r="GZ78" i="16"/>
  <c r="GY78" i="16"/>
  <c r="Z79" i="16"/>
  <c r="X79" i="16" s="1"/>
  <c r="AX55" i="16"/>
  <c r="Z55" i="16" s="1"/>
  <c r="X55" i="16" s="1"/>
  <c r="GO55" i="16"/>
  <c r="GP55" i="16"/>
  <c r="GQ55" i="16"/>
  <c r="GR55" i="16"/>
  <c r="GS55" i="16"/>
  <c r="GT55" i="16"/>
  <c r="GU55" i="16"/>
  <c r="GV55" i="16"/>
  <c r="GW55" i="16"/>
  <c r="AX65" i="16"/>
  <c r="Z65" i="16" s="1"/>
  <c r="X65" i="16" s="1"/>
  <c r="GP65" i="16"/>
  <c r="GO65" i="16"/>
  <c r="GR65" i="16"/>
  <c r="GQ65" i="16"/>
  <c r="GU65" i="16"/>
  <c r="GV65" i="16"/>
  <c r="GW65" i="16"/>
  <c r="GS65" i="16"/>
  <c r="GT65" i="16"/>
  <c r="GX65" i="16"/>
  <c r="HB65" i="16"/>
  <c r="HA65" i="16"/>
  <c r="GY65" i="16"/>
  <c r="GZ65" i="16"/>
  <c r="AR77" i="16"/>
  <c r="AV77" i="16" s="1"/>
  <c r="AX77" i="16"/>
  <c r="Z77" i="16" s="1"/>
  <c r="X77" i="16" s="1"/>
  <c r="GT77" i="16"/>
  <c r="GQ77" i="16"/>
  <c r="GO77" i="16"/>
  <c r="GP77" i="16"/>
  <c r="GR77" i="16"/>
  <c r="GX77" i="16"/>
  <c r="GS77" i="16"/>
  <c r="GV77" i="16"/>
  <c r="GU77" i="16"/>
  <c r="GW77" i="16"/>
  <c r="AB230" i="16"/>
  <c r="AG68" i="16"/>
  <c r="AG72" i="16"/>
  <c r="AG160" i="16"/>
  <c r="AG170" i="16"/>
  <c r="AG59" i="16"/>
  <c r="AG69" i="16"/>
  <c r="AG73" i="16"/>
  <c r="AG171" i="16"/>
  <c r="AG60" i="16"/>
  <c r="AG70" i="16"/>
  <c r="AG74" i="16"/>
  <c r="AG158" i="16"/>
  <c r="AG168" i="16"/>
  <c r="AG200" i="16"/>
  <c r="AG156" i="16"/>
  <c r="AG164" i="16"/>
  <c r="AG67" i="16"/>
  <c r="AG71" i="16"/>
  <c r="AG75" i="16"/>
  <c r="AG169" i="16"/>
  <c r="Z75" i="16"/>
  <c r="X75" i="16" s="1"/>
  <c r="Z71" i="16"/>
  <c r="X71" i="16" s="1"/>
  <c r="Z67" i="16"/>
  <c r="X67" i="16" s="1"/>
  <c r="Z57" i="16"/>
  <c r="X57" i="16" s="1"/>
  <c r="Z72" i="16"/>
  <c r="X72" i="16" s="1"/>
  <c r="Z68" i="16"/>
  <c r="X68" i="16" s="1"/>
  <c r="Z54" i="16"/>
  <c r="X54" i="16" s="1"/>
  <c r="Z73" i="16"/>
  <c r="X73" i="16" s="1"/>
  <c r="Z69" i="16"/>
  <c r="X69" i="16" s="1"/>
  <c r="Z74" i="16"/>
  <c r="X74" i="16" s="1"/>
  <c r="Z70" i="16"/>
  <c r="X70" i="16" s="1"/>
  <c r="AF200" i="16"/>
  <c r="AF168" i="16"/>
  <c r="AF206" i="16"/>
  <c r="AA206" i="16" s="1"/>
  <c r="AF202" i="16"/>
  <c r="AA202" i="16" s="1"/>
  <c r="AF156" i="16"/>
  <c r="AF158" i="16"/>
  <c r="AF169" i="16"/>
  <c r="AA209" i="16"/>
  <c r="T209" i="16" s="1"/>
  <c r="AF205" i="16"/>
  <c r="AA205" i="16" s="1"/>
  <c r="AF178" i="16"/>
  <c r="AA178" i="16" s="1"/>
  <c r="AF164" i="16"/>
  <c r="AF170" i="16"/>
  <c r="AA208" i="16"/>
  <c r="AF160" i="16"/>
  <c r="AF171" i="16"/>
  <c r="AF207" i="16"/>
  <c r="AA207" i="16" s="1"/>
  <c r="AF203" i="16"/>
  <c r="AA203" i="16" s="1"/>
  <c r="AB215" i="16"/>
  <c r="AB217" i="16"/>
  <c r="AA175" i="16"/>
  <c r="T175" i="16" s="1"/>
  <c r="AA225" i="16"/>
  <c r="T225" i="16" s="1"/>
  <c r="AA221" i="16"/>
  <c r="T221" i="16" s="1"/>
  <c r="AA217" i="16"/>
  <c r="T217" i="16" s="1"/>
  <c r="AA213" i="16"/>
  <c r="T213" i="16" s="1"/>
  <c r="AA201" i="16"/>
  <c r="T201" i="16" s="1"/>
  <c r="AB222" i="16"/>
  <c r="AA174" i="16"/>
  <c r="T174" i="16" s="1"/>
  <c r="AA228" i="16"/>
  <c r="T228" i="16" s="1"/>
  <c r="AA224" i="16"/>
  <c r="T224" i="16" s="1"/>
  <c r="AA220" i="16"/>
  <c r="T220" i="16" s="1"/>
  <c r="AA216" i="16"/>
  <c r="T216" i="16" s="1"/>
  <c r="AA212" i="16"/>
  <c r="T212" i="16" s="1"/>
  <c r="AA177" i="16"/>
  <c r="T177" i="16" s="1"/>
  <c r="AA173" i="16"/>
  <c r="T173" i="16" s="1"/>
  <c r="AA227" i="16"/>
  <c r="T227" i="16" s="1"/>
  <c r="AA176" i="16"/>
  <c r="T176" i="16" s="1"/>
  <c r="AA172" i="16"/>
  <c r="T172" i="16" s="1"/>
  <c r="AA226" i="16"/>
  <c r="T226" i="16" s="1"/>
  <c r="AA222" i="16"/>
  <c r="T222" i="16" s="1"/>
  <c r="AA218" i="16"/>
  <c r="T218" i="16" s="1"/>
  <c r="AA214" i="16"/>
  <c r="T214" i="16" s="1"/>
  <c r="X161" i="16"/>
  <c r="U161" i="16"/>
  <c r="X157" i="16"/>
  <c r="U157" i="16"/>
  <c r="X166" i="16"/>
  <c r="U166" i="16"/>
  <c r="X162" i="16"/>
  <c r="U162" i="16"/>
  <c r="X168" i="16"/>
  <c r="U168" i="16"/>
  <c r="X158" i="16"/>
  <c r="U158" i="16"/>
  <c r="X167" i="16"/>
  <c r="U167" i="16"/>
  <c r="X163" i="16"/>
  <c r="U163" i="16"/>
  <c r="X169" i="16"/>
  <c r="U169" i="16"/>
  <c r="X200" i="16"/>
  <c r="U200" i="16"/>
  <c r="V232" i="16"/>
  <c r="U232" i="16"/>
  <c r="V229" i="16"/>
  <c r="U229" i="16"/>
  <c r="X159" i="16"/>
  <c r="U159" i="16"/>
  <c r="X164" i="16"/>
  <c r="U164" i="16"/>
  <c r="X170" i="16"/>
  <c r="U170" i="16"/>
  <c r="AA219" i="16"/>
  <c r="T219" i="16" s="1"/>
  <c r="V231" i="16"/>
  <c r="U231" i="16"/>
  <c r="X156" i="16"/>
  <c r="U156" i="16"/>
  <c r="X160" i="16"/>
  <c r="U160" i="16"/>
  <c r="X165" i="16"/>
  <c r="U165" i="16"/>
  <c r="X171" i="16"/>
  <c r="U171" i="16"/>
  <c r="V230" i="16"/>
  <c r="U230" i="16"/>
  <c r="AB223" i="16"/>
  <c r="BQ62" i="16"/>
  <c r="BQ70" i="16"/>
  <c r="BR70" i="16"/>
  <c r="BP70" i="16" s="1"/>
  <c r="BQ79" i="16"/>
  <c r="BQ58" i="16"/>
  <c r="BQ54" i="16"/>
  <c r="BQ65" i="16"/>
  <c r="BR73" i="16"/>
  <c r="BP73" i="16" s="1"/>
  <c r="BQ73" i="16"/>
  <c r="BQ69" i="16"/>
  <c r="BR69" i="16"/>
  <c r="BP69" i="16" s="1"/>
  <c r="BQ78" i="16"/>
  <c r="BQ55" i="16"/>
  <c r="BQ57" i="16"/>
  <c r="BQ61" i="16"/>
  <c r="BR61" i="16"/>
  <c r="BP61" i="16" s="1"/>
  <c r="BQ64" i="16"/>
  <c r="BQ72" i="16"/>
  <c r="BR72" i="16"/>
  <c r="BP72" i="16" s="1"/>
  <c r="BQ68" i="16"/>
  <c r="BR68" i="16"/>
  <c r="BP68" i="16" s="1"/>
  <c r="BQ77" i="16"/>
  <c r="BQ80" i="16"/>
  <c r="BR80" i="16"/>
  <c r="BP80" i="16" s="1"/>
  <c r="AA223" i="16"/>
  <c r="T223" i="16" s="1"/>
  <c r="AA215" i="16"/>
  <c r="T215" i="16" s="1"/>
  <c r="AB218" i="16"/>
  <c r="BQ59" i="16"/>
  <c r="BR59" i="16"/>
  <c r="BP59" i="16" s="1"/>
  <c r="BQ66" i="16"/>
  <c r="BQ74" i="16"/>
  <c r="BR74" i="16"/>
  <c r="BP74" i="16" s="1"/>
  <c r="BQ56" i="16"/>
  <c r="BQ60" i="16"/>
  <c r="BR60" i="16"/>
  <c r="BP60" i="16" s="1"/>
  <c r="BQ63" i="16"/>
  <c r="BQ75" i="16"/>
  <c r="BR75" i="16"/>
  <c r="BP75" i="16" s="1"/>
  <c r="BQ71" i="16"/>
  <c r="BR71" i="16"/>
  <c r="BP71" i="16" s="1"/>
  <c r="BQ67" i="16"/>
  <c r="BR67" i="16"/>
  <c r="BP67" i="16" s="1"/>
  <c r="BQ76" i="16"/>
  <c r="AB219" i="16"/>
  <c r="AB214" i="16"/>
  <c r="AB212" i="16"/>
  <c r="AB220" i="16"/>
  <c r="AB213" i="16"/>
  <c r="AB221" i="16"/>
  <c r="AB216" i="16"/>
  <c r="AB224" i="16"/>
  <c r="FK309" i="16"/>
  <c r="GY309" i="16" s="1"/>
  <c r="CJ309" i="16"/>
  <c r="AB211" i="16"/>
  <c r="AS79" i="16"/>
  <c r="AI79" i="16" s="1"/>
  <c r="AA232" i="16"/>
  <c r="T232" i="16" s="1"/>
  <c r="AA230" i="16"/>
  <c r="T230" i="16" s="1"/>
  <c r="AA210" i="16"/>
  <c r="T210" i="16" s="1"/>
  <c r="AR60" i="16"/>
  <c r="AS65" i="16"/>
  <c r="AG65" i="16" s="1"/>
  <c r="AA231" i="16"/>
  <c r="T231" i="16" s="1"/>
  <c r="AH75" i="16"/>
  <c r="AI73" i="16"/>
  <c r="AA229" i="16"/>
  <c r="T229" i="16" s="1"/>
  <c r="AR66" i="16"/>
  <c r="AH160" i="16"/>
  <c r="AH69" i="16"/>
  <c r="AB232" i="16"/>
  <c r="AB231" i="16"/>
  <c r="AR76" i="16"/>
  <c r="AV76" i="16" s="1"/>
  <c r="AH73" i="16"/>
  <c r="AI72" i="16"/>
  <c r="AS78" i="16"/>
  <c r="AI78" i="16" s="1"/>
  <c r="AR156" i="16"/>
  <c r="BL156" i="16" s="1"/>
  <c r="AR54" i="16"/>
  <c r="AI60" i="16"/>
  <c r="AH72" i="16"/>
  <c r="AI74" i="16"/>
  <c r="AS157" i="16"/>
  <c r="AH157" i="16" s="1"/>
  <c r="AS167" i="16"/>
  <c r="AI167" i="16" s="1"/>
  <c r="AH158" i="16"/>
  <c r="AS165" i="16"/>
  <c r="AG165" i="16" s="1"/>
  <c r="AH170" i="16"/>
  <c r="AH200" i="16"/>
  <c r="AR58" i="16"/>
  <c r="AR62" i="16"/>
  <c r="AR63" i="16"/>
  <c r="AS64" i="16"/>
  <c r="AI64" i="16" s="1"/>
  <c r="AI68" i="16"/>
  <c r="AB210" i="16"/>
  <c r="AI164" i="16"/>
  <c r="AS54" i="16"/>
  <c r="AH54" i="16" s="1"/>
  <c r="AH68" i="16"/>
  <c r="AH60" i="16"/>
  <c r="AI69" i="16"/>
  <c r="AR160" i="16"/>
  <c r="BL160" i="16" s="1"/>
  <c r="AR164" i="16"/>
  <c r="BL164" i="16" s="1"/>
  <c r="AI171" i="16"/>
  <c r="AB229" i="16"/>
  <c r="AI70" i="16"/>
  <c r="AI158" i="16"/>
  <c r="AS55" i="16"/>
  <c r="AG55" i="16" s="1"/>
  <c r="X60" i="16"/>
  <c r="AH74" i="16"/>
  <c r="AH70" i="16"/>
  <c r="AS76" i="16"/>
  <c r="AH76" i="16" s="1"/>
  <c r="AR79" i="16"/>
  <c r="AV79" i="16" s="1"/>
  <c r="AH168" i="16"/>
  <c r="AI170" i="16"/>
  <c r="AA211" i="16"/>
  <c r="T211" i="16" s="1"/>
  <c r="AH164" i="16"/>
  <c r="AS57" i="16"/>
  <c r="AH57" i="16" s="1"/>
  <c r="AS56" i="16"/>
  <c r="AI56" i="16" s="1"/>
  <c r="AR59" i="16"/>
  <c r="AR64" i="16"/>
  <c r="AI71" i="16"/>
  <c r="AI168" i="16"/>
  <c r="AI200" i="16"/>
  <c r="AR56" i="16"/>
  <c r="AR55" i="16"/>
  <c r="AR57" i="16"/>
  <c r="AS61" i="16"/>
  <c r="AG61" i="16" s="1"/>
  <c r="AR65" i="16"/>
  <c r="AS63" i="16"/>
  <c r="AG63" i="16" s="1"/>
  <c r="AI75" i="16"/>
  <c r="AI156" i="16"/>
  <c r="AS62" i="16"/>
  <c r="AG62" i="16" s="1"/>
  <c r="AS159" i="16"/>
  <c r="AI159" i="16" s="1"/>
  <c r="AR159" i="16"/>
  <c r="BL159" i="16" s="1"/>
  <c r="AH156" i="16"/>
  <c r="AH171" i="16"/>
  <c r="AH59" i="16"/>
  <c r="AH67" i="16"/>
  <c r="AS58" i="16"/>
  <c r="AG58" i="16" s="1"/>
  <c r="AI59" i="16"/>
  <c r="AS66" i="16"/>
  <c r="AG66" i="16" s="1"/>
  <c r="AI67" i="16"/>
  <c r="AS162" i="16"/>
  <c r="AF162" i="16" s="1"/>
  <c r="AR162" i="16"/>
  <c r="BL162" i="16" s="1"/>
  <c r="AS166" i="16"/>
  <c r="AF166" i="16" s="1"/>
  <c r="AR166" i="16"/>
  <c r="BL166" i="16" s="1"/>
  <c r="AH169" i="16"/>
  <c r="AI169" i="16"/>
  <c r="AS77" i="16"/>
  <c r="AG77" i="16" s="1"/>
  <c r="AS161" i="16"/>
  <c r="AI161" i="16" s="1"/>
  <c r="AI160" i="16"/>
  <c r="AH71" i="16"/>
  <c r="AS80" i="16"/>
  <c r="AG80" i="16" s="1"/>
  <c r="AR158" i="16"/>
  <c r="BL158" i="16" s="1"/>
  <c r="AS163" i="16"/>
  <c r="AI163" i="16" s="1"/>
  <c r="AC49" i="16"/>
  <c r="AD49" i="16"/>
  <c r="AE49" i="16"/>
  <c r="AC50" i="16"/>
  <c r="AD50" i="16"/>
  <c r="AE50" i="16"/>
  <c r="AC51" i="16"/>
  <c r="AD51" i="16"/>
  <c r="AE51" i="16"/>
  <c r="AC52" i="16"/>
  <c r="AD52" i="16"/>
  <c r="AE52" i="16"/>
  <c r="AC53" i="16"/>
  <c r="AD53" i="16"/>
  <c r="AE53" i="16"/>
  <c r="BM53" i="16"/>
  <c r="BO53" i="16" s="1"/>
  <c r="BM52" i="16"/>
  <c r="BO52" i="16" s="1"/>
  <c r="BM51" i="16"/>
  <c r="BO51" i="16" s="1"/>
  <c r="BM50" i="16"/>
  <c r="BO50" i="16" s="1"/>
  <c r="BM49" i="16"/>
  <c r="BO49" i="16" s="1"/>
  <c r="AM49" i="16"/>
  <c r="AM50" i="16"/>
  <c r="AM51" i="16"/>
  <c r="AM52" i="16"/>
  <c r="AM53" i="16"/>
  <c r="BI53" i="16"/>
  <c r="BK53" i="16" s="1"/>
  <c r="BI52" i="16"/>
  <c r="BK52" i="16" s="1"/>
  <c r="BI51" i="16"/>
  <c r="BK51" i="16" s="1"/>
  <c r="BI50" i="16"/>
  <c r="BK50" i="16" s="1"/>
  <c r="BI49" i="16"/>
  <c r="BK49" i="16" s="1"/>
  <c r="BH50" i="16"/>
  <c r="BH51" i="16"/>
  <c r="BH52" i="16"/>
  <c r="BH53" i="16"/>
  <c r="BH49" i="16"/>
  <c r="AW53" i="16"/>
  <c r="AW50" i="16"/>
  <c r="AW51" i="16"/>
  <c r="AW52" i="16"/>
  <c r="AW49" i="16"/>
  <c r="AW48" i="16"/>
  <c r="AW46" i="16"/>
  <c r="AW47" i="16"/>
  <c r="AW45" i="16"/>
  <c r="BG53" i="16"/>
  <c r="BG50" i="16"/>
  <c r="BG51" i="16"/>
  <c r="BG52" i="16"/>
  <c r="BG49" i="16"/>
  <c r="BG47" i="16"/>
  <c r="BG44" i="16"/>
  <c r="BE53" i="16"/>
  <c r="BE52" i="16"/>
  <c r="BE51" i="16"/>
  <c r="BE50" i="16"/>
  <c r="BE49" i="16"/>
  <c r="BE48" i="16"/>
  <c r="BE47" i="16"/>
  <c r="BE46" i="16"/>
  <c r="BE45" i="16"/>
  <c r="BE44" i="16"/>
  <c r="BE43" i="16"/>
  <c r="AP53" i="16"/>
  <c r="AS53" i="16" s="1"/>
  <c r="AP51" i="16"/>
  <c r="AS51" i="16" s="1"/>
  <c r="AP52" i="16"/>
  <c r="AR52" i="16" s="1"/>
  <c r="AV52" i="16" s="1"/>
  <c r="AP50" i="16"/>
  <c r="AR50" i="16" s="1"/>
  <c r="AV50" i="16" s="1"/>
  <c r="AP49" i="16"/>
  <c r="AS49" i="16" s="1"/>
  <c r="AP44" i="16"/>
  <c r="AP43" i="16"/>
  <c r="AS43" i="16" s="1"/>
  <c r="AP48" i="16"/>
  <c r="AS48" i="16" s="1"/>
  <c r="AC43" i="16"/>
  <c r="AD43" i="16"/>
  <c r="AE43" i="16"/>
  <c r="BT43" i="16" s="1"/>
  <c r="AC44" i="16"/>
  <c r="AD44" i="16"/>
  <c r="AE44" i="16"/>
  <c r="BT44" i="16" s="1"/>
  <c r="AC45" i="16"/>
  <c r="AD45" i="16"/>
  <c r="AE45" i="16"/>
  <c r="AC46" i="16"/>
  <c r="AD46" i="16"/>
  <c r="AE46" i="16"/>
  <c r="AC47" i="16"/>
  <c r="AD47" i="16"/>
  <c r="AE47" i="16"/>
  <c r="AC48" i="16"/>
  <c r="AD48" i="16"/>
  <c r="AE48" i="16"/>
  <c r="BM48" i="16"/>
  <c r="BO48" i="16" s="1"/>
  <c r="AM48" i="16"/>
  <c r="BI48" i="16"/>
  <c r="BK48" i="16" s="1"/>
  <c r="BH48" i="16"/>
  <c r="BM47" i="16"/>
  <c r="BO47" i="16" s="1"/>
  <c r="AM47" i="16"/>
  <c r="BI47" i="16"/>
  <c r="BK47" i="16" s="1"/>
  <c r="BH46" i="16"/>
  <c r="BH47" i="16"/>
  <c r="AP47" i="16"/>
  <c r="AS47" i="16" s="1"/>
  <c r="BM46" i="16"/>
  <c r="BO46" i="16" s="1"/>
  <c r="BM45" i="16"/>
  <c r="BO45" i="16" s="1"/>
  <c r="AM45" i="16"/>
  <c r="AM46" i="16"/>
  <c r="BI45" i="16"/>
  <c r="BK45" i="16" s="1"/>
  <c r="BI46" i="16"/>
  <c r="BK46" i="16" s="1"/>
  <c r="BH45" i="16"/>
  <c r="AP46" i="16"/>
  <c r="AS46" i="16" s="1"/>
  <c r="AP45" i="16"/>
  <c r="AS45" i="16" s="1"/>
  <c r="BM44" i="16"/>
  <c r="BO44" i="16" s="1"/>
  <c r="BM43" i="16"/>
  <c r="BO43" i="16" s="1"/>
  <c r="AM43" i="16"/>
  <c r="AM44" i="16"/>
  <c r="BI44" i="16"/>
  <c r="BK44" i="16" s="1"/>
  <c r="BI43" i="16"/>
  <c r="BK43" i="16" s="1"/>
  <c r="BH44" i="16"/>
  <c r="BH43" i="16"/>
  <c r="AV43" i="16"/>
  <c r="AV44" i="16"/>
  <c r="AL43" i="16"/>
  <c r="AL44" i="16"/>
  <c r="AL45" i="16"/>
  <c r="AL46" i="16"/>
  <c r="AL47" i="16"/>
  <c r="AL48" i="16"/>
  <c r="AL49" i="16"/>
  <c r="AL50" i="16"/>
  <c r="AL51" i="16"/>
  <c r="AL52" i="16"/>
  <c r="AL53" i="16"/>
  <c r="AL54" i="16"/>
  <c r="AL55" i="16"/>
  <c r="AL56" i="16"/>
  <c r="AL57" i="16"/>
  <c r="AL58" i="16"/>
  <c r="AL59" i="16"/>
  <c r="AF59" i="16" s="1"/>
  <c r="AL60" i="16"/>
  <c r="AL61" i="16"/>
  <c r="AL62" i="16"/>
  <c r="AL63" i="16"/>
  <c r="AL64" i="16"/>
  <c r="AL65" i="16"/>
  <c r="AL66" i="16"/>
  <c r="AL67" i="16"/>
  <c r="AL68" i="16"/>
  <c r="AF68" i="16" s="1"/>
  <c r="AL69" i="16"/>
  <c r="AF69" i="16" s="1"/>
  <c r="AL70" i="16"/>
  <c r="AF70" i="16" s="1"/>
  <c r="AL71" i="16"/>
  <c r="AF71" i="16" s="1"/>
  <c r="AL72" i="16"/>
  <c r="AF72" i="16" s="1"/>
  <c r="AL73" i="16"/>
  <c r="AF73" i="16" s="1"/>
  <c r="AL74" i="16"/>
  <c r="AF74" i="16" s="1"/>
  <c r="AL75" i="16"/>
  <c r="AF75" i="16" s="1"/>
  <c r="AL76" i="16"/>
  <c r="AL77" i="16"/>
  <c r="AL78" i="16"/>
  <c r="AL79" i="16"/>
  <c r="AL80" i="16"/>
  <c r="AL81" i="16"/>
  <c r="AL82" i="16"/>
  <c r="AC39" i="16"/>
  <c r="AD39" i="16"/>
  <c r="AE39" i="16"/>
  <c r="AC40" i="16"/>
  <c r="AD40" i="16"/>
  <c r="AE40" i="16"/>
  <c r="AC41" i="16"/>
  <c r="AD41" i="16"/>
  <c r="AE41" i="16"/>
  <c r="AC42" i="16"/>
  <c r="AD42" i="16"/>
  <c r="AE42" i="16"/>
  <c r="BI42" i="16"/>
  <c r="BK42" i="16" s="1"/>
  <c r="BI39" i="16"/>
  <c r="BK39" i="16" s="1"/>
  <c r="BM42" i="16"/>
  <c r="BO42" i="16" s="1"/>
  <c r="BM41" i="16"/>
  <c r="BO41" i="16" s="1"/>
  <c r="BM40" i="16"/>
  <c r="BO40" i="16" s="1"/>
  <c r="BM39" i="16"/>
  <c r="BO39" i="16" s="1"/>
  <c r="AM39" i="16"/>
  <c r="AM40" i="16"/>
  <c r="AM41" i="16"/>
  <c r="AM42" i="16"/>
  <c r="BI41" i="16"/>
  <c r="BK41" i="16" s="1"/>
  <c r="BI40" i="16"/>
  <c r="BK40" i="16" s="1"/>
  <c r="AS39" i="16"/>
  <c r="AR39" i="16"/>
  <c r="AS40" i="16"/>
  <c r="AR40" i="16"/>
  <c r="AW40" i="16" s="1"/>
  <c r="AS41" i="16"/>
  <c r="AR41" i="16"/>
  <c r="AV41" i="16" s="1"/>
  <c r="AS42" i="16"/>
  <c r="AR42" i="16"/>
  <c r="AW42" i="16" s="1"/>
  <c r="AL39" i="16"/>
  <c r="AL40" i="16"/>
  <c r="AL41" i="16"/>
  <c r="AL42" i="16"/>
  <c r="AC31" i="16"/>
  <c r="AD31" i="16"/>
  <c r="AE31" i="16"/>
  <c r="AC32" i="16"/>
  <c r="AD32" i="16"/>
  <c r="AE32" i="16"/>
  <c r="AC33" i="16"/>
  <c r="AD33" i="16"/>
  <c r="AE33" i="16"/>
  <c r="AC34" i="16"/>
  <c r="AD34" i="16"/>
  <c r="AE34" i="16"/>
  <c r="AC35" i="16"/>
  <c r="AD35" i="16"/>
  <c r="AE35" i="16"/>
  <c r="BT35" i="16" s="1"/>
  <c r="AC36" i="16"/>
  <c r="AD36" i="16"/>
  <c r="AE36" i="16"/>
  <c r="BT36" i="16" s="1"/>
  <c r="AC37" i="16"/>
  <c r="AD37" i="16"/>
  <c r="AE37" i="16"/>
  <c r="BT37" i="16" s="1"/>
  <c r="AC38" i="16"/>
  <c r="AD38" i="16"/>
  <c r="AE38" i="16"/>
  <c r="BM38" i="16"/>
  <c r="BO38" i="16" s="1"/>
  <c r="BM37" i="16"/>
  <c r="BO37" i="16" s="1"/>
  <c r="BM36" i="16"/>
  <c r="BO36" i="16" s="1"/>
  <c r="BM35" i="16"/>
  <c r="BO35" i="16" s="1"/>
  <c r="BM34" i="16"/>
  <c r="BO34" i="16" s="1"/>
  <c r="BM33" i="16"/>
  <c r="BO33" i="16" s="1"/>
  <c r="BM32" i="16"/>
  <c r="BO32" i="16" s="1"/>
  <c r="BM31" i="16"/>
  <c r="BO31" i="16" s="1"/>
  <c r="AM31" i="16"/>
  <c r="AM32" i="16"/>
  <c r="AM33" i="16"/>
  <c r="AM34" i="16"/>
  <c r="AM35" i="16"/>
  <c r="AM36" i="16"/>
  <c r="AM37" i="16"/>
  <c r="AM38" i="16"/>
  <c r="BI38" i="16"/>
  <c r="BK38" i="16" s="1"/>
  <c r="BI37" i="16"/>
  <c r="BK37" i="16" s="1"/>
  <c r="BI36" i="16"/>
  <c r="BK36" i="16" s="1"/>
  <c r="BI35" i="16"/>
  <c r="BK35" i="16" s="1"/>
  <c r="BI34" i="16"/>
  <c r="BK34" i="16" s="1"/>
  <c r="BI33" i="16"/>
  <c r="BK33" i="16" s="1"/>
  <c r="BI32" i="16"/>
  <c r="BK32" i="16" s="1"/>
  <c r="BI31" i="16"/>
  <c r="BK31" i="16" s="1"/>
  <c r="AS35" i="16"/>
  <c r="AR35" i="16"/>
  <c r="AS36" i="16"/>
  <c r="AR36" i="16"/>
  <c r="AS37" i="16"/>
  <c r="AR37" i="16"/>
  <c r="AP38" i="16"/>
  <c r="AS38" i="16" s="1"/>
  <c r="AP34" i="16"/>
  <c r="AR34" i="16" s="1"/>
  <c r="AV34" i="16" s="1"/>
  <c r="AP33" i="16"/>
  <c r="AR33" i="16" s="1"/>
  <c r="AP32" i="16"/>
  <c r="AR32" i="16" s="1"/>
  <c r="AP31" i="16"/>
  <c r="AS31" i="16" s="1"/>
  <c r="AC25" i="16"/>
  <c r="AD25" i="16"/>
  <c r="AE25" i="16"/>
  <c r="BT25" i="16" s="1"/>
  <c r="AC26" i="16"/>
  <c r="AD26" i="16"/>
  <c r="AE26" i="16"/>
  <c r="BT26" i="16" s="1"/>
  <c r="AC27" i="16"/>
  <c r="AD27" i="16"/>
  <c r="AE27" i="16"/>
  <c r="BT27" i="16" s="1"/>
  <c r="AC28" i="16"/>
  <c r="AD28" i="16"/>
  <c r="AE28" i="16"/>
  <c r="BT28" i="16" s="1"/>
  <c r="AC29" i="16"/>
  <c r="AD29" i="16"/>
  <c r="AE29" i="16"/>
  <c r="BT29" i="16" s="1"/>
  <c r="AC30" i="16"/>
  <c r="AD30" i="16"/>
  <c r="AE30" i="16"/>
  <c r="BT30" i="16" s="1"/>
  <c r="BM30" i="16"/>
  <c r="BO30" i="16" s="1"/>
  <c r="BM29" i="16"/>
  <c r="BO29" i="16" s="1"/>
  <c r="BM28" i="16"/>
  <c r="BO28" i="16" s="1"/>
  <c r="BM27" i="16"/>
  <c r="BO27" i="16" s="1"/>
  <c r="BM26" i="16"/>
  <c r="BO26" i="16" s="1"/>
  <c r="BM25" i="16"/>
  <c r="BO25" i="16" s="1"/>
  <c r="AM25" i="16"/>
  <c r="AM26" i="16"/>
  <c r="AM27" i="16"/>
  <c r="AM28" i="16"/>
  <c r="AM29" i="16"/>
  <c r="AM30" i="16"/>
  <c r="BI29" i="16"/>
  <c r="BK29" i="16" s="1"/>
  <c r="BI30" i="16"/>
  <c r="BK30" i="16" s="1"/>
  <c r="BI28" i="16"/>
  <c r="BK28" i="16" s="1"/>
  <c r="BI27" i="16"/>
  <c r="BK27" i="16" s="1"/>
  <c r="BI26" i="16"/>
  <c r="BK26" i="16" s="1"/>
  <c r="BI25" i="16"/>
  <c r="BK25" i="16" s="1"/>
  <c r="AS30" i="16"/>
  <c r="AR30" i="16"/>
  <c r="AS29" i="16"/>
  <c r="AR29" i="16"/>
  <c r="AS28" i="16"/>
  <c r="AR28" i="16"/>
  <c r="AS27" i="16"/>
  <c r="AR27" i="16"/>
  <c r="AS26" i="16"/>
  <c r="AR26" i="16"/>
  <c r="AS25" i="16"/>
  <c r="AR25" i="16"/>
  <c r="AC20" i="16"/>
  <c r="AD20" i="16"/>
  <c r="AE20" i="16"/>
  <c r="BT20" i="16" s="1"/>
  <c r="AC21" i="16"/>
  <c r="Z21" i="16" s="1"/>
  <c r="X21" i="16" s="1"/>
  <c r="AD21" i="16"/>
  <c r="AE21" i="16"/>
  <c r="BT21" i="16" s="1"/>
  <c r="AC22" i="16"/>
  <c r="AD22" i="16"/>
  <c r="AE22" i="16"/>
  <c r="BT22" i="16" s="1"/>
  <c r="AC23" i="16"/>
  <c r="AD23" i="16"/>
  <c r="AE23" i="16"/>
  <c r="BT23" i="16" s="1"/>
  <c r="AC24" i="16"/>
  <c r="AD24" i="16"/>
  <c r="AE24" i="16"/>
  <c r="BT24" i="16" s="1"/>
  <c r="AE19" i="16"/>
  <c r="BT19" i="16" s="1"/>
  <c r="AD19" i="16"/>
  <c r="AC19" i="16"/>
  <c r="BM24" i="16"/>
  <c r="BO24" i="16" s="1"/>
  <c r="BM23" i="16"/>
  <c r="BO23" i="16" s="1"/>
  <c r="BM22" i="16"/>
  <c r="BO22" i="16" s="1"/>
  <c r="BM21" i="16"/>
  <c r="BO21" i="16" s="1"/>
  <c r="BM20" i="16"/>
  <c r="BO20" i="16" s="1"/>
  <c r="BM19" i="16"/>
  <c r="BO19" i="16" s="1"/>
  <c r="AM19" i="16"/>
  <c r="AM20" i="16"/>
  <c r="AM21" i="16"/>
  <c r="AM22" i="16"/>
  <c r="AM23" i="16"/>
  <c r="AM24" i="16"/>
  <c r="BI24" i="16"/>
  <c r="BK24" i="16" s="1"/>
  <c r="BI23" i="16"/>
  <c r="BK23" i="16" s="1"/>
  <c r="BI22" i="16"/>
  <c r="BK22" i="16" s="1"/>
  <c r="BI21" i="16"/>
  <c r="BK21" i="16" s="1"/>
  <c r="BI20" i="16"/>
  <c r="BK20" i="16" s="1"/>
  <c r="BI19" i="16"/>
  <c r="BK19" i="16" s="1"/>
  <c r="AS24" i="16"/>
  <c r="AR24" i="16"/>
  <c r="AS23" i="16"/>
  <c r="AR23" i="16"/>
  <c r="AS22" i="16"/>
  <c r="AR22" i="16"/>
  <c r="AS21" i="16"/>
  <c r="AR21" i="16"/>
  <c r="AS20" i="16"/>
  <c r="AR20" i="16"/>
  <c r="AS19" i="16"/>
  <c r="AR19" i="16"/>
  <c r="BB22" i="16"/>
  <c r="BB20" i="16"/>
  <c r="AC15" i="16"/>
  <c r="AD15" i="16"/>
  <c r="AE15" i="16"/>
  <c r="BT15" i="16" s="1"/>
  <c r="AC16" i="16"/>
  <c r="AD16" i="16"/>
  <c r="AE16" i="16"/>
  <c r="BT16" i="16" s="1"/>
  <c r="AC17" i="16"/>
  <c r="AD17" i="16"/>
  <c r="AE17" i="16"/>
  <c r="BT17" i="16" s="1"/>
  <c r="AC18" i="16"/>
  <c r="AD18" i="16"/>
  <c r="AE18" i="16"/>
  <c r="BT18" i="16" s="1"/>
  <c r="BM16" i="16"/>
  <c r="BO16" i="16" s="1"/>
  <c r="BM17" i="16"/>
  <c r="BO17" i="16" s="1"/>
  <c r="BM18" i="16"/>
  <c r="BO18" i="16" s="1"/>
  <c r="BM15" i="16"/>
  <c r="BO15" i="16" s="1"/>
  <c r="AM15" i="16"/>
  <c r="AM16" i="16"/>
  <c r="AM17" i="16"/>
  <c r="AM18" i="16"/>
  <c r="BI15" i="16"/>
  <c r="BK15" i="16" s="1"/>
  <c r="BI16" i="16"/>
  <c r="BK16" i="16" s="1"/>
  <c r="BI17" i="16"/>
  <c r="BK17" i="16" s="1"/>
  <c r="BI18" i="16"/>
  <c r="BK18" i="16" s="1"/>
  <c r="AS15" i="16"/>
  <c r="AR15" i="16"/>
  <c r="AS16" i="16"/>
  <c r="AR16" i="16"/>
  <c r="AS17" i="16"/>
  <c r="AR17" i="16"/>
  <c r="AS18" i="16"/>
  <c r="AR18" i="16"/>
  <c r="AC3" i="16"/>
  <c r="AD3" i="16"/>
  <c r="AC4" i="16"/>
  <c r="AD4" i="16"/>
  <c r="AC5" i="16"/>
  <c r="AD5" i="16"/>
  <c r="AC6" i="16"/>
  <c r="AD6" i="16"/>
  <c r="AC7" i="16"/>
  <c r="AD7" i="16"/>
  <c r="AC8" i="16"/>
  <c r="AD8" i="16"/>
  <c r="AC9" i="16"/>
  <c r="AD9" i="16"/>
  <c r="AC10" i="16"/>
  <c r="AD10" i="16"/>
  <c r="AC11" i="16"/>
  <c r="AD11" i="16"/>
  <c r="AC12" i="16"/>
  <c r="AD12" i="16"/>
  <c r="AC13" i="16"/>
  <c r="AD13" i="16"/>
  <c r="AC14" i="16"/>
  <c r="AD14" i="16"/>
  <c r="AD2" i="16"/>
  <c r="AC2" i="16"/>
  <c r="BM3" i="16"/>
  <c r="BO3" i="16" s="1"/>
  <c r="BM4" i="16"/>
  <c r="BO4" i="16" s="1"/>
  <c r="BM5" i="16"/>
  <c r="BO5" i="16" s="1"/>
  <c r="BM6" i="16"/>
  <c r="BO6" i="16" s="1"/>
  <c r="BM7" i="16"/>
  <c r="BO7" i="16" s="1"/>
  <c r="BM8" i="16"/>
  <c r="BO8" i="16" s="1"/>
  <c r="BM9" i="16"/>
  <c r="BO9" i="16" s="1"/>
  <c r="BM10" i="16"/>
  <c r="BO10" i="16" s="1"/>
  <c r="BM11" i="16"/>
  <c r="BO11" i="16" s="1"/>
  <c r="BM12" i="16"/>
  <c r="BO12" i="16" s="1"/>
  <c r="BM13" i="16"/>
  <c r="BO13" i="16" s="1"/>
  <c r="BM14" i="16"/>
  <c r="BO14" i="16" s="1"/>
  <c r="BM2" i="16"/>
  <c r="BO2" i="16" s="1"/>
  <c r="BI3" i="16"/>
  <c r="BK3" i="16" s="1"/>
  <c r="BI4" i="16"/>
  <c r="BK4" i="16" s="1"/>
  <c r="BI5" i="16"/>
  <c r="BK5" i="16" s="1"/>
  <c r="BI6" i="16"/>
  <c r="BK6" i="16" s="1"/>
  <c r="BI7" i="16"/>
  <c r="BK7" i="16" s="1"/>
  <c r="BI8" i="16"/>
  <c r="BK8" i="16" s="1"/>
  <c r="BI9" i="16"/>
  <c r="BK9" i="16" s="1"/>
  <c r="BI10" i="16"/>
  <c r="BK10" i="16" s="1"/>
  <c r="BI11" i="16"/>
  <c r="BK11" i="16" s="1"/>
  <c r="BI12" i="16"/>
  <c r="BK12" i="16" s="1"/>
  <c r="BI13" i="16"/>
  <c r="BK13" i="16" s="1"/>
  <c r="BI14" i="16"/>
  <c r="BK14" i="16" s="1"/>
  <c r="BI2" i="16"/>
  <c r="BK2" i="16" s="1"/>
  <c r="AK14" i="16"/>
  <c r="S14" i="16" s="1"/>
  <c r="AK13" i="16"/>
  <c r="S13" i="16" s="1"/>
  <c r="AK12" i="16"/>
  <c r="S12" i="16" s="1"/>
  <c r="AK11" i="16"/>
  <c r="AK10" i="16"/>
  <c r="S10" i="16" s="1"/>
  <c r="AK9" i="16"/>
  <c r="S9" i="16" s="1"/>
  <c r="AK8" i="16"/>
  <c r="S8" i="16" s="1"/>
  <c r="AK7" i="16"/>
  <c r="S7" i="16" s="1"/>
  <c r="AK6" i="16"/>
  <c r="S6" i="16" s="1"/>
  <c r="AK5" i="16"/>
  <c r="S5" i="16" s="1"/>
  <c r="AK4" i="16"/>
  <c r="S4" i="16" s="1"/>
  <c r="AK3" i="16"/>
  <c r="AK2" i="16"/>
  <c r="S2" i="16" s="1"/>
  <c r="AS3" i="16"/>
  <c r="AR3" i="16"/>
  <c r="AS4" i="16"/>
  <c r="AR4" i="16"/>
  <c r="AS5" i="16"/>
  <c r="AR5" i="16"/>
  <c r="AS6" i="16"/>
  <c r="AR6" i="16"/>
  <c r="AS7" i="16"/>
  <c r="AR7" i="16"/>
  <c r="AS8" i="16"/>
  <c r="AR8" i="16"/>
  <c r="AS9" i="16"/>
  <c r="AR9" i="16"/>
  <c r="AS10" i="16"/>
  <c r="AR10" i="16"/>
  <c r="AS11" i="16"/>
  <c r="AR11" i="16"/>
  <c r="AS12" i="16"/>
  <c r="AR12" i="16"/>
  <c r="AS13" i="16"/>
  <c r="AR13" i="16"/>
  <c r="AS14" i="16"/>
  <c r="AR14" i="16"/>
  <c r="AS2" i="16"/>
  <c r="AV3" i="16"/>
  <c r="AV4" i="16"/>
  <c r="AV5" i="16"/>
  <c r="AV6" i="16"/>
  <c r="AV7" i="16"/>
  <c r="AV8" i="16"/>
  <c r="AV9" i="16"/>
  <c r="AV10" i="16"/>
  <c r="AV11" i="16"/>
  <c r="AV12" i="16"/>
  <c r="AV13" i="16"/>
  <c r="AV14" i="16"/>
  <c r="AV15" i="16"/>
  <c r="AV16" i="16"/>
  <c r="AV17" i="16"/>
  <c r="AV18" i="16"/>
  <c r="AV19" i="16"/>
  <c r="AV20" i="16"/>
  <c r="AV21" i="16"/>
  <c r="AV22" i="16"/>
  <c r="AV23" i="16"/>
  <c r="AV24" i="16"/>
  <c r="AV25" i="16"/>
  <c r="AV26" i="16"/>
  <c r="AV27" i="16"/>
  <c r="AV28" i="16"/>
  <c r="AV29" i="16"/>
  <c r="AV30" i="16"/>
  <c r="AV31" i="16"/>
  <c r="AV32" i="16"/>
  <c r="AV33" i="16"/>
  <c r="AV35" i="16"/>
  <c r="AV36" i="16"/>
  <c r="AV37" i="16"/>
  <c r="AV38" i="16"/>
  <c r="AL15" i="16"/>
  <c r="AL16" i="16"/>
  <c r="AL17" i="16"/>
  <c r="AL18" i="16"/>
  <c r="AL19" i="16"/>
  <c r="AL20" i="16"/>
  <c r="AL21" i="16"/>
  <c r="AL22" i="16"/>
  <c r="AL23" i="16"/>
  <c r="AL24" i="16"/>
  <c r="AL25" i="16"/>
  <c r="AL26" i="16"/>
  <c r="AL27" i="16"/>
  <c r="AL28" i="16"/>
  <c r="AL29" i="16"/>
  <c r="AL30" i="16"/>
  <c r="AL31" i="16"/>
  <c r="AL32" i="16"/>
  <c r="AL33" i="16"/>
  <c r="AL34" i="16"/>
  <c r="AL35" i="16"/>
  <c r="AL36" i="16"/>
  <c r="AL37" i="16"/>
  <c r="AL38" i="16"/>
  <c r="BT48" i="16" l="1"/>
  <c r="BT52" i="16"/>
  <c r="BT40" i="16"/>
  <c r="BT31" i="16"/>
  <c r="BT32" i="16"/>
  <c r="AV39" i="16"/>
  <c r="AF39" i="16" s="1"/>
  <c r="AW39" i="16"/>
  <c r="BT39" i="16" s="1"/>
  <c r="BT45" i="16"/>
  <c r="BT53" i="16"/>
  <c r="BT49" i="16"/>
  <c r="BT33" i="16"/>
  <c r="BT46" i="16"/>
  <c r="BT50" i="16"/>
  <c r="BT38" i="16"/>
  <c r="BT34" i="16"/>
  <c r="BT42" i="16"/>
  <c r="BT47" i="16"/>
  <c r="BT51" i="16"/>
  <c r="AN3" i="16"/>
  <c r="S3" i="16"/>
  <c r="AN11" i="16"/>
  <c r="S11" i="16"/>
  <c r="Z48" i="16"/>
  <c r="X48" i="16" s="1"/>
  <c r="Z44" i="16"/>
  <c r="X44" i="16" s="1"/>
  <c r="AF80" i="16"/>
  <c r="AA80" i="16" s="1"/>
  <c r="T80" i="16" s="1"/>
  <c r="AF57" i="16"/>
  <c r="Z47" i="16"/>
  <c r="X47" i="16" s="1"/>
  <c r="AF62" i="16"/>
  <c r="BR78" i="16"/>
  <c r="BP78" i="16" s="1"/>
  <c r="V78" i="16" s="1"/>
  <c r="BR64" i="16"/>
  <c r="BP64" i="16" s="1"/>
  <c r="V64" i="16" s="1"/>
  <c r="BR58" i="16"/>
  <c r="BP58" i="16" s="1"/>
  <c r="V58" i="16" s="1"/>
  <c r="BR79" i="16"/>
  <c r="BP79" i="16" s="1"/>
  <c r="V79" i="16" s="1"/>
  <c r="BR62" i="16"/>
  <c r="BP62" i="16" s="1"/>
  <c r="V62" i="16" s="1"/>
  <c r="BR57" i="16"/>
  <c r="BP57" i="16" s="1"/>
  <c r="V57" i="16" s="1"/>
  <c r="AF65" i="16"/>
  <c r="AA65" i="16" s="1"/>
  <c r="Z46" i="16"/>
  <c r="X46" i="16" s="1"/>
  <c r="Z43" i="16"/>
  <c r="X43" i="16" s="1"/>
  <c r="BR65" i="16"/>
  <c r="BP65" i="16" s="1"/>
  <c r="V65" i="16" s="1"/>
  <c r="BR55" i="16"/>
  <c r="BP55" i="16" s="1"/>
  <c r="U55" i="16" s="1"/>
  <c r="BR66" i="16"/>
  <c r="BP66" i="16" s="1"/>
  <c r="V66" i="16" s="1"/>
  <c r="BR56" i="16"/>
  <c r="BP56" i="16" s="1"/>
  <c r="V56" i="16" s="1"/>
  <c r="BR54" i="16"/>
  <c r="BP54" i="16" s="1"/>
  <c r="V54" i="16" s="1"/>
  <c r="BR76" i="16"/>
  <c r="BP76" i="16" s="1"/>
  <c r="V76" i="16" s="1"/>
  <c r="Z2" i="16"/>
  <c r="X2" i="16" s="1"/>
  <c r="Z52" i="16"/>
  <c r="X52" i="16" s="1"/>
  <c r="BR77" i="16"/>
  <c r="BP77" i="16" s="1"/>
  <c r="V77" i="16" s="1"/>
  <c r="BR63" i="16"/>
  <c r="BP63" i="16" s="1"/>
  <c r="V63" i="16" s="1"/>
  <c r="AN2" i="16"/>
  <c r="AL2" i="16"/>
  <c r="Z13" i="16"/>
  <c r="X13" i="16" s="1"/>
  <c r="Z11" i="16"/>
  <c r="X11" i="16" s="1"/>
  <c r="Z9" i="16"/>
  <c r="X9" i="16" s="1"/>
  <c r="Z7" i="16"/>
  <c r="X7" i="16" s="1"/>
  <c r="Z5" i="16"/>
  <c r="X5" i="16" s="1"/>
  <c r="Z3" i="16"/>
  <c r="X3" i="16" s="1"/>
  <c r="Z49" i="16"/>
  <c r="X49" i="16" s="1"/>
  <c r="FA20" i="16"/>
  <c r="GO20" i="16" s="1"/>
  <c r="FG20" i="16"/>
  <c r="GU20" i="16" s="1"/>
  <c r="AG43" i="16"/>
  <c r="Z45" i="16"/>
  <c r="X45" i="16" s="1"/>
  <c r="Z53" i="16"/>
  <c r="X53" i="16" s="1"/>
  <c r="Z50" i="16"/>
  <c r="X50" i="16" s="1"/>
  <c r="Z14" i="16"/>
  <c r="X14" i="16" s="1"/>
  <c r="Z12" i="16"/>
  <c r="X12" i="16" s="1"/>
  <c r="Z10" i="16"/>
  <c r="X10" i="16" s="1"/>
  <c r="Z8" i="16"/>
  <c r="X8" i="16" s="1"/>
  <c r="Z6" i="16"/>
  <c r="X6" i="16" s="1"/>
  <c r="Z4" i="16"/>
  <c r="X4" i="16" s="1"/>
  <c r="FA22" i="16"/>
  <c r="GO22" i="16" s="1"/>
  <c r="FG22" i="16"/>
  <c r="GU22" i="16" s="1"/>
  <c r="Z51" i="16"/>
  <c r="X51" i="16" s="1"/>
  <c r="AF77" i="16"/>
  <c r="AA77" i="16" s="1"/>
  <c r="AG48" i="16"/>
  <c r="AF58" i="16"/>
  <c r="AF63" i="16"/>
  <c r="AA63" i="16" s="1"/>
  <c r="T63" i="16" s="1"/>
  <c r="AG16" i="16"/>
  <c r="AG30" i="16"/>
  <c r="AF55" i="16"/>
  <c r="AA55" i="16" s="1"/>
  <c r="AF78" i="16"/>
  <c r="AH79" i="16"/>
  <c r="AB79" i="16" s="1"/>
  <c r="AF64" i="16"/>
  <c r="AG19" i="16"/>
  <c r="AG23" i="16"/>
  <c r="AG25" i="16"/>
  <c r="AF79" i="16"/>
  <c r="AG47" i="16"/>
  <c r="AG51" i="16"/>
  <c r="W221" i="16"/>
  <c r="AG12" i="16"/>
  <c r="AG8" i="16"/>
  <c r="AG4" i="16"/>
  <c r="AG20" i="16"/>
  <c r="AG24" i="16"/>
  <c r="AG26" i="16"/>
  <c r="AG37" i="16"/>
  <c r="AG41" i="16"/>
  <c r="AG56" i="16"/>
  <c r="AG163" i="16"/>
  <c r="AG9" i="16"/>
  <c r="AG57" i="16"/>
  <c r="AG54" i="16"/>
  <c r="AG167" i="16"/>
  <c r="AG76" i="16"/>
  <c r="AG36" i="16"/>
  <c r="AG15" i="16"/>
  <c r="AF54" i="16"/>
  <c r="AG2" i="16"/>
  <c r="AG11" i="16"/>
  <c r="AG7" i="16"/>
  <c r="AG3" i="16"/>
  <c r="AG18" i="16"/>
  <c r="AG21" i="16"/>
  <c r="AG27" i="16"/>
  <c r="AG38" i="16"/>
  <c r="AG39" i="16"/>
  <c r="AF61" i="16"/>
  <c r="AA61" i="16" s="1"/>
  <c r="T61" i="16" s="1"/>
  <c r="AG49" i="16"/>
  <c r="AG161" i="16"/>
  <c r="AG64" i="16"/>
  <c r="AG162" i="16"/>
  <c r="AA162" i="16" s="1"/>
  <c r="T162" i="16" s="1"/>
  <c r="AG159" i="16"/>
  <c r="AG13" i="16"/>
  <c r="AG5" i="16"/>
  <c r="AG40" i="16"/>
  <c r="AG45" i="16"/>
  <c r="AG166" i="16"/>
  <c r="AA166" i="16" s="1"/>
  <c r="T166" i="16" s="1"/>
  <c r="AG29" i="16"/>
  <c r="AG14" i="16"/>
  <c r="AG10" i="16"/>
  <c r="AG6" i="16"/>
  <c r="AG17" i="16"/>
  <c r="AG22" i="16"/>
  <c r="AG28" i="16"/>
  <c r="AG31" i="16"/>
  <c r="AG35" i="16"/>
  <c r="AG42" i="16"/>
  <c r="AG46" i="16"/>
  <c r="AG53" i="16"/>
  <c r="AG79" i="16"/>
  <c r="AG78" i="16"/>
  <c r="AG157" i="16"/>
  <c r="AB160" i="16"/>
  <c r="AH65" i="16"/>
  <c r="AF76" i="16"/>
  <c r="AF56" i="16"/>
  <c r="W209" i="16"/>
  <c r="AF66" i="16"/>
  <c r="AA66" i="16" s="1"/>
  <c r="T202" i="16"/>
  <c r="W202" i="16"/>
  <c r="T178" i="16"/>
  <c r="W178" i="16"/>
  <c r="Z15" i="16"/>
  <c r="X15" i="16" s="1"/>
  <c r="Z22" i="16"/>
  <c r="X22" i="16" s="1"/>
  <c r="Z27" i="16"/>
  <c r="X27" i="16" s="1"/>
  <c r="Z38" i="16"/>
  <c r="X38" i="16" s="1"/>
  <c r="Z34" i="16"/>
  <c r="X34" i="16" s="1"/>
  <c r="Z41" i="16"/>
  <c r="X41" i="16" s="1"/>
  <c r="Z16" i="16"/>
  <c r="X16" i="16" s="1"/>
  <c r="Z19" i="16"/>
  <c r="X19" i="16" s="1"/>
  <c r="AF24" i="16"/>
  <c r="Z23" i="16"/>
  <c r="X23" i="16" s="1"/>
  <c r="Z28" i="16"/>
  <c r="X28" i="16" s="1"/>
  <c r="AF25" i="16"/>
  <c r="Z35" i="16"/>
  <c r="X35" i="16" s="1"/>
  <c r="Z31" i="16"/>
  <c r="X31" i="16" s="1"/>
  <c r="Z42" i="16"/>
  <c r="X42" i="16" s="1"/>
  <c r="Z17" i="16"/>
  <c r="X17" i="16" s="1"/>
  <c r="Z24" i="16"/>
  <c r="X24" i="16" s="1"/>
  <c r="Z20" i="16"/>
  <c r="X20" i="16" s="1"/>
  <c r="Z29" i="16"/>
  <c r="X29" i="16" s="1"/>
  <c r="AF26" i="16"/>
  <c r="Z25" i="16"/>
  <c r="X25" i="16" s="1"/>
  <c r="Z36" i="16"/>
  <c r="X36" i="16" s="1"/>
  <c r="Z32" i="16"/>
  <c r="X32" i="16" s="1"/>
  <c r="Z39" i="16"/>
  <c r="X39" i="16" s="1"/>
  <c r="Z18" i="16"/>
  <c r="X18" i="16" s="1"/>
  <c r="Z30" i="16"/>
  <c r="X30" i="16" s="1"/>
  <c r="AF27" i="16"/>
  <c r="Z26" i="16"/>
  <c r="X26" i="16" s="1"/>
  <c r="Z37" i="16"/>
  <c r="X37" i="16" s="1"/>
  <c r="Z33" i="16"/>
  <c r="X33" i="16" s="1"/>
  <c r="Z40" i="16"/>
  <c r="X40" i="16" s="1"/>
  <c r="T207" i="16"/>
  <c r="W207" i="16"/>
  <c r="T208" i="16"/>
  <c r="W208" i="16"/>
  <c r="T205" i="16"/>
  <c r="W205" i="16"/>
  <c r="T206" i="16"/>
  <c r="W206" i="16"/>
  <c r="T203" i="16"/>
  <c r="W203" i="16"/>
  <c r="AF159" i="16"/>
  <c r="AF163" i="16"/>
  <c r="AF157" i="16"/>
  <c r="AF165" i="16"/>
  <c r="AA165" i="16" s="1"/>
  <c r="T165" i="16" s="1"/>
  <c r="AF167" i="16"/>
  <c r="AF161" i="16"/>
  <c r="W226" i="16"/>
  <c r="W216" i="16"/>
  <c r="W213" i="16"/>
  <c r="W218" i="16"/>
  <c r="W224" i="16"/>
  <c r="AF35" i="16"/>
  <c r="AF31" i="16"/>
  <c r="W227" i="16"/>
  <c r="W177" i="16"/>
  <c r="W228" i="16"/>
  <c r="W217" i="16"/>
  <c r="W222" i="16"/>
  <c r="W172" i="16"/>
  <c r="W220" i="16"/>
  <c r="W201" i="16"/>
  <c r="W214" i="16"/>
  <c r="W176" i="16"/>
  <c r="W212" i="16"/>
  <c r="W173" i="16"/>
  <c r="W174" i="16"/>
  <c r="W225" i="16"/>
  <c r="W175" i="16"/>
  <c r="AF23" i="16"/>
  <c r="AF28" i="16"/>
  <c r="AF81" i="16"/>
  <c r="AA81" i="16" s="1"/>
  <c r="T81" i="16" s="1"/>
  <c r="AF17" i="16"/>
  <c r="AF20" i="16"/>
  <c r="AF29" i="16"/>
  <c r="AF36" i="16"/>
  <c r="AF16" i="16"/>
  <c r="AA70" i="16"/>
  <c r="W70" i="16" s="1"/>
  <c r="AF18" i="16"/>
  <c r="AF19" i="16"/>
  <c r="AF21" i="16"/>
  <c r="AF30" i="16"/>
  <c r="AF37" i="16"/>
  <c r="AF43" i="16"/>
  <c r="AF15" i="16"/>
  <c r="AF22" i="16"/>
  <c r="AF38" i="16"/>
  <c r="AF41" i="16"/>
  <c r="AF82" i="16"/>
  <c r="AA82" i="16" s="1"/>
  <c r="T82" i="16" s="1"/>
  <c r="AA71" i="16"/>
  <c r="W71" i="16" s="1"/>
  <c r="AF67" i="16"/>
  <c r="AA67" i="16" s="1"/>
  <c r="W67" i="16" s="1"/>
  <c r="AF60" i="16"/>
  <c r="AA60" i="16" s="1"/>
  <c r="T60" i="16" s="1"/>
  <c r="W229" i="16"/>
  <c r="W210" i="16"/>
  <c r="V80" i="16"/>
  <c r="U80" i="16"/>
  <c r="V68" i="16"/>
  <c r="U68" i="16"/>
  <c r="W230" i="16"/>
  <c r="V71" i="16"/>
  <c r="U71" i="16"/>
  <c r="V73" i="16"/>
  <c r="U73" i="16"/>
  <c r="W219" i="16"/>
  <c r="W232" i="16"/>
  <c r="W215" i="16"/>
  <c r="V72" i="16"/>
  <c r="U72" i="16"/>
  <c r="V61" i="16"/>
  <c r="U61" i="16"/>
  <c r="V69" i="16"/>
  <c r="U69" i="16"/>
  <c r="V70" i="16"/>
  <c r="U70" i="16"/>
  <c r="W211" i="16"/>
  <c r="W231" i="16"/>
  <c r="V67" i="16"/>
  <c r="U67" i="16"/>
  <c r="V75" i="16"/>
  <c r="U75" i="16"/>
  <c r="V60" i="16"/>
  <c r="U60" i="16"/>
  <c r="U74" i="16"/>
  <c r="V74" i="16"/>
  <c r="V59" i="16"/>
  <c r="U59" i="16"/>
  <c r="W223" i="16"/>
  <c r="BQ16" i="16"/>
  <c r="BR16" i="16"/>
  <c r="BP16" i="16" s="1"/>
  <c r="BQ28" i="16"/>
  <c r="BR28" i="16"/>
  <c r="BP28" i="16" s="1"/>
  <c r="BQ37" i="16"/>
  <c r="BR37" i="16"/>
  <c r="BP37" i="16" s="1"/>
  <c r="BR33" i="16"/>
  <c r="BP33" i="16" s="1"/>
  <c r="BQ33" i="16"/>
  <c r="BQ40" i="16"/>
  <c r="BR40" i="16"/>
  <c r="BP40" i="16" s="1"/>
  <c r="BQ44" i="16"/>
  <c r="BR44" i="16"/>
  <c r="BP44" i="16" s="1"/>
  <c r="BQ53" i="16"/>
  <c r="BR53" i="16"/>
  <c r="BP53" i="16" s="1"/>
  <c r="BQ50" i="16"/>
  <c r="BR50" i="16"/>
  <c r="BP50" i="16" s="1"/>
  <c r="BQ15" i="16"/>
  <c r="BR15" i="16"/>
  <c r="BP15" i="16" s="1"/>
  <c r="BQ21" i="16"/>
  <c r="BR21" i="16"/>
  <c r="BP21" i="16" s="1"/>
  <c r="BQ27" i="16"/>
  <c r="BR27" i="16"/>
  <c r="BP27" i="16" s="1"/>
  <c r="BQ36" i="16"/>
  <c r="BR36" i="16"/>
  <c r="BP36" i="16" s="1"/>
  <c r="BQ32" i="16"/>
  <c r="BR32" i="16"/>
  <c r="BP32" i="16" s="1"/>
  <c r="BR39" i="16"/>
  <c r="BP39" i="16" s="1"/>
  <c r="BQ39" i="16"/>
  <c r="BR43" i="16"/>
  <c r="BP43" i="16" s="1"/>
  <c r="BQ43" i="16"/>
  <c r="BQ46" i="16"/>
  <c r="BR46" i="16"/>
  <c r="BP46" i="16" s="1"/>
  <c r="BQ47" i="16"/>
  <c r="BR47" i="16"/>
  <c r="BP47" i="16" s="1"/>
  <c r="BQ48" i="16"/>
  <c r="BR48" i="16"/>
  <c r="BP48" i="16" s="1"/>
  <c r="BQ49" i="16"/>
  <c r="BR49" i="16"/>
  <c r="BP49" i="16" s="1"/>
  <c r="BQ18" i="16"/>
  <c r="BR18" i="16"/>
  <c r="BP18" i="16" s="1"/>
  <c r="BQ24" i="16"/>
  <c r="BR24" i="16"/>
  <c r="BP24" i="16" s="1"/>
  <c r="BQ30" i="16"/>
  <c r="BR30" i="16"/>
  <c r="BP30" i="16" s="1"/>
  <c r="BQ26" i="16"/>
  <c r="BR26" i="16"/>
  <c r="BP26" i="16" s="1"/>
  <c r="BQ35" i="16"/>
  <c r="BR35" i="16"/>
  <c r="BP35" i="16" s="1"/>
  <c r="BR31" i="16"/>
  <c r="BP31" i="16" s="1"/>
  <c r="BQ31" i="16"/>
  <c r="BQ42" i="16"/>
  <c r="BR42" i="16"/>
  <c r="BP42" i="16" s="1"/>
  <c r="BQ45" i="16"/>
  <c r="BR45" i="16"/>
  <c r="BP45" i="16" s="1"/>
  <c r="BQ52" i="16"/>
  <c r="BR52" i="16"/>
  <c r="BP52" i="16" s="1"/>
  <c r="BQ17" i="16"/>
  <c r="BR17" i="16"/>
  <c r="BP17" i="16" s="1"/>
  <c r="BQ23" i="16"/>
  <c r="BR23" i="16"/>
  <c r="BP23" i="16" s="1"/>
  <c r="BR19" i="16"/>
  <c r="BP19" i="16" s="1"/>
  <c r="BQ19" i="16"/>
  <c r="BQ29" i="16"/>
  <c r="BR29" i="16"/>
  <c r="BP29" i="16" s="1"/>
  <c r="BQ25" i="16"/>
  <c r="BR25" i="16"/>
  <c r="BP25" i="16" s="1"/>
  <c r="BQ38" i="16"/>
  <c r="BR38" i="16"/>
  <c r="BP38" i="16" s="1"/>
  <c r="BQ34" i="16"/>
  <c r="BR34" i="16"/>
  <c r="BP34" i="16" s="1"/>
  <c r="BQ41" i="16"/>
  <c r="BR41" i="16"/>
  <c r="BP41" i="16" s="1"/>
  <c r="BQ51" i="16"/>
  <c r="BR51" i="16"/>
  <c r="BP51" i="16" s="1"/>
  <c r="AA68" i="16"/>
  <c r="T68" i="16" s="1"/>
  <c r="AB71" i="16"/>
  <c r="AA168" i="16"/>
  <c r="T168" i="16" s="1"/>
  <c r="CK309" i="16"/>
  <c r="FL309" i="16"/>
  <c r="GZ309" i="16" s="1"/>
  <c r="AB75" i="16"/>
  <c r="AA156" i="16"/>
  <c r="T156" i="16" s="1"/>
  <c r="AA75" i="16"/>
  <c r="T75" i="16" s="1"/>
  <c r="AH165" i="16"/>
  <c r="AB69" i="16"/>
  <c r="AA200" i="16"/>
  <c r="T200" i="16" s="1"/>
  <c r="AI165" i="16"/>
  <c r="AE4" i="16"/>
  <c r="BT4" i="16" s="1"/>
  <c r="AN4" i="16"/>
  <c r="AN8" i="16"/>
  <c r="AE12" i="16"/>
  <c r="BT12" i="16" s="1"/>
  <c r="AN12" i="16"/>
  <c r="AE5" i="16"/>
  <c r="BT5" i="16" s="1"/>
  <c r="AN5" i="16"/>
  <c r="AE9" i="16"/>
  <c r="BT9" i="16" s="1"/>
  <c r="AN9" i="16"/>
  <c r="AM13" i="16"/>
  <c r="AN13" i="16"/>
  <c r="AL6" i="16"/>
  <c r="AN6" i="16"/>
  <c r="AE10" i="16"/>
  <c r="BT10" i="16" s="1"/>
  <c r="AN10" i="16"/>
  <c r="AE14" i="16"/>
  <c r="BT14" i="16" s="1"/>
  <c r="AN14" i="16"/>
  <c r="AB171" i="16"/>
  <c r="AL7" i="16"/>
  <c r="AN7" i="16"/>
  <c r="AH167" i="16"/>
  <c r="AB167" i="16" s="1"/>
  <c r="AI54" i="16"/>
  <c r="AB54" i="16" s="1"/>
  <c r="AA69" i="16"/>
  <c r="T69" i="16" s="1"/>
  <c r="AA158" i="16"/>
  <c r="T158" i="16" s="1"/>
  <c r="AL5" i="16"/>
  <c r="AI162" i="16"/>
  <c r="AB73" i="16"/>
  <c r="AH55" i="16"/>
  <c r="AI76" i="16"/>
  <c r="AB76" i="16" s="1"/>
  <c r="AB158" i="16"/>
  <c r="AL14" i="16"/>
  <c r="AL10" i="16"/>
  <c r="AA72" i="16"/>
  <c r="T72" i="16" s="1"/>
  <c r="AR48" i="16"/>
  <c r="AV48" i="16" s="1"/>
  <c r="AF48" i="16" s="1"/>
  <c r="AI55" i="16"/>
  <c r="AA59" i="16"/>
  <c r="T59" i="16" s="1"/>
  <c r="AI65" i="16"/>
  <c r="AH64" i="16"/>
  <c r="AB64" i="16" s="1"/>
  <c r="AB74" i="16"/>
  <c r="AL13" i="16"/>
  <c r="AL4" i="16"/>
  <c r="AA74" i="16"/>
  <c r="T74" i="16" s="1"/>
  <c r="AH78" i="16"/>
  <c r="AB78" i="16" s="1"/>
  <c r="AB72" i="16"/>
  <c r="AI157" i="16"/>
  <c r="AB157" i="16" s="1"/>
  <c r="AB200" i="16"/>
  <c r="AL9" i="16"/>
  <c r="AI45" i="16"/>
  <c r="AB168" i="16"/>
  <c r="AB60" i="16"/>
  <c r="AB68" i="16"/>
  <c r="AI36" i="16"/>
  <c r="AH159" i="16"/>
  <c r="AB159" i="16" s="1"/>
  <c r="AI16" i="16"/>
  <c r="AH35" i="16"/>
  <c r="AR43" i="16"/>
  <c r="AA170" i="16"/>
  <c r="T170" i="16" s="1"/>
  <c r="AI57" i="16"/>
  <c r="AB57" i="16" s="1"/>
  <c r="AB170" i="16"/>
  <c r="AR47" i="16"/>
  <c r="AV47" i="16" s="1"/>
  <c r="AF47" i="16" s="1"/>
  <c r="AB70" i="16"/>
  <c r="AH49" i="16"/>
  <c r="AH36" i="16"/>
  <c r="AH40" i="16"/>
  <c r="AI28" i="16"/>
  <c r="AS32" i="16"/>
  <c r="AF32" i="16" s="1"/>
  <c r="AH31" i="16"/>
  <c r="AL8" i="16"/>
  <c r="AH17" i="16"/>
  <c r="AH22" i="16"/>
  <c r="AI19" i="16"/>
  <c r="AR46" i="16"/>
  <c r="AV46" i="16" s="1"/>
  <c r="AF46" i="16" s="1"/>
  <c r="AS52" i="16"/>
  <c r="AI52" i="16" s="1"/>
  <c r="AB59" i="16"/>
  <c r="AA164" i="16"/>
  <c r="T164" i="16" s="1"/>
  <c r="AL12" i="16"/>
  <c r="AH21" i="16"/>
  <c r="AI24" i="16"/>
  <c r="AI30" i="16"/>
  <c r="AW41" i="16"/>
  <c r="BT41" i="16" s="1"/>
  <c r="AI39" i="16"/>
  <c r="AR45" i="16"/>
  <c r="AV45" i="16" s="1"/>
  <c r="AF45" i="16" s="1"/>
  <c r="AR49" i="16"/>
  <c r="AV49" i="16" s="1"/>
  <c r="AF49" i="16" s="1"/>
  <c r="AI166" i="16"/>
  <c r="AH56" i="16"/>
  <c r="AB56" i="16" s="1"/>
  <c r="AH63" i="16"/>
  <c r="AI63" i="16"/>
  <c r="AB164" i="16"/>
  <c r="AI18" i="16"/>
  <c r="AA73" i="16"/>
  <c r="T73" i="16" s="1"/>
  <c r="AI43" i="16"/>
  <c r="AH45" i="16"/>
  <c r="AA160" i="16"/>
  <c r="T160" i="16" s="1"/>
  <c r="AH77" i="16"/>
  <c r="AH166" i="16"/>
  <c r="AB156" i="16"/>
  <c r="AE3" i="16"/>
  <c r="BT3" i="16" s="1"/>
  <c r="AM3" i="16"/>
  <c r="AE2" i="16"/>
  <c r="BT2" i="16" s="1"/>
  <c r="AM2" i="16"/>
  <c r="AH53" i="16"/>
  <c r="AI51" i="16"/>
  <c r="AI58" i="16"/>
  <c r="AH58" i="16"/>
  <c r="AI11" i="16"/>
  <c r="AE11" i="16"/>
  <c r="BT11" i="16" s="1"/>
  <c r="AM11" i="16"/>
  <c r="AL11" i="16"/>
  <c r="AL3" i="16"/>
  <c r="AI9" i="16"/>
  <c r="AI46" i="16"/>
  <c r="AH47" i="16"/>
  <c r="AI49" i="16"/>
  <c r="AE7" i="16"/>
  <c r="BT7" i="16" s="1"/>
  <c r="AM7" i="16"/>
  <c r="AI7" i="16"/>
  <c r="AI13" i="16"/>
  <c r="AH46" i="16"/>
  <c r="AI47" i="16"/>
  <c r="AH51" i="16"/>
  <c r="AI53" i="16"/>
  <c r="AH42" i="16"/>
  <c r="AS50" i="16"/>
  <c r="AI50" i="16" s="1"/>
  <c r="AA169" i="16"/>
  <c r="T169" i="16" s="1"/>
  <c r="AI80" i="16"/>
  <c r="AH162" i="16"/>
  <c r="AH16" i="16"/>
  <c r="AI17" i="16"/>
  <c r="AH24" i="16"/>
  <c r="AH20" i="16"/>
  <c r="AI21" i="16"/>
  <c r="AH27" i="16"/>
  <c r="AH30" i="16"/>
  <c r="AI29" i="16"/>
  <c r="AH41" i="16"/>
  <c r="AI40" i="16"/>
  <c r="AR53" i="16"/>
  <c r="AV53" i="16" s="1"/>
  <c r="AF53" i="16" s="1"/>
  <c r="AR51" i="16"/>
  <c r="AV51" i="16" s="1"/>
  <c r="AF51" i="16" s="1"/>
  <c r="AH163" i="16"/>
  <c r="AB163" i="16" s="1"/>
  <c r="AB169" i="16"/>
  <c r="AH80" i="16"/>
  <c r="AH62" i="16"/>
  <c r="AI62" i="16"/>
  <c r="AI5" i="16"/>
  <c r="AH19" i="16"/>
  <c r="AH29" i="16"/>
  <c r="AH25" i="16"/>
  <c r="AI27" i="16"/>
  <c r="AI38" i="16"/>
  <c r="AS34" i="16"/>
  <c r="AI34" i="16" s="1"/>
  <c r="AI35" i="16"/>
  <c r="AI41" i="16"/>
  <c r="AI42" i="16"/>
  <c r="AB67" i="16"/>
  <c r="AI61" i="16"/>
  <c r="AI12" i="16"/>
  <c r="AI8" i="16"/>
  <c r="AI4" i="16"/>
  <c r="AH18" i="16"/>
  <c r="AI15" i="16"/>
  <c r="AH28" i="16"/>
  <c r="AI25" i="16"/>
  <c r="AS33" i="16"/>
  <c r="AI33" i="16" s="1"/>
  <c r="AV40" i="16"/>
  <c r="AF40" i="16" s="1"/>
  <c r="AH39" i="16"/>
  <c r="AA171" i="16"/>
  <c r="T171" i="16" s="1"/>
  <c r="AH66" i="16"/>
  <c r="AI66" i="16"/>
  <c r="AH161" i="16"/>
  <c r="AB161" i="16" s="1"/>
  <c r="AI77" i="16"/>
  <c r="AH61" i="16"/>
  <c r="AH43" i="16"/>
  <c r="AI48" i="16"/>
  <c r="AH48" i="16"/>
  <c r="AI6" i="16"/>
  <c r="AI14" i="16"/>
  <c r="AI2" i="16"/>
  <c r="AM5" i="16"/>
  <c r="AI3" i="16"/>
  <c r="AE13" i="16"/>
  <c r="BT13" i="16" s="1"/>
  <c r="AH23" i="16"/>
  <c r="AI23" i="16"/>
  <c r="AI37" i="16"/>
  <c r="AE6" i="16"/>
  <c r="BT6" i="16" s="1"/>
  <c r="AM14" i="16"/>
  <c r="AM12" i="16"/>
  <c r="AM10" i="16"/>
  <c r="AM8" i="16"/>
  <c r="AM6" i="16"/>
  <c r="AM4" i="16"/>
  <c r="AH15" i="16"/>
  <c r="AI20" i="16"/>
  <c r="AH38" i="16"/>
  <c r="AI31" i="16"/>
  <c r="AM9" i="16"/>
  <c r="AS44" i="16"/>
  <c r="AF44" i="16" s="1"/>
  <c r="AR44" i="16"/>
  <c r="AI10" i="16"/>
  <c r="AE8" i="16"/>
  <c r="BT8" i="16" s="1"/>
  <c r="AI22" i="16"/>
  <c r="AH26" i="16"/>
  <c r="AI26" i="16"/>
  <c r="AH37" i="16"/>
  <c r="AR38" i="16"/>
  <c r="AR31" i="16"/>
  <c r="AV42" i="16"/>
  <c r="AF42" i="16" s="1"/>
  <c r="V55" i="16" l="1"/>
  <c r="U56" i="16"/>
  <c r="U78" i="16"/>
  <c r="AF2" i="16"/>
  <c r="AA2" i="16" s="1"/>
  <c r="W2" i="16" s="1"/>
  <c r="U62" i="16"/>
  <c r="U57" i="16"/>
  <c r="U65" i="16"/>
  <c r="U54" i="16"/>
  <c r="U77" i="16"/>
  <c r="U64" i="16"/>
  <c r="AA57" i="16"/>
  <c r="T57" i="16" s="1"/>
  <c r="T77" i="16"/>
  <c r="T65" i="16"/>
  <c r="U79" i="16"/>
  <c r="BR22" i="16"/>
  <c r="BP22" i="16" s="1"/>
  <c r="V22" i="16" s="1"/>
  <c r="BR20" i="16"/>
  <c r="BP20" i="16" s="1"/>
  <c r="U20" i="16" s="1"/>
  <c r="U58" i="16"/>
  <c r="T55" i="16"/>
  <c r="U76" i="16"/>
  <c r="U63" i="16"/>
  <c r="U66" i="16"/>
  <c r="T66" i="16"/>
  <c r="BQ20" i="16"/>
  <c r="BQ22" i="16"/>
  <c r="AA64" i="16"/>
  <c r="T64" i="16" s="1"/>
  <c r="AA79" i="16"/>
  <c r="T79" i="16" s="1"/>
  <c r="AF12" i="16"/>
  <c r="AA12" i="16" s="1"/>
  <c r="W12" i="16" s="1"/>
  <c r="AG44" i="16"/>
  <c r="AG32" i="16"/>
  <c r="AA32" i="16" s="1"/>
  <c r="T32" i="16" s="1"/>
  <c r="AG34" i="16"/>
  <c r="AG50" i="16"/>
  <c r="AG52" i="16"/>
  <c r="AB65" i="16"/>
  <c r="AG33" i="16"/>
  <c r="AA167" i="16"/>
  <c r="T167" i="16" s="1"/>
  <c r="AF9" i="16"/>
  <c r="AA9" i="16" s="1"/>
  <c r="W9" i="16" s="1"/>
  <c r="AB40" i="16"/>
  <c r="AF10" i="16"/>
  <c r="AA10" i="16" s="1"/>
  <c r="W10" i="16" s="1"/>
  <c r="AA157" i="16"/>
  <c r="T157" i="16" s="1"/>
  <c r="AA76" i="16"/>
  <c r="T76" i="16" s="1"/>
  <c r="AF4" i="16"/>
  <c r="AA4" i="16" s="1"/>
  <c r="W4" i="16" s="1"/>
  <c r="T71" i="16"/>
  <c r="T67" i="16"/>
  <c r="AF3" i="16"/>
  <c r="AA3" i="16" s="1"/>
  <c r="W3" i="16" s="1"/>
  <c r="AF5" i="16"/>
  <c r="AA5" i="16" s="1"/>
  <c r="W5" i="16" s="1"/>
  <c r="T70" i="16"/>
  <c r="AF14" i="16"/>
  <c r="AA14" i="16" s="1"/>
  <c r="W14" i="16" s="1"/>
  <c r="AF7" i="16"/>
  <c r="AA7" i="16" s="1"/>
  <c r="W7" i="16" s="1"/>
  <c r="AF11" i="16"/>
  <c r="AA11" i="16" s="1"/>
  <c r="W11" i="16" s="1"/>
  <c r="AF13" i="16"/>
  <c r="AA13" i="16" s="1"/>
  <c r="W13" i="16" s="1"/>
  <c r="AF8" i="16"/>
  <c r="AA8" i="16" s="1"/>
  <c r="W8" i="16" s="1"/>
  <c r="AF6" i="16"/>
  <c r="AA6" i="16" s="1"/>
  <c r="W6" i="16" s="1"/>
  <c r="W60" i="16"/>
  <c r="W82" i="16"/>
  <c r="W81" i="16"/>
  <c r="AF50" i="16"/>
  <c r="AF52" i="16"/>
  <c r="AF33" i="16"/>
  <c r="AA33" i="16" s="1"/>
  <c r="T33" i="16" s="1"/>
  <c r="AF34" i="16"/>
  <c r="W80" i="16"/>
  <c r="W74" i="16"/>
  <c r="W72" i="16"/>
  <c r="W158" i="16"/>
  <c r="W165" i="16"/>
  <c r="W75" i="16"/>
  <c r="W65" i="16"/>
  <c r="W168" i="16"/>
  <c r="V41" i="16"/>
  <c r="U41" i="16"/>
  <c r="V38" i="16"/>
  <c r="U38" i="16"/>
  <c r="V29" i="16"/>
  <c r="U29" i="16"/>
  <c r="V23" i="16"/>
  <c r="U23" i="16"/>
  <c r="V52" i="16"/>
  <c r="U52" i="16"/>
  <c r="V42" i="16"/>
  <c r="U42" i="16"/>
  <c r="V35" i="16"/>
  <c r="U35" i="16"/>
  <c r="V30" i="16"/>
  <c r="U30" i="16"/>
  <c r="V24" i="16"/>
  <c r="U24" i="16"/>
  <c r="V39" i="16"/>
  <c r="U39" i="16"/>
  <c r="V50" i="16"/>
  <c r="U50" i="16"/>
  <c r="V44" i="16"/>
  <c r="U44" i="16"/>
  <c r="V28" i="16"/>
  <c r="U28" i="16"/>
  <c r="V16" i="16"/>
  <c r="U16" i="16"/>
  <c r="W171" i="16"/>
  <c r="W169" i="16"/>
  <c r="W164" i="16"/>
  <c r="W170" i="16"/>
  <c r="W61" i="16"/>
  <c r="W55" i="16"/>
  <c r="W77" i="16"/>
  <c r="W69" i="16"/>
  <c r="W156" i="16"/>
  <c r="V47" i="16"/>
  <c r="U47" i="16"/>
  <c r="V32" i="16"/>
  <c r="U32" i="16"/>
  <c r="U27" i="16"/>
  <c r="V27" i="16"/>
  <c r="V15" i="16"/>
  <c r="U15" i="16"/>
  <c r="V33" i="16"/>
  <c r="U33" i="16"/>
  <c r="W166" i="16"/>
  <c r="W160" i="16"/>
  <c r="W66" i="16"/>
  <c r="W59" i="16"/>
  <c r="W68" i="16"/>
  <c r="V51" i="16"/>
  <c r="U51" i="16"/>
  <c r="V34" i="16"/>
  <c r="U34" i="16"/>
  <c r="V25" i="16"/>
  <c r="U25" i="16"/>
  <c r="V17" i="16"/>
  <c r="U17" i="16"/>
  <c r="V45" i="16"/>
  <c r="U45" i="16"/>
  <c r="V26" i="16"/>
  <c r="U26" i="16"/>
  <c r="V18" i="16"/>
  <c r="U18" i="16"/>
  <c r="V43" i="16"/>
  <c r="U43" i="16"/>
  <c r="V53" i="16"/>
  <c r="U53" i="16"/>
  <c r="V40" i="16"/>
  <c r="U40" i="16"/>
  <c r="V37" i="16"/>
  <c r="U37" i="16"/>
  <c r="U22" i="16"/>
  <c r="W162" i="16"/>
  <c r="W73" i="16"/>
  <c r="W63" i="16"/>
  <c r="W200" i="16"/>
  <c r="V19" i="16"/>
  <c r="U19" i="16"/>
  <c r="V31" i="16"/>
  <c r="U31" i="16"/>
  <c r="V49" i="16"/>
  <c r="U49" i="16"/>
  <c r="V48" i="16"/>
  <c r="U48" i="16"/>
  <c r="V46" i="16"/>
  <c r="U46" i="16"/>
  <c r="V36" i="16"/>
  <c r="U36" i="16"/>
  <c r="V21" i="16"/>
  <c r="U21" i="16"/>
  <c r="AA42" i="16"/>
  <c r="W42" i="16" s="1"/>
  <c r="AA161" i="16"/>
  <c r="T161" i="16" s="1"/>
  <c r="AA58" i="16"/>
  <c r="T58" i="16" s="1"/>
  <c r="AH10" i="16"/>
  <c r="AB10" i="16" s="1"/>
  <c r="BQ10" i="16"/>
  <c r="BR10" i="16"/>
  <c r="BP10" i="16" s="1"/>
  <c r="AH7" i="16"/>
  <c r="AB7" i="16" s="1"/>
  <c r="BQ7" i="16"/>
  <c r="BR7" i="16"/>
  <c r="BP7" i="16" s="1"/>
  <c r="AH4" i="16"/>
  <c r="BR4" i="16"/>
  <c r="BP4" i="16" s="1"/>
  <c r="BQ4" i="16"/>
  <c r="AH12" i="16"/>
  <c r="AB12" i="16" s="1"/>
  <c r="BQ12" i="16"/>
  <c r="BR12" i="16"/>
  <c r="BP12" i="16" s="1"/>
  <c r="AH13" i="16"/>
  <c r="AB13" i="16" s="1"/>
  <c r="BQ13" i="16"/>
  <c r="BR13" i="16"/>
  <c r="BP13" i="16" s="1"/>
  <c r="AH9" i="16"/>
  <c r="AB9" i="16" s="1"/>
  <c r="BQ9" i="16"/>
  <c r="BR9" i="16"/>
  <c r="BP9" i="16" s="1"/>
  <c r="AH6" i="16"/>
  <c r="AB6" i="16" s="1"/>
  <c r="BQ6" i="16"/>
  <c r="BR6" i="16"/>
  <c r="BP6" i="16" s="1"/>
  <c r="AH14" i="16"/>
  <c r="AB14" i="16" s="1"/>
  <c r="BQ14" i="16"/>
  <c r="BR14" i="16"/>
  <c r="BP14" i="16" s="1"/>
  <c r="AH11" i="16"/>
  <c r="AB11" i="16" s="1"/>
  <c r="BQ11" i="16"/>
  <c r="BR11" i="16"/>
  <c r="BP11" i="16" s="1"/>
  <c r="AH3" i="16"/>
  <c r="AB3" i="16" s="1"/>
  <c r="BQ3" i="16"/>
  <c r="BR3" i="16"/>
  <c r="BP3" i="16" s="1"/>
  <c r="AH8" i="16"/>
  <c r="AB8" i="16" s="1"/>
  <c r="BQ8" i="16"/>
  <c r="BR8" i="16"/>
  <c r="BP8" i="16" s="1"/>
  <c r="AH5" i="16"/>
  <c r="AB5" i="16" s="1"/>
  <c r="BQ5" i="16"/>
  <c r="BR5" i="16"/>
  <c r="BP5" i="16" s="1"/>
  <c r="AH2" i="16"/>
  <c r="AB2" i="16" s="1"/>
  <c r="BQ2" i="16"/>
  <c r="BR2" i="16"/>
  <c r="BP2" i="16" s="1"/>
  <c r="AA15" i="16"/>
  <c r="T15" i="16" s="1"/>
  <c r="FM309" i="16"/>
  <c r="HA309" i="16" s="1"/>
  <c r="CL309" i="16"/>
  <c r="AA26" i="16"/>
  <c r="T26" i="16" s="1"/>
  <c r="AA53" i="16"/>
  <c r="T53" i="16" s="1"/>
  <c r="AB21" i="16"/>
  <c r="AA159" i="16"/>
  <c r="T159" i="16" s="1"/>
  <c r="AB28" i="16"/>
  <c r="AA62" i="16"/>
  <c r="T62" i="16" s="1"/>
  <c r="AB61" i="16"/>
  <c r="AA39" i="16"/>
  <c r="T39" i="16" s="1"/>
  <c r="AB162" i="16"/>
  <c r="AA51" i="16"/>
  <c r="T51" i="16" s="1"/>
  <c r="AA28" i="16"/>
  <c r="T28" i="16" s="1"/>
  <c r="AB165" i="16"/>
  <c r="AB36" i="16"/>
  <c r="AA30" i="16"/>
  <c r="T30" i="16" s="1"/>
  <c r="AA41" i="16"/>
  <c r="T41" i="16" s="1"/>
  <c r="AB51" i="16"/>
  <c r="AB4" i="16"/>
  <c r="AA18" i="16"/>
  <c r="T18" i="16" s="1"/>
  <c r="AA21" i="16"/>
  <c r="AA20" i="16"/>
  <c r="AA36" i="16"/>
  <c r="T36" i="16" s="1"/>
  <c r="AA23" i="16"/>
  <c r="T23" i="16" s="1"/>
  <c r="AH52" i="16"/>
  <c r="AB52" i="16" s="1"/>
  <c r="AB55" i="16"/>
  <c r="AB18" i="16"/>
  <c r="AB63" i="16"/>
  <c r="AA45" i="16"/>
  <c r="T45" i="16" s="1"/>
  <c r="AI32" i="16"/>
  <c r="AB25" i="16"/>
  <c r="AB47" i="16"/>
  <c r="AB80" i="16"/>
  <c r="AA17" i="16"/>
  <c r="T17" i="16" s="1"/>
  <c r="AH34" i="16"/>
  <c r="AB34" i="16" s="1"/>
  <c r="AB77" i="16"/>
  <c r="AB19" i="16"/>
  <c r="AA29" i="16"/>
  <c r="T29" i="16" s="1"/>
  <c r="AH32" i="16"/>
  <c r="AA19" i="16"/>
  <c r="T19" i="16" s="1"/>
  <c r="AA56" i="16"/>
  <c r="T56" i="16" s="1"/>
  <c r="AA25" i="16"/>
  <c r="T25" i="16" s="1"/>
  <c r="AB35" i="16"/>
  <c r="AA47" i="16"/>
  <c r="T47" i="16" s="1"/>
  <c r="AA78" i="16"/>
  <c r="T78" i="16" s="1"/>
  <c r="AA43" i="16"/>
  <c r="T43" i="16" s="1"/>
  <c r="AB39" i="16"/>
  <c r="AB45" i="16"/>
  <c r="AB31" i="16"/>
  <c r="AA37" i="16"/>
  <c r="T37" i="16" s="1"/>
  <c r="AB20" i="16"/>
  <c r="AA40" i="16"/>
  <c r="T40" i="16" s="1"/>
  <c r="AB48" i="16"/>
  <c r="AB22" i="16"/>
  <c r="AB38" i="16"/>
  <c r="AB43" i="16"/>
  <c r="AB30" i="16"/>
  <c r="AB166" i="16"/>
  <c r="AA38" i="16"/>
  <c r="T38" i="16" s="1"/>
  <c r="AA16" i="16"/>
  <c r="T16" i="16" s="1"/>
  <c r="AB15" i="16"/>
  <c r="AB42" i="16"/>
  <c r="AB29" i="16"/>
  <c r="AB16" i="16"/>
  <c r="AB49" i="16"/>
  <c r="AA54" i="16"/>
  <c r="T54" i="16" s="1"/>
  <c r="AA163" i="16"/>
  <c r="T163" i="16" s="1"/>
  <c r="AA49" i="16"/>
  <c r="T49" i="16" s="1"/>
  <c r="AA22" i="16"/>
  <c r="AA31" i="16"/>
  <c r="T31" i="16" s="1"/>
  <c r="AH33" i="16"/>
  <c r="AB33" i="16" s="1"/>
  <c r="AB17" i="16"/>
  <c r="AA35" i="16"/>
  <c r="T35" i="16" s="1"/>
  <c r="AB37" i="16"/>
  <c r="AB24" i="16"/>
  <c r="AB58" i="16"/>
  <c r="AB26" i="16"/>
  <c r="AB66" i="16"/>
  <c r="AB62" i="16"/>
  <c r="AH50" i="16"/>
  <c r="AB50" i="16" s="1"/>
  <c r="AB41" i="16"/>
  <c r="AB53" i="16"/>
  <c r="AB27" i="16"/>
  <c r="AA24" i="16"/>
  <c r="T24" i="16" s="1"/>
  <c r="AB46" i="16"/>
  <c r="AA46" i="16"/>
  <c r="T46" i="16" s="1"/>
  <c r="AI44" i="16"/>
  <c r="AH44" i="16"/>
  <c r="AA48" i="16"/>
  <c r="T48" i="16" s="1"/>
  <c r="AA27" i="16"/>
  <c r="T27" i="16" s="1"/>
  <c r="AB23" i="16"/>
  <c r="W57" i="16" l="1"/>
  <c r="T22" i="16"/>
  <c r="T20" i="16"/>
  <c r="V20" i="16"/>
  <c r="W64" i="16"/>
  <c r="W79" i="16"/>
  <c r="W167" i="16"/>
  <c r="W157" i="16"/>
  <c r="W76" i="16"/>
  <c r="T21" i="16"/>
  <c r="W21" i="16"/>
  <c r="AB32" i="16"/>
  <c r="T8" i="16"/>
  <c r="T6" i="16"/>
  <c r="T5" i="16"/>
  <c r="T14" i="16"/>
  <c r="T12" i="16"/>
  <c r="T4" i="16"/>
  <c r="T11" i="16"/>
  <c r="T13" i="16"/>
  <c r="T10" i="16"/>
  <c r="T3" i="16"/>
  <c r="T9" i="16"/>
  <c r="T7" i="16"/>
  <c r="T42" i="16"/>
  <c r="T2" i="16"/>
  <c r="W48" i="16"/>
  <c r="W49" i="16"/>
  <c r="W16" i="16"/>
  <c r="W40" i="16"/>
  <c r="W47" i="16"/>
  <c r="W19" i="16"/>
  <c r="W17" i="16"/>
  <c r="V5" i="16"/>
  <c r="U5" i="16"/>
  <c r="V6" i="16"/>
  <c r="U6" i="16"/>
  <c r="W27" i="16"/>
  <c r="W46" i="16"/>
  <c r="W33" i="16"/>
  <c r="W31" i="16"/>
  <c r="W38" i="16"/>
  <c r="W23" i="16"/>
  <c r="W41" i="16"/>
  <c r="W39" i="16"/>
  <c r="W159" i="16"/>
  <c r="W53" i="16"/>
  <c r="W15" i="16"/>
  <c r="V2" i="16"/>
  <c r="U2" i="16"/>
  <c r="V14" i="16"/>
  <c r="U14" i="16"/>
  <c r="V12" i="16"/>
  <c r="U12" i="16"/>
  <c r="U4" i="16"/>
  <c r="V4" i="16"/>
  <c r="W58" i="16"/>
  <c r="W54" i="16"/>
  <c r="W32" i="16"/>
  <c r="W37" i="16"/>
  <c r="W43" i="16"/>
  <c r="W25" i="16"/>
  <c r="W45" i="16"/>
  <c r="W36" i="16"/>
  <c r="W18" i="16"/>
  <c r="W30" i="16"/>
  <c r="W28" i="16"/>
  <c r="W26" i="16"/>
  <c r="V11" i="16"/>
  <c r="U11" i="16"/>
  <c r="V13" i="16"/>
  <c r="U13" i="16"/>
  <c r="V10" i="16"/>
  <c r="U10" i="16"/>
  <c r="W161" i="16"/>
  <c r="W24" i="16"/>
  <c r="W35" i="16"/>
  <c r="W22" i="16"/>
  <c r="W163" i="16"/>
  <c r="W78" i="16"/>
  <c r="W56" i="16"/>
  <c r="W29" i="16"/>
  <c r="W20" i="16"/>
  <c r="W51" i="16"/>
  <c r="W62" i="16"/>
  <c r="V8" i="16"/>
  <c r="U8" i="16"/>
  <c r="V3" i="16"/>
  <c r="U3" i="16"/>
  <c r="V9" i="16"/>
  <c r="U9" i="16"/>
  <c r="V7" i="16"/>
  <c r="U7" i="16"/>
  <c r="AA34" i="16"/>
  <c r="T34" i="16" s="1"/>
  <c r="CM309" i="16"/>
  <c r="FN309" i="16"/>
  <c r="HB309" i="16" s="1"/>
  <c r="AA50" i="16"/>
  <c r="T50" i="16" s="1"/>
  <c r="AA52" i="16"/>
  <c r="T52" i="16" s="1"/>
  <c r="AB44" i="16"/>
  <c r="AA44" i="16"/>
  <c r="T44" i="16" s="1"/>
  <c r="BM426" i="16"/>
  <c r="BO426" i="16" s="1"/>
  <c r="BM425" i="16"/>
  <c r="BO425" i="16" s="1"/>
  <c r="AM425" i="16"/>
  <c r="AM426" i="16"/>
  <c r="BI426" i="16"/>
  <c r="BK426" i="16" s="1"/>
  <c r="BI425" i="16"/>
  <c r="BK425" i="16" s="1"/>
  <c r="AS426" i="16"/>
  <c r="AR426" i="16"/>
  <c r="BL426" i="16" s="1"/>
  <c r="AS425" i="16"/>
  <c r="AR425" i="16"/>
  <c r="BL425" i="16" s="1"/>
  <c r="AC417" i="16"/>
  <c r="AD417" i="16"/>
  <c r="AC418" i="16"/>
  <c r="AD418" i="16"/>
  <c r="AC419" i="16"/>
  <c r="AD419" i="16"/>
  <c r="AC420" i="16"/>
  <c r="AD420" i="16"/>
  <c r="AC421" i="16"/>
  <c r="AD421" i="16"/>
  <c r="AC422" i="16"/>
  <c r="AD422" i="16"/>
  <c r="AC423" i="16"/>
  <c r="AD423" i="16"/>
  <c r="AC424" i="16"/>
  <c r="AD424" i="16"/>
  <c r="AD416" i="16"/>
  <c r="AC416" i="16"/>
  <c r="AL425" i="16"/>
  <c r="AL426" i="16"/>
  <c r="AL420" i="16"/>
  <c r="AL421" i="16"/>
  <c r="AL422" i="16"/>
  <c r="AL423" i="16"/>
  <c r="AL424" i="16"/>
  <c r="BM417" i="16"/>
  <c r="BO417" i="16" s="1"/>
  <c r="BM418" i="16"/>
  <c r="BO418" i="16" s="1"/>
  <c r="BM419" i="16"/>
  <c r="BO419" i="16" s="1"/>
  <c r="BM420" i="16"/>
  <c r="BO420" i="16" s="1"/>
  <c r="BM421" i="16"/>
  <c r="BO421" i="16" s="1"/>
  <c r="BM422" i="16"/>
  <c r="BO422" i="16" s="1"/>
  <c r="BM423" i="16"/>
  <c r="BO423" i="16" s="1"/>
  <c r="BM424" i="16"/>
  <c r="BO424" i="16" s="1"/>
  <c r="BM416" i="16"/>
  <c r="BO416" i="16" s="1"/>
  <c r="AM417" i="16"/>
  <c r="BR417" i="16" s="1"/>
  <c r="AM418" i="16"/>
  <c r="BR418" i="16" s="1"/>
  <c r="AM419" i="16"/>
  <c r="BR419" i="16" s="1"/>
  <c r="AM420" i="16"/>
  <c r="BR420" i="16" s="1"/>
  <c r="AM421" i="16"/>
  <c r="BR421" i="16" s="1"/>
  <c r="AM422" i="16"/>
  <c r="BR422" i="16" s="1"/>
  <c r="AM423" i="16"/>
  <c r="BR423" i="16" s="1"/>
  <c r="AM424" i="16"/>
  <c r="BR424" i="16" s="1"/>
  <c r="AM416" i="16"/>
  <c r="BR416" i="16" s="1"/>
  <c r="BI417" i="16"/>
  <c r="BK417" i="16" s="1"/>
  <c r="BI418" i="16"/>
  <c r="BK418" i="16" s="1"/>
  <c r="BI419" i="16"/>
  <c r="BK419" i="16" s="1"/>
  <c r="BI420" i="16"/>
  <c r="BK420" i="16" s="1"/>
  <c r="BI421" i="16"/>
  <c r="BK421" i="16" s="1"/>
  <c r="BI422" i="16"/>
  <c r="BK422" i="16" s="1"/>
  <c r="BI423" i="16"/>
  <c r="BK423" i="16" s="1"/>
  <c r="BI424" i="16"/>
  <c r="BK424" i="16" s="1"/>
  <c r="BI416" i="16"/>
  <c r="BK416" i="16" s="1"/>
  <c r="AS419" i="16"/>
  <c r="AR419" i="16"/>
  <c r="AS420" i="16"/>
  <c r="AR420" i="16"/>
  <c r="AS421" i="16"/>
  <c r="AR421" i="16"/>
  <c r="AS422" i="16"/>
  <c r="AR422" i="16"/>
  <c r="AS423" i="16"/>
  <c r="AR423" i="16"/>
  <c r="AS424" i="16"/>
  <c r="AR424" i="16"/>
  <c r="AS418" i="16"/>
  <c r="AR418" i="16"/>
  <c r="AS417" i="16"/>
  <c r="AR417" i="16"/>
  <c r="AS416" i="16"/>
  <c r="AR416" i="16"/>
  <c r="BM415" i="16"/>
  <c r="BO415" i="16" s="1"/>
  <c r="BM414" i="16"/>
  <c r="BO414" i="16" s="1"/>
  <c r="BM413" i="16"/>
  <c r="BO413" i="16" s="1"/>
  <c r="AM415" i="16"/>
  <c r="BR415" i="16" s="1"/>
  <c r="AM414" i="16"/>
  <c r="BR414" i="16" s="1"/>
  <c r="AM413" i="16"/>
  <c r="BR413" i="16" s="1"/>
  <c r="BI414" i="16"/>
  <c r="BK414" i="16" s="1"/>
  <c r="BI415" i="16"/>
  <c r="BK415" i="16" s="1"/>
  <c r="BI413" i="16"/>
  <c r="BK413" i="16" s="1"/>
  <c r="AR415" i="16"/>
  <c r="BL415" i="16" s="1"/>
  <c r="AS415" i="16"/>
  <c r="AR414" i="16"/>
  <c r="BL414" i="16" s="1"/>
  <c r="AS414" i="16"/>
  <c r="AR413" i="16"/>
  <c r="BL413" i="16" s="1"/>
  <c r="AS413" i="16"/>
  <c r="BM412" i="16"/>
  <c r="BO412" i="16" s="1"/>
  <c r="BM411" i="16"/>
  <c r="BO411" i="16" s="1"/>
  <c r="AM412" i="16"/>
  <c r="AM411" i="16"/>
  <c r="BI412" i="16"/>
  <c r="BK412" i="16" s="1"/>
  <c r="BI411" i="16"/>
  <c r="BK411" i="16" s="1"/>
  <c r="BH412" i="16"/>
  <c r="BH411" i="16"/>
  <c r="AP412" i="16"/>
  <c r="AP411" i="16"/>
  <c r="BM410" i="16"/>
  <c r="BO410" i="16" s="1"/>
  <c r="BM409" i="16"/>
  <c r="BO409" i="16" s="1"/>
  <c r="AM409" i="16"/>
  <c r="AM410" i="16"/>
  <c r="BI410" i="16"/>
  <c r="BK410" i="16" s="1"/>
  <c r="BI409" i="16"/>
  <c r="BK409" i="16" s="1"/>
  <c r="AS409" i="16"/>
  <c r="AR409" i="16"/>
  <c r="AS410" i="16"/>
  <c r="AR410" i="16"/>
  <c r="BM408" i="16"/>
  <c r="BO408" i="16" s="1"/>
  <c r="BM407" i="16"/>
  <c r="BO407" i="16" s="1"/>
  <c r="AM407" i="16"/>
  <c r="AM408" i="16"/>
  <c r="BI408" i="16"/>
  <c r="BK408" i="16" s="1"/>
  <c r="BI407" i="16"/>
  <c r="BK407" i="16" s="1"/>
  <c r="AP408" i="16"/>
  <c r="AS408" i="16" s="1"/>
  <c r="AP407" i="16"/>
  <c r="AR407" i="16" s="1"/>
  <c r="BM406" i="16"/>
  <c r="BO406" i="16" s="1"/>
  <c r="BM405" i="16"/>
  <c r="BO405" i="16" s="1"/>
  <c r="BM404" i="16"/>
  <c r="BO404" i="16" s="1"/>
  <c r="BI406" i="16"/>
  <c r="BK406" i="16" s="1"/>
  <c r="BI405" i="16"/>
  <c r="BK405" i="16" s="1"/>
  <c r="BI404" i="16"/>
  <c r="BK404" i="16" s="1"/>
  <c r="AS404" i="16"/>
  <c r="AR404" i="16"/>
  <c r="AS405" i="16"/>
  <c r="AR405" i="16"/>
  <c r="AS406" i="16"/>
  <c r="AR406" i="16"/>
  <c r="AL411" i="16"/>
  <c r="AL412" i="16"/>
  <c r="AL413" i="16"/>
  <c r="AL414" i="16"/>
  <c r="AL415" i="16"/>
  <c r="AL416" i="16"/>
  <c r="AL417" i="16"/>
  <c r="AL418" i="16"/>
  <c r="AL419" i="16"/>
  <c r="AL403" i="16"/>
  <c r="AL407" i="16"/>
  <c r="AL408" i="16"/>
  <c r="AL409" i="16"/>
  <c r="AL410" i="16"/>
  <c r="BM403" i="16"/>
  <c r="BO403" i="16" s="1"/>
  <c r="AM403" i="16"/>
  <c r="BI403" i="16"/>
  <c r="BK403" i="16" s="1"/>
  <c r="AS403" i="16"/>
  <c r="AR403" i="16"/>
  <c r="BL403" i="16" s="1"/>
  <c r="BM402" i="16"/>
  <c r="BO402" i="16" s="1"/>
  <c r="BM401" i="16"/>
  <c r="BO401" i="16" s="1"/>
  <c r="BM400" i="16"/>
  <c r="BO400" i="16" s="1"/>
  <c r="BM399" i="16"/>
  <c r="BO399" i="16" s="1"/>
  <c r="BM398" i="16"/>
  <c r="BO398" i="16" s="1"/>
  <c r="BM397" i="16"/>
  <c r="BO397" i="16" s="1"/>
  <c r="BM396" i="16"/>
  <c r="BO396" i="16" s="1"/>
  <c r="AM396" i="16"/>
  <c r="AM397" i="16"/>
  <c r="AM398" i="16"/>
  <c r="AM399" i="16"/>
  <c r="AM400" i="16"/>
  <c r="AM401" i="16"/>
  <c r="AM402" i="16"/>
  <c r="BI401" i="16"/>
  <c r="BK401" i="16" s="1"/>
  <c r="BI402" i="16"/>
  <c r="BK402" i="16" s="1"/>
  <c r="BI400" i="16"/>
  <c r="BK400" i="16" s="1"/>
  <c r="BI399" i="16"/>
  <c r="BK399" i="16" s="1"/>
  <c r="BI398" i="16"/>
  <c r="BK398" i="16" s="1"/>
  <c r="BI397" i="16"/>
  <c r="BK397" i="16" s="1"/>
  <c r="BI396" i="16"/>
  <c r="BK396" i="16" s="1"/>
  <c r="AS400" i="16"/>
  <c r="AR400" i="16"/>
  <c r="BL400" i="16" s="1"/>
  <c r="AP402" i="16"/>
  <c r="AP401" i="16"/>
  <c r="AR401" i="16" s="1"/>
  <c r="BL401" i="16" s="1"/>
  <c r="AP399" i="16"/>
  <c r="AS399" i="16" s="1"/>
  <c r="AS397" i="16"/>
  <c r="AR397" i="16"/>
  <c r="BL397" i="16" s="1"/>
  <c r="AS398" i="16"/>
  <c r="AD392" i="16"/>
  <c r="AD393" i="16"/>
  <c r="AD394" i="16"/>
  <c r="AD395" i="16"/>
  <c r="AC392" i="16"/>
  <c r="AC393" i="16"/>
  <c r="AC394" i="16"/>
  <c r="AC395" i="16"/>
  <c r="BM395" i="16"/>
  <c r="BO395" i="16" s="1"/>
  <c r="BM394" i="16"/>
  <c r="BO394" i="16" s="1"/>
  <c r="BM393" i="16"/>
  <c r="BO393" i="16" s="1"/>
  <c r="BM392" i="16"/>
  <c r="BO392" i="16" s="1"/>
  <c r="AM392" i="16"/>
  <c r="AM393" i="16"/>
  <c r="AM394" i="16"/>
  <c r="AM395" i="16"/>
  <c r="BI394" i="16"/>
  <c r="BK394" i="16" s="1"/>
  <c r="BI395" i="16"/>
  <c r="BK395" i="16" s="1"/>
  <c r="BI393" i="16"/>
  <c r="BK393" i="16" s="1"/>
  <c r="BI392" i="16"/>
  <c r="BK392" i="16" s="1"/>
  <c r="AS395" i="16"/>
  <c r="BU395" i="16" s="1"/>
  <c r="AR395" i="16"/>
  <c r="AS394" i="16"/>
  <c r="AR394" i="16"/>
  <c r="AS393" i="16"/>
  <c r="BU393" i="16" s="1"/>
  <c r="AR393" i="16"/>
  <c r="AS392" i="16"/>
  <c r="AR392" i="16"/>
  <c r="BM391" i="16"/>
  <c r="BO391" i="16" s="1"/>
  <c r="BM390" i="16"/>
  <c r="BO390" i="16" s="1"/>
  <c r="BM389" i="16"/>
  <c r="BO389" i="16" s="1"/>
  <c r="BI391" i="16"/>
  <c r="BK391" i="16" s="1"/>
  <c r="BI390" i="16"/>
  <c r="BK390" i="16" s="1"/>
  <c r="BI389" i="16"/>
  <c r="BK389" i="16" s="1"/>
  <c r="AS391" i="16"/>
  <c r="AR391" i="16"/>
  <c r="AS390" i="16"/>
  <c r="AR390" i="16"/>
  <c r="AS389" i="16"/>
  <c r="AI389" i="16" s="1"/>
  <c r="AR389" i="16"/>
  <c r="AL392" i="16"/>
  <c r="AL393" i="16"/>
  <c r="AL394" i="16"/>
  <c r="AL395" i="16"/>
  <c r="AL396" i="16"/>
  <c r="AL397" i="16"/>
  <c r="AL398" i="16"/>
  <c r="AL399" i="16"/>
  <c r="AL400" i="16"/>
  <c r="AL401" i="16"/>
  <c r="AL402" i="16"/>
  <c r="BM384" i="16"/>
  <c r="BO384" i="16" s="1"/>
  <c r="BM385" i="16"/>
  <c r="BO385" i="16" s="1"/>
  <c r="BM386" i="16"/>
  <c r="BO386" i="16" s="1"/>
  <c r="BM387" i="16"/>
  <c r="BO387" i="16" s="1"/>
  <c r="BM388" i="16"/>
  <c r="BO388" i="16" s="1"/>
  <c r="BM383" i="16"/>
  <c r="BO383" i="16" s="1"/>
  <c r="BI384" i="16"/>
  <c r="BK384" i="16" s="1"/>
  <c r="BI385" i="16"/>
  <c r="BK385" i="16" s="1"/>
  <c r="BI386" i="16"/>
  <c r="BK386" i="16" s="1"/>
  <c r="BI387" i="16"/>
  <c r="BK387" i="16" s="1"/>
  <c r="BI388" i="16"/>
  <c r="BK388" i="16" s="1"/>
  <c r="BI383" i="16"/>
  <c r="BK383" i="16" s="1"/>
  <c r="AS388" i="16"/>
  <c r="AR388" i="16"/>
  <c r="AS387" i="16"/>
  <c r="AR387" i="16"/>
  <c r="AS386" i="16"/>
  <c r="AR386" i="16"/>
  <c r="AS385" i="16"/>
  <c r="AR385" i="16"/>
  <c r="AS384" i="16"/>
  <c r="AR384" i="16"/>
  <c r="AS383" i="16"/>
  <c r="AR383" i="16"/>
  <c r="BM375" i="16"/>
  <c r="BO375" i="16" s="1"/>
  <c r="BM376" i="16"/>
  <c r="BO376" i="16" s="1"/>
  <c r="BM377" i="16"/>
  <c r="BO377" i="16" s="1"/>
  <c r="BM378" i="16"/>
  <c r="BO378" i="16" s="1"/>
  <c r="BM379" i="16"/>
  <c r="BO379" i="16" s="1"/>
  <c r="BM380" i="16"/>
  <c r="BO380" i="16" s="1"/>
  <c r="BM381" i="16"/>
  <c r="BO381" i="16" s="1"/>
  <c r="BM382" i="16"/>
  <c r="BO382" i="16" s="1"/>
  <c r="BM374" i="16"/>
  <c r="BO374" i="16" s="1"/>
  <c r="BI375" i="16"/>
  <c r="BK375" i="16" s="1"/>
  <c r="BI376" i="16"/>
  <c r="BK376" i="16" s="1"/>
  <c r="BI377" i="16"/>
  <c r="BK377" i="16" s="1"/>
  <c r="BI378" i="16"/>
  <c r="BK378" i="16" s="1"/>
  <c r="BI379" i="16"/>
  <c r="BK379" i="16" s="1"/>
  <c r="BI380" i="16"/>
  <c r="BK380" i="16" s="1"/>
  <c r="BI381" i="16"/>
  <c r="BK381" i="16" s="1"/>
  <c r="BI382" i="16"/>
  <c r="BK382" i="16" s="1"/>
  <c r="BI374" i="16"/>
  <c r="BK374" i="16" s="1"/>
  <c r="BH375" i="16"/>
  <c r="BH376" i="16"/>
  <c r="BH377" i="16"/>
  <c r="BH378" i="16"/>
  <c r="BH379" i="16"/>
  <c r="BH380" i="16"/>
  <c r="BH381" i="16"/>
  <c r="BH382" i="16"/>
  <c r="BH374" i="16"/>
  <c r="AR374" i="16"/>
  <c r="BL374" i="16" s="1"/>
  <c r="AR375" i="16"/>
  <c r="BL375" i="16" s="1"/>
  <c r="AR376" i="16"/>
  <c r="BL376" i="16" s="1"/>
  <c r="AR377" i="16"/>
  <c r="BL377" i="16" s="1"/>
  <c r="AR378" i="16"/>
  <c r="BL378" i="16" s="1"/>
  <c r="AR379" i="16"/>
  <c r="BL379" i="16" s="1"/>
  <c r="AR380" i="16"/>
  <c r="BL380" i="16" s="1"/>
  <c r="AR381" i="16"/>
  <c r="BL381" i="16" s="1"/>
  <c r="AR382" i="16"/>
  <c r="BL382" i="16" s="1"/>
  <c r="AS382" i="16"/>
  <c r="AS381" i="16"/>
  <c r="AS380" i="16"/>
  <c r="AS379" i="16"/>
  <c r="AS378" i="16"/>
  <c r="AS377" i="16"/>
  <c r="AS376" i="16"/>
  <c r="AS375" i="16"/>
  <c r="AL370" i="16"/>
  <c r="AL371" i="16"/>
  <c r="AL372" i="16"/>
  <c r="AL373" i="16"/>
  <c r="BM368" i="16"/>
  <c r="BO368" i="16" s="1"/>
  <c r="BM369" i="16"/>
  <c r="BO369" i="16" s="1"/>
  <c r="BM370" i="16"/>
  <c r="BO370" i="16" s="1"/>
  <c r="BM371" i="16"/>
  <c r="BO371" i="16" s="1"/>
  <c r="BM372" i="16"/>
  <c r="BO372" i="16" s="1"/>
  <c r="BM373" i="16"/>
  <c r="BO373" i="16" s="1"/>
  <c r="BM367" i="16"/>
  <c r="BO367" i="16" s="1"/>
  <c r="AM367" i="16"/>
  <c r="BQ367" i="16" s="1"/>
  <c r="AM368" i="16"/>
  <c r="BQ368" i="16" s="1"/>
  <c r="AM369" i="16"/>
  <c r="BQ369" i="16" s="1"/>
  <c r="AM370" i="16"/>
  <c r="BQ370" i="16" s="1"/>
  <c r="AM371" i="16"/>
  <c r="BQ371" i="16" s="1"/>
  <c r="AM372" i="16"/>
  <c r="BQ372" i="16" s="1"/>
  <c r="AM373" i="16"/>
  <c r="BQ373" i="16" s="1"/>
  <c r="BI368" i="16"/>
  <c r="BK368" i="16" s="1"/>
  <c r="BI369" i="16"/>
  <c r="BK369" i="16" s="1"/>
  <c r="BI370" i="16"/>
  <c r="BK370" i="16" s="1"/>
  <c r="BI371" i="16"/>
  <c r="BK371" i="16" s="1"/>
  <c r="BI372" i="16"/>
  <c r="BK372" i="16" s="1"/>
  <c r="BI373" i="16"/>
  <c r="BK373" i="16" s="1"/>
  <c r="BI367" i="16"/>
  <c r="BK367" i="16" s="1"/>
  <c r="AD366" i="16"/>
  <c r="AC366" i="16"/>
  <c r="BM366" i="16"/>
  <c r="BO366" i="16" s="1"/>
  <c r="BI366" i="16"/>
  <c r="BK366" i="16" s="1"/>
  <c r="AS366" i="16"/>
  <c r="AR366" i="16"/>
  <c r="BM365" i="16"/>
  <c r="BO365" i="16" s="1"/>
  <c r="BM364" i="16"/>
  <c r="BO364" i="16" s="1"/>
  <c r="BM363" i="16"/>
  <c r="BO363" i="16" s="1"/>
  <c r="BM362" i="16"/>
  <c r="BO362" i="16" s="1"/>
  <c r="BM361" i="16"/>
  <c r="BO361" i="16" s="1"/>
  <c r="BM360" i="16"/>
  <c r="BO360" i="16" s="1"/>
  <c r="BM359" i="16"/>
  <c r="BO359" i="16" s="1"/>
  <c r="AD359" i="16"/>
  <c r="AD360" i="16"/>
  <c r="AD361" i="16"/>
  <c r="AD362" i="16"/>
  <c r="AD363" i="16"/>
  <c r="AD364" i="16"/>
  <c r="AD365" i="16"/>
  <c r="AC359" i="16"/>
  <c r="AC360" i="16"/>
  <c r="AC361" i="16"/>
  <c r="AC362" i="16"/>
  <c r="AC363" i="16"/>
  <c r="AC364" i="16"/>
  <c r="AC365" i="16"/>
  <c r="BI365" i="16"/>
  <c r="BK365" i="16" s="1"/>
  <c r="BI364" i="16"/>
  <c r="BK364" i="16" s="1"/>
  <c r="BI363" i="16"/>
  <c r="BK363" i="16" s="1"/>
  <c r="BI362" i="16"/>
  <c r="BK362" i="16" s="1"/>
  <c r="BI361" i="16"/>
  <c r="BK361" i="16" s="1"/>
  <c r="BI360" i="16"/>
  <c r="BK360" i="16" s="1"/>
  <c r="BI359" i="16"/>
  <c r="BK359" i="16" s="1"/>
  <c r="AS365" i="16"/>
  <c r="AR365" i="16"/>
  <c r="AS364" i="16"/>
  <c r="AR364" i="16"/>
  <c r="AS363" i="16"/>
  <c r="AR363" i="16"/>
  <c r="AS362" i="16"/>
  <c r="AR362" i="16"/>
  <c r="AS361" i="16"/>
  <c r="AR361" i="16"/>
  <c r="AS360" i="16"/>
  <c r="AR360" i="16"/>
  <c r="AS359" i="16"/>
  <c r="AR359" i="16"/>
  <c r="AD356" i="16"/>
  <c r="AD357" i="16"/>
  <c r="AD358" i="16"/>
  <c r="AC356" i="16"/>
  <c r="AC357" i="16"/>
  <c r="AC358" i="16"/>
  <c r="BM358" i="16"/>
  <c r="BO358" i="16" s="1"/>
  <c r="BM357" i="16"/>
  <c r="BO357" i="16" s="1"/>
  <c r="BM356" i="16"/>
  <c r="BO356" i="16" s="1"/>
  <c r="AM356" i="16"/>
  <c r="AM357" i="16"/>
  <c r="AM358" i="16"/>
  <c r="BI357" i="16"/>
  <c r="BK357" i="16" s="1"/>
  <c r="BI358" i="16"/>
  <c r="BK358" i="16" s="1"/>
  <c r="BI356" i="16"/>
  <c r="BK356" i="16" s="1"/>
  <c r="AS356" i="16"/>
  <c r="AR356" i="16"/>
  <c r="BL356" i="16" s="1"/>
  <c r="AS357" i="16"/>
  <c r="AR357" i="16"/>
  <c r="BL357" i="16" s="1"/>
  <c r="AS358" i="16"/>
  <c r="AR358" i="16"/>
  <c r="BL358" i="16" s="1"/>
  <c r="AD355" i="16"/>
  <c r="AC355" i="16"/>
  <c r="BM355" i="16"/>
  <c r="BO355" i="16" s="1"/>
  <c r="BI355" i="16"/>
  <c r="BK355" i="16" s="1"/>
  <c r="AR355" i="16"/>
  <c r="AS355" i="16"/>
  <c r="AE351" i="16"/>
  <c r="AE352" i="16"/>
  <c r="AE353" i="16"/>
  <c r="BM353" i="16"/>
  <c r="BO353" i="16" s="1"/>
  <c r="BM352" i="16"/>
  <c r="BO352" i="16" s="1"/>
  <c r="BM351" i="16"/>
  <c r="BO351" i="16" s="1"/>
  <c r="AM351" i="16"/>
  <c r="AM352" i="16"/>
  <c r="AM353" i="16"/>
  <c r="AM354" i="16"/>
  <c r="BI354" i="16"/>
  <c r="BK354" i="16" s="1"/>
  <c r="AG354" i="16" s="1"/>
  <c r="BI353" i="16"/>
  <c r="BK353" i="16" s="1"/>
  <c r="BI352" i="16"/>
  <c r="BK352" i="16" s="1"/>
  <c r="BI351" i="16"/>
  <c r="BK351" i="16" s="1"/>
  <c r="AV351" i="16"/>
  <c r="AV352" i="16"/>
  <c r="AV353" i="16"/>
  <c r="AP353" i="16"/>
  <c r="AS353" i="16" s="1"/>
  <c r="AP352" i="16"/>
  <c r="AP351" i="16"/>
  <c r="AR351" i="16" s="1"/>
  <c r="AL350" i="16"/>
  <c r="AL351" i="16"/>
  <c r="AL352" i="16"/>
  <c r="AL353" i="16"/>
  <c r="AL354" i="16"/>
  <c r="AL356" i="16"/>
  <c r="AL357" i="16"/>
  <c r="AL358" i="16"/>
  <c r="AL367" i="16"/>
  <c r="AL368" i="16"/>
  <c r="AL369" i="16"/>
  <c r="AR350" i="16"/>
  <c r="AS350" i="16"/>
  <c r="AM350" i="16"/>
  <c r="BM350" i="16"/>
  <c r="BO350" i="16" s="1"/>
  <c r="BI350" i="16"/>
  <c r="BK350" i="16" s="1"/>
  <c r="AG415" i="16" l="1"/>
  <c r="AG389" i="16"/>
  <c r="AG413" i="16"/>
  <c r="AG426" i="16"/>
  <c r="AG388" i="16"/>
  <c r="AG384" i="16"/>
  <c r="AG404" i="16"/>
  <c r="AG395" i="16"/>
  <c r="AG398" i="16"/>
  <c r="AG363" i="16"/>
  <c r="AG359" i="16"/>
  <c r="AG391" i="16"/>
  <c r="AG406" i="16"/>
  <c r="AG420" i="16"/>
  <c r="AG350" i="16"/>
  <c r="AG353" i="16"/>
  <c r="AG356" i="16"/>
  <c r="AG360" i="16"/>
  <c r="AG364" i="16"/>
  <c r="AG379" i="16"/>
  <c r="AG375" i="16"/>
  <c r="AG387" i="16"/>
  <c r="AG390" i="16"/>
  <c r="AG394" i="16"/>
  <c r="AG399" i="16"/>
  <c r="AG403" i="16"/>
  <c r="AG405" i="16"/>
  <c r="AG408" i="16"/>
  <c r="AG423" i="16"/>
  <c r="AG419" i="16"/>
  <c r="AG380" i="16"/>
  <c r="AG358" i="16"/>
  <c r="AG361" i="16"/>
  <c r="AG365" i="16"/>
  <c r="AG366" i="16"/>
  <c r="AG382" i="16"/>
  <c r="AG378" i="16"/>
  <c r="AG386" i="16"/>
  <c r="AG392" i="16"/>
  <c r="AG400" i="16"/>
  <c r="AG409" i="16"/>
  <c r="AG414" i="16"/>
  <c r="AG422" i="16"/>
  <c r="AG418" i="16"/>
  <c r="AG376" i="16"/>
  <c r="AG424" i="16"/>
  <c r="AG355" i="16"/>
  <c r="AG357" i="16"/>
  <c r="AG362" i="16"/>
  <c r="AG381" i="16"/>
  <c r="AG377" i="16"/>
  <c r="AG383" i="16"/>
  <c r="AG385" i="16"/>
  <c r="AG393" i="16"/>
  <c r="AG397" i="16"/>
  <c r="AG410" i="16"/>
  <c r="AG416" i="16"/>
  <c r="AG421" i="16"/>
  <c r="AG417" i="16"/>
  <c r="AG425" i="16"/>
  <c r="W44" i="16"/>
  <c r="AV406" i="16"/>
  <c r="AV404" i="16"/>
  <c r="W52" i="16"/>
  <c r="W34" i="16"/>
  <c r="AV366" i="16"/>
  <c r="AV405" i="16"/>
  <c r="W50" i="16"/>
  <c r="BR354" i="16"/>
  <c r="BP354" i="16" s="1"/>
  <c r="BQ354" i="16"/>
  <c r="BQ394" i="16"/>
  <c r="BR394" i="16"/>
  <c r="BQ400" i="16"/>
  <c r="BR400" i="16"/>
  <c r="BP400" i="16" s="1"/>
  <c r="BR396" i="16"/>
  <c r="BP396" i="16" s="1"/>
  <c r="BQ396" i="16"/>
  <c r="BR407" i="16"/>
  <c r="BQ407" i="16"/>
  <c r="CN309" i="16"/>
  <c r="FO309" i="16"/>
  <c r="HC309" i="16" s="1"/>
  <c r="BQ350" i="16"/>
  <c r="BR350" i="16"/>
  <c r="BP350" i="16" s="1"/>
  <c r="BQ353" i="16"/>
  <c r="BR353" i="16"/>
  <c r="BP353" i="16" s="1"/>
  <c r="BQ358" i="16"/>
  <c r="BR358" i="16"/>
  <c r="BP358" i="16" s="1"/>
  <c r="BR393" i="16"/>
  <c r="BQ393" i="16"/>
  <c r="BR399" i="16"/>
  <c r="BP399" i="16" s="1"/>
  <c r="BQ399" i="16"/>
  <c r="BQ410" i="16"/>
  <c r="BR410" i="16"/>
  <c r="BQ352" i="16"/>
  <c r="BR352" i="16"/>
  <c r="BP352" i="16" s="1"/>
  <c r="BQ357" i="16"/>
  <c r="BR357" i="16"/>
  <c r="BP357" i="16" s="1"/>
  <c r="BQ392" i="16"/>
  <c r="BR392" i="16"/>
  <c r="BQ402" i="16"/>
  <c r="BR402" i="16"/>
  <c r="BP402" i="16" s="1"/>
  <c r="BR398" i="16"/>
  <c r="BP398" i="16" s="1"/>
  <c r="BQ398" i="16"/>
  <c r="BR409" i="16"/>
  <c r="BQ409" i="16"/>
  <c r="BQ426" i="16"/>
  <c r="BR426" i="16"/>
  <c r="BP426" i="16" s="1"/>
  <c r="BQ351" i="16"/>
  <c r="BR351" i="16"/>
  <c r="BP351" i="16" s="1"/>
  <c r="BQ356" i="16"/>
  <c r="BR356" i="16"/>
  <c r="BP356" i="16" s="1"/>
  <c r="BQ395" i="16"/>
  <c r="BR395" i="16"/>
  <c r="BQ401" i="16"/>
  <c r="BR401" i="16"/>
  <c r="BP401" i="16" s="1"/>
  <c r="BR397" i="16"/>
  <c r="BP397" i="16" s="1"/>
  <c r="BQ397" i="16"/>
  <c r="BQ403" i="16"/>
  <c r="BR403" i="16"/>
  <c r="BQ408" i="16"/>
  <c r="BR408" i="16"/>
  <c r="BR425" i="16"/>
  <c r="BP425" i="16" s="1"/>
  <c r="BQ425" i="16"/>
  <c r="AH397" i="16"/>
  <c r="AI375" i="16"/>
  <c r="AI379" i="16"/>
  <c r="AI376" i="16"/>
  <c r="AI380" i="16"/>
  <c r="AI377" i="16"/>
  <c r="AI381" i="16"/>
  <c r="AI378" i="16"/>
  <c r="AI382" i="16"/>
  <c r="AH394" i="16"/>
  <c r="BU394" i="16"/>
  <c r="AH356" i="16"/>
  <c r="AV414" i="16"/>
  <c r="AV383" i="16"/>
  <c r="AV385" i="16"/>
  <c r="AV387" i="16"/>
  <c r="AV397" i="16"/>
  <c r="AH408" i="16"/>
  <c r="AV413" i="16"/>
  <c r="AV415" i="16"/>
  <c r="AV384" i="16"/>
  <c r="AV386" i="16"/>
  <c r="AV388" i="16"/>
  <c r="AH393" i="16"/>
  <c r="AI350" i="16"/>
  <c r="AH353" i="16"/>
  <c r="AI404" i="16"/>
  <c r="AI390" i="16"/>
  <c r="AI426" i="16"/>
  <c r="AI383" i="16"/>
  <c r="AH424" i="16"/>
  <c r="AI386" i="16"/>
  <c r="AH392" i="16"/>
  <c r="AR408" i="16"/>
  <c r="AI385" i="16"/>
  <c r="AI388" i="16"/>
  <c r="AI384" i="16"/>
  <c r="AI408" i="16"/>
  <c r="AH409" i="16"/>
  <c r="AH418" i="16"/>
  <c r="AH425" i="16"/>
  <c r="AI366" i="16"/>
  <c r="AI409" i="16"/>
  <c r="AH414" i="16"/>
  <c r="AI415" i="16"/>
  <c r="AI425" i="16"/>
  <c r="AI364" i="16"/>
  <c r="AH399" i="16"/>
  <c r="AI400" i="16"/>
  <c r="AH403" i="16"/>
  <c r="AI413" i="16"/>
  <c r="AH417" i="16"/>
  <c r="AI423" i="16"/>
  <c r="AI419" i="16"/>
  <c r="AH357" i="16"/>
  <c r="AI362" i="16"/>
  <c r="AI391" i="16"/>
  <c r="AH395" i="16"/>
  <c r="AI392" i="16"/>
  <c r="AI397" i="16"/>
  <c r="AI403" i="16"/>
  <c r="AS407" i="16"/>
  <c r="AH407" i="16" s="1"/>
  <c r="AH415" i="16"/>
  <c r="AH423" i="16"/>
  <c r="AI418" i="16"/>
  <c r="AH350" i="16"/>
  <c r="AI387" i="16"/>
  <c r="AR399" i="16"/>
  <c r="AS401" i="16"/>
  <c r="AI401" i="16" s="1"/>
  <c r="AI398" i="16"/>
  <c r="AI421" i="16"/>
  <c r="AI355" i="16"/>
  <c r="AI393" i="16"/>
  <c r="AH400" i="16"/>
  <c r="AI399" i="16"/>
  <c r="AI405" i="16"/>
  <c r="AH413" i="16"/>
  <c r="AI414" i="16"/>
  <c r="AH421" i="16"/>
  <c r="AH426" i="16"/>
  <c r="AR396" i="16"/>
  <c r="BL396" i="16" s="1"/>
  <c r="AS396" i="16"/>
  <c r="AG396" i="16" s="1"/>
  <c r="AS351" i="16"/>
  <c r="AG351" i="16" s="1"/>
  <c r="AI365" i="16"/>
  <c r="AS402" i="16"/>
  <c r="AG402" i="16" s="1"/>
  <c r="AR402" i="16"/>
  <c r="BL402" i="16" s="1"/>
  <c r="AI356" i="16"/>
  <c r="AI359" i="16"/>
  <c r="AI363" i="16"/>
  <c r="AI394" i="16"/>
  <c r="AI420" i="16"/>
  <c r="AI358" i="16"/>
  <c r="AH358" i="16"/>
  <c r="AI395" i="16"/>
  <c r="AH398" i="16"/>
  <c r="AH420" i="16"/>
  <c r="AI422" i="16"/>
  <c r="AR398" i="16"/>
  <c r="AH422" i="16"/>
  <c r="AH419" i="16"/>
  <c r="AI416" i="16"/>
  <c r="AI417" i="16"/>
  <c r="AH410" i="16"/>
  <c r="AI410" i="16"/>
  <c r="AH416" i="16"/>
  <c r="AI424" i="16"/>
  <c r="AI353" i="16"/>
  <c r="AS352" i="16"/>
  <c r="AH352" i="16" s="1"/>
  <c r="AR352" i="16"/>
  <c r="AR353" i="16"/>
  <c r="AI357" i="16"/>
  <c r="AI360" i="16"/>
  <c r="AI361" i="16"/>
  <c r="AC302" i="16"/>
  <c r="AC303" i="16"/>
  <c r="AC304" i="16"/>
  <c r="AI351" i="16" l="1"/>
  <c r="AB357" i="16"/>
  <c r="AB423" i="16"/>
  <c r="AG407" i="16"/>
  <c r="AB353" i="16"/>
  <c r="AG352" i="16"/>
  <c r="AG401" i="16"/>
  <c r="AB397" i="16"/>
  <c r="V351" i="16"/>
  <c r="V402" i="16"/>
  <c r="V357" i="16"/>
  <c r="V353" i="16"/>
  <c r="BL398" i="16"/>
  <c r="BL399" i="16"/>
  <c r="V426" i="16"/>
  <c r="V397" i="16"/>
  <c r="V396" i="16"/>
  <c r="V401" i="16"/>
  <c r="V356" i="16"/>
  <c r="V352" i="16"/>
  <c r="V358" i="16"/>
  <c r="V350" i="16"/>
  <c r="V400" i="16"/>
  <c r="V354" i="16"/>
  <c r="V425" i="16"/>
  <c r="V398" i="16"/>
  <c r="V399" i="16"/>
  <c r="AB358" i="16"/>
  <c r="CO309" i="16"/>
  <c r="FQ309" i="16" s="1"/>
  <c r="FP309" i="16"/>
  <c r="HD309" i="16" s="1"/>
  <c r="AB356" i="16"/>
  <c r="AH351" i="16"/>
  <c r="AB351" i="16" s="1"/>
  <c r="AB398" i="16"/>
  <c r="AH402" i="16"/>
  <c r="AB417" i="16"/>
  <c r="AB425" i="16"/>
  <c r="AB424" i="16"/>
  <c r="AV396" i="16"/>
  <c r="AB400" i="16"/>
  <c r="AB418" i="16"/>
  <c r="AB350" i="16"/>
  <c r="AB419" i="16"/>
  <c r="AB426" i="16"/>
  <c r="AI396" i="16"/>
  <c r="AB421" i="16"/>
  <c r="AH401" i="16"/>
  <c r="AB401" i="16" s="1"/>
  <c r="AI407" i="16"/>
  <c r="AI402" i="16"/>
  <c r="AB399" i="16"/>
  <c r="AB420" i="16"/>
  <c r="AB416" i="16"/>
  <c r="AB422" i="16"/>
  <c r="AH396" i="16"/>
  <c r="AI352" i="16"/>
  <c r="AB352" i="16" s="1"/>
  <c r="BM349" i="16"/>
  <c r="BO349" i="16" s="1"/>
  <c r="BI349" i="16"/>
  <c r="AS349" i="16"/>
  <c r="AR349" i="16"/>
  <c r="BM348" i="16"/>
  <c r="BO348" i="16" s="1"/>
  <c r="BM347" i="16"/>
  <c r="BO347" i="16" s="1"/>
  <c r="BM346" i="16"/>
  <c r="BO346" i="16" s="1"/>
  <c r="BI348" i="16"/>
  <c r="BK348" i="16" s="1"/>
  <c r="BI347" i="16"/>
  <c r="BK347" i="16" s="1"/>
  <c r="BI346" i="16"/>
  <c r="BK346" i="16" s="1"/>
  <c r="AS346" i="16"/>
  <c r="AR346" i="16"/>
  <c r="BL346" i="16" s="1"/>
  <c r="AS347" i="16"/>
  <c r="AR347" i="16"/>
  <c r="BL347" i="16" s="1"/>
  <c r="AS348" i="16"/>
  <c r="AR348" i="16"/>
  <c r="BL348" i="16" s="1"/>
  <c r="BN345" i="16"/>
  <c r="BM345" i="16"/>
  <c r="BI345" i="16"/>
  <c r="BK345" i="16" s="1"/>
  <c r="BH345" i="16"/>
  <c r="AP345" i="16"/>
  <c r="AP338" i="16"/>
  <c r="AL325" i="16"/>
  <c r="AL326" i="16"/>
  <c r="AL327" i="16"/>
  <c r="AL328" i="16"/>
  <c r="AL329" i="16"/>
  <c r="AL330" i="16"/>
  <c r="AL331" i="16"/>
  <c r="AL332" i="16"/>
  <c r="AL333" i="16"/>
  <c r="AL334" i="16"/>
  <c r="AL335" i="16"/>
  <c r="AL336" i="16"/>
  <c r="AL337" i="16"/>
  <c r="AL338" i="16"/>
  <c r="AL339" i="16"/>
  <c r="AL340" i="16"/>
  <c r="AL341" i="16"/>
  <c r="BM337" i="16"/>
  <c r="BO337" i="16" s="1"/>
  <c r="BM336" i="16"/>
  <c r="BO336" i="16" s="1"/>
  <c r="BM335" i="16"/>
  <c r="BO335" i="16" s="1"/>
  <c r="BM334" i="16"/>
  <c r="BO334" i="16" s="1"/>
  <c r="BM333" i="16"/>
  <c r="BO333" i="16" s="1"/>
  <c r="BM332" i="16"/>
  <c r="BO332" i="16" s="1"/>
  <c r="AM333" i="16"/>
  <c r="BR333" i="16" s="1"/>
  <c r="BP333" i="16" s="1"/>
  <c r="AM334" i="16"/>
  <c r="BR334" i="16" s="1"/>
  <c r="BP334" i="16" s="1"/>
  <c r="AM335" i="16"/>
  <c r="AM336" i="16"/>
  <c r="BR336" i="16" s="1"/>
  <c r="BP336" i="16" s="1"/>
  <c r="AM337" i="16"/>
  <c r="AM332" i="16"/>
  <c r="BI333" i="16"/>
  <c r="BK333" i="16" s="1"/>
  <c r="BI334" i="16"/>
  <c r="BK334" i="16" s="1"/>
  <c r="BI335" i="16"/>
  <c r="BI336" i="16"/>
  <c r="BI337" i="16"/>
  <c r="BK337" i="16" s="1"/>
  <c r="BI332" i="16"/>
  <c r="BK332" i="16" s="1"/>
  <c r="AP337" i="16"/>
  <c r="AS337" i="16" s="1"/>
  <c r="AP336" i="16"/>
  <c r="AR336" i="16" s="1"/>
  <c r="BL336" i="16" s="1"/>
  <c r="AP335" i="16"/>
  <c r="AS335" i="16" s="1"/>
  <c r="AP334" i="16"/>
  <c r="AR334" i="16" s="1"/>
  <c r="BL334" i="16" s="1"/>
  <c r="AP333" i="16"/>
  <c r="AS333" i="16" s="1"/>
  <c r="AP332" i="16"/>
  <c r="AS332" i="16" s="1"/>
  <c r="BM319" i="16"/>
  <c r="BO319" i="16" s="1"/>
  <c r="BM318" i="16"/>
  <c r="BO318" i="16" s="1"/>
  <c r="BM317" i="16"/>
  <c r="BO317" i="16" s="1"/>
  <c r="BM316" i="16"/>
  <c r="BO316" i="16" s="1"/>
  <c r="BM315" i="16"/>
  <c r="BO315" i="16" s="1"/>
  <c r="BM314" i="16"/>
  <c r="BO314" i="16" s="1"/>
  <c r="BM313" i="16"/>
  <c r="BO313" i="16" s="1"/>
  <c r="BM312" i="16"/>
  <c r="BO312" i="16" s="1"/>
  <c r="AM312" i="16"/>
  <c r="BR312" i="16" s="1"/>
  <c r="BP312" i="16" s="1"/>
  <c r="AM313" i="16"/>
  <c r="BR313" i="16" s="1"/>
  <c r="BP313" i="16" s="1"/>
  <c r="AM314" i="16"/>
  <c r="BR314" i="16" s="1"/>
  <c r="BP314" i="16" s="1"/>
  <c r="AM315" i="16"/>
  <c r="BR315" i="16" s="1"/>
  <c r="BP315" i="16" s="1"/>
  <c r="AM316" i="16"/>
  <c r="BR316" i="16" s="1"/>
  <c r="BP316" i="16" s="1"/>
  <c r="AM317" i="16"/>
  <c r="BR317" i="16" s="1"/>
  <c r="BP317" i="16" s="1"/>
  <c r="AM318" i="16"/>
  <c r="BR318" i="16" s="1"/>
  <c r="BP318" i="16" s="1"/>
  <c r="AM319" i="16"/>
  <c r="BR319" i="16" s="1"/>
  <c r="BP319" i="16" s="1"/>
  <c r="BI319" i="16"/>
  <c r="BK319" i="16" s="1"/>
  <c r="BI318" i="16"/>
  <c r="BI317" i="16"/>
  <c r="BK317" i="16" s="1"/>
  <c r="BI316" i="16"/>
  <c r="BI315" i="16"/>
  <c r="BK315" i="16" s="1"/>
  <c r="BI314" i="16"/>
  <c r="BK314" i="16" s="1"/>
  <c r="BI313" i="16"/>
  <c r="BK313" i="16" s="1"/>
  <c r="BI312" i="16"/>
  <c r="AP317" i="16"/>
  <c r="AR317" i="16" s="1"/>
  <c r="BL317" i="16" s="1"/>
  <c r="AP318" i="16"/>
  <c r="AS318" i="16" s="1"/>
  <c r="AP319" i="16"/>
  <c r="AS319" i="16" s="1"/>
  <c r="AP316" i="16"/>
  <c r="AR316" i="16" s="1"/>
  <c r="BL316" i="16" s="1"/>
  <c r="AP313" i="16"/>
  <c r="AS313" i="16" s="1"/>
  <c r="AP314" i="16"/>
  <c r="AR314" i="16" s="1"/>
  <c r="BL314" i="16" s="1"/>
  <c r="AP315" i="16"/>
  <c r="AR315" i="16" s="1"/>
  <c r="BL315" i="16" s="1"/>
  <c r="AP312" i="16"/>
  <c r="AS312" i="16" s="1"/>
  <c r="AD302" i="16"/>
  <c r="AD303" i="16"/>
  <c r="AD304" i="16"/>
  <c r="AL305" i="16"/>
  <c r="AL306" i="16"/>
  <c r="AL307" i="16"/>
  <c r="AL308" i="16"/>
  <c r="AL309" i="16"/>
  <c r="AL310" i="16"/>
  <c r="AL311" i="16"/>
  <c r="AL312" i="16"/>
  <c r="AL313" i="16"/>
  <c r="AL314" i="16"/>
  <c r="AL315" i="16"/>
  <c r="AL316" i="16"/>
  <c r="AL317" i="16"/>
  <c r="AL318" i="16"/>
  <c r="AL319" i="16"/>
  <c r="AL320" i="16"/>
  <c r="AL321" i="16"/>
  <c r="AL322" i="16"/>
  <c r="AL323" i="16"/>
  <c r="AL324" i="16"/>
  <c r="AM305" i="16"/>
  <c r="BR305" i="16" s="1"/>
  <c r="BP305" i="16" s="1"/>
  <c r="AM306" i="16"/>
  <c r="BR306" i="16" s="1"/>
  <c r="BP306" i="16" s="1"/>
  <c r="AM307" i="16"/>
  <c r="BR307" i="16" s="1"/>
  <c r="BP307" i="16" s="1"/>
  <c r="AM308" i="16"/>
  <c r="BR308" i="16" s="1"/>
  <c r="BP308" i="16" s="1"/>
  <c r="AM309" i="16"/>
  <c r="AM310" i="16"/>
  <c r="BR310" i="16" s="1"/>
  <c r="BP310" i="16" s="1"/>
  <c r="AM311" i="16"/>
  <c r="BR311" i="16" s="1"/>
  <c r="BP311" i="16" s="1"/>
  <c r="AG332" i="16" l="1"/>
  <c r="AG348" i="16"/>
  <c r="AG319" i="16"/>
  <c r="AG337" i="16"/>
  <c r="AG333" i="16"/>
  <c r="AG346" i="16"/>
  <c r="AG313" i="16"/>
  <c r="AG347" i="16"/>
  <c r="V317" i="16"/>
  <c r="V313" i="16"/>
  <c r="V336" i="16"/>
  <c r="V316" i="16"/>
  <c r="V312" i="16"/>
  <c r="V310" i="16"/>
  <c r="V308" i="16"/>
  <c r="V306" i="16"/>
  <c r="V319" i="16"/>
  <c r="V315" i="16"/>
  <c r="V334" i="16"/>
  <c r="V307" i="16"/>
  <c r="V311" i="16"/>
  <c r="V305" i="16"/>
  <c r="V318" i="16"/>
  <c r="V314" i="16"/>
  <c r="V333" i="16"/>
  <c r="HE309" i="16"/>
  <c r="BR309" i="16" s="1"/>
  <c r="BP309" i="16" s="1"/>
  <c r="AB402" i="16"/>
  <c r="AS338" i="16"/>
  <c r="AG338" i="16" s="1"/>
  <c r="AR338" i="16"/>
  <c r="BL338" i="16" s="1"/>
  <c r="AV348" i="16"/>
  <c r="AB396" i="16"/>
  <c r="AI347" i="16"/>
  <c r="AH318" i="16"/>
  <c r="AR319" i="16"/>
  <c r="BL319" i="16" s="1"/>
  <c r="AH313" i="16"/>
  <c r="AR337" i="16"/>
  <c r="BL337" i="16" s="1"/>
  <c r="AH332" i="16"/>
  <c r="AI348" i="16"/>
  <c r="AS315" i="16"/>
  <c r="AG315" i="16" s="1"/>
  <c r="AH312" i="16"/>
  <c r="AS316" i="16"/>
  <c r="AH316" i="16" s="1"/>
  <c r="AR312" i="16"/>
  <c r="BL312" i="16" s="1"/>
  <c r="AR332" i="16"/>
  <c r="BL332" i="16" s="1"/>
  <c r="AI346" i="16"/>
  <c r="AI313" i="16"/>
  <c r="AR335" i="16"/>
  <c r="BL335" i="16" s="1"/>
  <c r="AR333" i="16"/>
  <c r="BL333" i="16" s="1"/>
  <c r="BK335" i="16"/>
  <c r="AG335" i="16" s="1"/>
  <c r="BK318" i="16"/>
  <c r="AG318" i="16" s="1"/>
  <c r="AS317" i="16"/>
  <c r="AI317" i="16" s="1"/>
  <c r="BK312" i="16"/>
  <c r="AG312" i="16" s="1"/>
  <c r="BK316" i="16"/>
  <c r="AH319" i="16"/>
  <c r="AI312" i="16"/>
  <c r="AS336" i="16"/>
  <c r="AI336" i="16" s="1"/>
  <c r="BO345" i="16"/>
  <c r="BK349" i="16"/>
  <c r="AG349" i="16" s="1"/>
  <c r="BK336" i="16"/>
  <c r="AI333" i="16"/>
  <c r="AI319" i="16"/>
  <c r="AH337" i="16"/>
  <c r="AH333" i="16"/>
  <c r="AS314" i="16"/>
  <c r="AI314" i="16" s="1"/>
  <c r="AI318" i="16"/>
  <c r="AI349" i="16"/>
  <c r="AR318" i="16"/>
  <c r="BL318" i="16" s="1"/>
  <c r="AS334" i="16"/>
  <c r="AH334" i="16" s="1"/>
  <c r="AH335" i="16"/>
  <c r="AR313" i="16"/>
  <c r="BL313" i="16" s="1"/>
  <c r="AP309" i="16"/>
  <c r="AP310" i="16"/>
  <c r="AP311" i="16"/>
  <c r="BM311" i="16"/>
  <c r="BO311" i="16" s="1"/>
  <c r="BM308" i="16"/>
  <c r="BO308" i="16" s="1"/>
  <c r="BM309" i="16"/>
  <c r="BO309" i="16" s="1"/>
  <c r="BM310" i="16"/>
  <c r="BO310" i="16" s="1"/>
  <c r="BI309" i="16"/>
  <c r="BK309" i="16" s="1"/>
  <c r="BI310" i="16"/>
  <c r="BK310" i="16" s="1"/>
  <c r="BI311" i="16"/>
  <c r="BK311" i="16" s="1"/>
  <c r="BI308" i="16"/>
  <c r="BK308" i="16" s="1"/>
  <c r="BM306" i="16"/>
  <c r="BO306" i="16" s="1"/>
  <c r="BM307" i="16"/>
  <c r="BO307" i="16" s="1"/>
  <c r="BI307" i="16"/>
  <c r="BK307" i="16" s="1"/>
  <c r="BI306" i="16"/>
  <c r="BK306" i="16" s="1"/>
  <c r="BM305" i="16"/>
  <c r="BO305" i="16" s="1"/>
  <c r="BI305" i="16"/>
  <c r="BK305" i="16" s="1"/>
  <c r="AP307" i="16"/>
  <c r="AP306" i="16"/>
  <c r="AP305" i="16"/>
  <c r="BK304" i="16"/>
  <c r="BM304" i="16"/>
  <c r="BO304" i="16" s="1"/>
  <c r="BH304" i="16"/>
  <c r="AP304" i="16"/>
  <c r="BM303" i="16"/>
  <c r="BO303" i="16" s="1"/>
  <c r="BI303" i="16"/>
  <c r="BK303" i="16" s="1"/>
  <c r="BH303" i="16"/>
  <c r="AP303" i="16"/>
  <c r="BM302" i="16"/>
  <c r="BO302" i="16" s="1"/>
  <c r="BK302" i="16"/>
  <c r="BH302" i="16"/>
  <c r="AP302" i="16"/>
  <c r="AG316" i="16" l="1"/>
  <c r="AH317" i="16"/>
  <c r="AG336" i="16"/>
  <c r="AG314" i="16"/>
  <c r="AG317" i="16"/>
  <c r="AG334" i="16"/>
  <c r="V309" i="16"/>
  <c r="AH338" i="16"/>
  <c r="AB318" i="16"/>
  <c r="AB312" i="16"/>
  <c r="AB313" i="16"/>
  <c r="AI315" i="16"/>
  <c r="AH315" i="16"/>
  <c r="AH314" i="16"/>
  <c r="AB314" i="16" s="1"/>
  <c r="AB319" i="16"/>
  <c r="AI316" i="16"/>
  <c r="AB316" i="16" s="1"/>
  <c r="AH336" i="16"/>
  <c r="AB336" i="16" s="1"/>
  <c r="AI334" i="16"/>
  <c r="AB334" i="16" s="1"/>
  <c r="AR307" i="16"/>
  <c r="AS307" i="16"/>
  <c r="AG307" i="16" s="1"/>
  <c r="AR310" i="16"/>
  <c r="AS310" i="16"/>
  <c r="AI310" i="16" s="1"/>
  <c r="AB317" i="16"/>
  <c r="AR309" i="16"/>
  <c r="AS309" i="16"/>
  <c r="AG309" i="16" s="1"/>
  <c r="AS308" i="16"/>
  <c r="AG308" i="16" s="1"/>
  <c r="AR308" i="16"/>
  <c r="AR305" i="16"/>
  <c r="AS305" i="16"/>
  <c r="AH305" i="16" s="1"/>
  <c r="AS306" i="16"/>
  <c r="AI306" i="16" s="1"/>
  <c r="AR306" i="16"/>
  <c r="AR311" i="16"/>
  <c r="AS311" i="16"/>
  <c r="AG311" i="16" s="1"/>
  <c r="AB333" i="16"/>
  <c r="AM301" i="16"/>
  <c r="AL301" i="16"/>
  <c r="BM301" i="16"/>
  <c r="BO301" i="16" s="1"/>
  <c r="BI301" i="16"/>
  <c r="BK301" i="16" s="1"/>
  <c r="AP301" i="16"/>
  <c r="AR301" i="16" s="1"/>
  <c r="AG310" i="16" l="1"/>
  <c r="AG306" i="16"/>
  <c r="AG305" i="16"/>
  <c r="BQ301" i="16"/>
  <c r="BR301" i="16"/>
  <c r="BP301" i="16" s="1"/>
  <c r="AB315" i="16"/>
  <c r="AH311" i="16"/>
  <c r="AI305" i="16"/>
  <c r="AB305" i="16" s="1"/>
  <c r="AI311" i="16"/>
  <c r="AI307" i="16"/>
  <c r="AH307" i="16"/>
  <c r="AH309" i="16"/>
  <c r="AI309" i="16"/>
  <c r="AH310" i="16"/>
  <c r="AB310" i="16" s="1"/>
  <c r="AH308" i="16"/>
  <c r="AI308" i="16"/>
  <c r="AH306" i="16"/>
  <c r="AB306" i="16" s="1"/>
  <c r="AS301" i="16"/>
  <c r="AG301" i="16" s="1"/>
  <c r="Y261" i="16"/>
  <c r="Y262" i="16"/>
  <c r="Y263" i="16"/>
  <c r="Y264" i="16"/>
  <c r="Y265" i="16"/>
  <c r="Y266" i="16"/>
  <c r="Y283" i="16"/>
  <c r="Y284" i="16"/>
  <c r="Y290" i="16"/>
  <c r="Y291" i="16"/>
  <c r="Y292" i="16"/>
  <c r="Y293" i="16"/>
  <c r="Y294" i="16"/>
  <c r="Y302" i="16"/>
  <c r="Y303" i="16"/>
  <c r="Y304" i="16"/>
  <c r="Y345" i="16"/>
  <c r="Y346" i="16"/>
  <c r="Y347" i="16"/>
  <c r="Y348" i="16"/>
  <c r="Y355" i="16"/>
  <c r="Y383" i="16"/>
  <c r="Y384" i="16"/>
  <c r="Y385" i="16"/>
  <c r="Y386" i="16"/>
  <c r="Y387" i="16"/>
  <c r="Y388" i="16"/>
  <c r="Y409" i="16"/>
  <c r="Y410" i="16"/>
  <c r="Y411" i="16"/>
  <c r="Y412" i="16"/>
  <c r="F353" i="16"/>
  <c r="F354" i="16"/>
  <c r="F352" i="16"/>
  <c r="F351" i="16"/>
  <c r="F209" i="16"/>
  <c r="F208" i="16"/>
  <c r="AB311" i="16" l="1"/>
  <c r="V301" i="16"/>
  <c r="AB308" i="16"/>
  <c r="AB307" i="16"/>
  <c r="AH301" i="16"/>
  <c r="AB309" i="16"/>
  <c r="AI301" i="16"/>
  <c r="K274" i="16"/>
  <c r="I247" i="16"/>
  <c r="I58" i="16"/>
  <c r="I57" i="16"/>
  <c r="I56" i="16"/>
  <c r="I55" i="16"/>
  <c r="I54" i="16"/>
  <c r="AB301" i="16" l="1"/>
  <c r="I354" i="16"/>
  <c r="I353" i="16"/>
  <c r="I352" i="16"/>
  <c r="I351" i="16"/>
  <c r="I238" i="16"/>
  <c r="I396" i="16"/>
  <c r="I243" i="16"/>
  <c r="I242" i="16"/>
  <c r="I241" i="16"/>
  <c r="I178" i="16"/>
  <c r="F44" i="16"/>
  <c r="F43" i="16"/>
  <c r="AW262" i="16" l="1"/>
  <c r="AW263" i="16"/>
  <c r="AY263" i="16" s="1"/>
  <c r="S263" i="16" s="1"/>
  <c r="AW264" i="16"/>
  <c r="AY264" i="16" s="1"/>
  <c r="S264" i="16" s="1"/>
  <c r="AW265" i="16"/>
  <c r="AY265" i="16" s="1"/>
  <c r="S265" i="16" s="1"/>
  <c r="AW266" i="16"/>
  <c r="AU262" i="16"/>
  <c r="BP262" i="16" s="1"/>
  <c r="AU263" i="16"/>
  <c r="BP263" i="16" s="1"/>
  <c r="AU264" i="16"/>
  <c r="BP264" i="16" s="1"/>
  <c r="AU265" i="16"/>
  <c r="BP265" i="16" s="1"/>
  <c r="AU266" i="16"/>
  <c r="BP266" i="16" s="1"/>
  <c r="AY262" i="16"/>
  <c r="S262" i="16" s="1"/>
  <c r="AY266" i="16"/>
  <c r="S266" i="16" s="1"/>
  <c r="AW261" i="16"/>
  <c r="AY261" i="16" s="1"/>
  <c r="S261" i="16" s="1"/>
  <c r="AU261" i="16"/>
  <c r="BP261" i="16" s="1"/>
  <c r="AY269" i="16"/>
  <c r="S269" i="16" s="1"/>
  <c r="AY270" i="16"/>
  <c r="S270" i="16" s="1"/>
  <c r="AY271" i="16"/>
  <c r="S271" i="16" s="1"/>
  <c r="AY272" i="16"/>
  <c r="S272" i="16" s="1"/>
  <c r="AY273" i="16"/>
  <c r="S273" i="16" s="1"/>
  <c r="AY274" i="16"/>
  <c r="S274" i="16" s="1"/>
  <c r="AY268" i="16"/>
  <c r="S268" i="16" s="1"/>
  <c r="AY267" i="16"/>
  <c r="S267" i="16" s="1"/>
  <c r="AU274" i="16"/>
  <c r="BP274" i="16" s="1"/>
  <c r="AU273" i="16"/>
  <c r="BP273" i="16" s="1"/>
  <c r="AU272" i="16"/>
  <c r="BP272" i="16" s="1"/>
  <c r="AU271" i="16"/>
  <c r="BP271" i="16" s="1"/>
  <c r="AU270" i="16"/>
  <c r="BP270" i="16" s="1"/>
  <c r="AU269" i="16"/>
  <c r="BP269" i="16" s="1"/>
  <c r="AU268" i="16"/>
  <c r="BP268" i="16" s="1"/>
  <c r="AU267" i="16"/>
  <c r="BP267" i="16" s="1"/>
  <c r="AY276" i="16"/>
  <c r="S276" i="16" s="1"/>
  <c r="AY277" i="16"/>
  <c r="S277" i="16" s="1"/>
  <c r="AY278" i="16"/>
  <c r="S278" i="16" s="1"/>
  <c r="AY279" i="16"/>
  <c r="S279" i="16" s="1"/>
  <c r="AY280" i="16"/>
  <c r="S280" i="16" s="1"/>
  <c r="AY281" i="16"/>
  <c r="S281" i="16" s="1"/>
  <c r="AY282" i="16"/>
  <c r="S282" i="16" s="1"/>
  <c r="AY275" i="16"/>
  <c r="S275" i="16" s="1"/>
  <c r="AU276" i="16"/>
  <c r="AU277" i="16"/>
  <c r="BP277" i="16" s="1"/>
  <c r="AU278" i="16"/>
  <c r="BP278" i="16" s="1"/>
  <c r="AU279" i="16"/>
  <c r="BP279" i="16" s="1"/>
  <c r="AU280" i="16"/>
  <c r="BP280" i="16" s="1"/>
  <c r="AU281" i="16"/>
  <c r="BP281" i="16" s="1"/>
  <c r="AU282" i="16"/>
  <c r="AU275" i="16"/>
  <c r="AY284" i="16"/>
  <c r="S284" i="16" s="1"/>
  <c r="AY283" i="16"/>
  <c r="S283" i="16" s="1"/>
  <c r="AU284" i="16"/>
  <c r="AU283" i="16"/>
  <c r="AU286" i="16"/>
  <c r="AU287" i="16"/>
  <c r="AU288" i="16"/>
  <c r="AY286" i="16"/>
  <c r="S286" i="16" s="1"/>
  <c r="AY287" i="16"/>
  <c r="S287" i="16" s="1"/>
  <c r="AY288" i="16"/>
  <c r="S288" i="16" s="1"/>
  <c r="AY285" i="16"/>
  <c r="S285" i="16" s="1"/>
  <c r="AU285" i="16"/>
  <c r="AY289" i="16"/>
  <c r="S289" i="16" s="1"/>
  <c r="AU289" i="16"/>
  <c r="AY291" i="16"/>
  <c r="S291" i="16" s="1"/>
  <c r="AY292" i="16"/>
  <c r="S292" i="16" s="1"/>
  <c r="AY293" i="16"/>
  <c r="S293" i="16" s="1"/>
  <c r="AY290" i="16"/>
  <c r="S290" i="16" s="1"/>
  <c r="AU291" i="16"/>
  <c r="BP291" i="16" s="1"/>
  <c r="AU292" i="16"/>
  <c r="BP292" i="16" s="1"/>
  <c r="AU293" i="16"/>
  <c r="AU290" i="16"/>
  <c r="BP290" i="16" s="1"/>
  <c r="AU294" i="16"/>
  <c r="I294" i="16" s="1"/>
  <c r="AO294" i="16"/>
  <c r="AX294" i="16" s="1"/>
  <c r="Z294" i="16" s="1"/>
  <c r="AY295" i="16"/>
  <c r="S295" i="16" s="1"/>
  <c r="AU295" i="16"/>
  <c r="AY297" i="16"/>
  <c r="S297" i="16" s="1"/>
  <c r="AY296" i="16"/>
  <c r="S296" i="16" s="1"/>
  <c r="AU296" i="16"/>
  <c r="BP296" i="16" s="1"/>
  <c r="AW299" i="16"/>
  <c r="AW300" i="16"/>
  <c r="AW298" i="16"/>
  <c r="AU299" i="16"/>
  <c r="AU300" i="16"/>
  <c r="AU298" i="16"/>
  <c r="AY299" i="16"/>
  <c r="S299" i="16" s="1"/>
  <c r="AY300" i="16"/>
  <c r="S300" i="16" s="1"/>
  <c r="AY298" i="16"/>
  <c r="S298" i="16" s="1"/>
  <c r="V281" i="16" l="1"/>
  <c r="V277" i="16"/>
  <c r="V269" i="16"/>
  <c r="V273" i="16"/>
  <c r="V264" i="16"/>
  <c r="V290" i="16"/>
  <c r="V280" i="16"/>
  <c r="V270" i="16"/>
  <c r="V274" i="16"/>
  <c r="V263" i="16"/>
  <c r="V296" i="16"/>
  <c r="V292" i="16"/>
  <c r="V279" i="16"/>
  <c r="V267" i="16"/>
  <c r="V271" i="16"/>
  <c r="V261" i="16"/>
  <c r="V266" i="16"/>
  <c r="V262" i="16"/>
  <c r="V291" i="16"/>
  <c r="V278" i="16"/>
  <c r="V268" i="16"/>
  <c r="V272" i="16"/>
  <c r="V265" i="16"/>
  <c r="AB287" i="16"/>
  <c r="BP287" i="16"/>
  <c r="AB286" i="16"/>
  <c r="BP286" i="16"/>
  <c r="AB285" i="16"/>
  <c r="BP285" i="16"/>
  <c r="AB283" i="16"/>
  <c r="BP283" i="16"/>
  <c r="AB288" i="16"/>
  <c r="BP288" i="16"/>
  <c r="AB284" i="16"/>
  <c r="BP284" i="16"/>
  <c r="AB289" i="16"/>
  <c r="BP289" i="16"/>
  <c r="AB300" i="16"/>
  <c r="BP300" i="16"/>
  <c r="AB299" i="16"/>
  <c r="BP299" i="16"/>
  <c r="GO294" i="16"/>
  <c r="GS294" i="16"/>
  <c r="GQ294" i="16"/>
  <c r="GP294" i="16"/>
  <c r="GR294" i="16"/>
  <c r="GT294" i="16"/>
  <c r="GU294" i="16"/>
  <c r="GV294" i="16"/>
  <c r="AB295" i="16"/>
  <c r="BP295" i="16"/>
  <c r="AB298" i="16"/>
  <c r="BP298" i="16"/>
  <c r="I277" i="16"/>
  <c r="AB277" i="16"/>
  <c r="AE277" i="16"/>
  <c r="BT277" i="16" s="1"/>
  <c r="X277" i="16"/>
  <c r="AE270" i="16"/>
  <c r="BT270" i="16" s="1"/>
  <c r="X270" i="16"/>
  <c r="I293" i="16"/>
  <c r="BP293" i="16"/>
  <c r="AE273" i="16"/>
  <c r="BT273" i="16" s="1"/>
  <c r="X273" i="16"/>
  <c r="I275" i="16"/>
  <c r="BP275" i="16"/>
  <c r="I279" i="16"/>
  <c r="AB279" i="16"/>
  <c r="AE275" i="16"/>
  <c r="BT275" i="16" s="1"/>
  <c r="X275" i="16"/>
  <c r="AE279" i="16"/>
  <c r="BT279" i="16" s="1"/>
  <c r="X279" i="16"/>
  <c r="AE267" i="16"/>
  <c r="BT267" i="16" s="1"/>
  <c r="X267" i="16"/>
  <c r="AE272" i="16"/>
  <c r="BT272" i="16" s="1"/>
  <c r="X272" i="16"/>
  <c r="I281" i="16"/>
  <c r="AB281" i="16"/>
  <c r="AE281" i="16"/>
  <c r="BT281" i="16" s="1"/>
  <c r="X281" i="16"/>
  <c r="AE274" i="16"/>
  <c r="BT274" i="16" s="1"/>
  <c r="X274" i="16"/>
  <c r="X293" i="16"/>
  <c r="AE293" i="16"/>
  <c r="BT293" i="16" s="1"/>
  <c r="I280" i="16"/>
  <c r="AB280" i="16"/>
  <c r="I276" i="16"/>
  <c r="BP276" i="16"/>
  <c r="AE280" i="16"/>
  <c r="BT280" i="16" s="1"/>
  <c r="X280" i="16"/>
  <c r="AE276" i="16"/>
  <c r="BT276" i="16" s="1"/>
  <c r="X276" i="16"/>
  <c r="AE269" i="16"/>
  <c r="BT269" i="16" s="1"/>
  <c r="X269" i="16"/>
  <c r="I282" i="16"/>
  <c r="BP282" i="16"/>
  <c r="I278" i="16"/>
  <c r="AB278" i="16"/>
  <c r="AE282" i="16"/>
  <c r="BT282" i="16" s="1"/>
  <c r="X282" i="16"/>
  <c r="AE278" i="16"/>
  <c r="BT278" i="16" s="1"/>
  <c r="X278" i="16"/>
  <c r="AE268" i="16"/>
  <c r="BT268" i="16" s="1"/>
  <c r="X268" i="16"/>
  <c r="AE271" i="16"/>
  <c r="BT271" i="16" s="1"/>
  <c r="X271" i="16"/>
  <c r="F298" i="16"/>
  <c r="AE298" i="16"/>
  <c r="X298" i="16"/>
  <c r="I290" i="16"/>
  <c r="AB290" i="16"/>
  <c r="AE290" i="16"/>
  <c r="BT290" i="16" s="1"/>
  <c r="X290" i="16"/>
  <c r="AE288" i="16"/>
  <c r="BT288" i="16" s="1"/>
  <c r="X288" i="16"/>
  <c r="AE283" i="16"/>
  <c r="BT283" i="16" s="1"/>
  <c r="X283" i="16"/>
  <c r="F266" i="16"/>
  <c r="AE266" i="16"/>
  <c r="BT266" i="16" s="1"/>
  <c r="X266" i="16"/>
  <c r="I264" i="16"/>
  <c r="AB264" i="16"/>
  <c r="F265" i="16"/>
  <c r="AE265" i="16"/>
  <c r="BT265" i="16" s="1"/>
  <c r="X265" i="16"/>
  <c r="F300" i="16"/>
  <c r="AE300" i="16"/>
  <c r="X300" i="16"/>
  <c r="AE295" i="16"/>
  <c r="BT295" i="16" s="1"/>
  <c r="X295" i="16"/>
  <c r="AE289" i="16"/>
  <c r="BT289" i="16" s="1"/>
  <c r="X289" i="16"/>
  <c r="AE287" i="16"/>
  <c r="BT287" i="16" s="1"/>
  <c r="X287" i="16"/>
  <c r="AE284" i="16"/>
  <c r="BT284" i="16" s="1"/>
  <c r="X284" i="16"/>
  <c r="F262" i="16"/>
  <c r="AE262" i="16"/>
  <c r="X262" i="16"/>
  <c r="I263" i="16"/>
  <c r="AB263" i="16"/>
  <c r="F264" i="16"/>
  <c r="AE264" i="16"/>
  <c r="BT264" i="16" s="1"/>
  <c r="X264" i="16"/>
  <c r="AE296" i="16"/>
  <c r="BT296" i="16" s="1"/>
  <c r="X296" i="16"/>
  <c r="AY294" i="16"/>
  <c r="AR294" i="16"/>
  <c r="BL294" i="16" s="1"/>
  <c r="AS294" i="16"/>
  <c r="AG294" i="16" s="1"/>
  <c r="I292" i="16"/>
  <c r="AB292" i="16"/>
  <c r="AE292" i="16"/>
  <c r="BT292" i="16" s="1"/>
  <c r="X292" i="16"/>
  <c r="AE286" i="16"/>
  <c r="BT286" i="16" s="1"/>
  <c r="X286" i="16"/>
  <c r="I261" i="16"/>
  <c r="AB261" i="16"/>
  <c r="I266" i="16"/>
  <c r="AB266" i="16"/>
  <c r="I262" i="16"/>
  <c r="AB262" i="16"/>
  <c r="F263" i="16"/>
  <c r="AE263" i="16"/>
  <c r="BT263" i="16" s="1"/>
  <c r="X263" i="16"/>
  <c r="I296" i="16"/>
  <c r="AB296" i="16"/>
  <c r="F299" i="16"/>
  <c r="AE299" i="16"/>
  <c r="X299" i="16"/>
  <c r="AV297" i="16"/>
  <c r="AE297" i="16"/>
  <c r="BT297" i="16" s="1"/>
  <c r="I291" i="16"/>
  <c r="AB291" i="16"/>
  <c r="AE291" i="16"/>
  <c r="BT291" i="16" s="1"/>
  <c r="X291" i="16"/>
  <c r="AE285" i="16"/>
  <c r="BT285" i="16" s="1"/>
  <c r="X285" i="16"/>
  <c r="F261" i="16"/>
  <c r="AE261" i="16"/>
  <c r="BT261" i="16" s="1"/>
  <c r="X261" i="16"/>
  <c r="I265" i="16"/>
  <c r="AB265" i="16"/>
  <c r="F290" i="16"/>
  <c r="AV290" i="16"/>
  <c r="F288" i="16"/>
  <c r="AV288" i="16"/>
  <c r="F283" i="16"/>
  <c r="AV283" i="16"/>
  <c r="F281" i="16"/>
  <c r="AV281" i="16"/>
  <c r="F277" i="16"/>
  <c r="AV277" i="16"/>
  <c r="F274" i="16"/>
  <c r="AV274" i="16"/>
  <c r="F270" i="16"/>
  <c r="AV270" i="16"/>
  <c r="F293" i="16"/>
  <c r="AV293" i="16"/>
  <c r="F289" i="16"/>
  <c r="AV289" i="16"/>
  <c r="F287" i="16"/>
  <c r="AV287" i="16"/>
  <c r="F284" i="16"/>
  <c r="AV284" i="16"/>
  <c r="F280" i="16"/>
  <c r="AV280" i="16"/>
  <c r="F276" i="16"/>
  <c r="AV276" i="16"/>
  <c r="F273" i="16"/>
  <c r="AV273" i="16"/>
  <c r="F269" i="16"/>
  <c r="AV269" i="16"/>
  <c r="F296" i="16"/>
  <c r="AV296" i="16"/>
  <c r="F294" i="16"/>
  <c r="F292" i="16"/>
  <c r="AV292" i="16"/>
  <c r="F286" i="16"/>
  <c r="AV286" i="16"/>
  <c r="F275" i="16"/>
  <c r="AV275" i="16"/>
  <c r="F279" i="16"/>
  <c r="AV279" i="16"/>
  <c r="F267" i="16"/>
  <c r="AV267" i="16"/>
  <c r="F272" i="16"/>
  <c r="AV272" i="16"/>
  <c r="F295" i="16"/>
  <c r="AV295" i="16"/>
  <c r="F291" i="16"/>
  <c r="AV291" i="16"/>
  <c r="F285" i="16"/>
  <c r="AV285" i="16"/>
  <c r="F282" i="16"/>
  <c r="AV282" i="16"/>
  <c r="F278" i="16"/>
  <c r="AV278" i="16"/>
  <c r="F268" i="16"/>
  <c r="AV268" i="16"/>
  <c r="F271" i="16"/>
  <c r="AV271" i="16"/>
  <c r="AJ297" i="16"/>
  <c r="BQ297" i="16" s="1"/>
  <c r="F297" i="16"/>
  <c r="AJ295" i="16"/>
  <c r="BQ295" i="16" s="1"/>
  <c r="K413" i="16"/>
  <c r="L413" i="16"/>
  <c r="M413" i="16"/>
  <c r="N413" i="16"/>
  <c r="O413" i="16"/>
  <c r="K414" i="16"/>
  <c r="L414" i="16"/>
  <c r="M414" i="16"/>
  <c r="N414" i="16"/>
  <c r="O414" i="16"/>
  <c r="K415" i="16"/>
  <c r="L415" i="16"/>
  <c r="M415" i="16"/>
  <c r="N415" i="16"/>
  <c r="O415" i="16"/>
  <c r="AW414" i="16"/>
  <c r="AY414" i="16" s="1"/>
  <c r="S414" i="16" s="1"/>
  <c r="AW415" i="16"/>
  <c r="AY415" i="16" s="1"/>
  <c r="S415" i="16" s="1"/>
  <c r="AW413" i="16"/>
  <c r="AY413" i="16" s="1"/>
  <c r="S413" i="16" s="1"/>
  <c r="AU414" i="16"/>
  <c r="AU415" i="16"/>
  <c r="AU413" i="16"/>
  <c r="I412" i="16"/>
  <c r="I411" i="16"/>
  <c r="BD412" i="16"/>
  <c r="BD411" i="16"/>
  <c r="BE412" i="16"/>
  <c r="M412" i="16" s="1"/>
  <c r="BE411" i="16"/>
  <c r="M411" i="16" s="1"/>
  <c r="BF412" i="16"/>
  <c r="N412" i="16" s="1"/>
  <c r="BF411" i="16"/>
  <c r="N411" i="16" s="1"/>
  <c r="BG412" i="16"/>
  <c r="O412" i="16" s="1"/>
  <c r="BG411" i="16"/>
  <c r="O411" i="16" s="1"/>
  <c r="AU411" i="16"/>
  <c r="AU412" i="16"/>
  <c r="AT412" i="16"/>
  <c r="AT411" i="16"/>
  <c r="AO411" i="16"/>
  <c r="AO412" i="16"/>
  <c r="K409" i="16"/>
  <c r="K410" i="16"/>
  <c r="AY409" i="16"/>
  <c r="S409" i="16" s="1"/>
  <c r="AY410" i="16"/>
  <c r="S410" i="16" s="1"/>
  <c r="BD410" i="16"/>
  <c r="BD409" i="16"/>
  <c r="BE410" i="16"/>
  <c r="M410" i="16" s="1"/>
  <c r="BE409" i="16"/>
  <c r="M409" i="16" s="1"/>
  <c r="BF410" i="16"/>
  <c r="BF409" i="16"/>
  <c r="BG410" i="16"/>
  <c r="O410" i="16" s="1"/>
  <c r="BG409" i="16"/>
  <c r="O409" i="16" s="1"/>
  <c r="AU410" i="16"/>
  <c r="BP410" i="16" s="1"/>
  <c r="AU409" i="16"/>
  <c r="BP409" i="16" s="1"/>
  <c r="K407" i="16"/>
  <c r="L407" i="16"/>
  <c r="M407" i="16"/>
  <c r="K408" i="16"/>
  <c r="L408" i="16"/>
  <c r="M408" i="16"/>
  <c r="AY408" i="16"/>
  <c r="S408" i="16" s="1"/>
  <c r="AY407" i="16"/>
  <c r="S407" i="16" s="1"/>
  <c r="BF408" i="16"/>
  <c r="BF407" i="16"/>
  <c r="BG408" i="16"/>
  <c r="O408" i="16" s="1"/>
  <c r="BG407" i="16"/>
  <c r="O407" i="16" s="1"/>
  <c r="AU408" i="16"/>
  <c r="BP408" i="16" s="1"/>
  <c r="AU407" i="16"/>
  <c r="BP407" i="16" s="1"/>
  <c r="I406" i="16"/>
  <c r="I405" i="16"/>
  <c r="I404" i="16"/>
  <c r="K404" i="16"/>
  <c r="K405" i="16"/>
  <c r="K406" i="16"/>
  <c r="BB406" i="16"/>
  <c r="BD406" i="16"/>
  <c r="BD405" i="16"/>
  <c r="BD404" i="16"/>
  <c r="BE405" i="16"/>
  <c r="BE406" i="16"/>
  <c r="BE404" i="16"/>
  <c r="BF406" i="16"/>
  <c r="BF405" i="16"/>
  <c r="BF404" i="16"/>
  <c r="BG406" i="16"/>
  <c r="BG405" i="16"/>
  <c r="BG404" i="16"/>
  <c r="AU405" i="16"/>
  <c r="J405" i="16" s="1"/>
  <c r="AU406" i="16"/>
  <c r="J406" i="16" s="1"/>
  <c r="AU404" i="16"/>
  <c r="J404" i="16" s="1"/>
  <c r="AW405" i="16"/>
  <c r="AW406" i="16"/>
  <c r="AW404" i="16"/>
  <c r="AY404" i="16" s="1"/>
  <c r="AK406" i="16"/>
  <c r="AN406" i="16" s="1"/>
  <c r="AK405" i="16"/>
  <c r="AN405" i="16" s="1"/>
  <c r="AK404" i="16"/>
  <c r="AN404" i="16" s="1"/>
  <c r="K403" i="16"/>
  <c r="L403" i="16"/>
  <c r="M403" i="16"/>
  <c r="N403" i="16"/>
  <c r="O403" i="16"/>
  <c r="AY403" i="16"/>
  <c r="S403" i="16" s="1"/>
  <c r="AU403" i="16"/>
  <c r="BP403" i="16" s="1"/>
  <c r="K392" i="16"/>
  <c r="K393" i="16"/>
  <c r="K394" i="16"/>
  <c r="K395" i="16"/>
  <c r="AY392" i="16"/>
  <c r="S392" i="16" s="1"/>
  <c r="AY393" i="16"/>
  <c r="S393" i="16" s="1"/>
  <c r="AY394" i="16"/>
  <c r="S394" i="16" s="1"/>
  <c r="AY395" i="16"/>
  <c r="S395" i="16" s="1"/>
  <c r="BD393" i="16"/>
  <c r="BD394" i="16"/>
  <c r="BD395" i="16"/>
  <c r="BD392" i="16"/>
  <c r="BE393" i="16"/>
  <c r="Z393" i="16" s="1"/>
  <c r="BE394" i="16"/>
  <c r="Z394" i="16" s="1"/>
  <c r="BE395" i="16"/>
  <c r="Z395" i="16" s="1"/>
  <c r="BE392" i="16"/>
  <c r="Z392" i="16" s="1"/>
  <c r="BF394" i="16"/>
  <c r="BF395" i="16"/>
  <c r="BF393" i="16"/>
  <c r="BF392" i="16"/>
  <c r="BG395" i="16"/>
  <c r="O395" i="16" s="1"/>
  <c r="BG393" i="16"/>
  <c r="O393" i="16" s="1"/>
  <c r="BG394" i="16"/>
  <c r="O394" i="16" s="1"/>
  <c r="BG392" i="16"/>
  <c r="O392" i="16" s="1"/>
  <c r="AU393" i="16"/>
  <c r="BP393" i="16" s="1"/>
  <c r="AU394" i="16"/>
  <c r="BP394" i="16" s="1"/>
  <c r="AU395" i="16"/>
  <c r="BP395" i="16" s="1"/>
  <c r="AU392" i="16"/>
  <c r="BP392" i="16" s="1"/>
  <c r="K389" i="16"/>
  <c r="K390" i="16"/>
  <c r="K391" i="16"/>
  <c r="AY390" i="16"/>
  <c r="AY391" i="16"/>
  <c r="AY389" i="16"/>
  <c r="BD390" i="16"/>
  <c r="BD391" i="16"/>
  <c r="BD389" i="16"/>
  <c r="BE390" i="16"/>
  <c r="BE391" i="16"/>
  <c r="BE389" i="16"/>
  <c r="BF390" i="16"/>
  <c r="BF391" i="16"/>
  <c r="BF389" i="16"/>
  <c r="BG390" i="16"/>
  <c r="BG391" i="16"/>
  <c r="BG389" i="16"/>
  <c r="AU390" i="16"/>
  <c r="I390" i="16" s="1"/>
  <c r="AU391" i="16"/>
  <c r="I391" i="16" s="1"/>
  <c r="AU389" i="16"/>
  <c r="I389" i="16" s="1"/>
  <c r="AK390" i="16"/>
  <c r="AN390" i="16" s="1"/>
  <c r="AK391" i="16"/>
  <c r="AN391" i="16" s="1"/>
  <c r="AK389" i="16"/>
  <c r="AN389" i="16" s="1"/>
  <c r="K349" i="16"/>
  <c r="AY349" i="16"/>
  <c r="AK349" i="16"/>
  <c r="AN349" i="16" s="1"/>
  <c r="BE349" i="16"/>
  <c r="BD349" i="16"/>
  <c r="BF349" i="16"/>
  <c r="BG349" i="16"/>
  <c r="O349" i="16" s="1"/>
  <c r="AU349" i="16"/>
  <c r="J349" i="16" s="1"/>
  <c r="K346" i="16"/>
  <c r="K347" i="16"/>
  <c r="K348" i="16"/>
  <c r="AY347" i="16"/>
  <c r="AY346" i="16"/>
  <c r="S346" i="16" s="1"/>
  <c r="AK346" i="16"/>
  <c r="AN346" i="16" s="1"/>
  <c r="AK348" i="16"/>
  <c r="AN348" i="16" s="1"/>
  <c r="AK347" i="16"/>
  <c r="AN347" i="16" s="1"/>
  <c r="AU347" i="16"/>
  <c r="J347" i="16" s="1"/>
  <c r="AU348" i="16"/>
  <c r="I348" i="16" s="1"/>
  <c r="AU346" i="16"/>
  <c r="I346" i="16" s="1"/>
  <c r="AW348" i="16"/>
  <c r="AY348" i="16" s="1"/>
  <c r="S391" i="16" l="1"/>
  <c r="S348" i="16"/>
  <c r="S390" i="16"/>
  <c r="AF298" i="16"/>
  <c r="AA298" i="16" s="1"/>
  <c r="W298" i="16" s="1"/>
  <c r="BT298" i="16"/>
  <c r="AF300" i="16"/>
  <c r="AA300" i="16" s="1"/>
  <c r="W300" i="16" s="1"/>
  <c r="BT300" i="16"/>
  <c r="AF299" i="16"/>
  <c r="BT299" i="16"/>
  <c r="AF262" i="16"/>
  <c r="AA262" i="16" s="1"/>
  <c r="T262" i="16" s="1"/>
  <c r="BT262" i="16"/>
  <c r="S347" i="16"/>
  <c r="S389" i="16"/>
  <c r="S404" i="16"/>
  <c r="X294" i="16"/>
  <c r="S294" i="16"/>
  <c r="AV349" i="16"/>
  <c r="S349" i="16"/>
  <c r="BL390" i="16"/>
  <c r="BL405" i="16"/>
  <c r="BL404" i="16"/>
  <c r="AX412" i="16"/>
  <c r="AX411" i="16"/>
  <c r="BL349" i="16"/>
  <c r="N394" i="16"/>
  <c r="BL394" i="16"/>
  <c r="N407" i="16"/>
  <c r="BL407" i="16"/>
  <c r="N392" i="16"/>
  <c r="BL392" i="16"/>
  <c r="N408" i="16"/>
  <c r="BL408" i="16"/>
  <c r="BL389" i="16"/>
  <c r="N393" i="16"/>
  <c r="BL393" i="16"/>
  <c r="BL406" i="16"/>
  <c r="N409" i="16"/>
  <c r="BL409" i="16"/>
  <c r="BL391" i="16"/>
  <c r="N395" i="16"/>
  <c r="BL395" i="16"/>
  <c r="N410" i="16"/>
  <c r="BL410" i="16"/>
  <c r="AV294" i="16"/>
  <c r="P294" i="16"/>
  <c r="AE294" i="16" s="1"/>
  <c r="BT294" i="16" s="1"/>
  <c r="AF297" i="16"/>
  <c r="AA297" i="16" s="1"/>
  <c r="T297" i="16" s="1"/>
  <c r="AF286" i="16"/>
  <c r="AA286" i="16" s="1"/>
  <c r="T286" i="16" s="1"/>
  <c r="AF288" i="16"/>
  <c r="AA288" i="16" s="1"/>
  <c r="T288" i="16" s="1"/>
  <c r="AF285" i="16"/>
  <c r="AA285" i="16" s="1"/>
  <c r="T285" i="16" s="1"/>
  <c r="AF296" i="16"/>
  <c r="AA296" i="16" s="1"/>
  <c r="T296" i="16" s="1"/>
  <c r="AF287" i="16"/>
  <c r="AA287" i="16" s="1"/>
  <c r="T287" i="16" s="1"/>
  <c r="AF295" i="16"/>
  <c r="AA295" i="16" s="1"/>
  <c r="T295" i="16" s="1"/>
  <c r="AF271" i="16"/>
  <c r="AA271" i="16" s="1"/>
  <c r="T271" i="16" s="1"/>
  <c r="AF278" i="16"/>
  <c r="AA278" i="16" s="1"/>
  <c r="T278" i="16" s="1"/>
  <c r="AF269" i="16"/>
  <c r="AA269" i="16" s="1"/>
  <c r="T269" i="16" s="1"/>
  <c r="AF280" i="16"/>
  <c r="AA280" i="16" s="1"/>
  <c r="T280" i="16" s="1"/>
  <c r="AF274" i="16"/>
  <c r="AA274" i="16" s="1"/>
  <c r="T274" i="16" s="1"/>
  <c r="AF267" i="16"/>
  <c r="AA267" i="16" s="1"/>
  <c r="T267" i="16" s="1"/>
  <c r="AF275" i="16"/>
  <c r="AA275" i="16" s="1"/>
  <c r="T275" i="16" s="1"/>
  <c r="AF277" i="16"/>
  <c r="AA277" i="16" s="1"/>
  <c r="T277" i="16" s="1"/>
  <c r="AF261" i="16"/>
  <c r="AA261" i="16" s="1"/>
  <c r="AF292" i="16"/>
  <c r="AA292" i="16" s="1"/>
  <c r="T292" i="16" s="1"/>
  <c r="AF265" i="16"/>
  <c r="AA265" i="16" s="1"/>
  <c r="AF283" i="16"/>
  <c r="AA283" i="16" s="1"/>
  <c r="T283" i="16" s="1"/>
  <c r="AF290" i="16"/>
  <c r="AA290" i="16" s="1"/>
  <c r="T290" i="16" s="1"/>
  <c r="AF293" i="16"/>
  <c r="AA293" i="16" s="1"/>
  <c r="T293" i="16" s="1"/>
  <c r="AF291" i="16"/>
  <c r="AA291" i="16" s="1"/>
  <c r="T291" i="16" s="1"/>
  <c r="AF263" i="16"/>
  <c r="AA263" i="16" s="1"/>
  <c r="AF264" i="16"/>
  <c r="AA264" i="16" s="1"/>
  <c r="AF284" i="16"/>
  <c r="AA284" i="16" s="1"/>
  <c r="T284" i="16" s="1"/>
  <c r="AF289" i="16"/>
  <c r="AA289" i="16" s="1"/>
  <c r="T289" i="16" s="1"/>
  <c r="AF266" i="16"/>
  <c r="AA266" i="16" s="1"/>
  <c r="AF268" i="16"/>
  <c r="AA268" i="16" s="1"/>
  <c r="T268" i="16" s="1"/>
  <c r="AF282" i="16"/>
  <c r="AA282" i="16" s="1"/>
  <c r="T282" i="16" s="1"/>
  <c r="AF276" i="16"/>
  <c r="AA276" i="16" s="1"/>
  <c r="T276" i="16" s="1"/>
  <c r="AF281" i="16"/>
  <c r="AA281" i="16" s="1"/>
  <c r="T281" i="16" s="1"/>
  <c r="AF272" i="16"/>
  <c r="AA272" i="16" s="1"/>
  <c r="T272" i="16" s="1"/>
  <c r="AF279" i="16"/>
  <c r="AA279" i="16" s="1"/>
  <c r="T279" i="16" s="1"/>
  <c r="AF273" i="16"/>
  <c r="AA273" i="16" s="1"/>
  <c r="T273" i="16" s="1"/>
  <c r="AF270" i="16"/>
  <c r="AA270" i="16" s="1"/>
  <c r="T270" i="16" s="1"/>
  <c r="AA299" i="16"/>
  <c r="T299" i="16" s="1"/>
  <c r="V395" i="16"/>
  <c r="V409" i="16"/>
  <c r="V275" i="16"/>
  <c r="U275" i="16"/>
  <c r="V293" i="16"/>
  <c r="U293" i="16"/>
  <c r="U298" i="16"/>
  <c r="V298" i="16"/>
  <c r="V299" i="16"/>
  <c r="U299" i="16"/>
  <c r="V289" i="16"/>
  <c r="U289" i="16"/>
  <c r="V288" i="16"/>
  <c r="U288" i="16"/>
  <c r="V285" i="16"/>
  <c r="U285" i="16"/>
  <c r="V287" i="16"/>
  <c r="U287" i="16"/>
  <c r="U272" i="16"/>
  <c r="U261" i="16"/>
  <c r="U267" i="16"/>
  <c r="U292" i="16"/>
  <c r="U263" i="16"/>
  <c r="U270" i="16"/>
  <c r="U273" i="16"/>
  <c r="U277" i="16"/>
  <c r="V394" i="16"/>
  <c r="V410" i="16"/>
  <c r="U278" i="16"/>
  <c r="U262" i="16"/>
  <c r="U290" i="16"/>
  <c r="V393" i="16"/>
  <c r="V407" i="16"/>
  <c r="X297" i="16"/>
  <c r="U297" i="16"/>
  <c r="U282" i="16"/>
  <c r="V282" i="16"/>
  <c r="V276" i="16"/>
  <c r="U276" i="16"/>
  <c r="V295" i="16"/>
  <c r="U295" i="16"/>
  <c r="V300" i="16"/>
  <c r="U300" i="16"/>
  <c r="V284" i="16"/>
  <c r="U284" i="16"/>
  <c r="V283" i="16"/>
  <c r="U283" i="16"/>
  <c r="V286" i="16"/>
  <c r="U286" i="16"/>
  <c r="U265" i="16"/>
  <c r="U268" i="16"/>
  <c r="U291" i="16"/>
  <c r="U271" i="16"/>
  <c r="U279" i="16"/>
  <c r="U296" i="16"/>
  <c r="U280" i="16"/>
  <c r="U264" i="16"/>
  <c r="U269" i="16"/>
  <c r="U281" i="16"/>
  <c r="V392" i="16"/>
  <c r="V403" i="16"/>
  <c r="V408" i="16"/>
  <c r="U266" i="16"/>
  <c r="U274" i="16"/>
  <c r="BR294" i="16"/>
  <c r="BP294" i="16" s="1"/>
  <c r="BQ412" i="16"/>
  <c r="BQ411" i="16"/>
  <c r="GO412" i="16"/>
  <c r="GS412" i="16"/>
  <c r="GQ412" i="16"/>
  <c r="GP412" i="16"/>
  <c r="GX412" i="16"/>
  <c r="GT412" i="16"/>
  <c r="GZ412" i="16"/>
  <c r="GR412" i="16"/>
  <c r="GV412" i="16"/>
  <c r="GU412" i="16"/>
  <c r="GY412" i="16"/>
  <c r="GW412" i="16"/>
  <c r="HA412" i="16"/>
  <c r="AI406" i="16"/>
  <c r="FC406" i="16"/>
  <c r="GQ406" i="16" s="1"/>
  <c r="FA406" i="16"/>
  <c r="GO406" i="16" s="1"/>
  <c r="FB406" i="16"/>
  <c r="GP406" i="16" s="1"/>
  <c r="FJ406" i="16"/>
  <c r="GX406" i="16" s="1"/>
  <c r="FK406" i="16"/>
  <c r="GY406" i="16" s="1"/>
  <c r="FL406" i="16"/>
  <c r="GZ406" i="16" s="1"/>
  <c r="GO411" i="16"/>
  <c r="GP411" i="16"/>
  <c r="GQ411" i="16"/>
  <c r="GR411" i="16"/>
  <c r="GV411" i="16"/>
  <c r="GS411" i="16"/>
  <c r="GU411" i="16"/>
  <c r="GX411" i="16"/>
  <c r="GY411" i="16"/>
  <c r="GW411" i="16"/>
  <c r="GT411" i="16"/>
  <c r="GZ411" i="16"/>
  <c r="HD411" i="16"/>
  <c r="HC411" i="16"/>
  <c r="HB411" i="16"/>
  <c r="HA411" i="16"/>
  <c r="AI294" i="16"/>
  <c r="AH294" i="16"/>
  <c r="L392" i="16"/>
  <c r="L412" i="16"/>
  <c r="L395" i="16"/>
  <c r="L409" i="16"/>
  <c r="L394" i="16"/>
  <c r="L410" i="16"/>
  <c r="L393" i="16"/>
  <c r="L411" i="16"/>
  <c r="AL389" i="16"/>
  <c r="AM389" i="16"/>
  <c r="AE390" i="16"/>
  <c r="BT390" i="16" s="1"/>
  <c r="AV390" i="16"/>
  <c r="I392" i="16"/>
  <c r="AB392" i="16"/>
  <c r="M392" i="16"/>
  <c r="X392" i="16"/>
  <c r="F395" i="16"/>
  <c r="AV395" i="16"/>
  <c r="AE395" i="16"/>
  <c r="BT395" i="16" s="1"/>
  <c r="AE409" i="16"/>
  <c r="BT409" i="16" s="1"/>
  <c r="AV409" i="16"/>
  <c r="F414" i="16"/>
  <c r="AE414" i="16"/>
  <c r="BT414" i="16" s="1"/>
  <c r="I395" i="16"/>
  <c r="AB395" i="16"/>
  <c r="M395" i="16"/>
  <c r="X395" i="16"/>
  <c r="F394" i="16"/>
  <c r="AV394" i="16"/>
  <c r="AE394" i="16"/>
  <c r="BT394" i="16" s="1"/>
  <c r="AE403" i="16"/>
  <c r="BT403" i="16" s="1"/>
  <c r="AV403" i="16"/>
  <c r="AM406" i="16"/>
  <c r="AL406" i="16"/>
  <c r="AC404" i="16"/>
  <c r="AD404" i="16"/>
  <c r="AE407" i="16"/>
  <c r="BT407" i="16" s="1"/>
  <c r="AV407" i="16"/>
  <c r="J409" i="16"/>
  <c r="AB409" i="16"/>
  <c r="I414" i="16"/>
  <c r="AB414" i="16"/>
  <c r="J403" i="16"/>
  <c r="AB403" i="16"/>
  <c r="J408" i="16"/>
  <c r="AB408" i="16"/>
  <c r="AY411" i="16"/>
  <c r="AR411" i="16"/>
  <c r="BL411" i="16" s="1"/>
  <c r="AS411" i="16"/>
  <c r="AG411" i="16" s="1"/>
  <c r="AL391" i="16"/>
  <c r="AM391" i="16"/>
  <c r="AL390" i="16"/>
  <c r="AM390" i="16"/>
  <c r="AE389" i="16"/>
  <c r="BT389" i="16" s="1"/>
  <c r="AV389" i="16"/>
  <c r="I394" i="16"/>
  <c r="AB394" i="16"/>
  <c r="M394" i="16"/>
  <c r="X394" i="16"/>
  <c r="F393" i="16"/>
  <c r="AE393" i="16"/>
  <c r="BT393" i="16" s="1"/>
  <c r="AV393" i="16"/>
  <c r="AE404" i="16"/>
  <c r="BT404" i="16" s="1"/>
  <c r="AC406" i="16"/>
  <c r="Z406" i="16" s="1"/>
  <c r="AD406" i="16"/>
  <c r="AV408" i="16"/>
  <c r="AE408" i="16"/>
  <c r="BT408" i="16" s="1"/>
  <c r="I410" i="16"/>
  <c r="AB410" i="16"/>
  <c r="F413" i="16"/>
  <c r="AE413" i="16"/>
  <c r="BT413" i="16" s="1"/>
  <c r="AM405" i="16"/>
  <c r="AL405" i="16"/>
  <c r="J415" i="16"/>
  <c r="AB415" i="16"/>
  <c r="AE391" i="16"/>
  <c r="BT391" i="16" s="1"/>
  <c r="AV391" i="16"/>
  <c r="I393" i="16"/>
  <c r="AB393" i="16"/>
  <c r="M393" i="16"/>
  <c r="X393" i="16"/>
  <c r="F392" i="16"/>
  <c r="AE392" i="16"/>
  <c r="BT392" i="16" s="1"/>
  <c r="AV392" i="16"/>
  <c r="AM404" i="16"/>
  <c r="AL404" i="16"/>
  <c r="AD405" i="16"/>
  <c r="AC405" i="16"/>
  <c r="Z405" i="16" s="1"/>
  <c r="J407" i="16"/>
  <c r="AB407" i="16"/>
  <c r="F410" i="16"/>
  <c r="AE410" i="16"/>
  <c r="BT410" i="16" s="1"/>
  <c r="AV410" i="16"/>
  <c r="AR412" i="16"/>
  <c r="BL412" i="16" s="1"/>
  <c r="AS412" i="16"/>
  <c r="J413" i="16"/>
  <c r="AB413" i="16"/>
  <c r="F415" i="16"/>
  <c r="AE415" i="16"/>
  <c r="BT415" i="16" s="1"/>
  <c r="AD347" i="16"/>
  <c r="AC347" i="16"/>
  <c r="AD349" i="16"/>
  <c r="AC349" i="16"/>
  <c r="O346" i="16"/>
  <c r="AL346" i="16"/>
  <c r="AM346" i="16"/>
  <c r="AV346" i="16"/>
  <c r="AE346" i="16"/>
  <c r="BT346" i="16" s="1"/>
  <c r="M348" i="16"/>
  <c r="AM348" i="16"/>
  <c r="AL348" i="16"/>
  <c r="AL349" i="16"/>
  <c r="AM349" i="16"/>
  <c r="AE348" i="16"/>
  <c r="BT348" i="16" s="1"/>
  <c r="N347" i="16"/>
  <c r="AM347" i="16"/>
  <c r="AL347" i="16"/>
  <c r="AV347" i="16"/>
  <c r="AE347" i="16"/>
  <c r="BT347" i="16" s="1"/>
  <c r="F349" i="16"/>
  <c r="F346" i="16"/>
  <c r="F389" i="16"/>
  <c r="F404" i="16"/>
  <c r="F391" i="16"/>
  <c r="R408" i="16"/>
  <c r="F408" i="16"/>
  <c r="F390" i="16"/>
  <c r="R409" i="16"/>
  <c r="F409" i="16"/>
  <c r="R348" i="16"/>
  <c r="F348" i="16"/>
  <c r="F347" i="16"/>
  <c r="R403" i="16"/>
  <c r="F403" i="16"/>
  <c r="R407" i="16"/>
  <c r="F407" i="16"/>
  <c r="K412" i="16"/>
  <c r="O406" i="16"/>
  <c r="J412" i="16"/>
  <c r="N389" i="16"/>
  <c r="J414" i="16"/>
  <c r="L389" i="16"/>
  <c r="M389" i="16"/>
  <c r="I409" i="16"/>
  <c r="K411" i="16"/>
  <c r="J411" i="16"/>
  <c r="AJ413" i="16"/>
  <c r="BQ413" i="16" s="1"/>
  <c r="AJ414" i="16"/>
  <c r="BQ414" i="16" s="1"/>
  <c r="M349" i="16"/>
  <c r="O389" i="16"/>
  <c r="J391" i="16"/>
  <c r="J389" i="16"/>
  <c r="M404" i="16"/>
  <c r="J410" i="16"/>
  <c r="AY412" i="16"/>
  <c r="S412" i="16" s="1"/>
  <c r="AJ415" i="16"/>
  <c r="BQ415" i="16" s="1"/>
  <c r="I413" i="16"/>
  <c r="R410" i="16"/>
  <c r="R413" i="16"/>
  <c r="O404" i="16"/>
  <c r="M405" i="16"/>
  <c r="R415" i="16"/>
  <c r="I415" i="16"/>
  <c r="N404" i="16"/>
  <c r="M391" i="16"/>
  <c r="L404" i="16"/>
  <c r="R414" i="16"/>
  <c r="N391" i="16"/>
  <c r="O405" i="16"/>
  <c r="N390" i="16"/>
  <c r="J390" i="16"/>
  <c r="N405" i="16"/>
  <c r="M390" i="16"/>
  <c r="N406" i="16"/>
  <c r="O391" i="16"/>
  <c r="L405" i="16"/>
  <c r="AY405" i="16"/>
  <c r="S405" i="16" s="1"/>
  <c r="N346" i="16"/>
  <c r="N349" i="16"/>
  <c r="P349" i="16"/>
  <c r="AE349" i="16" s="1"/>
  <c r="BT349" i="16" s="1"/>
  <c r="L391" i="16"/>
  <c r="M406" i="16"/>
  <c r="L406" i="16"/>
  <c r="L390" i="16"/>
  <c r="R404" i="16"/>
  <c r="O390" i="16"/>
  <c r="AY406" i="16"/>
  <c r="S406" i="16" s="1"/>
  <c r="M347" i="16"/>
  <c r="I347" i="16"/>
  <c r="L349" i="16"/>
  <c r="L347" i="16"/>
  <c r="J348" i="16"/>
  <c r="O348" i="16"/>
  <c r="N348" i="16"/>
  <c r="O347" i="16"/>
  <c r="L346" i="16"/>
  <c r="J346" i="16"/>
  <c r="L348" i="16"/>
  <c r="M346" i="16"/>
  <c r="K357" i="16"/>
  <c r="L357" i="16"/>
  <c r="N357" i="16"/>
  <c r="K358" i="16"/>
  <c r="L358" i="16"/>
  <c r="N358" i="16"/>
  <c r="N356" i="16"/>
  <c r="L356" i="16"/>
  <c r="K356" i="16"/>
  <c r="AY357" i="16"/>
  <c r="S357" i="16" s="1"/>
  <c r="AY358" i="16"/>
  <c r="S358" i="16" s="1"/>
  <c r="AY356" i="16"/>
  <c r="S356" i="16" s="1"/>
  <c r="BE357" i="16"/>
  <c r="Z357" i="16" s="1"/>
  <c r="BE358" i="16"/>
  <c r="Z358" i="16" s="1"/>
  <c r="BE356" i="16"/>
  <c r="Z356" i="16" s="1"/>
  <c r="BG358" i="16"/>
  <c r="O358" i="16" s="1"/>
  <c r="BG357" i="16"/>
  <c r="O357" i="16" s="1"/>
  <c r="BG356" i="16"/>
  <c r="O356" i="16" s="1"/>
  <c r="I355" i="16"/>
  <c r="K355" i="16"/>
  <c r="AY355" i="16"/>
  <c r="AK355" i="16"/>
  <c r="BD355" i="16"/>
  <c r="BE355" i="16"/>
  <c r="BF355" i="16"/>
  <c r="BG355" i="16"/>
  <c r="O355" i="16" s="1"/>
  <c r="J351" i="16"/>
  <c r="K351" i="16"/>
  <c r="J352" i="16"/>
  <c r="K352" i="16"/>
  <c r="J353" i="16"/>
  <c r="K353" i="16"/>
  <c r="J354" i="16"/>
  <c r="K354" i="16"/>
  <c r="N354" i="16"/>
  <c r="O354" i="16"/>
  <c r="J350" i="16"/>
  <c r="K350" i="16"/>
  <c r="N350" i="16"/>
  <c r="O350" i="16"/>
  <c r="BG353" i="16"/>
  <c r="O353" i="16" s="1"/>
  <c r="BG352" i="16"/>
  <c r="O352" i="16" s="1"/>
  <c r="BG351" i="16"/>
  <c r="O351" i="16" s="1"/>
  <c r="BF353" i="16"/>
  <c r="BF352" i="16"/>
  <c r="BF351" i="16"/>
  <c r="BE354" i="16"/>
  <c r="M354" i="16" s="1"/>
  <c r="BE353" i="16"/>
  <c r="M353" i="16" s="1"/>
  <c r="BE352" i="16"/>
  <c r="M352" i="16" s="1"/>
  <c r="BE351" i="16"/>
  <c r="M351" i="16" s="1"/>
  <c r="BD354" i="16"/>
  <c r="BT354" i="16" s="1"/>
  <c r="BD353" i="16"/>
  <c r="BT353" i="16" s="1"/>
  <c r="BD352" i="16"/>
  <c r="BT352" i="16" s="1"/>
  <c r="BD351" i="16"/>
  <c r="BT351" i="16" s="1"/>
  <c r="AY350" i="16"/>
  <c r="S350" i="16" s="1"/>
  <c r="BD350" i="16"/>
  <c r="BL350" i="16" s="1"/>
  <c r="BE350" i="16"/>
  <c r="M350" i="16" s="1"/>
  <c r="J426" i="16"/>
  <c r="J425" i="16"/>
  <c r="K425" i="16"/>
  <c r="L425" i="16"/>
  <c r="M425" i="16"/>
  <c r="N425" i="16"/>
  <c r="O425" i="16"/>
  <c r="K426" i="16"/>
  <c r="L426" i="16"/>
  <c r="M426" i="16"/>
  <c r="N426" i="16"/>
  <c r="O426" i="16"/>
  <c r="I426" i="16"/>
  <c r="I425" i="16"/>
  <c r="AY425" i="16"/>
  <c r="S425" i="16" s="1"/>
  <c r="AY426" i="16"/>
  <c r="S426" i="16" s="1"/>
  <c r="I424" i="16"/>
  <c r="I423" i="16"/>
  <c r="I422" i="16"/>
  <c r="I421" i="16"/>
  <c r="I420" i="16"/>
  <c r="I419" i="16"/>
  <c r="I418" i="16"/>
  <c r="I417" i="16"/>
  <c r="I416" i="16"/>
  <c r="K417" i="16"/>
  <c r="K418" i="16"/>
  <c r="K419" i="16"/>
  <c r="K420" i="16"/>
  <c r="K421" i="16"/>
  <c r="K422" i="16"/>
  <c r="K423" i="16"/>
  <c r="K424" i="16"/>
  <c r="K416" i="16"/>
  <c r="AY417" i="16"/>
  <c r="S417" i="16" s="1"/>
  <c r="AY418" i="16"/>
  <c r="S418" i="16" s="1"/>
  <c r="AY419" i="16"/>
  <c r="S419" i="16" s="1"/>
  <c r="AY420" i="16"/>
  <c r="S420" i="16" s="1"/>
  <c r="AY421" i="16"/>
  <c r="S421" i="16" s="1"/>
  <c r="AY422" i="16"/>
  <c r="S422" i="16" s="1"/>
  <c r="AY423" i="16"/>
  <c r="S423" i="16" s="1"/>
  <c r="AY424" i="16"/>
  <c r="S424" i="16" s="1"/>
  <c r="AY416" i="16"/>
  <c r="S416" i="16" s="1"/>
  <c r="BD417" i="16"/>
  <c r="BD418" i="16"/>
  <c r="BD419" i="16"/>
  <c r="BD420" i="16"/>
  <c r="BD421" i="16"/>
  <c r="BD422" i="16"/>
  <c r="BD423" i="16"/>
  <c r="BD424" i="16"/>
  <c r="BD416" i="16"/>
  <c r="BE417" i="16"/>
  <c r="Z417" i="16" s="1"/>
  <c r="BE418" i="16"/>
  <c r="Z418" i="16" s="1"/>
  <c r="BE419" i="16"/>
  <c r="Z419" i="16" s="1"/>
  <c r="BE420" i="16"/>
  <c r="Z420" i="16" s="1"/>
  <c r="BE421" i="16"/>
  <c r="Z421" i="16" s="1"/>
  <c r="BE422" i="16"/>
  <c r="Z422" i="16" s="1"/>
  <c r="BE423" i="16"/>
  <c r="Z423" i="16" s="1"/>
  <c r="BE424" i="16"/>
  <c r="Z424" i="16" s="1"/>
  <c r="BE416" i="16"/>
  <c r="Z416" i="16" s="1"/>
  <c r="BF417" i="16"/>
  <c r="BF418" i="16"/>
  <c r="BF419" i="16"/>
  <c r="BF420" i="16"/>
  <c r="BF421" i="16"/>
  <c r="BF422" i="16"/>
  <c r="BF423" i="16"/>
  <c r="BF424" i="16"/>
  <c r="BF416" i="16"/>
  <c r="BG424" i="16"/>
  <c r="O424" i="16" s="1"/>
  <c r="BG423" i="16"/>
  <c r="O423" i="16" s="1"/>
  <c r="BG422" i="16"/>
  <c r="O422" i="16" s="1"/>
  <c r="BG421" i="16"/>
  <c r="O421" i="16" s="1"/>
  <c r="BG417" i="16"/>
  <c r="O417" i="16" s="1"/>
  <c r="BG418" i="16"/>
  <c r="O418" i="16" s="1"/>
  <c r="BG419" i="16"/>
  <c r="O419" i="16" s="1"/>
  <c r="BG420" i="16"/>
  <c r="O420" i="16" s="1"/>
  <c r="BG416" i="16"/>
  <c r="O416" i="16" s="1"/>
  <c r="J397" i="16"/>
  <c r="J398" i="16"/>
  <c r="J399" i="16"/>
  <c r="J400" i="16"/>
  <c r="J401" i="16"/>
  <c r="J402" i="16"/>
  <c r="J396" i="16"/>
  <c r="K397" i="16"/>
  <c r="L397" i="16"/>
  <c r="M397" i="16"/>
  <c r="N397" i="16"/>
  <c r="O397" i="16"/>
  <c r="K398" i="16"/>
  <c r="L398" i="16"/>
  <c r="M398" i="16"/>
  <c r="N398" i="16"/>
  <c r="O398" i="16"/>
  <c r="K399" i="16"/>
  <c r="L399" i="16"/>
  <c r="M399" i="16"/>
  <c r="N399" i="16"/>
  <c r="O399" i="16"/>
  <c r="K400" i="16"/>
  <c r="L400" i="16"/>
  <c r="M400" i="16"/>
  <c r="N400" i="16"/>
  <c r="O400" i="16"/>
  <c r="K401" i="16"/>
  <c r="L401" i="16"/>
  <c r="M401" i="16"/>
  <c r="N401" i="16"/>
  <c r="O401" i="16"/>
  <c r="K402" i="16"/>
  <c r="L402" i="16"/>
  <c r="M402" i="16"/>
  <c r="N402" i="16"/>
  <c r="O402" i="16"/>
  <c r="O396" i="16"/>
  <c r="N396" i="16"/>
  <c r="M396" i="16"/>
  <c r="L396" i="16"/>
  <c r="K396" i="16"/>
  <c r="AY399" i="16"/>
  <c r="S399" i="16" s="1"/>
  <c r="AY400" i="16"/>
  <c r="S400" i="16" s="1"/>
  <c r="AY401" i="16"/>
  <c r="S401" i="16" s="1"/>
  <c r="AY402" i="16"/>
  <c r="S402" i="16" s="1"/>
  <c r="AY398" i="16"/>
  <c r="S398" i="16" s="1"/>
  <c r="AW397" i="16"/>
  <c r="AW396" i="16"/>
  <c r="AY396" i="16" s="1"/>
  <c r="S396" i="16" s="1"/>
  <c r="S355" i="16" l="1"/>
  <c r="AV411" i="16"/>
  <c r="S411" i="16"/>
  <c r="AF294" i="16"/>
  <c r="BL355" i="16"/>
  <c r="N423" i="16"/>
  <c r="BL423" i="16"/>
  <c r="N419" i="16"/>
  <c r="BL419" i="16"/>
  <c r="N352" i="16"/>
  <c r="BL352" i="16"/>
  <c r="N420" i="16"/>
  <c r="BL420" i="16"/>
  <c r="N422" i="16"/>
  <c r="BL422" i="16"/>
  <c r="N418" i="16"/>
  <c r="BL418" i="16"/>
  <c r="N353" i="16"/>
  <c r="BL353" i="16"/>
  <c r="N424" i="16"/>
  <c r="BL424" i="16"/>
  <c r="N351" i="16"/>
  <c r="BL351" i="16"/>
  <c r="AN355" i="16"/>
  <c r="Z355" i="16"/>
  <c r="X355" i="16" s="1"/>
  <c r="N416" i="16"/>
  <c r="BL416" i="16"/>
  <c r="N421" i="16"/>
  <c r="BL421" i="16"/>
  <c r="N417" i="16"/>
  <c r="BL417" i="16"/>
  <c r="AH412" i="16"/>
  <c r="AG412" i="16"/>
  <c r="T261" i="16"/>
  <c r="W261" i="16"/>
  <c r="Z347" i="16"/>
  <c r="X347" i="16" s="1"/>
  <c r="Z404" i="16"/>
  <c r="X404" i="16" s="1"/>
  <c r="AF394" i="16"/>
  <c r="AA394" i="16" s="1"/>
  <c r="T394" i="16" s="1"/>
  <c r="Z349" i="16"/>
  <c r="X349" i="16" s="1"/>
  <c r="W262" i="16"/>
  <c r="T264" i="16"/>
  <c r="W264" i="16"/>
  <c r="T266" i="16"/>
  <c r="W266" i="16"/>
  <c r="T263" i="16"/>
  <c r="W263" i="16"/>
  <c r="T265" i="16"/>
  <c r="W265" i="16"/>
  <c r="AF347" i="16"/>
  <c r="AA347" i="16" s="1"/>
  <c r="W347" i="16" s="1"/>
  <c r="AF393" i="16"/>
  <c r="AA393" i="16" s="1"/>
  <c r="T393" i="16" s="1"/>
  <c r="T300" i="16"/>
  <c r="AF349" i="16"/>
  <c r="AA349" i="16" s="1"/>
  <c r="W349" i="16" s="1"/>
  <c r="AF404" i="16"/>
  <c r="AA404" i="16" s="1"/>
  <c r="W404" i="16" s="1"/>
  <c r="AF392" i="16"/>
  <c r="AA392" i="16" s="1"/>
  <c r="T392" i="16" s="1"/>
  <c r="AF395" i="16"/>
  <c r="AA395" i="16" s="1"/>
  <c r="T395" i="16" s="1"/>
  <c r="T298" i="16"/>
  <c r="W299" i="16"/>
  <c r="W284" i="16"/>
  <c r="W287" i="16"/>
  <c r="W290" i="16"/>
  <c r="W275" i="16"/>
  <c r="W278" i="16"/>
  <c r="W270" i="16"/>
  <c r="W282" i="16"/>
  <c r="W277" i="16"/>
  <c r="U394" i="16"/>
  <c r="W286" i="16"/>
  <c r="W292" i="16"/>
  <c r="W296" i="16"/>
  <c r="W272" i="16"/>
  <c r="W268" i="16"/>
  <c r="W276" i="16"/>
  <c r="W267" i="16"/>
  <c r="U294" i="16"/>
  <c r="V294" i="16"/>
  <c r="U393" i="16"/>
  <c r="W288" i="16"/>
  <c r="W297" i="16"/>
  <c r="W289" i="16"/>
  <c r="W281" i="16"/>
  <c r="W293" i="16"/>
  <c r="W273" i="16"/>
  <c r="W274" i="16"/>
  <c r="U395" i="16"/>
  <c r="W283" i="16"/>
  <c r="W295" i="16"/>
  <c r="W291" i="16"/>
  <c r="W285" i="16"/>
  <c r="W269" i="16"/>
  <c r="W271" i="16"/>
  <c r="W279" i="16"/>
  <c r="W280" i="16"/>
  <c r="U392" i="16"/>
  <c r="BR411" i="16"/>
  <c r="BP411" i="16" s="1"/>
  <c r="BR412" i="16"/>
  <c r="BP412" i="16" s="1"/>
  <c r="BQ348" i="16"/>
  <c r="BR348" i="16"/>
  <c r="BP348" i="16" s="1"/>
  <c r="BR346" i="16"/>
  <c r="BP346" i="16" s="1"/>
  <c r="BQ346" i="16"/>
  <c r="BR405" i="16"/>
  <c r="BP405" i="16" s="1"/>
  <c r="BQ405" i="16"/>
  <c r="AH349" i="16"/>
  <c r="AB349" i="16" s="1"/>
  <c r="BQ349" i="16"/>
  <c r="BR349" i="16"/>
  <c r="BP349" i="16" s="1"/>
  <c r="AH391" i="16"/>
  <c r="AB391" i="16" s="1"/>
  <c r="BQ391" i="16"/>
  <c r="BR391" i="16"/>
  <c r="BP391" i="16" s="1"/>
  <c r="BQ347" i="16"/>
  <c r="BR347" i="16"/>
  <c r="BP347" i="16" s="1"/>
  <c r="AH389" i="16"/>
  <c r="AB389" i="16" s="1"/>
  <c r="BR389" i="16"/>
  <c r="BP389" i="16" s="1"/>
  <c r="BQ389" i="16"/>
  <c r="BQ404" i="16"/>
  <c r="BR404" i="16"/>
  <c r="BP404" i="16" s="1"/>
  <c r="AH390" i="16"/>
  <c r="AB390" i="16" s="1"/>
  <c r="BQ390" i="16"/>
  <c r="BR390" i="16"/>
  <c r="BP390" i="16" s="1"/>
  <c r="BQ406" i="16"/>
  <c r="BR406" i="16"/>
  <c r="BP406" i="16" s="1"/>
  <c r="AH404" i="16"/>
  <c r="AB404" i="16" s="1"/>
  <c r="AH406" i="16"/>
  <c r="AB406" i="16" s="1"/>
  <c r="AH405" i="16"/>
  <c r="AB405" i="16" s="1"/>
  <c r="P411" i="16"/>
  <c r="AE411" i="16" s="1"/>
  <c r="BT411" i="16" s="1"/>
  <c r="AA294" i="16"/>
  <c r="T294" i="16" s="1"/>
  <c r="BP415" i="16"/>
  <c r="BP414" i="16"/>
  <c r="F411" i="16"/>
  <c r="BP413" i="16"/>
  <c r="R411" i="16"/>
  <c r="AB294" i="16"/>
  <c r="AD354" i="16"/>
  <c r="AC354" i="16"/>
  <c r="Z354" i="16" s="1"/>
  <c r="L423" i="16"/>
  <c r="L419" i="16"/>
  <c r="L354" i="16"/>
  <c r="AH348" i="16"/>
  <c r="AB348" i="16" s="1"/>
  <c r="AH346" i="16"/>
  <c r="AB346" i="16" s="1"/>
  <c r="L422" i="16"/>
  <c r="L418" i="16"/>
  <c r="L351" i="16"/>
  <c r="L416" i="16"/>
  <c r="L421" i="16"/>
  <c r="L417" i="16"/>
  <c r="L352" i="16"/>
  <c r="AH347" i="16"/>
  <c r="AB347" i="16" s="1"/>
  <c r="L424" i="16"/>
  <c r="L420" i="16"/>
  <c r="L350" i="16"/>
  <c r="L353" i="16"/>
  <c r="F398" i="16"/>
  <c r="AV398" i="16"/>
  <c r="AE398" i="16"/>
  <c r="BT398" i="16" s="1"/>
  <c r="AE401" i="16"/>
  <c r="BT401" i="16" s="1"/>
  <c r="AV401" i="16"/>
  <c r="AC401" i="16"/>
  <c r="Z401" i="16" s="1"/>
  <c r="AD401" i="16"/>
  <c r="AC397" i="16"/>
  <c r="Z397" i="16" s="1"/>
  <c r="AD397" i="16"/>
  <c r="M424" i="16"/>
  <c r="X424" i="16"/>
  <c r="M420" i="16"/>
  <c r="X420" i="16"/>
  <c r="F422" i="16"/>
  <c r="AV422" i="16"/>
  <c r="AE422" i="16"/>
  <c r="BT422" i="16" s="1"/>
  <c r="F418" i="16"/>
  <c r="AE418" i="16"/>
  <c r="BT418" i="16" s="1"/>
  <c r="AV418" i="16"/>
  <c r="F426" i="16"/>
  <c r="AV426" i="16"/>
  <c r="AE426" i="16"/>
  <c r="BT426" i="16" s="1"/>
  <c r="AC390" i="16"/>
  <c r="AD390" i="16"/>
  <c r="AC389" i="16"/>
  <c r="AD389" i="16"/>
  <c r="AD415" i="16"/>
  <c r="AF415" i="16" s="1"/>
  <c r="AC415" i="16"/>
  <c r="AC403" i="16"/>
  <c r="Z403" i="16" s="1"/>
  <c r="AD403" i="16"/>
  <c r="AF403" i="16" s="1"/>
  <c r="F399" i="16"/>
  <c r="AE399" i="16"/>
  <c r="BT399" i="16" s="1"/>
  <c r="AV399" i="16"/>
  <c r="F402" i="16"/>
  <c r="AV402" i="16"/>
  <c r="AE402" i="16"/>
  <c r="BT402" i="16" s="1"/>
  <c r="AC398" i="16"/>
  <c r="Z398" i="16" s="1"/>
  <c r="AD398" i="16"/>
  <c r="F396" i="16"/>
  <c r="AE396" i="16"/>
  <c r="BT396" i="16" s="1"/>
  <c r="F400" i="16"/>
  <c r="AE400" i="16"/>
  <c r="BT400" i="16" s="1"/>
  <c r="AV400" i="16"/>
  <c r="AD400" i="16"/>
  <c r="AC400" i="16"/>
  <c r="Z400" i="16" s="1"/>
  <c r="M423" i="16"/>
  <c r="X423" i="16"/>
  <c r="M419" i="16"/>
  <c r="X419" i="16"/>
  <c r="F416" i="16"/>
  <c r="AE416" i="16"/>
  <c r="BT416" i="16" s="1"/>
  <c r="AV416" i="16"/>
  <c r="F421" i="16"/>
  <c r="AE421" i="16"/>
  <c r="BT421" i="16" s="1"/>
  <c r="AV421" i="16"/>
  <c r="F417" i="16"/>
  <c r="AV417" i="16"/>
  <c r="AE417" i="16"/>
  <c r="BT417" i="16" s="1"/>
  <c r="F425" i="16"/>
  <c r="AE425" i="16"/>
  <c r="BT425" i="16" s="1"/>
  <c r="AV425" i="16"/>
  <c r="F412" i="16"/>
  <c r="AV412" i="16"/>
  <c r="AD391" i="16"/>
  <c r="AC391" i="16"/>
  <c r="AC407" i="16"/>
  <c r="Z407" i="16" s="1"/>
  <c r="AD407" i="16"/>
  <c r="AF407" i="16" s="1"/>
  <c r="AD409" i="16"/>
  <c r="AF409" i="16" s="1"/>
  <c r="AC409" i="16"/>
  <c r="Z409" i="16" s="1"/>
  <c r="M422" i="16"/>
  <c r="X422" i="16"/>
  <c r="M418" i="16"/>
  <c r="X418" i="16"/>
  <c r="F424" i="16"/>
  <c r="AE424" i="16"/>
  <c r="BT424" i="16" s="1"/>
  <c r="AV424" i="16"/>
  <c r="F420" i="16"/>
  <c r="AV420" i="16"/>
  <c r="AE420" i="16"/>
  <c r="BT420" i="16" s="1"/>
  <c r="AC425" i="16"/>
  <c r="Z425" i="16" s="1"/>
  <c r="AD425" i="16"/>
  <c r="F405" i="16"/>
  <c r="AE405" i="16"/>
  <c r="BT405" i="16" s="1"/>
  <c r="AC410" i="16"/>
  <c r="Z410" i="16" s="1"/>
  <c r="AD410" i="16"/>
  <c r="AF410" i="16" s="1"/>
  <c r="AD411" i="16"/>
  <c r="AC411" i="16"/>
  <c r="AC412" i="16"/>
  <c r="AD412" i="16"/>
  <c r="AC413" i="16"/>
  <c r="AD413" i="16"/>
  <c r="AF413" i="16" s="1"/>
  <c r="X405" i="16"/>
  <c r="AI411" i="16"/>
  <c r="AC408" i="16"/>
  <c r="Z408" i="16" s="1"/>
  <c r="AD408" i="16"/>
  <c r="AF408" i="16" s="1"/>
  <c r="AD396" i="16"/>
  <c r="AC396" i="16"/>
  <c r="Z396" i="16" s="1"/>
  <c r="AC399" i="16"/>
  <c r="Z399" i="16" s="1"/>
  <c r="AD399" i="16"/>
  <c r="AC402" i="16"/>
  <c r="Z402" i="16" s="1"/>
  <c r="AD402" i="16"/>
  <c r="M416" i="16"/>
  <c r="X416" i="16"/>
  <c r="M421" i="16"/>
  <c r="X421" i="16"/>
  <c r="M417" i="16"/>
  <c r="X417" i="16"/>
  <c r="F423" i="16"/>
  <c r="AE423" i="16"/>
  <c r="BT423" i="16" s="1"/>
  <c r="AV423" i="16"/>
  <c r="F419" i="16"/>
  <c r="AV419" i="16"/>
  <c r="AE419" i="16"/>
  <c r="BT419" i="16" s="1"/>
  <c r="AC426" i="16"/>
  <c r="Z426" i="16" s="1"/>
  <c r="AD426" i="16"/>
  <c r="F406" i="16"/>
  <c r="AE406" i="16"/>
  <c r="AD414" i="16"/>
  <c r="AF414" i="16" s="1"/>
  <c r="AC414" i="16"/>
  <c r="AI412" i="16"/>
  <c r="X406" i="16"/>
  <c r="AH411" i="16"/>
  <c r="AM355" i="16"/>
  <c r="AL355" i="16"/>
  <c r="M358" i="16"/>
  <c r="AC350" i="16"/>
  <c r="Z350" i="16" s="1"/>
  <c r="AD350" i="16"/>
  <c r="AD352" i="16"/>
  <c r="AF352" i="16" s="1"/>
  <c r="AC352" i="16"/>
  <c r="Z352" i="16" s="1"/>
  <c r="AE355" i="16"/>
  <c r="BT355" i="16" s="1"/>
  <c r="AV355" i="16"/>
  <c r="M357" i="16"/>
  <c r="F357" i="16"/>
  <c r="AE357" i="16"/>
  <c r="BT357" i="16" s="1"/>
  <c r="AV357" i="16"/>
  <c r="F356" i="16"/>
  <c r="AE356" i="16"/>
  <c r="BT356" i="16" s="1"/>
  <c r="AV356" i="16"/>
  <c r="F350" i="16"/>
  <c r="AV350" i="16"/>
  <c r="AE350" i="16"/>
  <c r="BT350" i="16" s="1"/>
  <c r="AD353" i="16"/>
  <c r="AC353" i="16"/>
  <c r="Z353" i="16" s="1"/>
  <c r="AC351" i="16"/>
  <c r="Z351" i="16" s="1"/>
  <c r="AD351" i="16"/>
  <c r="AF351" i="16" s="1"/>
  <c r="M356" i="16"/>
  <c r="F358" i="16"/>
  <c r="AE358" i="16"/>
  <c r="BT358" i="16" s="1"/>
  <c r="AV358" i="16"/>
  <c r="AD346" i="16"/>
  <c r="AF346" i="16" s="1"/>
  <c r="AC346" i="16"/>
  <c r="AD348" i="16"/>
  <c r="AF348" i="16" s="1"/>
  <c r="AC348" i="16"/>
  <c r="F355" i="16"/>
  <c r="R401" i="16"/>
  <c r="F401" i="16"/>
  <c r="R424" i="16"/>
  <c r="R423" i="16"/>
  <c r="R419" i="16"/>
  <c r="R422" i="16"/>
  <c r="AJ418" i="16"/>
  <c r="BQ418" i="16" s="1"/>
  <c r="R418" i="16"/>
  <c r="R426" i="16"/>
  <c r="R420" i="16"/>
  <c r="R416" i="16"/>
  <c r="R421" i="16"/>
  <c r="R417" i="16"/>
  <c r="R425" i="16"/>
  <c r="R412" i="16"/>
  <c r="P412" i="16"/>
  <c r="AE412" i="16" s="1"/>
  <c r="BT412" i="16" s="1"/>
  <c r="R405" i="16"/>
  <c r="R400" i="16"/>
  <c r="R398" i="16"/>
  <c r="R399" i="16"/>
  <c r="R402" i="16"/>
  <c r="R406" i="16"/>
  <c r="L355" i="16"/>
  <c r="N355" i="16"/>
  <c r="AJ355" i="16"/>
  <c r="M355" i="16"/>
  <c r="AJ416" i="16"/>
  <c r="BQ416" i="16" s="1"/>
  <c r="AJ417" i="16"/>
  <c r="BQ417" i="16" s="1"/>
  <c r="AJ421" i="16"/>
  <c r="BQ421" i="16" s="1"/>
  <c r="AJ422" i="16"/>
  <c r="BQ422" i="16" s="1"/>
  <c r="AJ424" i="16"/>
  <c r="BQ424" i="16" s="1"/>
  <c r="AJ420" i="16"/>
  <c r="BQ420" i="16" s="1"/>
  <c r="AJ423" i="16"/>
  <c r="BQ423" i="16" s="1"/>
  <c r="AJ419" i="16"/>
  <c r="BQ419" i="16" s="1"/>
  <c r="R396" i="16"/>
  <c r="AY397" i="16"/>
  <c r="S397" i="16" s="1"/>
  <c r="AF406" i="16" l="1"/>
  <c r="BT406" i="16"/>
  <c r="AB412" i="16"/>
  <c r="AF411" i="16"/>
  <c r="AA411" i="16" s="1"/>
  <c r="T411" i="16" s="1"/>
  <c r="AF402" i="16"/>
  <c r="AA402" i="16" s="1"/>
  <c r="T402" i="16" s="1"/>
  <c r="BQ355" i="16"/>
  <c r="AF396" i="16"/>
  <c r="AA396" i="16" s="1"/>
  <c r="T396" i="16" s="1"/>
  <c r="AF356" i="16"/>
  <c r="AA356" i="16" s="1"/>
  <c r="T356" i="16" s="1"/>
  <c r="AF425" i="16"/>
  <c r="AA425" i="16" s="1"/>
  <c r="T425" i="16" s="1"/>
  <c r="AF426" i="16"/>
  <c r="AA426" i="16" s="1"/>
  <c r="T426" i="16" s="1"/>
  <c r="AF399" i="16"/>
  <c r="AA399" i="16" s="1"/>
  <c r="T399" i="16" s="1"/>
  <c r="AF417" i="16"/>
  <c r="AA417" i="16" s="1"/>
  <c r="W417" i="16" s="1"/>
  <c r="AF398" i="16"/>
  <c r="AA398" i="16" s="1"/>
  <c r="T398" i="16" s="1"/>
  <c r="AF421" i="16"/>
  <c r="AA421" i="16" s="1"/>
  <c r="W421" i="16" s="1"/>
  <c r="AF358" i="16"/>
  <c r="AA358" i="16" s="1"/>
  <c r="T358" i="16" s="1"/>
  <c r="Z414" i="16"/>
  <c r="X414" i="16" s="1"/>
  <c r="Z412" i="16"/>
  <c r="U412" i="16" s="1"/>
  <c r="Z390" i="16"/>
  <c r="X390" i="16" s="1"/>
  <c r="Z346" i="16"/>
  <c r="X346" i="16" s="1"/>
  <c r="Z411" i="16"/>
  <c r="X411" i="16" s="1"/>
  <c r="AF420" i="16"/>
  <c r="AA420" i="16" s="1"/>
  <c r="W420" i="16" s="1"/>
  <c r="Z391" i="16"/>
  <c r="X391" i="16" s="1"/>
  <c r="Z413" i="16"/>
  <c r="X413" i="16" s="1"/>
  <c r="Z389" i="16"/>
  <c r="X389" i="16" s="1"/>
  <c r="Z348" i="16"/>
  <c r="X348" i="16" s="1"/>
  <c r="AF412" i="16"/>
  <c r="AA412" i="16" s="1"/>
  <c r="T412" i="16" s="1"/>
  <c r="Z415" i="16"/>
  <c r="X415" i="16" s="1"/>
  <c r="AF355" i="16"/>
  <c r="AA355" i="16" s="1"/>
  <c r="W355" i="16" s="1"/>
  <c r="AF424" i="16"/>
  <c r="AA424" i="16" s="1"/>
  <c r="W424" i="16" s="1"/>
  <c r="AA409" i="16"/>
  <c r="AF389" i="16"/>
  <c r="AA389" i="16" s="1"/>
  <c r="AF418" i="16"/>
  <c r="AA418" i="16" s="1"/>
  <c r="W418" i="16" s="1"/>
  <c r="T404" i="16"/>
  <c r="T349" i="16"/>
  <c r="AF419" i="16"/>
  <c r="AA419" i="16" s="1"/>
  <c r="W419" i="16" s="1"/>
  <c r="AF423" i="16"/>
  <c r="AA423" i="16" s="1"/>
  <c r="W423" i="16" s="1"/>
  <c r="AA407" i="16"/>
  <c r="AF391" i="16"/>
  <c r="AA391" i="16" s="1"/>
  <c r="AF400" i="16"/>
  <c r="AA400" i="16" s="1"/>
  <c r="T400" i="16" s="1"/>
  <c r="T347" i="16"/>
  <c r="AA410" i="16"/>
  <c r="AF416" i="16"/>
  <c r="AA416" i="16" s="1"/>
  <c r="W416" i="16" s="1"/>
  <c r="AF390" i="16"/>
  <c r="AA390" i="16" s="1"/>
  <c r="W390" i="16" s="1"/>
  <c r="AF422" i="16"/>
  <c r="AA422" i="16" s="1"/>
  <c r="W422" i="16" s="1"/>
  <c r="AF353" i="16"/>
  <c r="AA353" i="16" s="1"/>
  <c r="AF357" i="16"/>
  <c r="AA357" i="16" s="1"/>
  <c r="T357" i="16" s="1"/>
  <c r="AF350" i="16"/>
  <c r="AA350" i="16" s="1"/>
  <c r="T350" i="16" s="1"/>
  <c r="AA408" i="16"/>
  <c r="T408" i="16" s="1"/>
  <c r="AF401" i="16"/>
  <c r="AA401" i="16" s="1"/>
  <c r="T401" i="16" s="1"/>
  <c r="AF354" i="16"/>
  <c r="AA354" i="16" s="1"/>
  <c r="AF405" i="16"/>
  <c r="AA405" i="16" s="1"/>
  <c r="AA351" i="16"/>
  <c r="T351" i="16" s="1"/>
  <c r="AA415" i="16"/>
  <c r="T415" i="16" s="1"/>
  <c r="AA348" i="16"/>
  <c r="T348" i="16" s="1"/>
  <c r="AA414" i="16"/>
  <c r="T414" i="16" s="1"/>
  <c r="AA413" i="16"/>
  <c r="W413" i="16" s="1"/>
  <c r="AA403" i="16"/>
  <c r="T403" i="16" s="1"/>
  <c r="AA346" i="16"/>
  <c r="T346" i="16" s="1"/>
  <c r="AA352" i="16"/>
  <c r="T352" i="16" s="1"/>
  <c r="AA406" i="16"/>
  <c r="T406" i="16" s="1"/>
  <c r="X402" i="16"/>
  <c r="U402" i="16"/>
  <c r="W395" i="16"/>
  <c r="X407" i="16"/>
  <c r="U407" i="16"/>
  <c r="W393" i="16"/>
  <c r="V414" i="16"/>
  <c r="V390" i="16"/>
  <c r="V347" i="16"/>
  <c r="U347" i="16"/>
  <c r="X350" i="16"/>
  <c r="U350" i="16"/>
  <c r="W392" i="16"/>
  <c r="X410" i="16"/>
  <c r="U410" i="16"/>
  <c r="X425" i="16"/>
  <c r="U425" i="16"/>
  <c r="X409" i="16"/>
  <c r="U409" i="16"/>
  <c r="X354" i="16"/>
  <c r="U354" i="16"/>
  <c r="V413" i="16"/>
  <c r="W294" i="16"/>
  <c r="V411" i="16"/>
  <c r="V412" i="16"/>
  <c r="V346" i="16"/>
  <c r="X351" i="16"/>
  <c r="U351" i="16"/>
  <c r="X357" i="16"/>
  <c r="U357" i="16"/>
  <c r="X352" i="16"/>
  <c r="U352" i="16"/>
  <c r="X358" i="16"/>
  <c r="U358" i="16"/>
  <c r="X426" i="16"/>
  <c r="U426" i="16"/>
  <c r="X399" i="16"/>
  <c r="U399" i="16"/>
  <c r="X408" i="16"/>
  <c r="U408" i="16"/>
  <c r="X400" i="16"/>
  <c r="U400" i="16"/>
  <c r="X398" i="16"/>
  <c r="U398" i="16"/>
  <c r="X401" i="16"/>
  <c r="U401" i="16"/>
  <c r="W394" i="16"/>
  <c r="V415" i="16"/>
  <c r="V406" i="16"/>
  <c r="U406" i="16"/>
  <c r="V389" i="16"/>
  <c r="V391" i="16"/>
  <c r="V348" i="16"/>
  <c r="X356" i="16"/>
  <c r="U356" i="16"/>
  <c r="X353" i="16"/>
  <c r="U353" i="16"/>
  <c r="X396" i="16"/>
  <c r="U396" i="16"/>
  <c r="X403" i="16"/>
  <c r="U403" i="16"/>
  <c r="V405" i="16"/>
  <c r="U405" i="16"/>
  <c r="U404" i="16"/>
  <c r="V404" i="16"/>
  <c r="V349" i="16"/>
  <c r="U349" i="16"/>
  <c r="AH355" i="16"/>
  <c r="AB355" i="16" s="1"/>
  <c r="BR355" i="16"/>
  <c r="BP355" i="16" s="1"/>
  <c r="BP419" i="16"/>
  <c r="BP423" i="16"/>
  <c r="BP421" i="16"/>
  <c r="BP420" i="16"/>
  <c r="BP417" i="16"/>
  <c r="BP422" i="16"/>
  <c r="BP424" i="16"/>
  <c r="BP416" i="16"/>
  <c r="BP418" i="16"/>
  <c r="AB411" i="16"/>
  <c r="F397" i="16"/>
  <c r="AE397" i="16"/>
  <c r="R397" i="16"/>
  <c r="AF397" i="16" l="1"/>
  <c r="BT397" i="16"/>
  <c r="U411" i="16"/>
  <c r="U389" i="16"/>
  <c r="U415" i="16"/>
  <c r="U346" i="16"/>
  <c r="U413" i="16"/>
  <c r="U414" i="16"/>
  <c r="U391" i="16"/>
  <c r="U390" i="16"/>
  <c r="X412" i="16"/>
  <c r="U348" i="16"/>
  <c r="T353" i="16"/>
  <c r="W353" i="16"/>
  <c r="W408" i="16"/>
  <c r="T354" i="16"/>
  <c r="W354" i="16"/>
  <c r="W389" i="16"/>
  <c r="T389" i="16"/>
  <c r="T410" i="16"/>
  <c r="W410" i="16"/>
  <c r="W391" i="16"/>
  <c r="T391" i="16"/>
  <c r="T409" i="16"/>
  <c r="W409" i="16"/>
  <c r="T407" i="16"/>
  <c r="W407" i="16"/>
  <c r="W405" i="16"/>
  <c r="T405" i="16"/>
  <c r="T418" i="16"/>
  <c r="T424" i="16"/>
  <c r="T421" i="16"/>
  <c r="T419" i="16"/>
  <c r="T417" i="16"/>
  <c r="T416" i="16"/>
  <c r="T420" i="16"/>
  <c r="T423" i="16"/>
  <c r="T355" i="16"/>
  <c r="T413" i="16"/>
  <c r="T422" i="16"/>
  <c r="T390" i="16"/>
  <c r="W348" i="16"/>
  <c r="W351" i="16"/>
  <c r="W406" i="16"/>
  <c r="W352" i="16"/>
  <c r="W403" i="16"/>
  <c r="W414" i="16"/>
  <c r="W415" i="16"/>
  <c r="W346" i="16"/>
  <c r="AA397" i="16"/>
  <c r="T397" i="16" s="1"/>
  <c r="X397" i="16"/>
  <c r="U397" i="16"/>
  <c r="W401" i="16"/>
  <c r="W398" i="16"/>
  <c r="W412" i="16"/>
  <c r="V418" i="16"/>
  <c r="U418" i="16"/>
  <c r="V424" i="16"/>
  <c r="U424" i="16"/>
  <c r="V421" i="16"/>
  <c r="U421" i="16"/>
  <c r="W396" i="16"/>
  <c r="V417" i="16"/>
  <c r="U417" i="16"/>
  <c r="V423" i="16"/>
  <c r="U423" i="16"/>
  <c r="V355" i="16"/>
  <c r="U355" i="16"/>
  <c r="W356" i="16"/>
  <c r="W426" i="16"/>
  <c r="W350" i="16"/>
  <c r="W400" i="16"/>
  <c r="W425" i="16"/>
  <c r="W402" i="16"/>
  <c r="U416" i="16"/>
  <c r="V416" i="16"/>
  <c r="U420" i="16"/>
  <c r="V420" i="16"/>
  <c r="W358" i="16"/>
  <c r="W357" i="16"/>
  <c r="W411" i="16"/>
  <c r="W399" i="16"/>
  <c r="V422" i="16"/>
  <c r="U422" i="16"/>
  <c r="V419" i="16"/>
  <c r="U419" i="16"/>
  <c r="I388" i="16"/>
  <c r="I387" i="16"/>
  <c r="I386" i="16"/>
  <c r="I385" i="16"/>
  <c r="I384" i="16"/>
  <c r="I383" i="16"/>
  <c r="J384" i="16"/>
  <c r="J385" i="16"/>
  <c r="J386" i="16"/>
  <c r="J387" i="16"/>
  <c r="J388" i="16"/>
  <c r="J383" i="16"/>
  <c r="K383" i="16"/>
  <c r="K384" i="16"/>
  <c r="K385" i="16"/>
  <c r="K386" i="16"/>
  <c r="K387" i="16"/>
  <c r="K388" i="16"/>
  <c r="BF384" i="16"/>
  <c r="BL384" i="16" s="1"/>
  <c r="BF385" i="16"/>
  <c r="BL385" i="16" s="1"/>
  <c r="BF386" i="16"/>
  <c r="BL386" i="16" s="1"/>
  <c r="BF387" i="16"/>
  <c r="BL387" i="16" s="1"/>
  <c r="BF388" i="16"/>
  <c r="BL388" i="16" s="1"/>
  <c r="BF383" i="16"/>
  <c r="BL383" i="16" s="1"/>
  <c r="BG388" i="16"/>
  <c r="BG387" i="16"/>
  <c r="BG386" i="16"/>
  <c r="BG384" i="16"/>
  <c r="BG385" i="16"/>
  <c r="BG383" i="16"/>
  <c r="AW384" i="16"/>
  <c r="AW385" i="16"/>
  <c r="AW386" i="16"/>
  <c r="AY386" i="16" s="1"/>
  <c r="AW387" i="16"/>
  <c r="AW388" i="16"/>
  <c r="AY388" i="16" s="1"/>
  <c r="AW383" i="16"/>
  <c r="AY383" i="16" s="1"/>
  <c r="AK388" i="16"/>
  <c r="AN388" i="16" s="1"/>
  <c r="BU388" i="16" s="1"/>
  <c r="AK387" i="16"/>
  <c r="AN387" i="16" s="1"/>
  <c r="BU387" i="16" s="1"/>
  <c r="AK386" i="16"/>
  <c r="AN386" i="16" s="1"/>
  <c r="BU386" i="16" s="1"/>
  <c r="AK385" i="16"/>
  <c r="AN385" i="16" s="1"/>
  <c r="BU385" i="16" s="1"/>
  <c r="AK384" i="16"/>
  <c r="AN384" i="16" s="1"/>
  <c r="BU384" i="16" s="1"/>
  <c r="AK383" i="16"/>
  <c r="AN383" i="16" s="1"/>
  <c r="BU383" i="16" s="1"/>
  <c r="I382" i="16"/>
  <c r="I381" i="16"/>
  <c r="I380" i="16"/>
  <c r="I379" i="16"/>
  <c r="I378" i="16"/>
  <c r="I377" i="16"/>
  <c r="I376" i="16"/>
  <c r="I375" i="16"/>
  <c r="I374" i="16"/>
  <c r="J375" i="16"/>
  <c r="K375" i="16"/>
  <c r="J376" i="16"/>
  <c r="K376" i="16"/>
  <c r="J377" i="16"/>
  <c r="K377" i="16"/>
  <c r="J378" i="16"/>
  <c r="K378" i="16"/>
  <c r="J379" i="16"/>
  <c r="K379" i="16"/>
  <c r="J380" i="16"/>
  <c r="K380" i="16"/>
  <c r="J381" i="16"/>
  <c r="K381" i="16"/>
  <c r="J382" i="16"/>
  <c r="K382" i="16"/>
  <c r="K374" i="16"/>
  <c r="J374" i="16"/>
  <c r="AY375" i="16"/>
  <c r="AY376" i="16"/>
  <c r="AY377" i="16"/>
  <c r="AY378" i="16"/>
  <c r="AY379" i="16"/>
  <c r="AY380" i="16"/>
  <c r="AY381" i="16"/>
  <c r="AY382" i="16"/>
  <c r="AY374" i="16"/>
  <c r="AK375" i="16"/>
  <c r="AN375" i="16" s="1"/>
  <c r="BU375" i="16" s="1"/>
  <c r="AK376" i="16"/>
  <c r="AN376" i="16" s="1"/>
  <c r="BU376" i="16" s="1"/>
  <c r="AK377" i="16"/>
  <c r="AN377" i="16" s="1"/>
  <c r="BU377" i="16" s="1"/>
  <c r="AK378" i="16"/>
  <c r="AN378" i="16" s="1"/>
  <c r="BU378" i="16" s="1"/>
  <c r="AK379" i="16"/>
  <c r="AN379" i="16" s="1"/>
  <c r="BU379" i="16" s="1"/>
  <c r="AK380" i="16"/>
  <c r="AN380" i="16" s="1"/>
  <c r="BU380" i="16" s="1"/>
  <c r="AK381" i="16"/>
  <c r="AN381" i="16" s="1"/>
  <c r="BU381" i="16" s="1"/>
  <c r="AK382" i="16"/>
  <c r="AN382" i="16" s="1"/>
  <c r="BU382" i="16" s="1"/>
  <c r="AK374" i="16"/>
  <c r="AN374" i="16" s="1"/>
  <c r="BG375" i="16"/>
  <c r="BG376" i="16"/>
  <c r="BG377" i="16"/>
  <c r="BG378" i="16"/>
  <c r="BG379" i="16"/>
  <c r="BG380" i="16"/>
  <c r="BG381" i="16"/>
  <c r="BG382" i="16"/>
  <c r="BG374" i="16"/>
  <c r="I373" i="16"/>
  <c r="I372" i="16"/>
  <c r="I371" i="16"/>
  <c r="I370" i="16"/>
  <c r="I369" i="16"/>
  <c r="I368" i="16"/>
  <c r="I367" i="16"/>
  <c r="L367" i="16"/>
  <c r="M367" i="16"/>
  <c r="N367" i="16"/>
  <c r="L368" i="16"/>
  <c r="M368" i="16"/>
  <c r="N368" i="16"/>
  <c r="L369" i="16"/>
  <c r="M369" i="16"/>
  <c r="N369" i="16"/>
  <c r="L370" i="16"/>
  <c r="M370" i="16"/>
  <c r="N370" i="16"/>
  <c r="L371" i="16"/>
  <c r="M371" i="16"/>
  <c r="N371" i="16"/>
  <c r="L372" i="16"/>
  <c r="M372" i="16"/>
  <c r="N372" i="16"/>
  <c r="L373" i="16"/>
  <c r="M373" i="16"/>
  <c r="N373" i="16"/>
  <c r="AO368" i="16"/>
  <c r="AX368" i="16" s="1"/>
  <c r="AO369" i="16"/>
  <c r="AX369" i="16" s="1"/>
  <c r="AO370" i="16"/>
  <c r="AX370" i="16" s="1"/>
  <c r="AO371" i="16"/>
  <c r="AX371" i="16" s="1"/>
  <c r="AO372" i="16"/>
  <c r="AX372" i="16" s="1"/>
  <c r="AO373" i="16"/>
  <c r="AX373" i="16" s="1"/>
  <c r="AO367" i="16"/>
  <c r="AX367" i="16" s="1"/>
  <c r="AW368" i="16"/>
  <c r="AW369" i="16"/>
  <c r="AY369" i="16" s="1"/>
  <c r="AW370" i="16"/>
  <c r="AW371" i="16"/>
  <c r="AW372" i="16"/>
  <c r="AY372" i="16" s="1"/>
  <c r="AW373" i="16"/>
  <c r="AY373" i="16" s="1"/>
  <c r="S373" i="16" s="1"/>
  <c r="AW367" i="16"/>
  <c r="AY367" i="16" s="1"/>
  <c r="BG368" i="16"/>
  <c r="O368" i="16" s="1"/>
  <c r="BG369" i="16"/>
  <c r="O369" i="16" s="1"/>
  <c r="BG370" i="16"/>
  <c r="O370" i="16" s="1"/>
  <c r="BG371" i="16"/>
  <c r="O371" i="16" s="1"/>
  <c r="BG372" i="16"/>
  <c r="O372" i="16" s="1"/>
  <c r="BG373" i="16"/>
  <c r="O373" i="16" s="1"/>
  <c r="BG367" i="16"/>
  <c r="O367" i="16" s="1"/>
  <c r="I366" i="16"/>
  <c r="I365" i="16"/>
  <c r="I364" i="16"/>
  <c r="I363" i="16"/>
  <c r="I362" i="16"/>
  <c r="I361" i="16"/>
  <c r="I360" i="16"/>
  <c r="I359" i="16"/>
  <c r="K360" i="16"/>
  <c r="K361" i="16"/>
  <c r="K362" i="16"/>
  <c r="K363" i="16"/>
  <c r="K364" i="16"/>
  <c r="K365" i="16"/>
  <c r="K366" i="16"/>
  <c r="K359" i="16"/>
  <c r="BG366" i="16"/>
  <c r="BG365" i="16"/>
  <c r="BG364" i="16"/>
  <c r="BG363" i="16"/>
  <c r="BG360" i="16"/>
  <c r="BG361" i="16"/>
  <c r="BG362" i="16"/>
  <c r="BG359" i="16"/>
  <c r="BD365" i="16"/>
  <c r="BL365" i="16" s="1"/>
  <c r="BD364" i="16"/>
  <c r="BL364" i="16" s="1"/>
  <c r="BE365" i="16"/>
  <c r="BE364" i="16"/>
  <c r="BE366" i="16"/>
  <c r="BE363" i="16"/>
  <c r="BE360" i="16"/>
  <c r="BE361" i="16"/>
  <c r="BE362" i="16"/>
  <c r="BD366" i="16"/>
  <c r="BL366" i="16" s="1"/>
  <c r="BD363" i="16"/>
  <c r="BL363" i="16" s="1"/>
  <c r="BD360" i="16"/>
  <c r="BL360" i="16" s="1"/>
  <c r="BD361" i="16"/>
  <c r="BL361" i="16" s="1"/>
  <c r="BD362" i="16"/>
  <c r="BL362" i="16" s="1"/>
  <c r="BD359" i="16"/>
  <c r="BL359" i="16" s="1"/>
  <c r="AY360" i="16"/>
  <c r="AY361" i="16"/>
  <c r="AY362" i="16"/>
  <c r="AY363" i="16"/>
  <c r="AY364" i="16"/>
  <c r="AY365" i="16"/>
  <c r="AY359" i="16"/>
  <c r="AK366" i="16"/>
  <c r="AK365" i="16"/>
  <c r="AK364" i="16"/>
  <c r="AK360" i="16"/>
  <c r="AK361" i="16"/>
  <c r="AK362" i="16"/>
  <c r="AK363" i="16"/>
  <c r="AK359" i="16"/>
  <c r="AW366" i="16"/>
  <c r="BC345" i="16"/>
  <c r="BB345" i="16"/>
  <c r="AK345" i="16"/>
  <c r="AN345" i="16" s="1"/>
  <c r="BG345" i="16"/>
  <c r="BD345" i="16"/>
  <c r="AU345" i="16"/>
  <c r="AT345" i="16"/>
  <c r="AO345" i="16"/>
  <c r="I341" i="16"/>
  <c r="I340" i="16"/>
  <c r="I339" i="16"/>
  <c r="I338" i="16"/>
  <c r="J332" i="16"/>
  <c r="K332" i="16"/>
  <c r="L332" i="16"/>
  <c r="M332" i="16"/>
  <c r="O332" i="16"/>
  <c r="J333" i="16"/>
  <c r="K333" i="16"/>
  <c r="L333" i="16"/>
  <c r="M333" i="16"/>
  <c r="N333" i="16"/>
  <c r="O333" i="16"/>
  <c r="J334" i="16"/>
  <c r="K334" i="16"/>
  <c r="L334" i="16"/>
  <c r="M334" i="16"/>
  <c r="N334" i="16"/>
  <c r="O334" i="16"/>
  <c r="J335" i="16"/>
  <c r="K335" i="16"/>
  <c r="L335" i="16"/>
  <c r="M335" i="16"/>
  <c r="O335" i="16"/>
  <c r="J336" i="16"/>
  <c r="K336" i="16"/>
  <c r="L336" i="16"/>
  <c r="M336" i="16"/>
  <c r="N336" i="16"/>
  <c r="O336" i="16"/>
  <c r="J337" i="16"/>
  <c r="K337" i="16"/>
  <c r="L337" i="16"/>
  <c r="M337" i="16"/>
  <c r="O337" i="16"/>
  <c r="J338" i="16"/>
  <c r="K338" i="16"/>
  <c r="L338" i="16"/>
  <c r="M338" i="16"/>
  <c r="O338" i="16"/>
  <c r="J339" i="16"/>
  <c r="K339" i="16"/>
  <c r="L339" i="16"/>
  <c r="M339" i="16"/>
  <c r="N339" i="16"/>
  <c r="O339" i="16"/>
  <c r="J340" i="16"/>
  <c r="K340" i="16"/>
  <c r="L340" i="16"/>
  <c r="M340" i="16"/>
  <c r="O340" i="16"/>
  <c r="J341" i="16"/>
  <c r="K341" i="16"/>
  <c r="L341" i="16"/>
  <c r="M341" i="16"/>
  <c r="N341" i="16"/>
  <c r="O341" i="16"/>
  <c r="AY322" i="16"/>
  <c r="S322" i="16" s="1"/>
  <c r="AY323" i="16"/>
  <c r="S323" i="16" s="1"/>
  <c r="AY324" i="16"/>
  <c r="AY325" i="16"/>
  <c r="AY326" i="16"/>
  <c r="S326" i="16" s="1"/>
  <c r="AY327" i="16"/>
  <c r="S327" i="16" s="1"/>
  <c r="AY328" i="16"/>
  <c r="AY329" i="16"/>
  <c r="AY330" i="16"/>
  <c r="S330" i="16" s="1"/>
  <c r="AY331" i="16"/>
  <c r="S331" i="16" s="1"/>
  <c r="AY332" i="16"/>
  <c r="S332" i="16" s="1"/>
  <c r="AY333" i="16"/>
  <c r="S333" i="16" s="1"/>
  <c r="AY334" i="16"/>
  <c r="S334" i="16" s="1"/>
  <c r="AY335" i="16"/>
  <c r="S335" i="16" s="1"/>
  <c r="AY336" i="16"/>
  <c r="S336" i="16" s="1"/>
  <c r="AY337" i="16"/>
  <c r="S337" i="16" s="1"/>
  <c r="AY338" i="16"/>
  <c r="S338" i="16" s="1"/>
  <c r="AY339" i="16"/>
  <c r="S339" i="16" s="1"/>
  <c r="AY340" i="16"/>
  <c r="S340" i="16" s="1"/>
  <c r="AY341" i="16"/>
  <c r="BB340" i="16"/>
  <c r="BB338" i="16"/>
  <c r="BB337" i="16"/>
  <c r="BB335" i="16"/>
  <c r="BB332" i="16"/>
  <c r="K322" i="16"/>
  <c r="K323" i="16"/>
  <c r="K324" i="16"/>
  <c r="K325" i="16"/>
  <c r="K326" i="16"/>
  <c r="K327" i="16"/>
  <c r="K328" i="16"/>
  <c r="K329" i="16"/>
  <c r="K330" i="16"/>
  <c r="K331" i="16"/>
  <c r="L322" i="16"/>
  <c r="M322" i="16"/>
  <c r="N322" i="16"/>
  <c r="O322" i="16"/>
  <c r="L323" i="16"/>
  <c r="M323" i="16"/>
  <c r="N323" i="16"/>
  <c r="O323" i="16"/>
  <c r="L324" i="16"/>
  <c r="M324" i="16"/>
  <c r="N324" i="16"/>
  <c r="O324" i="16"/>
  <c r="L325" i="16"/>
  <c r="M325" i="16"/>
  <c r="N325" i="16"/>
  <c r="O325" i="16"/>
  <c r="L326" i="16"/>
  <c r="M326" i="16"/>
  <c r="N326" i="16"/>
  <c r="O326" i="16"/>
  <c r="L327" i="16"/>
  <c r="M327" i="16"/>
  <c r="N327" i="16"/>
  <c r="O327" i="16"/>
  <c r="L328" i="16"/>
  <c r="M328" i="16"/>
  <c r="N328" i="16"/>
  <c r="O328" i="16"/>
  <c r="L329" i="16"/>
  <c r="M329" i="16"/>
  <c r="N329" i="16"/>
  <c r="O329" i="16"/>
  <c r="L330" i="16"/>
  <c r="M330" i="16"/>
  <c r="N330" i="16"/>
  <c r="O330" i="16"/>
  <c r="L331" i="16"/>
  <c r="M331" i="16"/>
  <c r="N331" i="16"/>
  <c r="O331" i="16"/>
  <c r="J322" i="16"/>
  <c r="J323" i="16"/>
  <c r="J324" i="16"/>
  <c r="J325" i="16"/>
  <c r="J326" i="16"/>
  <c r="J327" i="16"/>
  <c r="J328" i="16"/>
  <c r="J329" i="16"/>
  <c r="J330" i="16"/>
  <c r="J331" i="16"/>
  <c r="J320" i="16"/>
  <c r="J321" i="16"/>
  <c r="K320" i="16"/>
  <c r="K321" i="16"/>
  <c r="L320" i="16"/>
  <c r="M320" i="16"/>
  <c r="N320" i="16"/>
  <c r="O320" i="16"/>
  <c r="L321" i="16"/>
  <c r="M321" i="16"/>
  <c r="N321" i="16"/>
  <c r="O321" i="16"/>
  <c r="AY320" i="16"/>
  <c r="AY321" i="16"/>
  <c r="J312" i="16"/>
  <c r="J313" i="16"/>
  <c r="J314" i="16"/>
  <c r="J315" i="16"/>
  <c r="J316" i="16"/>
  <c r="J317" i="16"/>
  <c r="J318" i="16"/>
  <c r="J319" i="16"/>
  <c r="K312" i="16"/>
  <c r="K313" i="16"/>
  <c r="K314" i="16"/>
  <c r="K315" i="16"/>
  <c r="K316" i="16"/>
  <c r="K317" i="16"/>
  <c r="K318" i="16"/>
  <c r="K319" i="16"/>
  <c r="L312" i="16"/>
  <c r="M312" i="16"/>
  <c r="N312" i="16"/>
  <c r="O312" i="16"/>
  <c r="L313" i="16"/>
  <c r="M313" i="16"/>
  <c r="N313" i="16"/>
  <c r="O313" i="16"/>
  <c r="L314" i="16"/>
  <c r="M314" i="16"/>
  <c r="N314" i="16"/>
  <c r="O314" i="16"/>
  <c r="L315" i="16"/>
  <c r="M315" i="16"/>
  <c r="N315" i="16"/>
  <c r="O315" i="16"/>
  <c r="L316" i="16"/>
  <c r="M316" i="16"/>
  <c r="N316" i="16"/>
  <c r="O316" i="16"/>
  <c r="L317" i="16"/>
  <c r="M317" i="16"/>
  <c r="N317" i="16"/>
  <c r="O317" i="16"/>
  <c r="L318" i="16"/>
  <c r="M318" i="16"/>
  <c r="N318" i="16"/>
  <c r="O318" i="16"/>
  <c r="N319" i="16"/>
  <c r="O319" i="16"/>
  <c r="AY312" i="16"/>
  <c r="S312" i="16" s="1"/>
  <c r="AY313" i="16"/>
  <c r="S313" i="16" s="1"/>
  <c r="AY314" i="16"/>
  <c r="S314" i="16" s="1"/>
  <c r="AY315" i="16"/>
  <c r="S315" i="16" s="1"/>
  <c r="AY316" i="16"/>
  <c r="S316" i="16" s="1"/>
  <c r="AY317" i="16"/>
  <c r="S317" i="16" s="1"/>
  <c r="AY318" i="16"/>
  <c r="S318" i="16" s="1"/>
  <c r="AY319" i="16"/>
  <c r="S319" i="16" s="1"/>
  <c r="J306" i="16"/>
  <c r="J307" i="16"/>
  <c r="J308" i="16"/>
  <c r="J309" i="16"/>
  <c r="J310" i="16"/>
  <c r="J311" i="16"/>
  <c r="J305" i="16"/>
  <c r="K305" i="16"/>
  <c r="O305" i="16"/>
  <c r="K306" i="16"/>
  <c r="O306" i="16"/>
  <c r="K307" i="16"/>
  <c r="O307" i="16"/>
  <c r="K308" i="16"/>
  <c r="N308" i="16"/>
  <c r="O308" i="16"/>
  <c r="K309" i="16"/>
  <c r="N309" i="16"/>
  <c r="O309" i="16"/>
  <c r="K310" i="16"/>
  <c r="N310" i="16"/>
  <c r="O310" i="16"/>
  <c r="K311" i="16"/>
  <c r="N311" i="16"/>
  <c r="O311" i="16"/>
  <c r="AY305" i="16"/>
  <c r="S305" i="16" s="1"/>
  <c r="AY306" i="16"/>
  <c r="S306" i="16" s="1"/>
  <c r="AY307" i="16"/>
  <c r="S307" i="16" s="1"/>
  <c r="AY308" i="16"/>
  <c r="S308" i="16" s="1"/>
  <c r="AY309" i="16"/>
  <c r="S309" i="16" s="1"/>
  <c r="AY310" i="16"/>
  <c r="S310" i="16" s="1"/>
  <c r="AY311" i="16"/>
  <c r="S311" i="16" s="1"/>
  <c r="BE311" i="16"/>
  <c r="M311" i="16" s="1"/>
  <c r="BD311" i="16"/>
  <c r="BE310" i="16"/>
  <c r="M310" i="16" s="1"/>
  <c r="BD310" i="16"/>
  <c r="BE309" i="16"/>
  <c r="M309" i="16" s="1"/>
  <c r="BD309" i="16"/>
  <c r="M308" i="16"/>
  <c r="BD308" i="16"/>
  <c r="BF307" i="16"/>
  <c r="BE307" i="16"/>
  <c r="M307" i="16" s="1"/>
  <c r="BD307" i="16"/>
  <c r="BF306" i="16"/>
  <c r="BE306" i="16"/>
  <c r="M306" i="16" s="1"/>
  <c r="BD306" i="16"/>
  <c r="BF305" i="16"/>
  <c r="BE305" i="16"/>
  <c r="M305" i="16" s="1"/>
  <c r="BD305" i="16"/>
  <c r="O301" i="16"/>
  <c r="M301" i="16"/>
  <c r="K301" i="16"/>
  <c r="J301" i="16"/>
  <c r="BB304" i="16"/>
  <c r="BB303" i="16"/>
  <c r="BB302" i="16"/>
  <c r="BD301" i="16"/>
  <c r="BF301" i="16"/>
  <c r="BC303" i="16"/>
  <c r="BC304" i="16"/>
  <c r="BC302" i="16"/>
  <c r="AU304" i="16"/>
  <c r="AU303" i="16"/>
  <c r="AU302" i="16"/>
  <c r="AY301" i="16"/>
  <c r="S301" i="16" s="1"/>
  <c r="AO302" i="16"/>
  <c r="AO303" i="16"/>
  <c r="AO304" i="16"/>
  <c r="AT302" i="16"/>
  <c r="AT303" i="16"/>
  <c r="AT304" i="16"/>
  <c r="AK304" i="16"/>
  <c r="AK303" i="16"/>
  <c r="AK302" i="16"/>
  <c r="S365" i="16" l="1"/>
  <c r="S363" i="16"/>
  <c r="S381" i="16"/>
  <c r="S377" i="16"/>
  <c r="S383" i="16"/>
  <c r="S388" i="16"/>
  <c r="S362" i="16"/>
  <c r="S359" i="16"/>
  <c r="S380" i="16"/>
  <c r="S376" i="16"/>
  <c r="S361" i="16"/>
  <c r="S374" i="16"/>
  <c r="S379" i="16"/>
  <c r="S375" i="16"/>
  <c r="S364" i="16"/>
  <c r="S360" i="16"/>
  <c r="S382" i="16"/>
  <c r="S378" i="16"/>
  <c r="S386" i="16"/>
  <c r="AE341" i="16"/>
  <c r="BT341" i="16" s="1"/>
  <c r="S341" i="16"/>
  <c r="AE329" i="16"/>
  <c r="BT329" i="16" s="1"/>
  <c r="S329" i="16"/>
  <c r="AE325" i="16"/>
  <c r="BT325" i="16" s="1"/>
  <c r="S325" i="16"/>
  <c r="F372" i="16"/>
  <c r="S372" i="16"/>
  <c r="AE321" i="16"/>
  <c r="BT321" i="16" s="1"/>
  <c r="S321" i="16"/>
  <c r="AE328" i="16"/>
  <c r="BT328" i="16" s="1"/>
  <c r="S328" i="16"/>
  <c r="AE324" i="16"/>
  <c r="BT324" i="16" s="1"/>
  <c r="S324" i="16"/>
  <c r="F367" i="16"/>
  <c r="S367" i="16"/>
  <c r="AE320" i="16"/>
  <c r="BT320" i="16" s="1"/>
  <c r="S320" i="16"/>
  <c r="F369" i="16"/>
  <c r="S369" i="16"/>
  <c r="AX345" i="16"/>
  <c r="AX302" i="16"/>
  <c r="Z302" i="16" s="1"/>
  <c r="AX304" i="16"/>
  <c r="Z304" i="16" s="1"/>
  <c r="AN363" i="16"/>
  <c r="Z363" i="16"/>
  <c r="X363" i="16" s="1"/>
  <c r="AN302" i="16"/>
  <c r="N306" i="16"/>
  <c r="BL306" i="16"/>
  <c r="AN362" i="16"/>
  <c r="Z362" i="16"/>
  <c r="X362" i="16" s="1"/>
  <c r="AN365" i="16"/>
  <c r="Z365" i="16"/>
  <c r="X365" i="16" s="1"/>
  <c r="AN304" i="16"/>
  <c r="N307" i="16"/>
  <c r="BL307" i="16"/>
  <c r="AN364" i="16"/>
  <c r="Z364" i="16"/>
  <c r="X364" i="16" s="1"/>
  <c r="N305" i="16"/>
  <c r="BL305" i="16"/>
  <c r="AN361" i="16"/>
  <c r="Z361" i="16"/>
  <c r="X361" i="16" s="1"/>
  <c r="AN366" i="16"/>
  <c r="Z366" i="16"/>
  <c r="AN303" i="16"/>
  <c r="AX303" i="16"/>
  <c r="Z303" i="16" s="1"/>
  <c r="N301" i="16"/>
  <c r="BL301" i="16"/>
  <c r="AN359" i="16"/>
  <c r="Z359" i="16"/>
  <c r="X359" i="16" s="1"/>
  <c r="AN360" i="16"/>
  <c r="Z360" i="16"/>
  <c r="X360" i="16" s="1"/>
  <c r="W397" i="16"/>
  <c r="FB302" i="16"/>
  <c r="GP302" i="16" s="1"/>
  <c r="FA302" i="16"/>
  <c r="GO302" i="16" s="1"/>
  <c r="FM302" i="16"/>
  <c r="HA302" i="16" s="1"/>
  <c r="FN302" i="16"/>
  <c r="HB302" i="16" s="1"/>
  <c r="GU304" i="16"/>
  <c r="GW304" i="16"/>
  <c r="GX304" i="16"/>
  <c r="GR304" i="16"/>
  <c r="GY304" i="16"/>
  <c r="GT304" i="16"/>
  <c r="GV304" i="16"/>
  <c r="GZ304" i="16"/>
  <c r="GQ304" i="16"/>
  <c r="GS304" i="16"/>
  <c r="FA303" i="16"/>
  <c r="GO303" i="16" s="1"/>
  <c r="FB303" i="16"/>
  <c r="GP303" i="16" s="1"/>
  <c r="FM303" i="16"/>
  <c r="HA303" i="16" s="1"/>
  <c r="FN303" i="16"/>
  <c r="HB303" i="16" s="1"/>
  <c r="GU303" i="16"/>
  <c r="GW303" i="16"/>
  <c r="GS303" i="16"/>
  <c r="GX303" i="16"/>
  <c r="GV303" i="16"/>
  <c r="GT303" i="16"/>
  <c r="GY303" i="16"/>
  <c r="GZ303" i="16"/>
  <c r="GR303" i="16"/>
  <c r="GQ303" i="16"/>
  <c r="FB304" i="16"/>
  <c r="GP304" i="16" s="1"/>
  <c r="FA304" i="16"/>
  <c r="GO304" i="16" s="1"/>
  <c r="FM304" i="16"/>
  <c r="HA304" i="16" s="1"/>
  <c r="FN304" i="16"/>
  <c r="HB304" i="16" s="1"/>
  <c r="GZ302" i="16"/>
  <c r="GW302" i="16"/>
  <c r="GR302" i="16"/>
  <c r="GY302" i="16"/>
  <c r="GX302" i="16"/>
  <c r="GT302" i="16"/>
  <c r="GV302" i="16"/>
  <c r="GQ302" i="16"/>
  <c r="GU302" i="16"/>
  <c r="GS302" i="16"/>
  <c r="FA338" i="16"/>
  <c r="GO338" i="16" s="1"/>
  <c r="FB338" i="16"/>
  <c r="GP338" i="16" s="1"/>
  <c r="FG338" i="16"/>
  <c r="GU338" i="16" s="1"/>
  <c r="FH338" i="16"/>
  <c r="GV338" i="16" s="1"/>
  <c r="GT373" i="16"/>
  <c r="GP373" i="16"/>
  <c r="GO373" i="16"/>
  <c r="GU373" i="16"/>
  <c r="GQ373" i="16"/>
  <c r="GS373" i="16"/>
  <c r="GV373" i="16"/>
  <c r="GR373" i="16"/>
  <c r="GW373" i="16"/>
  <c r="GY373" i="16"/>
  <c r="GX373" i="16"/>
  <c r="GR369" i="16"/>
  <c r="GS369" i="16"/>
  <c r="GQ369" i="16"/>
  <c r="GT369" i="16"/>
  <c r="GO369" i="16"/>
  <c r="GX369" i="16"/>
  <c r="GV369" i="16"/>
  <c r="GY369" i="16"/>
  <c r="GP369" i="16"/>
  <c r="GW369" i="16"/>
  <c r="GU369" i="16"/>
  <c r="FC332" i="16"/>
  <c r="GQ332" i="16" s="1"/>
  <c r="FA332" i="16"/>
  <c r="FB332" i="16"/>
  <c r="GP332" i="16" s="1"/>
  <c r="FF332" i="16"/>
  <c r="GT332" i="16" s="1"/>
  <c r="FH332" i="16"/>
  <c r="GV332" i="16" s="1"/>
  <c r="FG332" i="16"/>
  <c r="GU332" i="16" s="1"/>
  <c r="FA340" i="16"/>
  <c r="GO340" i="16" s="1"/>
  <c r="FF340" i="16"/>
  <c r="GT340" i="16" s="1"/>
  <c r="FA345" i="16"/>
  <c r="GO345" i="16" s="1"/>
  <c r="FF345" i="16"/>
  <c r="GT345" i="16" s="1"/>
  <c r="FB345" i="16"/>
  <c r="GP345" i="16" s="1"/>
  <c r="FD345" i="16"/>
  <c r="GR345" i="16" s="1"/>
  <c r="FG345" i="16"/>
  <c r="GU345" i="16" s="1"/>
  <c r="FE345" i="16"/>
  <c r="GS345" i="16" s="1"/>
  <c r="FC345" i="16"/>
  <c r="GQ345" i="16" s="1"/>
  <c r="FU345" i="16"/>
  <c r="HI345" i="16" s="1"/>
  <c r="FZ345" i="16"/>
  <c r="HN345" i="16" s="1"/>
  <c r="FV345" i="16"/>
  <c r="HJ345" i="16" s="1"/>
  <c r="FW345" i="16"/>
  <c r="HK345" i="16" s="1"/>
  <c r="FY345" i="16"/>
  <c r="HM345" i="16" s="1"/>
  <c r="GA345" i="16"/>
  <c r="HO345" i="16" s="1"/>
  <c r="FX345" i="16"/>
  <c r="HL345" i="16" s="1"/>
  <c r="GS372" i="16"/>
  <c r="GO372" i="16"/>
  <c r="GX372" i="16"/>
  <c r="HA372" i="16"/>
  <c r="GP372" i="16"/>
  <c r="GZ372" i="16"/>
  <c r="GV372" i="16"/>
  <c r="GT372" i="16"/>
  <c r="GR372" i="16"/>
  <c r="GY372" i="16"/>
  <c r="GW372" i="16"/>
  <c r="GU372" i="16"/>
  <c r="GQ372" i="16"/>
  <c r="HB372" i="16"/>
  <c r="HD372" i="16"/>
  <c r="HC372" i="16"/>
  <c r="GX368" i="16"/>
  <c r="GQ368" i="16"/>
  <c r="GO368" i="16"/>
  <c r="GW368" i="16"/>
  <c r="GY368" i="16"/>
  <c r="GU368" i="16"/>
  <c r="GT368" i="16"/>
  <c r="GZ368" i="16"/>
  <c r="GS368" i="16"/>
  <c r="GP368" i="16"/>
  <c r="GV368" i="16"/>
  <c r="GR368" i="16"/>
  <c r="HA368" i="16"/>
  <c r="HB368" i="16"/>
  <c r="HD368" i="16"/>
  <c r="HC368" i="16"/>
  <c r="FA335" i="16"/>
  <c r="GO335" i="16" s="1"/>
  <c r="FC335" i="16"/>
  <c r="GQ335" i="16" s="1"/>
  <c r="FB335" i="16"/>
  <c r="GP335" i="16" s="1"/>
  <c r="FF335" i="16"/>
  <c r="GT335" i="16" s="1"/>
  <c r="FG335" i="16"/>
  <c r="GU335" i="16" s="1"/>
  <c r="FH335" i="16"/>
  <c r="GV335" i="16" s="1"/>
  <c r="HB345" i="16"/>
  <c r="HD345" i="16"/>
  <c r="GV345" i="16"/>
  <c r="GZ345" i="16"/>
  <c r="HA345" i="16"/>
  <c r="HF345" i="16"/>
  <c r="HH345" i="16"/>
  <c r="HC345" i="16"/>
  <c r="GW345" i="16"/>
  <c r="HE345" i="16"/>
  <c r="HG345" i="16"/>
  <c r="GX345" i="16"/>
  <c r="GY345" i="16"/>
  <c r="GX371" i="16"/>
  <c r="GW371" i="16"/>
  <c r="GO371" i="16"/>
  <c r="GS371" i="16"/>
  <c r="GQ371" i="16"/>
  <c r="GR371" i="16"/>
  <c r="GY371" i="16"/>
  <c r="GU371" i="16"/>
  <c r="GP371" i="16"/>
  <c r="GZ371" i="16"/>
  <c r="HA371" i="16"/>
  <c r="GT371" i="16"/>
  <c r="GV371" i="16"/>
  <c r="HB371" i="16"/>
  <c r="HD371" i="16"/>
  <c r="HC371" i="16"/>
  <c r="FC337" i="16"/>
  <c r="GQ337" i="16" s="1"/>
  <c r="FA337" i="16"/>
  <c r="GO337" i="16" s="1"/>
  <c r="FB337" i="16"/>
  <c r="GP337" i="16" s="1"/>
  <c r="FF337" i="16"/>
  <c r="GT337" i="16" s="1"/>
  <c r="FG337" i="16"/>
  <c r="GU337" i="16" s="1"/>
  <c r="FH337" i="16"/>
  <c r="GV337" i="16" s="1"/>
  <c r="GP367" i="16"/>
  <c r="GO367" i="16"/>
  <c r="GY367" i="16"/>
  <c r="GW367" i="16"/>
  <c r="GU367" i="16"/>
  <c r="GQ367" i="16"/>
  <c r="GV367" i="16"/>
  <c r="GS367" i="16"/>
  <c r="GZ367" i="16"/>
  <c r="HA367" i="16"/>
  <c r="GR367" i="16"/>
  <c r="GT367" i="16"/>
  <c r="GX367" i="16"/>
  <c r="HB367" i="16"/>
  <c r="HC367" i="16"/>
  <c r="HD367" i="16"/>
  <c r="GO370" i="16"/>
  <c r="GP370" i="16"/>
  <c r="GU370" i="16"/>
  <c r="GR370" i="16"/>
  <c r="GS370" i="16"/>
  <c r="GT370" i="16"/>
  <c r="GV370" i="16"/>
  <c r="GQ370" i="16"/>
  <c r="GW370" i="16"/>
  <c r="GX370" i="16"/>
  <c r="GY370" i="16"/>
  <c r="L301" i="16"/>
  <c r="AC330" i="16"/>
  <c r="Z330" i="16" s="1"/>
  <c r="AD330" i="16"/>
  <c r="AC322" i="16"/>
  <c r="Z322" i="16" s="1"/>
  <c r="AD322" i="16"/>
  <c r="L307" i="16"/>
  <c r="AD320" i="16"/>
  <c r="AC320" i="16"/>
  <c r="AD328" i="16"/>
  <c r="AC328" i="16"/>
  <c r="Z328" i="16" s="1"/>
  <c r="AC324" i="16"/>
  <c r="Z324" i="16" s="1"/>
  <c r="AD324" i="16"/>
  <c r="AV331" i="16"/>
  <c r="AE331" i="16"/>
  <c r="BT331" i="16" s="1"/>
  <c r="AV327" i="16"/>
  <c r="AE327" i="16"/>
  <c r="BT327" i="16" s="1"/>
  <c r="AV323" i="16"/>
  <c r="AE323" i="16"/>
  <c r="BT323" i="16" s="1"/>
  <c r="L305" i="16"/>
  <c r="AC326" i="16"/>
  <c r="AD326" i="16"/>
  <c r="L310" i="16"/>
  <c r="AD321" i="16"/>
  <c r="AC321" i="16"/>
  <c r="AD329" i="16"/>
  <c r="AC329" i="16"/>
  <c r="Z329" i="16" s="1"/>
  <c r="AD325" i="16"/>
  <c r="AC325" i="16"/>
  <c r="Z325" i="16" s="1"/>
  <c r="L306" i="16"/>
  <c r="L308" i="16"/>
  <c r="L309" i="16"/>
  <c r="L311" i="16"/>
  <c r="AD331" i="16"/>
  <c r="AC331" i="16"/>
  <c r="Z331" i="16" s="1"/>
  <c r="AD327" i="16"/>
  <c r="AC327" i="16"/>
  <c r="AD323" i="16"/>
  <c r="AC323" i="16"/>
  <c r="Z323" i="16" s="1"/>
  <c r="AV330" i="16"/>
  <c r="AE330" i="16"/>
  <c r="BT330" i="16" s="1"/>
  <c r="AV326" i="16"/>
  <c r="AE326" i="16"/>
  <c r="BT326" i="16" s="1"/>
  <c r="AV322" i="16"/>
  <c r="AE322" i="16"/>
  <c r="BT322" i="16" s="1"/>
  <c r="N340" i="16"/>
  <c r="AI340" i="16"/>
  <c r="AB340" i="16" s="1"/>
  <c r="AE338" i="16"/>
  <c r="BT338" i="16" s="1"/>
  <c r="AV338" i="16"/>
  <c r="F341" i="16"/>
  <c r="AV341" i="16"/>
  <c r="F329" i="16"/>
  <c r="AV329" i="16"/>
  <c r="F325" i="16"/>
  <c r="AV325" i="16"/>
  <c r="AC339" i="16"/>
  <c r="AD339" i="16"/>
  <c r="F321" i="16"/>
  <c r="AV321" i="16"/>
  <c r="F340" i="16"/>
  <c r="AE340" i="16"/>
  <c r="BT340" i="16" s="1"/>
  <c r="AV340" i="16"/>
  <c r="F328" i="16"/>
  <c r="AV328" i="16"/>
  <c r="F324" i="16"/>
  <c r="AV324" i="16"/>
  <c r="AC341" i="16"/>
  <c r="AD341" i="16"/>
  <c r="AC338" i="16"/>
  <c r="AD338" i="16"/>
  <c r="F320" i="16"/>
  <c r="AV320" i="16"/>
  <c r="N338" i="16"/>
  <c r="AI338" i="16"/>
  <c r="AB338" i="16" s="1"/>
  <c r="AE339" i="16"/>
  <c r="BT339" i="16" s="1"/>
  <c r="AV339" i="16"/>
  <c r="AD340" i="16"/>
  <c r="AC340" i="16"/>
  <c r="F383" i="16"/>
  <c r="AE383" i="16"/>
  <c r="BT383" i="16" s="1"/>
  <c r="F388" i="16"/>
  <c r="AE388" i="16"/>
  <c r="BT388" i="16" s="1"/>
  <c r="AE386" i="16"/>
  <c r="BT386" i="16" s="1"/>
  <c r="F381" i="16"/>
  <c r="AE381" i="16"/>
  <c r="BT381" i="16" s="1"/>
  <c r="AV381" i="16"/>
  <c r="AD379" i="16"/>
  <c r="AC379" i="16"/>
  <c r="L385" i="16"/>
  <c r="AM385" i="16"/>
  <c r="AL385" i="16"/>
  <c r="AC385" i="16"/>
  <c r="Z385" i="16" s="1"/>
  <c r="AD385" i="16"/>
  <c r="N363" i="16"/>
  <c r="AL363" i="16"/>
  <c r="AM363" i="16"/>
  <c r="N364" i="16"/>
  <c r="AM364" i="16"/>
  <c r="AL364" i="16"/>
  <c r="AE365" i="16"/>
  <c r="BT365" i="16" s="1"/>
  <c r="AV365" i="16"/>
  <c r="AE361" i="16"/>
  <c r="BT361" i="16" s="1"/>
  <c r="AV361" i="16"/>
  <c r="AR367" i="16"/>
  <c r="BL367" i="16" s="1"/>
  <c r="AS367" i="16"/>
  <c r="AG367" i="16" s="1"/>
  <c r="K370" i="16"/>
  <c r="AR370" i="16"/>
  <c r="BL370" i="16" s="1"/>
  <c r="AS370" i="16"/>
  <c r="AG370" i="16" s="1"/>
  <c r="L374" i="16"/>
  <c r="AL374" i="16"/>
  <c r="AM374" i="16"/>
  <c r="M379" i="16"/>
  <c r="AM379" i="16"/>
  <c r="AL379" i="16"/>
  <c r="M375" i="16"/>
  <c r="AM375" i="16"/>
  <c r="AL375" i="16"/>
  <c r="AE380" i="16"/>
  <c r="BT380" i="16" s="1"/>
  <c r="AV380" i="16"/>
  <c r="AE376" i="16"/>
  <c r="BT376" i="16" s="1"/>
  <c r="AV376" i="16"/>
  <c r="M386" i="16"/>
  <c r="AM386" i="16"/>
  <c r="AL386" i="16"/>
  <c r="AD388" i="16"/>
  <c r="AC388" i="16"/>
  <c r="AD384" i="16"/>
  <c r="AC384" i="16"/>
  <c r="Z384" i="16" s="1"/>
  <c r="N359" i="16"/>
  <c r="AL359" i="16"/>
  <c r="AM359" i="16"/>
  <c r="N360" i="16"/>
  <c r="AM360" i="16"/>
  <c r="AL360" i="16"/>
  <c r="AE362" i="16"/>
  <c r="BT362" i="16" s="1"/>
  <c r="AV362" i="16"/>
  <c r="L380" i="16"/>
  <c r="AM380" i="16"/>
  <c r="AL380" i="16"/>
  <c r="F377" i="16"/>
  <c r="AE377" i="16"/>
  <c r="BT377" i="16" s="1"/>
  <c r="AV377" i="16"/>
  <c r="AD381" i="16"/>
  <c r="AC381" i="16"/>
  <c r="AD375" i="16"/>
  <c r="AC375" i="16"/>
  <c r="AD383" i="16"/>
  <c r="AC383" i="16"/>
  <c r="N362" i="16"/>
  <c r="AM362" i="16"/>
  <c r="AL362" i="16"/>
  <c r="N365" i="16"/>
  <c r="AM365" i="16"/>
  <c r="AL365" i="16"/>
  <c r="AV364" i="16"/>
  <c r="AE364" i="16"/>
  <c r="BT364" i="16" s="1"/>
  <c r="AE360" i="16"/>
  <c r="BT360" i="16" s="1"/>
  <c r="AV360" i="16"/>
  <c r="AR373" i="16"/>
  <c r="BL373" i="16" s="1"/>
  <c r="AS373" i="16"/>
  <c r="AG373" i="16" s="1"/>
  <c r="AR369" i="16"/>
  <c r="BL369" i="16" s="1"/>
  <c r="AS369" i="16"/>
  <c r="AG369" i="16" s="1"/>
  <c r="L382" i="16"/>
  <c r="AL382" i="16"/>
  <c r="AM382" i="16"/>
  <c r="L378" i="16"/>
  <c r="AL378" i="16"/>
  <c r="AM378" i="16"/>
  <c r="AE374" i="16"/>
  <c r="BT374" i="16" s="1"/>
  <c r="AV374" i="16"/>
  <c r="AV379" i="16"/>
  <c r="AE379" i="16"/>
  <c r="BT379" i="16" s="1"/>
  <c r="AV375" i="16"/>
  <c r="AE375" i="16"/>
  <c r="BT375" i="16" s="1"/>
  <c r="AC382" i="16"/>
  <c r="AD382" i="16"/>
  <c r="AD380" i="16"/>
  <c r="AC380" i="16"/>
  <c r="AC378" i="16"/>
  <c r="AD378" i="16"/>
  <c r="AD376" i="16"/>
  <c r="AC376" i="16"/>
  <c r="AL383" i="16"/>
  <c r="AM383" i="16"/>
  <c r="AL387" i="16"/>
  <c r="AM387" i="16"/>
  <c r="AD387" i="16"/>
  <c r="AC387" i="16"/>
  <c r="Z387" i="16" s="1"/>
  <c r="AE359" i="16"/>
  <c r="BT359" i="16" s="1"/>
  <c r="AV359" i="16"/>
  <c r="K371" i="16"/>
  <c r="AR371" i="16"/>
  <c r="BL371" i="16" s="1"/>
  <c r="AS371" i="16"/>
  <c r="AG371" i="16" s="1"/>
  <c r="L376" i="16"/>
  <c r="AM376" i="16"/>
  <c r="AL376" i="16"/>
  <c r="AD377" i="16"/>
  <c r="AC377" i="16"/>
  <c r="N361" i="16"/>
  <c r="AM361" i="16"/>
  <c r="AL361" i="16"/>
  <c r="N366" i="16"/>
  <c r="AM366" i="16"/>
  <c r="AL366" i="16"/>
  <c r="AE363" i="16"/>
  <c r="BT363" i="16" s="1"/>
  <c r="AV363" i="16"/>
  <c r="J372" i="16"/>
  <c r="AS372" i="16"/>
  <c r="AG372" i="16" s="1"/>
  <c r="AR372" i="16"/>
  <c r="BL372" i="16" s="1"/>
  <c r="J368" i="16"/>
  <c r="AS368" i="16"/>
  <c r="AG368" i="16" s="1"/>
  <c r="AR368" i="16"/>
  <c r="BL368" i="16" s="1"/>
  <c r="L381" i="16"/>
  <c r="AL381" i="16"/>
  <c r="AM381" i="16"/>
  <c r="L377" i="16"/>
  <c r="AL377" i="16"/>
  <c r="AM377" i="16"/>
  <c r="AE382" i="16"/>
  <c r="BT382" i="16" s="1"/>
  <c r="AV382" i="16"/>
  <c r="AV378" i="16"/>
  <c r="AE378" i="16"/>
  <c r="BT378" i="16" s="1"/>
  <c r="AC374" i="16"/>
  <c r="AD374" i="16"/>
  <c r="AL384" i="16"/>
  <c r="AM384" i="16"/>
  <c r="AL388" i="16"/>
  <c r="AM388" i="16"/>
  <c r="AC386" i="16"/>
  <c r="AD386" i="16"/>
  <c r="AD312" i="16"/>
  <c r="AC312" i="16"/>
  <c r="Z312" i="16" s="1"/>
  <c r="AD336" i="16"/>
  <c r="AC336" i="16"/>
  <c r="Z336" i="16" s="1"/>
  <c r="AD305" i="16"/>
  <c r="AC305" i="16"/>
  <c r="Z305" i="16" s="1"/>
  <c r="AD308" i="16"/>
  <c r="AC308" i="16"/>
  <c r="Z308" i="16" s="1"/>
  <c r="AD306" i="16"/>
  <c r="AC306" i="16"/>
  <c r="Z306" i="16" s="1"/>
  <c r="AD319" i="16"/>
  <c r="AC319" i="16"/>
  <c r="Z319" i="16" s="1"/>
  <c r="AD315" i="16"/>
  <c r="AC315" i="16"/>
  <c r="Z315" i="16" s="1"/>
  <c r="AD335" i="16"/>
  <c r="AC335" i="16"/>
  <c r="AD333" i="16"/>
  <c r="AC333" i="16"/>
  <c r="Z333" i="16" s="1"/>
  <c r="AD309" i="16"/>
  <c r="AC309" i="16"/>
  <c r="Z309" i="16" s="1"/>
  <c r="AD316" i="16"/>
  <c r="AC316" i="16"/>
  <c r="Z316" i="16" s="1"/>
  <c r="AD311" i="16"/>
  <c r="AC311" i="16"/>
  <c r="Z311" i="16" s="1"/>
  <c r="AD318" i="16"/>
  <c r="AC318" i="16"/>
  <c r="Z318" i="16" s="1"/>
  <c r="AD314" i="16"/>
  <c r="AC314" i="16"/>
  <c r="Z314" i="16" s="1"/>
  <c r="AD337" i="16"/>
  <c r="AC337" i="16"/>
  <c r="AD332" i="16"/>
  <c r="AC332" i="16"/>
  <c r="AD307" i="16"/>
  <c r="AC307" i="16"/>
  <c r="Z307" i="16" s="1"/>
  <c r="AD301" i="16"/>
  <c r="AC301" i="16"/>
  <c r="Z301" i="16" s="1"/>
  <c r="AD310" i="16"/>
  <c r="AC310" i="16"/>
  <c r="Z310" i="16" s="1"/>
  <c r="AD317" i="16"/>
  <c r="AC317" i="16"/>
  <c r="Z317" i="16" s="1"/>
  <c r="AD313" i="16"/>
  <c r="AC313" i="16"/>
  <c r="Z313" i="16" s="1"/>
  <c r="AD334" i="16"/>
  <c r="AC334" i="16"/>
  <c r="Z334" i="16" s="1"/>
  <c r="AE310" i="16"/>
  <c r="BT310" i="16" s="1"/>
  <c r="AV310" i="16"/>
  <c r="AM304" i="16"/>
  <c r="AL304" i="16"/>
  <c r="AS302" i="16"/>
  <c r="AR302" i="16"/>
  <c r="BL302" i="16" s="1"/>
  <c r="AL302" i="16"/>
  <c r="AM302" i="16"/>
  <c r="AV311" i="16"/>
  <c r="AE311" i="16"/>
  <c r="BT311" i="16" s="1"/>
  <c r="AV305" i="16"/>
  <c r="AE305" i="16"/>
  <c r="BT305" i="16" s="1"/>
  <c r="AE318" i="16"/>
  <c r="BT318" i="16" s="1"/>
  <c r="AV318" i="16"/>
  <c r="AV314" i="16"/>
  <c r="AE314" i="16"/>
  <c r="BT314" i="16" s="1"/>
  <c r="N335" i="16"/>
  <c r="AI335" i="16"/>
  <c r="AB335" i="16" s="1"/>
  <c r="F337" i="16"/>
  <c r="AE337" i="16"/>
  <c r="BT337" i="16" s="1"/>
  <c r="AV337" i="16"/>
  <c r="F333" i="16"/>
  <c r="AE333" i="16"/>
  <c r="BT333" i="16" s="1"/>
  <c r="AV333" i="16"/>
  <c r="AY345" i="16"/>
  <c r="AR345" i="16"/>
  <c r="BL345" i="16" s="1"/>
  <c r="AS345" i="16"/>
  <c r="AG345" i="16" s="1"/>
  <c r="AE317" i="16"/>
  <c r="BT317" i="16" s="1"/>
  <c r="AV317" i="16"/>
  <c r="AE313" i="16"/>
  <c r="BT313" i="16" s="1"/>
  <c r="AV313" i="16"/>
  <c r="N337" i="16"/>
  <c r="AI337" i="16"/>
  <c r="AB337" i="16" s="1"/>
  <c r="AV336" i="16"/>
  <c r="AE336" i="16"/>
  <c r="BT336" i="16" s="1"/>
  <c r="F332" i="16"/>
  <c r="AE332" i="16"/>
  <c r="BT332" i="16" s="1"/>
  <c r="AV332" i="16"/>
  <c r="AM303" i="16"/>
  <c r="AL303" i="16"/>
  <c r="AR303" i="16"/>
  <c r="BL303" i="16" s="1"/>
  <c r="AS303" i="16"/>
  <c r="AV309" i="16"/>
  <c r="AE309" i="16"/>
  <c r="BT309" i="16" s="1"/>
  <c r="AV307" i="16"/>
  <c r="AE307" i="16"/>
  <c r="BT307" i="16" s="1"/>
  <c r="L319" i="16"/>
  <c r="F316" i="16"/>
  <c r="AE316" i="16"/>
  <c r="BT316" i="16" s="1"/>
  <c r="AV316" i="16"/>
  <c r="AV312" i="16"/>
  <c r="AE312" i="16"/>
  <c r="BT312" i="16" s="1"/>
  <c r="AV335" i="16"/>
  <c r="AE335" i="16"/>
  <c r="BT335" i="16" s="1"/>
  <c r="AS304" i="16"/>
  <c r="AG304" i="16" s="1"/>
  <c r="AR304" i="16"/>
  <c r="BL304" i="16" s="1"/>
  <c r="AV308" i="16"/>
  <c r="AE308" i="16"/>
  <c r="BT308" i="16" s="1"/>
  <c r="AV306" i="16"/>
  <c r="AE306" i="16"/>
  <c r="BT306" i="16" s="1"/>
  <c r="AV319" i="16"/>
  <c r="AE319" i="16"/>
  <c r="BT319" i="16" s="1"/>
  <c r="AV315" i="16"/>
  <c r="AE315" i="16"/>
  <c r="BT315" i="16" s="1"/>
  <c r="N332" i="16"/>
  <c r="AI332" i="16"/>
  <c r="AB332" i="16" s="1"/>
  <c r="AE334" i="16"/>
  <c r="BT334" i="16" s="1"/>
  <c r="AV334" i="16"/>
  <c r="AM345" i="16"/>
  <c r="AL345" i="16"/>
  <c r="F362" i="16"/>
  <c r="F310" i="16"/>
  <c r="F307" i="16"/>
  <c r="F308" i="16"/>
  <c r="F306" i="16"/>
  <c r="F301" i="16"/>
  <c r="AV301" i="16"/>
  <c r="O381" i="16"/>
  <c r="O377" i="16"/>
  <c r="F365" i="16"/>
  <c r="R318" i="16"/>
  <c r="F318" i="16"/>
  <c r="F359" i="16"/>
  <c r="R317" i="16"/>
  <c r="F317" i="16"/>
  <c r="R313" i="16"/>
  <c r="F313" i="16"/>
  <c r="AJ336" i="16"/>
  <c r="BQ336" i="16" s="1"/>
  <c r="F336" i="16"/>
  <c r="F361" i="16"/>
  <c r="F380" i="16"/>
  <c r="F376" i="16"/>
  <c r="R311" i="16"/>
  <c r="F311" i="16"/>
  <c r="R309" i="16"/>
  <c r="F309" i="16"/>
  <c r="R312" i="16"/>
  <c r="F312" i="16"/>
  <c r="R339" i="16"/>
  <c r="F339" i="16"/>
  <c r="R335" i="16"/>
  <c r="F335" i="16"/>
  <c r="R331" i="16"/>
  <c r="F331" i="16"/>
  <c r="R327" i="16"/>
  <c r="F327" i="16"/>
  <c r="R323" i="16"/>
  <c r="F323" i="16"/>
  <c r="F364" i="16"/>
  <c r="F360" i="16"/>
  <c r="F374" i="16"/>
  <c r="F379" i="16"/>
  <c r="F375" i="16"/>
  <c r="R305" i="16"/>
  <c r="F305" i="16"/>
  <c r="R314" i="16"/>
  <c r="F314" i="16"/>
  <c r="R319" i="16"/>
  <c r="F319" i="16"/>
  <c r="R315" i="16"/>
  <c r="F315" i="16"/>
  <c r="AJ338" i="16"/>
  <c r="F338" i="16"/>
  <c r="AJ334" i="16"/>
  <c r="BQ334" i="16" s="1"/>
  <c r="F334" i="16"/>
  <c r="R330" i="16"/>
  <c r="F330" i="16"/>
  <c r="R326" i="16"/>
  <c r="F326" i="16"/>
  <c r="R322" i="16"/>
  <c r="F322" i="16"/>
  <c r="F363" i="16"/>
  <c r="R373" i="16"/>
  <c r="F373" i="16"/>
  <c r="O380" i="16"/>
  <c r="O376" i="16"/>
  <c r="F382" i="16"/>
  <c r="F378" i="16"/>
  <c r="F386" i="16"/>
  <c r="O374" i="16"/>
  <c r="O379" i="16"/>
  <c r="O375" i="16"/>
  <c r="AJ330" i="16"/>
  <c r="BQ330" i="16" s="1"/>
  <c r="L359" i="16"/>
  <c r="M364" i="16"/>
  <c r="O359" i="16"/>
  <c r="L345" i="16"/>
  <c r="O302" i="16"/>
  <c r="AJ327" i="16"/>
  <c r="BQ327" i="16" s="1"/>
  <c r="O388" i="16"/>
  <c r="AJ326" i="16"/>
  <c r="BQ326" i="16" s="1"/>
  <c r="AJ322" i="16"/>
  <c r="BQ322" i="16" s="1"/>
  <c r="N345" i="16"/>
  <c r="M363" i="16"/>
  <c r="O384" i="16"/>
  <c r="N385" i="16"/>
  <c r="N302" i="16"/>
  <c r="AJ323" i="16"/>
  <c r="BQ323" i="16" s="1"/>
  <c r="M360" i="16"/>
  <c r="M304" i="16"/>
  <c r="AJ331" i="16"/>
  <c r="BQ331" i="16" s="1"/>
  <c r="L360" i="16"/>
  <c r="O382" i="16"/>
  <c r="O378" i="16"/>
  <c r="K304" i="16"/>
  <c r="AY304" i="16"/>
  <c r="AJ308" i="16"/>
  <c r="BQ308" i="16" s="1"/>
  <c r="R316" i="16"/>
  <c r="K345" i="16"/>
  <c r="R334" i="16"/>
  <c r="M361" i="16"/>
  <c r="P369" i="16"/>
  <c r="AE369" i="16" s="1"/>
  <c r="BT369" i="16" s="1"/>
  <c r="M376" i="16"/>
  <c r="L375" i="16"/>
  <c r="L386" i="16"/>
  <c r="R301" i="16"/>
  <c r="P301" i="16"/>
  <c r="AE301" i="16" s="1"/>
  <c r="BT301" i="16" s="1"/>
  <c r="R308" i="16"/>
  <c r="AJ337" i="16"/>
  <c r="O345" i="16"/>
  <c r="R325" i="16"/>
  <c r="L362" i="16"/>
  <c r="L366" i="16"/>
  <c r="M365" i="16"/>
  <c r="O364" i="16"/>
  <c r="J371" i="16"/>
  <c r="M374" i="16"/>
  <c r="N380" i="16"/>
  <c r="M378" i="16"/>
  <c r="O385" i="16"/>
  <c r="N386" i="16"/>
  <c r="K302" i="16"/>
  <c r="N304" i="16"/>
  <c r="AJ305" i="16"/>
  <c r="BQ305" i="16" s="1"/>
  <c r="AJ306" i="16"/>
  <c r="BQ306" i="16" s="1"/>
  <c r="M319" i="16"/>
  <c r="AJ321" i="16"/>
  <c r="BQ321" i="16" s="1"/>
  <c r="R338" i="16"/>
  <c r="R329" i="16"/>
  <c r="L361" i="16"/>
  <c r="M359" i="16"/>
  <c r="L364" i="16"/>
  <c r="O361" i="16"/>
  <c r="O365" i="16"/>
  <c r="J370" i="16"/>
  <c r="N374" i="16"/>
  <c r="M380" i="16"/>
  <c r="L379" i="16"/>
  <c r="AY385" i="16"/>
  <c r="AJ386" i="16"/>
  <c r="O304" i="16"/>
  <c r="AJ311" i="16"/>
  <c r="BQ311" i="16" s="1"/>
  <c r="AJ316" i="16"/>
  <c r="BQ316" i="16" s="1"/>
  <c r="AJ320" i="16"/>
  <c r="BQ320" i="16" s="1"/>
  <c r="R337" i="16"/>
  <c r="R321" i="16"/>
  <c r="M366" i="16"/>
  <c r="L365" i="16"/>
  <c r="O360" i="16"/>
  <c r="O366" i="16"/>
  <c r="AY370" i="16"/>
  <c r="R369" i="16"/>
  <c r="P373" i="16"/>
  <c r="AE373" i="16" s="1"/>
  <c r="BT373" i="16" s="1"/>
  <c r="M382" i="16"/>
  <c r="N376" i="16"/>
  <c r="AY384" i="16"/>
  <c r="O386" i="16"/>
  <c r="M385" i="16"/>
  <c r="AY303" i="16"/>
  <c r="N303" i="16"/>
  <c r="K303" i="16"/>
  <c r="M303" i="16"/>
  <c r="R310" i="16"/>
  <c r="AJ310" i="16"/>
  <c r="BQ310" i="16" s="1"/>
  <c r="AY368" i="16"/>
  <c r="S368" i="16" s="1"/>
  <c r="M383" i="16"/>
  <c r="O383" i="16"/>
  <c r="L383" i="16"/>
  <c r="M387" i="16"/>
  <c r="O387" i="16"/>
  <c r="L387" i="16"/>
  <c r="AY387" i="16"/>
  <c r="L302" i="16"/>
  <c r="M302" i="16"/>
  <c r="R372" i="16"/>
  <c r="P372" i="16"/>
  <c r="AE372" i="16" s="1"/>
  <c r="BT372" i="16" s="1"/>
  <c r="AJ383" i="16"/>
  <c r="N387" i="16"/>
  <c r="L303" i="16"/>
  <c r="O303" i="16"/>
  <c r="K367" i="16"/>
  <c r="J367" i="16"/>
  <c r="L304" i="16"/>
  <c r="R307" i="16"/>
  <c r="J373" i="16"/>
  <c r="K373" i="16"/>
  <c r="P367" i="16"/>
  <c r="AE367" i="16" s="1"/>
  <c r="BT367" i="16" s="1"/>
  <c r="L384" i="16"/>
  <c r="M384" i="16"/>
  <c r="L388" i="16"/>
  <c r="M388" i="16"/>
  <c r="AJ388" i="16"/>
  <c r="N388" i="16"/>
  <c r="N384" i="16"/>
  <c r="AY302" i="16"/>
  <c r="AJ312" i="16"/>
  <c r="BQ312" i="16" s="1"/>
  <c r="R306" i="16"/>
  <c r="AJ341" i="16"/>
  <c r="BQ341" i="16" s="1"/>
  <c r="AJ333" i="16"/>
  <c r="BQ333" i="16" s="1"/>
  <c r="M362" i="16"/>
  <c r="O362" i="16"/>
  <c r="R367" i="16"/>
  <c r="AY371" i="16"/>
  <c r="S371" i="16" s="1"/>
  <c r="R383" i="16"/>
  <c r="N383" i="16"/>
  <c r="AJ313" i="16"/>
  <c r="BQ313" i="16" s="1"/>
  <c r="J369" i="16"/>
  <c r="K369" i="16"/>
  <c r="AJ309" i="16"/>
  <c r="BQ309" i="16" s="1"/>
  <c r="AJ307" i="16"/>
  <c r="BQ307" i="16" s="1"/>
  <c r="AJ317" i="16"/>
  <c r="BQ317" i="16" s="1"/>
  <c r="R340" i="16"/>
  <c r="R336" i="16"/>
  <c r="R332" i="16"/>
  <c r="AJ328" i="16"/>
  <c r="BQ328" i="16" s="1"/>
  <c r="R328" i="16"/>
  <c r="AJ324" i="16"/>
  <c r="BQ324" i="16" s="1"/>
  <c r="R324" i="16"/>
  <c r="AJ340" i="16"/>
  <c r="AJ332" i="16"/>
  <c r="J345" i="16"/>
  <c r="M345" i="16"/>
  <c r="R341" i="16"/>
  <c r="R333" i="16"/>
  <c r="AY366" i="16"/>
  <c r="S366" i="16" s="1"/>
  <c r="L363" i="16"/>
  <c r="O363" i="16"/>
  <c r="M381" i="16"/>
  <c r="N381" i="16"/>
  <c r="M377" i="16"/>
  <c r="N377" i="16"/>
  <c r="N382" i="16"/>
  <c r="N378" i="16"/>
  <c r="R388" i="16"/>
  <c r="R386" i="16"/>
  <c r="AJ319" i="16"/>
  <c r="BQ319" i="16" s="1"/>
  <c r="AJ315" i="16"/>
  <c r="BQ315" i="16" s="1"/>
  <c r="AJ339" i="16"/>
  <c r="BQ339" i="16" s="1"/>
  <c r="AJ335" i="16"/>
  <c r="R320" i="16"/>
  <c r="N379" i="16"/>
  <c r="N375" i="16"/>
  <c r="AJ318" i="16"/>
  <c r="BQ318" i="16" s="1"/>
  <c r="AJ314" i="16"/>
  <c r="BQ314" i="16" s="1"/>
  <c r="K372" i="16"/>
  <c r="K368" i="16"/>
  <c r="AJ329" i="16"/>
  <c r="BQ329" i="16" s="1"/>
  <c r="AJ325" i="16"/>
  <c r="BQ325" i="16" s="1"/>
  <c r="AV302" i="16" l="1"/>
  <c r="S302" i="16"/>
  <c r="AE387" i="16"/>
  <c r="BT387" i="16" s="1"/>
  <c r="S387" i="16"/>
  <c r="AE384" i="16"/>
  <c r="BT384" i="16" s="1"/>
  <c r="S384" i="16"/>
  <c r="AV303" i="16"/>
  <c r="S303" i="16"/>
  <c r="F370" i="16"/>
  <c r="S370" i="16"/>
  <c r="AE385" i="16"/>
  <c r="BT385" i="16" s="1"/>
  <c r="S385" i="16"/>
  <c r="AV304" i="16"/>
  <c r="S304" i="16"/>
  <c r="R345" i="16"/>
  <c r="S345" i="16"/>
  <c r="X366" i="16"/>
  <c r="AF340" i="16"/>
  <c r="AI303" i="16"/>
  <c r="AG303" i="16"/>
  <c r="AI302" i="16"/>
  <c r="AG302" i="16"/>
  <c r="AF365" i="16"/>
  <c r="AA365" i="16" s="1"/>
  <c r="W365" i="16" s="1"/>
  <c r="AF341" i="16"/>
  <c r="AA341" i="16" s="1"/>
  <c r="W341" i="16" s="1"/>
  <c r="AF323" i="16"/>
  <c r="AA323" i="16" s="1"/>
  <c r="T323" i="16" s="1"/>
  <c r="AF331" i="16"/>
  <c r="AA331" i="16" s="1"/>
  <c r="T331" i="16" s="1"/>
  <c r="AF338" i="16"/>
  <c r="AA338" i="16" s="1"/>
  <c r="W338" i="16" s="1"/>
  <c r="AF361" i="16"/>
  <c r="AA361" i="16" s="1"/>
  <c r="W361" i="16" s="1"/>
  <c r="AF380" i="16"/>
  <c r="AA380" i="16" s="1"/>
  <c r="W380" i="16" s="1"/>
  <c r="BQ388" i="16"/>
  <c r="AF386" i="16"/>
  <c r="AA386" i="16" s="1"/>
  <c r="W386" i="16" s="1"/>
  <c r="Z337" i="16"/>
  <c r="X337" i="16" s="1"/>
  <c r="Z335" i="16"/>
  <c r="X335" i="16" s="1"/>
  <c r="Z378" i="16"/>
  <c r="X378" i="16" s="1"/>
  <c r="Z382" i="16"/>
  <c r="X382" i="16" s="1"/>
  <c r="Z340" i="16"/>
  <c r="X340" i="16" s="1"/>
  <c r="Z326" i="16"/>
  <c r="X326" i="16" s="1"/>
  <c r="Z320" i="16"/>
  <c r="X320" i="16" s="1"/>
  <c r="AF317" i="16"/>
  <c r="AA317" i="16" s="1"/>
  <c r="T317" i="16" s="1"/>
  <c r="AF310" i="16"/>
  <c r="AA310" i="16" s="1"/>
  <c r="T310" i="16" s="1"/>
  <c r="AF307" i="16"/>
  <c r="AA307" i="16" s="1"/>
  <c r="T307" i="16" s="1"/>
  <c r="AF337" i="16"/>
  <c r="AA337" i="16" s="1"/>
  <c r="W337" i="16" s="1"/>
  <c r="AF311" i="16"/>
  <c r="AF309" i="16"/>
  <c r="AA309" i="16" s="1"/>
  <c r="T309" i="16" s="1"/>
  <c r="AF308" i="16"/>
  <c r="AA308" i="16" s="1"/>
  <c r="T308" i="16" s="1"/>
  <c r="Z386" i="16"/>
  <c r="X386" i="16" s="1"/>
  <c r="Z377" i="16"/>
  <c r="X377" i="16" s="1"/>
  <c r="Z376" i="16"/>
  <c r="X376" i="16" s="1"/>
  <c r="Z380" i="16"/>
  <c r="X380" i="16" s="1"/>
  <c r="Z383" i="16"/>
  <c r="X383" i="16" s="1"/>
  <c r="Z381" i="16"/>
  <c r="X381" i="16" s="1"/>
  <c r="Z388" i="16"/>
  <c r="X388" i="16" s="1"/>
  <c r="Z379" i="16"/>
  <c r="X379" i="16" s="1"/>
  <c r="Z338" i="16"/>
  <c r="X338" i="16" s="1"/>
  <c r="AF339" i="16"/>
  <c r="AA339" i="16" s="1"/>
  <c r="W339" i="16" s="1"/>
  <c r="Z332" i="16"/>
  <c r="X332" i="16" s="1"/>
  <c r="AF381" i="16"/>
  <c r="AA381" i="16" s="1"/>
  <c r="W381" i="16" s="1"/>
  <c r="Z339" i="16"/>
  <c r="X339" i="16" s="1"/>
  <c r="AF306" i="16"/>
  <c r="AA306" i="16" s="1"/>
  <c r="T306" i="16" s="1"/>
  <c r="AF305" i="16"/>
  <c r="AA305" i="16" s="1"/>
  <c r="T305" i="16" s="1"/>
  <c r="Z374" i="16"/>
  <c r="X374" i="16" s="1"/>
  <c r="AF382" i="16"/>
  <c r="AA382" i="16" s="1"/>
  <c r="W382" i="16" s="1"/>
  <c r="Z375" i="16"/>
  <c r="X375" i="16" s="1"/>
  <c r="Z341" i="16"/>
  <c r="X341" i="16" s="1"/>
  <c r="Z327" i="16"/>
  <c r="X327" i="16" s="1"/>
  <c r="Z321" i="16"/>
  <c r="X321" i="16" s="1"/>
  <c r="AF334" i="16"/>
  <c r="AA334" i="16" s="1"/>
  <c r="T334" i="16" s="1"/>
  <c r="AF318" i="16"/>
  <c r="AA318" i="16" s="1"/>
  <c r="T318" i="16" s="1"/>
  <c r="AF335" i="16"/>
  <c r="AA335" i="16" s="1"/>
  <c r="W335" i="16" s="1"/>
  <c r="AF319" i="16"/>
  <c r="AA319" i="16" s="1"/>
  <c r="T319" i="16" s="1"/>
  <c r="AF336" i="16"/>
  <c r="AA336" i="16" s="1"/>
  <c r="T336" i="16" s="1"/>
  <c r="AF359" i="16"/>
  <c r="AA359" i="16" s="1"/>
  <c r="W359" i="16" s="1"/>
  <c r="AF364" i="16"/>
  <c r="AA364" i="16" s="1"/>
  <c r="W364" i="16" s="1"/>
  <c r="AF320" i="16"/>
  <c r="AA320" i="16" s="1"/>
  <c r="W320" i="16" s="1"/>
  <c r="AF377" i="16"/>
  <c r="AA377" i="16" s="1"/>
  <c r="W377" i="16" s="1"/>
  <c r="AF376" i="16"/>
  <c r="AA376" i="16" s="1"/>
  <c r="W376" i="16" s="1"/>
  <c r="AF362" i="16"/>
  <c r="AA362" i="16" s="1"/>
  <c r="W362" i="16" s="1"/>
  <c r="AF383" i="16"/>
  <c r="AF388" i="16"/>
  <c r="AA388" i="16" s="1"/>
  <c r="W388" i="16" s="1"/>
  <c r="AF363" i="16"/>
  <c r="AA363" i="16" s="1"/>
  <c r="W363" i="16" s="1"/>
  <c r="AF379" i="16"/>
  <c r="AA379" i="16" s="1"/>
  <c r="W379" i="16" s="1"/>
  <c r="AF329" i="16"/>
  <c r="AA329" i="16" s="1"/>
  <c r="T329" i="16" s="1"/>
  <c r="AF330" i="16"/>
  <c r="AA330" i="16" s="1"/>
  <c r="T330" i="16" s="1"/>
  <c r="AF313" i="16"/>
  <c r="AA313" i="16" s="1"/>
  <c r="T313" i="16" s="1"/>
  <c r="AF301" i="16"/>
  <c r="AA301" i="16" s="1"/>
  <c r="T301" i="16" s="1"/>
  <c r="AF332" i="16"/>
  <c r="AA332" i="16" s="1"/>
  <c r="W332" i="16" s="1"/>
  <c r="AF314" i="16"/>
  <c r="AA314" i="16" s="1"/>
  <c r="T314" i="16" s="1"/>
  <c r="AF316" i="16"/>
  <c r="AA316" i="16" s="1"/>
  <c r="T316" i="16" s="1"/>
  <c r="AF333" i="16"/>
  <c r="AA333" i="16" s="1"/>
  <c r="T333" i="16" s="1"/>
  <c r="AF315" i="16"/>
  <c r="AA315" i="16" s="1"/>
  <c r="T315" i="16" s="1"/>
  <c r="AF312" i="16"/>
  <c r="AA312" i="16" s="1"/>
  <c r="T312" i="16" s="1"/>
  <c r="AF378" i="16"/>
  <c r="AA378" i="16" s="1"/>
  <c r="W378" i="16" s="1"/>
  <c r="AF326" i="16"/>
  <c r="AF328" i="16"/>
  <c r="AA328" i="16" s="1"/>
  <c r="T328" i="16" s="1"/>
  <c r="AF387" i="16"/>
  <c r="AA387" i="16" s="1"/>
  <c r="W387" i="16" s="1"/>
  <c r="AF375" i="16"/>
  <c r="AA375" i="16" s="1"/>
  <c r="W375" i="16" s="1"/>
  <c r="AF360" i="16"/>
  <c r="AA360" i="16" s="1"/>
  <c r="W360" i="16" s="1"/>
  <c r="AF384" i="16"/>
  <c r="AA384" i="16" s="1"/>
  <c r="W384" i="16" s="1"/>
  <c r="AF385" i="16"/>
  <c r="AA385" i="16" s="1"/>
  <c r="W385" i="16" s="1"/>
  <c r="AF327" i="16"/>
  <c r="AA327" i="16" s="1"/>
  <c r="W327" i="16" s="1"/>
  <c r="AF325" i="16"/>
  <c r="AA325" i="16" s="1"/>
  <c r="T325" i="16" s="1"/>
  <c r="AF321" i="16"/>
  <c r="AA321" i="16" s="1"/>
  <c r="W321" i="16" s="1"/>
  <c r="AF324" i="16"/>
  <c r="AA324" i="16" s="1"/>
  <c r="T324" i="16" s="1"/>
  <c r="AF322" i="16"/>
  <c r="AA322" i="16" s="1"/>
  <c r="T322" i="16" s="1"/>
  <c r="X325" i="16"/>
  <c r="U325" i="16"/>
  <c r="X330" i="16"/>
  <c r="U330" i="16"/>
  <c r="X334" i="16"/>
  <c r="U334" i="16"/>
  <c r="X317" i="16"/>
  <c r="U317" i="16"/>
  <c r="X310" i="16"/>
  <c r="U310" i="16"/>
  <c r="X307" i="16"/>
  <c r="U307" i="16"/>
  <c r="X318" i="16"/>
  <c r="U318" i="16"/>
  <c r="X311" i="16"/>
  <c r="U311" i="16"/>
  <c r="X309" i="16"/>
  <c r="U309" i="16"/>
  <c r="X319" i="16"/>
  <c r="U319" i="16"/>
  <c r="X308" i="16"/>
  <c r="U308" i="16"/>
  <c r="X336" i="16"/>
  <c r="U336" i="16"/>
  <c r="X323" i="16"/>
  <c r="U323" i="16"/>
  <c r="X331" i="16"/>
  <c r="U331" i="16"/>
  <c r="X329" i="16"/>
  <c r="U329" i="16"/>
  <c r="X324" i="16"/>
  <c r="U324" i="16"/>
  <c r="X322" i="16"/>
  <c r="U322" i="16"/>
  <c r="X313" i="16"/>
  <c r="U313" i="16"/>
  <c r="X301" i="16"/>
  <c r="U301" i="16"/>
  <c r="X314" i="16"/>
  <c r="U314" i="16"/>
  <c r="X316" i="16"/>
  <c r="U316" i="16"/>
  <c r="X333" i="16"/>
  <c r="U333" i="16"/>
  <c r="X315" i="16"/>
  <c r="U315" i="16"/>
  <c r="X306" i="16"/>
  <c r="U306" i="16"/>
  <c r="X305" i="16"/>
  <c r="U305" i="16"/>
  <c r="X312" i="16"/>
  <c r="U312" i="16"/>
  <c r="X328" i="16"/>
  <c r="U328" i="16"/>
  <c r="BR303" i="16"/>
  <c r="BP303" i="16" s="1"/>
  <c r="BQ340" i="16"/>
  <c r="BQ302" i="16"/>
  <c r="BR302" i="16"/>
  <c r="BP302" i="16" s="1"/>
  <c r="BQ337" i="16"/>
  <c r="BQ303" i="16"/>
  <c r="BQ304" i="16"/>
  <c r="BR304" i="16"/>
  <c r="BP304" i="16" s="1"/>
  <c r="BR372" i="16"/>
  <c r="BP372" i="16" s="1"/>
  <c r="BR340" i="16"/>
  <c r="BP340" i="16" s="1"/>
  <c r="AH384" i="16"/>
  <c r="AB384" i="16" s="1"/>
  <c r="BR384" i="16"/>
  <c r="BP384" i="16" s="1"/>
  <c r="BR376" i="16"/>
  <c r="BP376" i="16" s="1"/>
  <c r="BQ376" i="16"/>
  <c r="BR335" i="16"/>
  <c r="BP335" i="16" s="1"/>
  <c r="BR373" i="16"/>
  <c r="BP373" i="16" s="1"/>
  <c r="BQ335" i="16"/>
  <c r="BQ383" i="16"/>
  <c r="AH387" i="16"/>
  <c r="AB387" i="16" s="1"/>
  <c r="BR387" i="16"/>
  <c r="BP387" i="16" s="1"/>
  <c r="AH360" i="16"/>
  <c r="AB360" i="16" s="1"/>
  <c r="BQ360" i="16"/>
  <c r="BR360" i="16"/>
  <c r="BP360" i="16" s="1"/>
  <c r="AH363" i="16"/>
  <c r="AB363" i="16" s="1"/>
  <c r="BQ363" i="16"/>
  <c r="BR363" i="16"/>
  <c r="BP363" i="16" s="1"/>
  <c r="BR367" i="16"/>
  <c r="BP367" i="16" s="1"/>
  <c r="BR371" i="16"/>
  <c r="BP371" i="16" s="1"/>
  <c r="BQ377" i="16"/>
  <c r="BR377" i="16"/>
  <c r="BP377" i="16" s="1"/>
  <c r="AH359" i="16"/>
  <c r="AB359" i="16" s="1"/>
  <c r="BQ359" i="16"/>
  <c r="BR359" i="16"/>
  <c r="BP359" i="16" s="1"/>
  <c r="BQ338" i="16"/>
  <c r="AH388" i="16"/>
  <c r="AB388" i="16" s="1"/>
  <c r="BR388" i="16"/>
  <c r="BP388" i="16" s="1"/>
  <c r="BR382" i="16"/>
  <c r="BP382" i="16" s="1"/>
  <c r="BQ382" i="16"/>
  <c r="BQ379" i="16"/>
  <c r="BR379" i="16"/>
  <c r="BP379" i="16" s="1"/>
  <c r="AH364" i="16"/>
  <c r="AB364" i="16" s="1"/>
  <c r="BQ364" i="16"/>
  <c r="BR364" i="16"/>
  <c r="BP364" i="16" s="1"/>
  <c r="BR370" i="16"/>
  <c r="BP370" i="16" s="1"/>
  <c r="BR337" i="16"/>
  <c r="BP337" i="16" s="1"/>
  <c r="AH386" i="16"/>
  <c r="AB386" i="16" s="1"/>
  <c r="BR386" i="16"/>
  <c r="BP386" i="16" s="1"/>
  <c r="BR374" i="16"/>
  <c r="BP374" i="16" s="1"/>
  <c r="BQ374" i="16"/>
  <c r="BQ386" i="16"/>
  <c r="BQ381" i="16"/>
  <c r="BR381" i="16"/>
  <c r="BP381" i="16" s="1"/>
  <c r="AH366" i="16"/>
  <c r="AB366" i="16" s="1"/>
  <c r="BR366" i="16"/>
  <c r="BP366" i="16" s="1"/>
  <c r="BQ366" i="16"/>
  <c r="AH361" i="16"/>
  <c r="AB361" i="16" s="1"/>
  <c r="BR361" i="16"/>
  <c r="BP361" i="16" s="1"/>
  <c r="BQ361" i="16"/>
  <c r="AH383" i="16"/>
  <c r="AB383" i="16" s="1"/>
  <c r="BR383" i="16"/>
  <c r="BP383" i="16" s="1"/>
  <c r="BR378" i="16"/>
  <c r="BP378" i="16" s="1"/>
  <c r="BQ378" i="16"/>
  <c r="AH365" i="16"/>
  <c r="AB365" i="16" s="1"/>
  <c r="BQ365" i="16"/>
  <c r="BR365" i="16"/>
  <c r="BP365" i="16" s="1"/>
  <c r="AH362" i="16"/>
  <c r="AB362" i="16" s="1"/>
  <c r="BQ362" i="16"/>
  <c r="BR362" i="16"/>
  <c r="BP362" i="16" s="1"/>
  <c r="BQ380" i="16"/>
  <c r="BR380" i="16"/>
  <c r="BP380" i="16" s="1"/>
  <c r="BQ375" i="16"/>
  <c r="BR375" i="16"/>
  <c r="BP375" i="16" s="1"/>
  <c r="AH385" i="16"/>
  <c r="AB385" i="16" s="1"/>
  <c r="BR385" i="16"/>
  <c r="BP385" i="16" s="1"/>
  <c r="BR368" i="16"/>
  <c r="BP368" i="16" s="1"/>
  <c r="BR345" i="16"/>
  <c r="BP345" i="16" s="1"/>
  <c r="BQ332" i="16"/>
  <c r="GO332" i="16"/>
  <c r="BR332" i="16" s="1"/>
  <c r="BP332" i="16" s="1"/>
  <c r="BR369" i="16"/>
  <c r="BP369" i="16" s="1"/>
  <c r="BR338" i="16"/>
  <c r="BP338" i="16" s="1"/>
  <c r="BP320" i="16"/>
  <c r="AA340" i="16"/>
  <c r="BP321" i="16"/>
  <c r="BP326" i="16"/>
  <c r="AH381" i="16"/>
  <c r="AB381" i="16" s="1"/>
  <c r="AH378" i="16"/>
  <c r="AB378" i="16" s="1"/>
  <c r="AH380" i="16"/>
  <c r="AB380" i="16" s="1"/>
  <c r="AH375" i="16"/>
  <c r="AB375" i="16" s="1"/>
  <c r="AA326" i="16"/>
  <c r="W326" i="16" s="1"/>
  <c r="BP327" i="16"/>
  <c r="AH382" i="16"/>
  <c r="AB382" i="16" s="1"/>
  <c r="AH379" i="16"/>
  <c r="AB379" i="16" s="1"/>
  <c r="AH377" i="16"/>
  <c r="AB377" i="16" s="1"/>
  <c r="AH376" i="16"/>
  <c r="AB376" i="16" s="1"/>
  <c r="BP339" i="16"/>
  <c r="BP341" i="16"/>
  <c r="AV373" i="16"/>
  <c r="AV370" i="16"/>
  <c r="AV372" i="16"/>
  <c r="AV368" i="16"/>
  <c r="AV369" i="16"/>
  <c r="AV371" i="16"/>
  <c r="AV367" i="16"/>
  <c r="X304" i="16"/>
  <c r="X387" i="16"/>
  <c r="X384" i="16"/>
  <c r="AH302" i="16"/>
  <c r="AB302" i="16" s="1"/>
  <c r="X385" i="16"/>
  <c r="AA383" i="16"/>
  <c r="W383" i="16" s="1"/>
  <c r="AC373" i="16"/>
  <c r="AD373" i="16"/>
  <c r="AI368" i="16"/>
  <c r="AH368" i="16"/>
  <c r="AH371" i="16"/>
  <c r="AI371" i="16"/>
  <c r="AC367" i="16"/>
  <c r="AD367" i="16"/>
  <c r="AC370" i="16"/>
  <c r="AD370" i="16"/>
  <c r="AD368" i="16"/>
  <c r="AC368" i="16"/>
  <c r="AI373" i="16"/>
  <c r="AH373" i="16"/>
  <c r="AH370" i="16"/>
  <c r="AI370" i="16"/>
  <c r="F366" i="16"/>
  <c r="AE366" i="16"/>
  <c r="AD372" i="16"/>
  <c r="AC372" i="16"/>
  <c r="AC369" i="16"/>
  <c r="AD369" i="16"/>
  <c r="AH367" i="16"/>
  <c r="AI367" i="16"/>
  <c r="AC371" i="16"/>
  <c r="AD371" i="16"/>
  <c r="AH372" i="16"/>
  <c r="AI372" i="16"/>
  <c r="AI369" i="16"/>
  <c r="AH369" i="16"/>
  <c r="X303" i="16"/>
  <c r="AD345" i="16"/>
  <c r="AC345" i="16"/>
  <c r="X302" i="16"/>
  <c r="AI304" i="16"/>
  <c r="AA311" i="16"/>
  <c r="T311" i="16" s="1"/>
  <c r="AJ345" i="16"/>
  <c r="AH303" i="16"/>
  <c r="AH304" i="16"/>
  <c r="AH345" i="16"/>
  <c r="AI345" i="16"/>
  <c r="F345" i="16"/>
  <c r="AE345" i="16"/>
  <c r="BT345" i="16" s="1"/>
  <c r="AV345" i="16"/>
  <c r="F303" i="16"/>
  <c r="AJ385" i="16"/>
  <c r="F385" i="16"/>
  <c r="R368" i="16"/>
  <c r="F368" i="16"/>
  <c r="R304" i="16"/>
  <c r="F304" i="16"/>
  <c r="R371" i="16"/>
  <c r="F371" i="16"/>
  <c r="R302" i="16"/>
  <c r="F302" i="16"/>
  <c r="AJ387" i="16"/>
  <c r="F387" i="16"/>
  <c r="AJ384" i="16"/>
  <c r="F384" i="16"/>
  <c r="P370" i="16"/>
  <c r="AE370" i="16" s="1"/>
  <c r="BT370" i="16" s="1"/>
  <c r="P304" i="16"/>
  <c r="AE304" i="16" s="1"/>
  <c r="R387" i="16"/>
  <c r="R384" i="16"/>
  <c r="R370" i="16"/>
  <c r="R385" i="16"/>
  <c r="R366" i="16"/>
  <c r="R303" i="16"/>
  <c r="P371" i="16"/>
  <c r="AE371" i="16" s="1"/>
  <c r="BT371" i="16" s="1"/>
  <c r="P302" i="16"/>
  <c r="AE302" i="16" s="1"/>
  <c r="BT302" i="16" s="1"/>
  <c r="P368" i="16"/>
  <c r="AE368" i="16" s="1"/>
  <c r="BT368" i="16" s="1"/>
  <c r="P303" i="16"/>
  <c r="AE303" i="16" s="1"/>
  <c r="BT303" i="16" s="1"/>
  <c r="AF366" i="16" l="1"/>
  <c r="AA366" i="16" s="1"/>
  <c r="W366" i="16" s="1"/>
  <c r="BT366" i="16"/>
  <c r="AF304" i="16"/>
  <c r="AA304" i="16" s="1"/>
  <c r="W304" i="16" s="1"/>
  <c r="BT304" i="16"/>
  <c r="AF303" i="16"/>
  <c r="AB303" i="16"/>
  <c r="T377" i="16"/>
  <c r="T321" i="16"/>
  <c r="AF373" i="16"/>
  <c r="AA373" i="16" s="1"/>
  <c r="T373" i="16" s="1"/>
  <c r="T341" i="16"/>
  <c r="T363" i="16"/>
  <c r="T327" i="16"/>
  <c r="AF367" i="16"/>
  <c r="AA367" i="16" s="1"/>
  <c r="T367" i="16" s="1"/>
  <c r="Z371" i="16"/>
  <c r="X371" i="16" s="1"/>
  <c r="Z369" i="16"/>
  <c r="X369" i="16" s="1"/>
  <c r="Z368" i="16"/>
  <c r="X368" i="16" s="1"/>
  <c r="Z345" i="16"/>
  <c r="X345" i="16" s="1"/>
  <c r="Z372" i="16"/>
  <c r="X372" i="16" s="1"/>
  <c r="Z367" i="16"/>
  <c r="X367" i="16" s="1"/>
  <c r="Z373" i="16"/>
  <c r="X373" i="16" s="1"/>
  <c r="AF372" i="16"/>
  <c r="AA372" i="16" s="1"/>
  <c r="T372" i="16" s="1"/>
  <c r="AF369" i="16"/>
  <c r="AA369" i="16" s="1"/>
  <c r="T369" i="16" s="1"/>
  <c r="Z370" i="16"/>
  <c r="X370" i="16" s="1"/>
  <c r="T382" i="16"/>
  <c r="T332" i="16"/>
  <c r="T385" i="16"/>
  <c r="T380" i="16"/>
  <c r="T364" i="16"/>
  <c r="T387" i="16"/>
  <c r="T335" i="16"/>
  <c r="T384" i="16"/>
  <c r="AF345" i="16"/>
  <c r="AA345" i="16" s="1"/>
  <c r="T345" i="16" s="1"/>
  <c r="AF368" i="16"/>
  <c r="AA368" i="16" s="1"/>
  <c r="T368" i="16" s="1"/>
  <c r="T365" i="16"/>
  <c r="T378" i="16"/>
  <c r="T361" i="16"/>
  <c r="T360" i="16"/>
  <c r="AF370" i="16"/>
  <c r="AA370" i="16" s="1"/>
  <c r="T370" i="16" s="1"/>
  <c r="T379" i="16"/>
  <c r="T375" i="16"/>
  <c r="T381" i="16"/>
  <c r="T320" i="16"/>
  <c r="T338" i="16"/>
  <c r="T362" i="16"/>
  <c r="T383" i="16"/>
  <c r="T337" i="16"/>
  <c r="T359" i="16"/>
  <c r="T340" i="16"/>
  <c r="AF302" i="16"/>
  <c r="AA302" i="16" s="1"/>
  <c r="AF371" i="16"/>
  <c r="AA371" i="16" s="1"/>
  <c r="T371" i="16" s="1"/>
  <c r="T339" i="16"/>
  <c r="T326" i="16"/>
  <c r="T386" i="16"/>
  <c r="T388" i="16"/>
  <c r="T376" i="16"/>
  <c r="W333" i="16"/>
  <c r="W307" i="16"/>
  <c r="W334" i="16"/>
  <c r="W309" i="16"/>
  <c r="W316" i="16"/>
  <c r="V341" i="16"/>
  <c r="U341" i="16"/>
  <c r="V379" i="16"/>
  <c r="U379" i="16"/>
  <c r="W322" i="16"/>
  <c r="V375" i="16"/>
  <c r="U375" i="16"/>
  <c r="W340" i="16"/>
  <c r="V377" i="16"/>
  <c r="U377" i="16"/>
  <c r="V365" i="16"/>
  <c r="U365" i="16"/>
  <c r="V378" i="16"/>
  <c r="U378" i="16"/>
  <c r="V361" i="16"/>
  <c r="U361" i="16"/>
  <c r="V367" i="16"/>
  <c r="V360" i="16"/>
  <c r="U360" i="16"/>
  <c r="V302" i="16"/>
  <c r="U302" i="16"/>
  <c r="W311" i="16"/>
  <c r="W336" i="16"/>
  <c r="W312" i="16"/>
  <c r="W314" i="16"/>
  <c r="U339" i="16"/>
  <c r="V339" i="16"/>
  <c r="V381" i="16"/>
  <c r="U381" i="16"/>
  <c r="V320" i="16"/>
  <c r="U320" i="16"/>
  <c r="W325" i="16"/>
  <c r="V382" i="16"/>
  <c r="U382" i="16"/>
  <c r="V338" i="16"/>
  <c r="U338" i="16"/>
  <c r="V345" i="16"/>
  <c r="V362" i="16"/>
  <c r="U362" i="16"/>
  <c r="V383" i="16"/>
  <c r="U383" i="16"/>
  <c r="V337" i="16"/>
  <c r="U337" i="16"/>
  <c r="V359" i="16"/>
  <c r="U359" i="16"/>
  <c r="V363" i="16"/>
  <c r="U363" i="16"/>
  <c r="V340" i="16"/>
  <c r="U340" i="16"/>
  <c r="W318" i="16"/>
  <c r="W308" i="16"/>
  <c r="W305" i="16"/>
  <c r="W301" i="16"/>
  <c r="W328" i="16"/>
  <c r="U327" i="16"/>
  <c r="V327" i="16"/>
  <c r="W329" i="16"/>
  <c r="U380" i="16"/>
  <c r="V380" i="16"/>
  <c r="V326" i="16"/>
  <c r="U326" i="16"/>
  <c r="W324" i="16"/>
  <c r="W331" i="16"/>
  <c r="V369" i="16"/>
  <c r="V368" i="16"/>
  <c r="V386" i="16"/>
  <c r="U386" i="16"/>
  <c r="V370" i="16"/>
  <c r="U388" i="16"/>
  <c r="V388" i="16"/>
  <c r="V373" i="16"/>
  <c r="V376" i="16"/>
  <c r="U376" i="16"/>
  <c r="V372" i="16"/>
  <c r="W313" i="16"/>
  <c r="W319" i="16"/>
  <c r="W315" i="16"/>
  <c r="W306" i="16"/>
  <c r="W310" i="16"/>
  <c r="W317" i="16"/>
  <c r="V374" i="16"/>
  <c r="U374" i="16"/>
  <c r="W330" i="16"/>
  <c r="V321" i="16"/>
  <c r="U321" i="16"/>
  <c r="W323" i="16"/>
  <c r="V332" i="16"/>
  <c r="U332" i="16"/>
  <c r="V385" i="16"/>
  <c r="U385" i="16"/>
  <c r="V366" i="16"/>
  <c r="U366" i="16"/>
  <c r="U364" i="16"/>
  <c r="V364" i="16"/>
  <c r="V371" i="16"/>
  <c r="V387" i="16"/>
  <c r="U387" i="16"/>
  <c r="U335" i="16"/>
  <c r="V335" i="16"/>
  <c r="U384" i="16"/>
  <c r="V384" i="16"/>
  <c r="V304" i="16"/>
  <c r="U304" i="16"/>
  <c r="V303" i="16"/>
  <c r="U303" i="16"/>
  <c r="BQ387" i="16"/>
  <c r="BQ345" i="16"/>
  <c r="BQ385" i="16"/>
  <c r="BQ384" i="16"/>
  <c r="AB367" i="16"/>
  <c r="AB370" i="16"/>
  <c r="AA303" i="16"/>
  <c r="T303" i="16" s="1"/>
  <c r="AB373" i="16"/>
  <c r="AB369" i="16"/>
  <c r="AB371" i="16"/>
  <c r="AB372" i="16"/>
  <c r="AB368" i="16"/>
  <c r="AB304" i="16"/>
  <c r="AB345" i="16"/>
  <c r="U369" i="16" l="1"/>
  <c r="U372" i="16"/>
  <c r="U371" i="16"/>
  <c r="U370" i="16"/>
  <c r="U368" i="16"/>
  <c r="U367" i="16"/>
  <c r="U373" i="16"/>
  <c r="U345" i="16"/>
  <c r="T304" i="16"/>
  <c r="W302" i="16"/>
  <c r="T302" i="16"/>
  <c r="T366" i="16"/>
  <c r="W345" i="16"/>
  <c r="W303" i="16"/>
  <c r="W367" i="16"/>
  <c r="W371" i="16"/>
  <c r="W368" i="16"/>
  <c r="W370" i="16"/>
  <c r="W372" i="16"/>
  <c r="W373" i="16"/>
  <c r="W369" i="16"/>
  <c r="AS374" i="16"/>
  <c r="AG374" i="16" s="1"/>
  <c r="AF374" i="16" l="1"/>
  <c r="AI374" i="16"/>
  <c r="AH374" i="16"/>
  <c r="BU374" i="16"/>
  <c r="AA374" i="16" l="1"/>
  <c r="T374" i="16" s="1"/>
  <c r="AB374" i="16"/>
  <c r="W374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HaoyouZhang</author>
  </authors>
  <commentList>
    <comment ref="J1" authorId="0" shapeId="0" xr:uid="{3D0AE105-AD1E-41EC-94AC-0B3DC107B95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试验中实际剪跨比</t>
        </r>
      </text>
    </comment>
    <comment ref="P1" authorId="0" shapeId="0" xr:uid="{76580696-8955-4B81-B286-C818110E9AA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试验中实际轴压比</t>
        </r>
      </text>
    </comment>
    <comment ref="Q1" authorId="0" shapeId="0" xr:uid="{D2DF251D-AA21-4814-A6C9-0E014C2CB01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剪力墙截面形状</t>
        </r>
      </text>
    </comment>
    <comment ref="T1" authorId="0" shapeId="0" xr:uid="{0E27C6E0-BC5C-45B4-BD9B-950D273FDC5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抗弯承载力与抗剪承载力比值</t>
        </r>
      </text>
    </comment>
    <comment ref="Y1" authorId="0" shapeId="0" xr:uid="{F014A676-B4BE-4CA5-9218-E0459F02136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试验抗侧承载力</t>
        </r>
      </text>
    </comment>
    <comment ref="Z1" authorId="0" shapeId="0" xr:uid="{1DB320E2-BB9D-4F22-8407-C9719C74847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ACI 318-19 11.5.4.3
</t>
        </r>
        <r>
          <rPr>
            <sz val="9"/>
            <color indexed="81"/>
            <rFont val="宋体"/>
            <family val="3"/>
            <charset val="134"/>
          </rPr>
          <t>修正系数lamda取1.0</t>
        </r>
      </text>
    </comment>
    <comment ref="AA1" authorId="0" shapeId="0" xr:uid="{A65600C4-1D06-44BF-9B6A-E5CFA0EC384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抗剪承载力</t>
        </r>
      </text>
    </comment>
    <comment ref="AB1" authorId="0" shapeId="0" xr:uid="{D862D42F-43B9-43A1-AA08-5930249C9FD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抗弯承载力</t>
        </r>
      </text>
    </comment>
    <comment ref="AC1" authorId="0" shapeId="0" xr:uid="{59D22F90-6117-41A3-9D95-771261C2BE2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ACI</t>
        </r>
        <r>
          <rPr>
            <sz val="9"/>
            <color indexed="81"/>
            <rFont val="宋体"/>
            <family val="3"/>
            <charset val="134"/>
          </rPr>
          <t>公式需要的剪跨比</t>
        </r>
      </text>
    </comment>
    <comment ref="AD1" authorId="0" shapeId="0" xr:uid="{9D823B69-7A00-4D17-88C6-523FD122E9E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用于计算的剪跨比</t>
        </r>
      </text>
    </comment>
    <comment ref="AE1" authorId="0" shapeId="0" xr:uid="{A18F5944-7A34-4C78-81D8-D49ADC1F5ED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用于计算的轴力</t>
        </r>
      </text>
    </comment>
    <comment ref="AF1" authorId="0" shapeId="0" xr:uid="{22DA44A5-AB89-40E3-99E0-7F032077F1E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混凝土贡献的剪力</t>
        </r>
      </text>
    </comment>
    <comment ref="AG1" authorId="0" shapeId="0" xr:uid="{73CE9FA6-9F10-4B7D-99DB-8763418F011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钢筋贡献的剪力</t>
        </r>
      </text>
    </comment>
    <comment ref="AH1" authorId="0" shapeId="0" xr:uid="{F6EB1E00-E2E8-4095-A3B4-053CED2029C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混凝土贡献的弯矩</t>
        </r>
      </text>
    </comment>
    <comment ref="AI1" authorId="0" shapeId="0" xr:uid="{D8B62D71-6E90-49A3-AC30-99F6A22BC3B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钢筋贡献的弯矩</t>
        </r>
      </text>
    </comment>
    <comment ref="AJ1" authorId="0" shapeId="0" xr:uid="{BF990F33-6C9F-4B7C-B201-18195BB23EB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轴向力</t>
        </r>
      </text>
    </comment>
    <comment ref="AK1" authorId="0" shapeId="0" xr:uid="{EA91B765-2E17-40C9-BE7B-FD9CC1E9AFD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混凝土轴心抗压强度</t>
        </r>
      </text>
    </comment>
    <comment ref="AL1" authorId="0" shapeId="0" xr:uid="{8ADE15A7-AABC-4AB6-8D6E-0C20ACE5EAF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混凝土轴心抗拉强度</t>
        </r>
      </text>
    </comment>
    <comment ref="AM1" authorId="0" shapeId="0" xr:uid="{C41C5C72-BB22-4446-857E-23A02A9B7FA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系数，混规</t>
        </r>
        <r>
          <rPr>
            <sz val="9"/>
            <color indexed="81"/>
            <rFont val="Tahoma"/>
            <family val="2"/>
          </rPr>
          <t>6.2.6</t>
        </r>
      </text>
    </comment>
    <comment ref="AN1" authorId="0" shapeId="0" xr:uid="{65926DB0-CBBF-493D-8B27-0B8D2C5E92C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系数，混规</t>
        </r>
        <r>
          <rPr>
            <sz val="9"/>
            <color indexed="81"/>
            <rFont val="Tahoma"/>
            <family val="2"/>
          </rPr>
          <t>6.2.6</t>
        </r>
      </text>
    </comment>
    <comment ref="AO1" authorId="0" shapeId="0" xr:uid="{14DD3B2A-2329-4A80-9759-488DD9AE4E2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剪力墙截面总长度</t>
        </r>
      </text>
    </comment>
    <comment ref="AP1" authorId="0" shapeId="0" xr:uid="{21155245-E1DE-452E-9896-B0FDBFA624B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一侧边缘构件长度</t>
        </r>
      </text>
    </comment>
    <comment ref="AQ1" authorId="0" shapeId="0" xr:uid="{B4B918CC-5DCA-40E3-AA13-1B1282F8C28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受压中心到截面上边缘距离</t>
        </r>
      </text>
    </comment>
    <comment ref="AR1" authorId="0" shapeId="0" xr:uid="{E65D28A7-F86E-470C-9C1F-1C67A00C3E4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腹板长度</t>
        </r>
      </text>
    </comment>
    <comment ref="AS1" authorId="0" shapeId="0" xr:uid="{135ED8AF-9A52-4A3B-A36F-BD8E39AA398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截面有效高度</t>
        </r>
      </text>
    </comment>
    <comment ref="AT1" authorId="0" shapeId="0" xr:uid="{F8C54D4B-778D-413A-AEA6-5076017B29E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截面厚度</t>
        </r>
      </text>
    </comment>
    <comment ref="AU1" authorId="0" shapeId="0" xr:uid="{A8B4899F-BAEF-4F2B-B007-D09FE7DA355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墙高度（至加载点）</t>
        </r>
      </text>
    </comment>
    <comment ref="AV1" authorId="0" shapeId="0" xr:uid="{483258F0-D929-40B5-BCAB-F1E5FD04E97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剪力墙腹板面积（矩形截面时为全截面面积）</t>
        </r>
      </text>
    </comment>
    <comment ref="AX1" authorId="0" shapeId="0" xr:uid="{21390A56-62E4-468C-9E0B-FC008273CE7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腹板厚度与截面总高度（从最左到最右）的乘积</t>
        </r>
      </text>
    </comment>
    <comment ref="AY1" authorId="0" shapeId="0" xr:uid="{8E5E8A25-8AAC-4AA6-A11C-31081C616C2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剪力墙毛截面面积，即全截面面积</t>
        </r>
      </text>
    </comment>
    <comment ref="BA1" authorId="0" shapeId="0" xr:uid="{5B6C1F13-021F-4639-8A62-150064A0E2A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腹板竖向、水平钢筋强度，</t>
        </r>
      </text>
    </comment>
    <comment ref="BB1" authorId="0" shapeId="0" xr:uid="{6C22EA49-9895-4B48-96D3-AA785E1F987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边缘构件纵筋强度</t>
        </r>
      </text>
    </comment>
    <comment ref="BH1" authorId="0" shapeId="0" xr:uid="{731AD52A-D880-4606-8DE5-2D67B3009F8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水平分布钢筋间距</t>
        </r>
      </text>
    </comment>
    <comment ref="BI1" authorId="0" shapeId="0" xr:uid="{7AECC01B-4D76-45F2-BA99-7E1BB2B5C47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一根水平分布钢筋面积</t>
        </r>
      </text>
    </comment>
    <comment ref="BJ1" authorId="0" shapeId="0" xr:uid="{2D5988DF-7E81-490C-8FD0-E283E58EA7C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水平分布钢筋层数</t>
        </r>
      </text>
    </comment>
    <comment ref="BK1" authorId="0" shapeId="0" xr:uid="{7AB7B8A4-9405-4412-A5AF-BE34235FA7BC}">
      <text>
        <r>
          <rPr>
            <b/>
            <sz val="9"/>
            <color indexed="81"/>
            <rFont val="Tahoma"/>
            <family val="2"/>
          </rPr>
          <t xml:space="preserve">HaoyouZhang:
</t>
        </r>
        <r>
          <rPr>
            <sz val="9"/>
            <color indexed="81"/>
            <rFont val="宋体"/>
            <family val="3"/>
            <charset val="134"/>
          </rPr>
          <t>水平分布钢筋全部截面截面面积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L1" authorId="0" shapeId="0" xr:uid="{93931829-3B16-43D0-9392-D5A29AEE09D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剪力墙腹板竖向分布钢筋总面积</t>
        </r>
      </text>
    </comment>
    <comment ref="BM1" authorId="0" shapeId="0" xr:uid="{89D303E6-6832-4773-B695-8DCCC54553C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受压区一根纵筋面积</t>
        </r>
      </text>
    </comment>
    <comment ref="BN1" authorId="0" shapeId="0" xr:uid="{878D36C8-28E1-4F8B-8916-289FA946CAA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受压区纵筋总数</t>
        </r>
      </text>
    </comment>
    <comment ref="BO1" authorId="0" shapeId="0" xr:uid="{EEEB86A7-7457-437C-A394-1EE8B90E92D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受压区纵筋总面积</t>
        </r>
      </text>
    </comment>
    <comment ref="BQ1" authorId="0" shapeId="0" xr:uid="{D83678BB-BF40-45DE-992C-4AC12FD341E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合力平衡时，应为</t>
        </r>
        <r>
          <rPr>
            <sz val="9"/>
            <color indexed="81"/>
            <rFont val="Tahoma"/>
            <family val="2"/>
          </rPr>
          <t>0</t>
        </r>
      </text>
    </comment>
    <comment ref="BR1" authorId="0" shapeId="0" xr:uid="{3785DD65-CCED-49B0-B639-5B8BAA7954E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抗弯承载力</t>
        </r>
      </text>
    </comment>
    <comment ref="BS1" authorId="0" shapeId="0" xr:uid="{862B2F68-195C-4636-AF9B-53EF2E63300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实际受压区高度，需要规划求解得到</t>
        </r>
      </text>
    </comment>
    <comment ref="BU1" authorId="0" shapeId="0" xr:uid="{566FEAED-C04E-4BD2-9AA6-73F45CDC047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再次判断是否为小偏压</t>
        </r>
      </text>
    </comment>
    <comment ref="BV1" authorId="0" shapeId="0" xr:uid="{3E69E67D-D0FF-4FE8-922F-7B194D7F0B2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混凝土极限压应变</t>
        </r>
      </text>
    </comment>
    <comment ref="BW1" authorId="0" shapeId="0" xr:uid="{9CE6AD08-5269-4B7E-BA4B-5A7A3877B7B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混凝土弹性模量</t>
        </r>
      </text>
    </comment>
    <comment ref="BX1" authorId="0" shapeId="0" xr:uid="{5ACCD868-3F44-4E17-B91B-E25552620CE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钢筋弹性模量</t>
        </r>
      </text>
    </comment>
    <comment ref="BY1" authorId="0" shapeId="0" xr:uid="{41C54817-9D4B-4428-8FCD-204E002E538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第一排钢筋中心到截面边缘距离，后面依次类推</t>
        </r>
      </text>
    </comment>
    <comment ref="DM1" authorId="0" shapeId="0" xr:uid="{D2394DA6-B8E7-4A24-8CF7-40B6734C6FB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对应前面第一排钢筋截面面积，后面一次类推</t>
        </r>
      </text>
    </comment>
    <comment ref="FA1" authorId="0" shapeId="0" xr:uid="{58A7D21D-B76A-4C47-945C-E96341DAA01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第一排钢筋实际受力，拉为正，压为负</t>
        </r>
      </text>
    </comment>
    <comment ref="GO1" authorId="0" shapeId="0" xr:uid="{8BAD77F7-E144-4445-B5DE-9A1E1DB31FC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第一排钢筋对截面边缘的力矩，顺时针为正，逆时针为负。后面依次类推</t>
        </r>
      </text>
    </comment>
    <comment ref="AG15" authorId="0" shapeId="0" xr:uid="{C9AF17B2-64D5-4AD0-BD4B-9B503B2084E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这份文献中的水平钢筋屈服强度与竖向钢筋不一样，为</t>
        </r>
        <r>
          <rPr>
            <sz val="9"/>
            <color indexed="81"/>
            <rFont val="Tahoma"/>
            <family val="2"/>
          </rPr>
          <t>520MPa</t>
        </r>
      </text>
    </comment>
    <comment ref="E24" authorId="0" shapeId="0" xr:uid="{D2B04F34-5BB0-4E01-9DA5-149805F3F27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DN39" authorId="0" shapeId="0" xr:uid="{BF67EC01-1AF5-4518-A81F-F86E5680FCD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腹板钢筋伸进来了</t>
        </r>
      </text>
    </comment>
    <comment ref="DR39" authorId="0" shapeId="0" xr:uid="{1E28FB40-EDD7-4CA4-A7B9-9C2FF22D85F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腹板钢筋伸进来了</t>
        </r>
      </text>
    </comment>
    <comment ref="DN41" authorId="0" shapeId="0" xr:uid="{8F3C5F73-710A-4DCE-97FE-9B3EDCE98E4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腹板钢筋伸进来了</t>
        </r>
      </text>
    </comment>
    <comment ref="DR41" authorId="0" shapeId="0" xr:uid="{9F4A7890-8AE8-4812-9A01-2E531232E90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腹板钢筋伸进来了</t>
        </r>
      </text>
    </comment>
    <comment ref="DN42" authorId="0" shapeId="0" xr:uid="{12BBCD0D-DD5B-4D3A-918A-D7ADBB44FED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腹板钢筋伸进来了</t>
        </r>
      </text>
    </comment>
    <comment ref="DR42" authorId="0" shapeId="0" xr:uid="{99AFDBF9-6B38-41B1-8BD1-888AE70348B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腹板钢筋伸进来了</t>
        </r>
      </text>
    </comment>
    <comment ref="F43" authorId="0" shapeId="0" xr:uid="{06FAD26C-D482-4537-984C-63B79D73C34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I45" authorId="0" shapeId="0" xr:uid="{0D0DB351-7EA7-4748-86EE-81CCC169AA1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I54" authorId="0" shapeId="0" xr:uid="{548F9A3B-32E8-497E-ABA8-669FB474682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P62" authorId="0" shapeId="0" xr:uid="{339F7C89-A17B-4B2E-BC26-85F73FB1D26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使用设计值</t>
        </r>
      </text>
    </comment>
    <comment ref="C68" authorId="0" shapeId="0" xr:uid="{E65A6C32-DBAB-4DC5-AD93-3FFC0F84550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BC80" authorId="0" shapeId="0" xr:uid="{FDCB19A6-16F5-418D-BFB5-FDB97B2F98D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文中没有给出，此值为估值</t>
        </r>
      </text>
    </comment>
    <comment ref="D81" authorId="0" shapeId="0" xr:uid="{10F61409-7666-4239-84DF-41834D0C4EC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两层</t>
        </r>
      </text>
    </comment>
    <comment ref="E81" authorId="0" shapeId="0" xr:uid="{BFE062EA-6588-420B-B21A-020AD464737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S SC
Checked</t>
        </r>
      </text>
    </comment>
    <comment ref="E82" authorId="0" shapeId="0" xr:uid="{9D9108BE-6F07-4891-B812-FE321B50CE7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
Checked</t>
        </r>
      </text>
    </comment>
    <comment ref="J82" authorId="0" shapeId="0" xr:uid="{E511947A-3D9B-4480-82E6-83C29932061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83" authorId="0" shapeId="0" xr:uid="{2E98A03C-E8A1-4558-B912-BE5DEDB8A53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</t>
        </r>
      </text>
    </comment>
    <comment ref="I83" authorId="0" shapeId="0" xr:uid="{5081C3BE-538E-4FD2-B114-1C049E9C094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84" authorId="0" shapeId="0" xr:uid="{733463EA-08B0-4E8E-934B-C7F332625D3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</t>
        </r>
      </text>
    </comment>
    <comment ref="E85" authorId="0" shapeId="0" xr:uid="{8C6532A2-2E4E-48FD-927F-70CADD9656B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</t>
        </r>
      </text>
    </comment>
    <comment ref="E86" authorId="0" shapeId="0" xr:uid="{6D9B6909-F311-4F60-9B1B-A39CC0724AD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S</t>
        </r>
      </text>
    </comment>
    <comment ref="E87" authorId="0" shapeId="0" xr:uid="{F92891AA-E66B-4A52-B014-1B2ACA7F37F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</t>
        </r>
      </text>
    </comment>
    <comment ref="E88" authorId="0" shapeId="0" xr:uid="{D8B249CD-9692-4D45-B1E3-2F4B6224DD7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</t>
        </r>
      </text>
    </comment>
    <comment ref="E89" authorId="0" shapeId="0" xr:uid="{D0169D8E-9529-4DD8-A01B-A8B26E753DD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</t>
        </r>
      </text>
    </comment>
    <comment ref="I90" authorId="0" shapeId="0" xr:uid="{2608B4E8-9188-408A-869C-7A44FCAC9CF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有的极限位移比峰值处位移还小，取两者中较大</t>
        </r>
      </text>
    </comment>
    <comment ref="J90" authorId="0" shapeId="0" xr:uid="{CE336F91-796A-447A-96E2-A8794DFEB0E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V90" authorId="0" shapeId="0" xr:uid="{0A18E37D-0799-451A-BEC1-4E445BB9C15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D91" authorId="0" shapeId="0" xr:uid="{A95D3C44-CB31-412D-9A58-873A3F89735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钢筋放不下</t>
        </r>
      </text>
    </comment>
    <comment ref="V91" authorId="0" shapeId="0" xr:uid="{52DC07C1-57CD-4218-985D-81CDDA4CABA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V92" authorId="0" shapeId="0" xr:uid="{77FF7941-59D7-4668-A7D9-E7B03BB55B6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V93" authorId="0" shapeId="0" xr:uid="{534EF907-52DE-4283-8DEC-7BB17EC5737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V94" authorId="0" shapeId="0" xr:uid="{F98A169E-714E-4628-8B68-7AFF11D9C12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V95" authorId="0" shapeId="0" xr:uid="{44BFDAE0-5A73-4302-ADDF-7B66103782E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V96" authorId="0" shapeId="0" xr:uid="{A288DEF6-835E-44E6-81C8-3F2496708D5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V97" authorId="0" shapeId="0" xr:uid="{BAA559A2-264B-4756-A4ED-AFD7FF7A7F6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V98" authorId="0" shapeId="0" xr:uid="{C3E06E0B-0BF8-4823-A302-EF64AEE3DA1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V99" authorId="0" shapeId="0" xr:uid="{2082EAE0-2E39-436C-9ACC-A8CFDF2E4A6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DM102" authorId="0" shapeId="0" xr:uid="{0AF5BA8D-01BE-41D0-939E-B64AE8D685A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3D3</t>
        </r>
      </text>
    </comment>
    <comment ref="DN102" authorId="0" shapeId="0" xr:uid="{77B0385A-2CD2-46D7-8A13-CF24545EBB0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10D1.4</t>
        </r>
      </text>
    </comment>
    <comment ref="DO102" authorId="0" shapeId="0" xr:uid="{BD81902C-3A80-4AEC-AE53-C6FF7C1C58B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2D1.4</t>
        </r>
      </text>
    </comment>
    <comment ref="DP102" authorId="0" shapeId="0" xr:uid="{9A07106F-FB51-4F9C-90A3-21868B112C3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2D3</t>
        </r>
      </text>
    </comment>
    <comment ref="DQ102" authorId="0" shapeId="0" xr:uid="{785D788A-8061-40B5-A32D-FAD07FABF8C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8D3</t>
        </r>
      </text>
    </comment>
    <comment ref="DM103" authorId="0" shapeId="0" xr:uid="{44C4C79F-67CF-4023-93C2-B70CD3C6C8A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3D3</t>
        </r>
      </text>
    </comment>
    <comment ref="DN103" authorId="0" shapeId="0" xr:uid="{944529F0-ACBB-4817-B71A-562398B8B0C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10D1.4</t>
        </r>
      </text>
    </comment>
    <comment ref="DO103" authorId="0" shapeId="0" xr:uid="{E5CF4E4E-3AF9-4DC5-B8AA-EE4E1A71DE2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2D1.4</t>
        </r>
      </text>
    </comment>
    <comment ref="DP103" authorId="0" shapeId="0" xr:uid="{1A97754A-0556-43F4-8D6E-122B4B3210A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2D3</t>
        </r>
      </text>
    </comment>
    <comment ref="DQ103" authorId="0" shapeId="0" xr:uid="{D1A1185C-8D49-4A17-AA67-9701CB49317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8D3</t>
        </r>
      </text>
    </comment>
    <comment ref="DM104" authorId="0" shapeId="0" xr:uid="{35C7A37A-1E51-4E72-93B0-6F9E18061DD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3D3</t>
        </r>
      </text>
    </comment>
    <comment ref="DN104" authorId="0" shapeId="0" xr:uid="{44F3AB33-44E0-4BE1-A886-DB1BE7A66C9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10D1.4</t>
        </r>
      </text>
    </comment>
    <comment ref="DO104" authorId="0" shapeId="0" xr:uid="{FD56978E-EC43-45CD-ADA4-A84EC7C87DD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2D1.4</t>
        </r>
      </text>
    </comment>
    <comment ref="DP104" authorId="0" shapeId="0" xr:uid="{3AFC7390-3EAC-4598-959B-BA5AD9D420E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2D3</t>
        </r>
      </text>
    </comment>
    <comment ref="DQ104" authorId="0" shapeId="0" xr:uid="{84B098DB-1FB0-444C-9E33-3731149DA6E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8D3</t>
        </r>
      </text>
    </comment>
    <comment ref="E110" authorId="0" shapeId="0" xr:uid="{FF0C40E7-4FB6-4A01-BCAF-A5AC61BAD62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FS</t>
        </r>
      </text>
    </comment>
    <comment ref="E111" authorId="0" shapeId="0" xr:uid="{33CA007F-8DCB-4209-B5FF-AF7C95C892A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 S</t>
        </r>
      </text>
    </comment>
    <comment ref="E112" authorId="0" shapeId="0" xr:uid="{EE85C5FA-3F3E-4560-AFF6-A79C5A21828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 SC</t>
        </r>
      </text>
    </comment>
    <comment ref="E113" authorId="0" shapeId="0" xr:uid="{0EE0F42C-74E0-4E46-A517-BA24929CC75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 SC</t>
        </r>
      </text>
    </comment>
    <comment ref="E114" authorId="0" shapeId="0" xr:uid="{9682AAAB-B277-4EF6-8991-34C1CD85C23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 SC</t>
        </r>
      </text>
    </comment>
    <comment ref="E115" authorId="0" shapeId="0" xr:uid="{5B5FC2B0-E3AF-4D51-9912-FEDC008CC25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 SC</t>
        </r>
      </text>
    </comment>
    <comment ref="E116" authorId="0" shapeId="0" xr:uid="{F7A3EAB1-FB70-42B2-92CE-E9087A312AB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 SC</t>
        </r>
      </text>
    </comment>
    <comment ref="E117" authorId="0" shapeId="0" xr:uid="{F7AC4D1F-1236-4372-9B74-729246CD692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F SC</t>
        </r>
      </text>
    </comment>
    <comment ref="I118" authorId="0" shapeId="0" xr:uid="{7AC1F5D9-9688-43DD-B184-36360707CDD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没有下降段，取峰值处</t>
        </r>
      </text>
    </comment>
    <comment ref="BD139" authorId="0" shapeId="0" xr:uid="{9EF8B12B-85B9-4172-9F77-BE28EF4EBD5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2-D2.96@30</t>
        </r>
      </text>
    </comment>
    <comment ref="BD140" authorId="0" shapeId="0" xr:uid="{874C9CA1-EC4E-4F99-93F2-56293953A72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2-D2.96@30</t>
        </r>
      </text>
    </comment>
    <comment ref="BD141" authorId="0" shapeId="0" xr:uid="{3BD14AB9-A202-4683-BBC6-FBF49F35EF6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2-D2.96@30</t>
        </r>
      </text>
    </comment>
    <comment ref="BD142" authorId="0" shapeId="0" xr:uid="{1FBC0E25-AEAE-4390-B2FA-51B3B68ED32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2-D2.96@30</t>
        </r>
      </text>
    </comment>
    <comment ref="BD143" authorId="0" shapeId="0" xr:uid="{B3518F1D-E318-4C91-8F9F-68E0C8DAA07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2-D2.96@30</t>
        </r>
      </text>
    </comment>
    <comment ref="BD144" authorId="0" shapeId="0" xr:uid="{23E58521-1FB6-49E1-AD04-CEB8A6CBFFD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2-D2.96@30</t>
        </r>
      </text>
    </comment>
    <comment ref="BD145" authorId="0" shapeId="0" xr:uid="{E930328A-B4E3-4E48-B48C-43B2511C573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2-D2.96@30</t>
        </r>
      </text>
    </comment>
    <comment ref="BD146" authorId="0" shapeId="0" xr:uid="{33003E70-471C-427C-9339-37AC107E912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2-D2.96@30</t>
        </r>
      </text>
    </comment>
    <comment ref="BD147" authorId="0" shapeId="0" xr:uid="{8659ABD7-9522-4C46-9B7F-92F7E7B4C4A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2-D2.96@30</t>
        </r>
      </text>
    </comment>
    <comment ref="J148" authorId="0" shapeId="0" xr:uid="{F48AE4CA-8FAE-4EF8-8600-1010402F227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164" authorId="0" shapeId="0" xr:uid="{7AF09C6A-E609-4B95-8ADB-BB5451A8D48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BM171" authorId="0" shapeId="0" xr:uid="{DAAA897B-1E97-49A0-8924-5A27F40B92F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钢板面积为</t>
        </r>
        <r>
          <rPr>
            <sz val="9"/>
            <color indexed="81"/>
            <rFont val="Tahoma"/>
            <family val="2"/>
          </rPr>
          <t>751mm2</t>
        </r>
      </text>
    </comment>
    <comment ref="DN171" authorId="0" shapeId="0" xr:uid="{5118F89D-25A4-4A76-B8E2-F79E2BFED2B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型钢横截面面积</t>
        </r>
      </text>
    </comment>
    <comment ref="BE176" authorId="0" shapeId="0" xr:uid="{0E82D6AA-AE7C-4456-AF79-CF4F2F99984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不包括stirrups和hooks</t>
        </r>
      </text>
    </comment>
    <comment ref="BE177" authorId="0" shapeId="0" xr:uid="{6072BAC8-CA2F-43A1-9C94-A8599EC4662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不包括</t>
        </r>
        <r>
          <rPr>
            <sz val="9"/>
            <color indexed="81"/>
            <rFont val="Tahoma"/>
            <family val="2"/>
          </rPr>
          <t>stirrups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hooks</t>
        </r>
      </text>
    </comment>
    <comment ref="E178" authorId="0" shapeId="0" xr:uid="{8E48D153-47DC-4D87-AFEE-7D3A3B1528B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I178" authorId="0" shapeId="0" xr:uid="{BF40871C-D5B6-4ECF-BF03-11E771188D6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J181" authorId="0" shapeId="0" xr:uid="{84CC830B-2DAD-47A7-B13B-F84D1B71E04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J189" authorId="0" shapeId="0" xr:uid="{F4DBDD9C-85F9-4F29-94B4-8599D7E3A90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M192" authorId="0" shapeId="0" xr:uid="{DF49C51B-BC5F-43CB-81E8-46D03AB84A6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BB195" authorId="0" shapeId="0" xr:uid="{1FC8E3CA-69DD-4F34-93A6-00B83E22DBB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试验没有测，数据库也没有。取上下相邻的数据</t>
        </r>
      </text>
    </comment>
    <comment ref="BB196" authorId="0" shapeId="0" xr:uid="{161394F1-F485-4E49-8485-502F6293DE5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试验没有测，数据库也没有。取上下相邻的数据</t>
        </r>
      </text>
    </comment>
    <comment ref="J199" authorId="0" shapeId="0" xr:uid="{2245DFEC-AB99-4801-A79F-092139566C0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BB199" authorId="0" shapeId="0" xr:uid="{5C5AE91E-51B6-4C49-80B1-0EBF0BADFC8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试验没有测，数据库也没有。取上下相邻的数据</t>
        </r>
      </text>
    </comment>
    <comment ref="E200" authorId="0" shapeId="0" xr:uid="{5CAAE2F2-1504-4B0E-949E-6E7308A20B5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T204" authorId="0" shapeId="0" xr:uid="{0DA12C75-0663-4320-B760-9388E2445DD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没有水平分布钢筋，有竖向分布钢筋
Checked</t>
        </r>
      </text>
    </comment>
    <comment ref="F208" authorId="0" shapeId="0" xr:uid="{AE0F94F0-29D3-40A7-8D3E-97DAF5DE903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I208" authorId="0" shapeId="0" xr:uid="{9F1EB77B-263F-42B1-8252-3F0FC4B1B1D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F209" authorId="0" shapeId="0" xr:uid="{768745DC-5B43-4BD7-9241-9AEA5D39306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I209" authorId="0" shapeId="0" xr:uid="{10C88B9B-DC8D-4D83-BFEA-9F8F47008AF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218" authorId="0" shapeId="0" xr:uid="{F9CAA8FC-D240-4F23-9222-7D75DA41D87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220" authorId="0" shapeId="0" xr:uid="{48ECAD8D-EB77-400C-A940-29FD0EFCD22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D225" authorId="0" shapeId="0" xr:uid="{B77E46D4-75F1-4857-A431-389C21B68F3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没有明显边缘构件</t>
        </r>
      </text>
    </comment>
    <comment ref="M226" authorId="0" shapeId="0" xr:uid="{355D7232-18EA-4677-A336-25AF21D90F8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T226" authorId="0" shapeId="0" xr:uid="{6913F434-8DC4-4A11-948B-3A6D7253756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没有水平分布钢筋</t>
        </r>
      </text>
    </comment>
    <comment ref="AA226" authorId="0" shapeId="0" xr:uid="{526CCFC1-3067-411B-A906-2C305AE115F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没有水平分布钢筋</t>
        </r>
      </text>
    </comment>
    <comment ref="J233" authorId="0" shapeId="0" xr:uid="{E73D9858-1764-49E9-A7AE-02A52E07DBD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238" authorId="0" shapeId="0" xr:uid="{F29FD5AB-C6BB-4631-BED6-129C1AC50502}">
      <text>
        <r>
          <rPr>
            <b/>
            <sz val="9"/>
            <color indexed="81"/>
            <rFont val="Tahoma"/>
            <family val="2"/>
          </rPr>
          <t xml:space="preserve">HaoyouZhang
</t>
        </r>
        <r>
          <rPr>
            <sz val="9"/>
            <color indexed="81"/>
            <rFont val="宋体"/>
            <family val="3"/>
            <charset val="134"/>
          </rPr>
          <t>碳纤维布加固的对照试件</t>
        </r>
      </text>
    </comment>
    <comment ref="I238" authorId="0" shapeId="0" xr:uid="{D8BCA2D3-D5BF-4CC8-A368-44C6DBB94C9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BF239" authorId="0" shapeId="0" xr:uid="{5A5D671E-E1B7-4EA6-BFAA-84927F92DD0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利用别人数据推导</t>
        </r>
      </text>
    </comment>
    <comment ref="BG239" authorId="0" shapeId="0" xr:uid="{F99BB5B7-EF75-44BA-A77A-EA3B014505A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利用别人数据推导</t>
        </r>
      </text>
    </comment>
    <comment ref="BM239" authorId="0" shapeId="0" xr:uid="{D8BB86FE-5F48-4AC6-87B4-8CB2B81BC11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文中没有相关信息</t>
        </r>
      </text>
    </comment>
    <comment ref="BO239" authorId="0" shapeId="0" xr:uid="{948CDBB0-9194-44E4-860A-45817FEE190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利用配筋率计算得到</t>
        </r>
      </text>
    </comment>
    <comment ref="BF240" authorId="0" shapeId="0" xr:uid="{4A84A734-B824-4964-AB22-E42393D9714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利用别人数据推导</t>
        </r>
      </text>
    </comment>
    <comment ref="BG240" authorId="0" shapeId="0" xr:uid="{C7B290B3-5D64-4C13-B336-90AB3A2EF3C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利用别人数据推导</t>
        </r>
      </text>
    </comment>
    <comment ref="BM240" authorId="0" shapeId="0" xr:uid="{A8A05FCC-C750-4FAD-ADFB-DF18053B5D7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文中没有相关信息</t>
        </r>
      </text>
    </comment>
    <comment ref="BO240" authorId="0" shapeId="0" xr:uid="{470F2DB8-83C4-41CC-98D3-D06ADEA6DC5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利用配筋率计算得到</t>
        </r>
      </text>
    </comment>
    <comment ref="I245" authorId="0" shapeId="0" xr:uid="{8EF82BDE-6DE6-4553-980F-B3521D41C41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BI245" authorId="0" shapeId="0" xr:uid="{D2075F80-064E-41FD-8E01-BDE9DC11794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D6</t>
        </r>
        <r>
          <rPr>
            <sz val="9"/>
            <color indexed="81"/>
            <rFont val="宋体"/>
            <family val="3"/>
            <charset val="134"/>
          </rPr>
          <t>钢筋直径为</t>
        </r>
        <r>
          <rPr>
            <sz val="9"/>
            <color indexed="81"/>
            <rFont val="Tahoma"/>
            <family val="2"/>
          </rPr>
          <t>7mm</t>
        </r>
        <r>
          <rPr>
            <sz val="9"/>
            <color indexed="81"/>
            <rFont val="宋体"/>
            <family val="3"/>
            <charset val="134"/>
          </rPr>
          <t>，这个试验钢筋直径均为</t>
        </r>
        <r>
          <rPr>
            <sz val="9"/>
            <color indexed="81"/>
            <rFont val="Tahoma"/>
            <family val="2"/>
          </rPr>
          <t>7mm</t>
        </r>
      </text>
    </comment>
    <comment ref="E246" authorId="0" shapeId="0" xr:uid="{9331893B-151B-42DA-B883-03198DF012F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I247" authorId="0" shapeId="0" xr:uid="{E3F2FDF7-8168-4984-AF09-18AFB9CF161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D251" authorId="0" shapeId="0" xr:uid="{F0700283-911C-4E45-9023-69BD9D63878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没有边缘构件，均匀配筋</t>
        </r>
      </text>
    </comment>
    <comment ref="D252" authorId="0" shapeId="0" xr:uid="{4857DDA6-72D7-4221-895A-D5C3464B742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没有边缘构件，均匀配筋</t>
        </r>
      </text>
    </comment>
    <comment ref="T252" authorId="0" shapeId="0" xr:uid="{6BDAA78B-51F7-430B-93D6-1F807FBFE7D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没有边缘构件，均匀配筋</t>
        </r>
      </text>
    </comment>
    <comment ref="I261" authorId="0" shapeId="0" xr:uid="{51D7965C-9289-47A4-804E-C2AEE8ABD03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取峰值位移（没有下降段）</t>
        </r>
      </text>
    </comment>
    <comment ref="BC261" authorId="0" shapeId="0" xr:uid="{66096174-05CB-4990-99A3-EA96B50F68B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无实测值，用名义值</t>
        </r>
      </text>
    </comment>
    <comment ref="I267" authorId="0" shapeId="0" xr:uid="{A79200E1-6B5A-4EDB-A988-84B016B2EDD6}">
      <text>
        <r>
          <rPr>
            <b/>
            <sz val="9"/>
            <color indexed="81"/>
            <rFont val="Tahoma"/>
            <family val="2"/>
          </rPr>
          <t xml:space="preserve">HaoyouZhang:
</t>
        </r>
        <r>
          <rPr>
            <b/>
            <sz val="9"/>
            <color indexed="81"/>
            <rFont val="宋体"/>
            <family val="3"/>
            <charset val="134"/>
          </rPr>
          <t>没有直接给出极限位移角</t>
        </r>
      </text>
    </comment>
    <comment ref="T267" authorId="0" shapeId="0" xr:uid="{E5CADD22-3977-4CBC-AFB7-6FF1B7B537C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T268" authorId="0" shapeId="0" xr:uid="{20ED85DD-E5C4-4C02-A0EB-DDCD93F3080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T269" authorId="0" shapeId="0" xr:uid="{4012BFEE-2243-4ED4-A280-9858F759ECC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BF269" authorId="0" shapeId="0" xr:uid="{DDC6B37D-ED7B-4D21-8A93-58A280B0089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认为没有边缘构件，所以没有面积，就没有配筋率</t>
        </r>
      </text>
    </comment>
    <comment ref="T270" authorId="0" shapeId="0" xr:uid="{528CD75F-6182-474E-BA97-2E3619401A1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BF270" authorId="0" shapeId="0" xr:uid="{82228370-E1F7-435A-92CE-FFFC94612F0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认为没有边缘构件，所以没有面积，就没有配筋率</t>
        </r>
      </text>
    </comment>
    <comment ref="I271" authorId="0" shapeId="0" xr:uid="{42E3148B-9117-4F61-BE80-5502744EA26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这四个是研究少筋情况</t>
        </r>
      </text>
    </comment>
    <comment ref="T271" authorId="0" shapeId="0" xr:uid="{269E2B33-2E84-4B38-9B24-93745F755D4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BF271" authorId="0" shapeId="0" xr:uid="{17966484-D3D8-407D-9B0D-39D95B8F05D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认为没有边缘构件，所以没有面积，就没有配筋率</t>
        </r>
      </text>
    </comment>
    <comment ref="T272" authorId="0" shapeId="0" xr:uid="{15431521-1211-474E-B383-574F5B9CEFC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BF272" authorId="0" shapeId="0" xr:uid="{8E64E775-779E-4005-9B0E-D9E8C15E5A4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认为没有边缘构件，所以没有面积，就没有配筋率</t>
        </r>
      </text>
    </comment>
    <comment ref="T273" authorId="0" shapeId="0" xr:uid="{05303801-6335-47C2-AFA4-B81A26331F6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BF273" authorId="0" shapeId="0" xr:uid="{55399A35-1424-4B7A-A820-6DAB2431FC0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认为没有边缘构件，所以没有面积，就没有配筋率</t>
        </r>
      </text>
    </comment>
    <comment ref="K274" authorId="0" shapeId="0" xr:uid="{CDD14838-34E0-4C69-997F-2F98ED5EA3A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T274" authorId="0" shapeId="0" xr:uid="{F20D6DB8-3E53-44E8-AE66-C775D299831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BF274" authorId="0" shapeId="0" xr:uid="{856809B9-F06C-42BA-871C-6D3A088C495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认为没有边缘构件，所以没有面积，就没有配筋率</t>
        </r>
      </text>
    </comment>
    <comment ref="T275" authorId="0" shapeId="0" xr:uid="{85266FC5-1992-474F-ACDD-7D1B1E95473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T276" authorId="0" shapeId="0" xr:uid="{6C7F3114-4387-4A36-BF16-06B3115A32F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T282" authorId="0" shapeId="0" xr:uid="{695D2E74-4BED-490B-9C9A-9AF3B3CAA929}">
      <text>
        <r>
          <rPr>
            <b/>
            <sz val="9"/>
            <color indexed="81"/>
            <rFont val="Tahoma"/>
            <family val="2"/>
          </rPr>
          <t xml:space="preserve">HaoyouZhang: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E285" authorId="0" shapeId="0" xr:uid="{8C3A04D7-CBDE-4506-912C-8806B09E407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C289" authorId="0" shapeId="0" xr:uid="{0E85295C-B5F7-43B2-940C-7F1C9BF04C4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研究形状记忆合金的对照组</t>
        </r>
      </text>
    </comment>
    <comment ref="I289" authorId="0" shapeId="0" xr:uid="{D5264F21-6F8E-450A-A0FC-07ECC77419C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I290" authorId="0" shapeId="0" xr:uid="{729E97CA-A4BF-4427-B6DC-8BFB54362B5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T293" authorId="0" shapeId="0" xr:uid="{C3885D97-B245-4675-B229-CA56215C374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C294" authorId="0" shapeId="0" xr:uid="{BB38E91A-A239-48DD-85DC-A109DBE02A4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研究钢管混凝土剪力墙的对照试验</t>
        </r>
      </text>
    </comment>
    <comment ref="C295" authorId="0" shapeId="0" xr:uid="{FEA05F2B-D0B4-4D04-A56A-2895441F5A8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研究可再生骨料的对照试件</t>
        </r>
      </text>
    </comment>
    <comment ref="P295" authorId="0" shapeId="0" xr:uid="{993DEC1C-8586-49C7-B82F-2F2A76EDC31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296" authorId="0" shapeId="0" xr:uid="{9D5DE9D8-EABF-4483-B93E-7803DD2F75F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研究FRP的对照试件</t>
        </r>
      </text>
    </comment>
    <comment ref="C297" authorId="0" shapeId="0" xr:uid="{81840475-55D5-4E1F-99A7-44380410CA8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研究玻璃纤维钢筋的对照试验</t>
        </r>
      </text>
    </comment>
    <comment ref="E298" authorId="0" shapeId="0" xr:uid="{5777EC81-0B65-4D28-824A-B0CFB43349B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从图片来看，这仨是剪切破坏</t>
        </r>
      </text>
    </comment>
    <comment ref="C301" authorId="0" shapeId="0" xr:uid="{5682395A-104A-4BCC-B2DF-F613D22891E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研究钢带加强的对照试件</t>
        </r>
      </text>
    </comment>
    <comment ref="BM302" authorId="0" shapeId="0" xr:uid="{21BC1017-E671-435F-8059-5953EB7FC31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一根</t>
        </r>
        <r>
          <rPr>
            <sz val="9"/>
            <color indexed="81"/>
            <rFont val="Tahoma"/>
            <family val="2"/>
          </rPr>
          <t>#5</t>
        </r>
        <r>
          <rPr>
            <sz val="9"/>
            <color indexed="81"/>
            <rFont val="宋体"/>
            <family val="3"/>
            <charset val="134"/>
          </rPr>
          <t>，一根</t>
        </r>
        <r>
          <rPr>
            <sz val="9"/>
            <color indexed="81"/>
            <rFont val="Tahoma"/>
            <family val="2"/>
          </rPr>
          <t>#6</t>
        </r>
        <r>
          <rPr>
            <sz val="9"/>
            <color indexed="81"/>
            <rFont val="宋体"/>
            <family val="3"/>
            <charset val="134"/>
          </rPr>
          <t>钢筋</t>
        </r>
      </text>
    </comment>
    <comment ref="BN302" authorId="0" shapeId="0" xr:uid="{7F9C032E-C07B-486B-9A5E-8882EC8442A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两根</t>
        </r>
        <r>
          <rPr>
            <sz val="9"/>
            <color indexed="81"/>
            <rFont val="Tahoma"/>
            <family val="2"/>
          </rPr>
          <t>#5</t>
        </r>
        <r>
          <rPr>
            <sz val="9"/>
            <color indexed="81"/>
            <rFont val="宋体"/>
            <family val="3"/>
            <charset val="134"/>
          </rPr>
          <t>，两根</t>
        </r>
        <r>
          <rPr>
            <sz val="9"/>
            <color indexed="81"/>
            <rFont val="Tahoma"/>
            <family val="2"/>
          </rPr>
          <t>#6</t>
        </r>
        <r>
          <rPr>
            <sz val="9"/>
            <color indexed="81"/>
            <rFont val="宋体"/>
            <family val="3"/>
            <charset val="134"/>
          </rPr>
          <t>，共四根</t>
        </r>
      </text>
    </comment>
    <comment ref="BM303" authorId="0" shapeId="0" xr:uid="{79FFEA97-F6DA-4E5A-935A-7AB5DFA4ACB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同上，一根</t>
        </r>
        <r>
          <rPr>
            <sz val="9"/>
            <color indexed="81"/>
            <rFont val="Tahoma"/>
            <family val="2"/>
          </rPr>
          <t>#5+</t>
        </r>
        <r>
          <rPr>
            <sz val="9"/>
            <color indexed="81"/>
            <rFont val="宋体"/>
            <family val="3"/>
            <charset val="134"/>
          </rPr>
          <t>一根</t>
        </r>
        <r>
          <rPr>
            <sz val="9"/>
            <color indexed="81"/>
            <rFont val="Tahoma"/>
            <family val="2"/>
          </rPr>
          <t>#6</t>
        </r>
      </text>
    </comment>
    <comment ref="BN303" authorId="0" shapeId="0" xr:uid="{A1096532-C830-43F1-B4EF-7E57DC6C036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两根</t>
        </r>
        <r>
          <rPr>
            <sz val="9"/>
            <color indexed="81"/>
            <rFont val="Tahoma"/>
            <family val="2"/>
          </rPr>
          <t>#5</t>
        </r>
        <r>
          <rPr>
            <sz val="9"/>
            <color indexed="81"/>
            <rFont val="宋体"/>
            <family val="3"/>
            <charset val="134"/>
          </rPr>
          <t>两根</t>
        </r>
        <r>
          <rPr>
            <sz val="9"/>
            <color indexed="81"/>
            <rFont val="Tahoma"/>
            <family val="2"/>
          </rPr>
          <t>#6</t>
        </r>
        <r>
          <rPr>
            <sz val="9"/>
            <color indexed="81"/>
            <rFont val="宋体"/>
            <family val="3"/>
            <charset val="134"/>
          </rPr>
          <t>，共四根</t>
        </r>
      </text>
    </comment>
    <comment ref="BM304" authorId="0" shapeId="0" xr:uid="{F70B18E1-82E1-4836-B698-69B2822E8B1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1#6+1#7</t>
        </r>
      </text>
    </comment>
    <comment ref="BN304" authorId="0" shapeId="0" xr:uid="{8FF2B8D9-D988-433A-8B11-5723ED57C95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2#6+2#7</t>
        </r>
      </text>
    </comment>
    <comment ref="I305" authorId="0" shapeId="0" xr:uid="{574E5846-711A-4F8C-9335-6BFB71BC13D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没有给出极限位移角</t>
        </r>
      </text>
    </comment>
    <comment ref="I307" authorId="0" shapeId="0" xr:uid="{BB5F862B-D5D8-4A83-BB58-B4F95169E46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研究截面滑移，承载力下降很快，峰值处为</t>
        </r>
        <r>
          <rPr>
            <sz val="9"/>
            <color indexed="81"/>
            <rFont val="Tahoma"/>
            <family val="2"/>
          </rPr>
          <t>0.28%
Checked</t>
        </r>
      </text>
    </comment>
    <comment ref="E308" authorId="0" shapeId="0" xr:uid="{8CE8651D-8049-4557-B44B-6D508CB0533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T308" authorId="0" shapeId="0" xr:uid="{6B770C5C-D90A-4F5A-AD0B-29702759089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T309" authorId="0" shapeId="0" xr:uid="{F38221C7-AECF-4764-9F08-9063F5D5A91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T310" authorId="0" shapeId="0" xr:uid="{E5A22E4D-5133-4BE5-AD7F-7C6B014B832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T311" authorId="0" shapeId="0" xr:uid="{7C057E86-2779-4E1F-AB2E-F77A108F555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I312" authorId="0" shapeId="0" xr:uid="{D1E7F9DE-EBFC-4D58-B52C-078A7F2C476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这个，还有紧接着下面三个，共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个，没有直接给出极限位移角</t>
        </r>
      </text>
    </comment>
    <comment ref="E316" authorId="0" shapeId="0" xr:uid="{0A64F5CA-DAA2-4FD8-94A7-16ECDE62DA9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这四个没有发现明显主斜对角裂缝，就认为是弯剪破坏</t>
        </r>
      </text>
    </comment>
    <comment ref="I320" authorId="0" shapeId="0" xr:uid="{636197A1-529A-456B-A913-F9C233C241A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没有直接给出极限位移角
研究混凝土截面的，地梁与试件交界处为二次浇筑</t>
        </r>
      </text>
    </comment>
    <comment ref="T320" authorId="0" shapeId="0" xr:uid="{F53769E2-C766-400A-B0AA-69C21B70E5B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T321" authorId="0" shapeId="0" xr:uid="{CAE63475-08AB-40CF-A533-4F47F502B1E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I322" authorId="0" shapeId="0" xr:uid="{BF3F7BD7-DA17-4950-AA96-2F02DC64A95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没有直接给出极限位移角</t>
        </r>
      </text>
    </comment>
    <comment ref="T326" authorId="0" shapeId="0" xr:uid="{410D59B5-EA49-4ED0-B63D-22E9DDB774D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T327" authorId="0" shapeId="0" xr:uid="{1EB75A33-FA1D-4A12-8158-0B1F4EA250D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I332" authorId="0" shapeId="0" xr:uid="{FA65666A-F97D-4D7F-994C-E45ED4D8C93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没有直接给出极限位移角</t>
        </r>
      </text>
    </comment>
    <comment ref="I339" authorId="0" shapeId="0" xr:uid="{DA1A10CA-FDE2-4682-A9F2-F16385B739E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T339" authorId="0" shapeId="0" xr:uid="{E655D377-F9E3-4470-83F8-F80E093E1B1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T341" authorId="0" shapeId="0" xr:uid="{6C4084CA-0157-4E97-B13C-89B82C306A9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E342" authorId="0" shapeId="0" xr:uid="{7374D010-7A82-4098-933F-4F098E740CE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I342" authorId="0" shapeId="0" xr:uid="{105CE059-52F8-41D3-82B3-8C7EFA8FF0D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没有直接给出极限位移角</t>
        </r>
      </text>
    </comment>
    <comment ref="P346" authorId="0" shapeId="0" xr:uid="{682A5CEA-6E55-42D1-AD7D-D70B1C6A9FD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D349" authorId="0" shapeId="0" xr:uid="{CC0A3D30-698F-4EDA-826D-C86954A641A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预制混凝土的对照试件</t>
        </r>
      </text>
    </comment>
    <comment ref="I350" authorId="0" shapeId="0" xr:uid="{2458D93B-8619-4B4A-ACE7-03922F96A50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F351" authorId="0" shapeId="0" xr:uid="{BF427B27-FEDC-452D-9B24-E6FD5201CBB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没有直接给出剪力</t>
        </r>
      </text>
    </comment>
    <comment ref="I351" authorId="0" shapeId="0" xr:uid="{B98E84EB-5DEF-46D6-A6B2-2C0283780CF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没有直接给出极限位移
</t>
        </r>
        <r>
          <rPr>
            <sz val="9"/>
            <color indexed="81"/>
            <rFont val="Tahoma"/>
            <family val="2"/>
          </rPr>
          <t>Checked</t>
        </r>
      </text>
    </comment>
    <comment ref="T354" authorId="0" shapeId="0" xr:uid="{0DCC6987-A473-49EE-ADDB-AE6DC2BAD50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没有边缘构件</t>
        </r>
      </text>
    </comment>
    <comment ref="F355" authorId="0" shapeId="0" xr:uid="{ED4B28E3-B8B2-4E82-A12B-325E77DA053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F356" authorId="0" shapeId="0" xr:uid="{DD3698A0-9C9D-43CA-925D-312E11546AA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没有直接给出剪力</t>
        </r>
      </text>
    </comment>
    <comment ref="I356" authorId="0" shapeId="0" xr:uid="{894B6922-6D34-4819-9582-BB6618DD8BB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没有直接给出极限位移角</t>
        </r>
      </text>
    </comment>
    <comment ref="J356" authorId="0" shapeId="0" xr:uid="{796DB733-2595-40D1-B3FB-D86984B0E12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BC359" authorId="0" shapeId="0" xr:uid="{C1B30419-E36D-4639-B9AA-D74D3E7F680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第一批试验未测，用第二批的试验值</t>
        </r>
      </text>
    </comment>
    <comment ref="E361" authorId="0" shapeId="0" xr:uid="{09B99612-60EC-45C0-8906-202376B3097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362" authorId="0" shapeId="0" xr:uid="{3539FC73-4864-41F7-A8AB-DC08A05BFC4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364" authorId="0" shapeId="0" xr:uid="{B70E2A24-8136-481B-9A02-072C5353714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365" authorId="0" shapeId="0" xr:uid="{27820782-C269-4FDB-A091-14900749BBA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366" authorId="0" shapeId="0" xr:uid="{410A7E02-1582-401D-9581-0B2C5816C1E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R367" authorId="0" shapeId="0" xr:uid="{DCA7ED8E-C231-4E60-8030-4C0D98B7C5E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368" authorId="0" shapeId="0" xr:uid="{698487C7-7C3D-4697-8490-7973E5B910B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没有破坏模式相关内容</t>
        </r>
      </text>
    </comment>
    <comment ref="P374" authorId="0" shapeId="0" xr:uid="{D6F0599D-8315-43C9-8836-1AA3E19EDA2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就按文献写的</t>
        </r>
      </text>
    </comment>
    <comment ref="E380" authorId="0" shapeId="0" xr:uid="{8613FE5A-09A9-4B31-A8CD-2DBEFC418E1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381" authorId="0" shapeId="0" xr:uid="{41F83F05-8752-46E7-99F6-F9747A1C692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382" authorId="0" shapeId="0" xr:uid="{1C514290-837B-4A04-9DE5-48DB252CE43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R383" authorId="0" shapeId="0" xr:uid="{059A63AD-B5E4-44D0-9B75-07C2DA6ECD3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389" authorId="0" shapeId="0" xr:uid="{BC38A46B-A634-4D0A-8FE7-17B7B4E38A3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做防火试验的对比试件</t>
        </r>
      </text>
    </comment>
    <comment ref="P391" authorId="0" shapeId="0" xr:uid="{26FBB5F3-4E39-4FF1-9A6D-7E4C178E433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396" authorId="0" shapeId="0" xr:uid="{93FF7972-C745-444E-8345-8E72736307D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I396" authorId="0" shapeId="0" xr:uid="{4D0D7C94-EA34-46CD-8662-0CD0FF5A4E3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R396" authorId="0" shapeId="0" xr:uid="{84F8B7B1-AB01-4961-AA32-D560523A8C2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E400" authorId="0" shapeId="0" xr:uid="{297D4C1A-3A96-412E-8BE3-D32E7F297E7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没有给出破坏模式</t>
        </r>
      </text>
    </comment>
    <comment ref="F403" authorId="0" shapeId="0" xr:uid="{43C3A73B-5E9C-408F-A529-4E6F5952F88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没有直接给出剪力</t>
        </r>
      </text>
    </comment>
    <comment ref="I403" authorId="0" shapeId="0" xr:uid="{A3E21B19-32B9-46FC-9ED6-652A74A85206}">
      <text>
        <r>
          <rPr>
            <b/>
            <sz val="9"/>
            <color indexed="81"/>
            <rFont val="Tahoma"/>
            <family val="2"/>
          </rPr>
          <t xml:space="preserve">HaoyouZhang:
</t>
        </r>
        <r>
          <rPr>
            <b/>
            <sz val="9"/>
            <color indexed="81"/>
            <rFont val="宋体"/>
            <family val="3"/>
            <charset val="134"/>
          </rPr>
          <t>没有直接给出极限位移角</t>
        </r>
      </text>
    </comment>
    <comment ref="P403" authorId="0" shapeId="0" xr:uid="{B22EAAFD-4FC1-455E-9B44-F7BD4646E70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BC404" authorId="0" shapeId="0" xr:uid="{E5378654-FB8F-4B44-BB80-4DE8B9ADF31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没有给箍筋屈服强度</t>
        </r>
      </text>
    </comment>
    <comment ref="BI409" authorId="0" shapeId="0" xr:uid="{D6473F24-AC3B-4E21-9824-45D18DDB133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10M</t>
        </r>
        <r>
          <rPr>
            <sz val="9"/>
            <color indexed="81"/>
            <rFont val="宋体"/>
            <family val="3"/>
            <charset val="134"/>
          </rPr>
          <t>直径这里按名义直径</t>
        </r>
        <r>
          <rPr>
            <sz val="9"/>
            <color indexed="81"/>
            <rFont val="Tahoma"/>
            <family val="2"/>
          </rPr>
          <t>11.3</t>
        </r>
      </text>
    </comment>
    <comment ref="BM409" authorId="0" shapeId="0" xr:uid="{39B22422-2FA9-4CAF-9080-37A456ECDE8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10M</t>
        </r>
        <r>
          <rPr>
            <sz val="9"/>
            <color indexed="81"/>
            <rFont val="宋体"/>
            <family val="3"/>
            <charset val="134"/>
          </rPr>
          <t>直径这里按名义直径</t>
        </r>
        <r>
          <rPr>
            <sz val="9"/>
            <color indexed="81"/>
            <rFont val="Tahoma"/>
            <family val="2"/>
          </rPr>
          <t>11.3</t>
        </r>
      </text>
    </comment>
    <comment ref="DM409" authorId="0" shapeId="0" xr:uid="{E1070CDF-9E76-4FEE-BEFA-43047F3EA1E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10M</t>
        </r>
        <r>
          <rPr>
            <sz val="9"/>
            <color indexed="81"/>
            <rFont val="宋体"/>
            <family val="3"/>
            <charset val="134"/>
          </rPr>
          <t>直径这里按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family val="3"/>
            <charset val="134"/>
          </rPr>
          <t>取</t>
        </r>
      </text>
    </comment>
    <comment ref="E411" authorId="0" shapeId="0" xr:uid="{B31C6180-8059-42B3-8C65-1B685C459EE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没有直接给出破坏模式
</t>
        </r>
        <r>
          <rPr>
            <sz val="9"/>
            <color indexed="81"/>
            <rFont val="Tahoma"/>
            <family val="2"/>
          </rPr>
          <t>Checked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E413" authorId="0" shapeId="0" xr:uid="{FFFAE627-53E2-4077-8BB8-E61B261DE9A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HaoyouZhang</author>
  </authors>
  <commentList>
    <comment ref="B25" authorId="0" shapeId="0" xr:uid="{0CB384D8-ECBF-4234-97B0-8153817C9FE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27" authorId="0" shapeId="0" xr:uid="{05CDE91A-00B2-40A6-9028-1B332B267BA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83" authorId="0" shapeId="0" xr:uid="{F3368951-160F-4AA2-A79A-86DF6DA6D9F4}">
      <text>
        <r>
          <rPr>
            <b/>
            <sz val="9"/>
            <color indexed="81"/>
            <rFont val="Tahoma"/>
            <family val="2"/>
          </rPr>
          <t xml:space="preserve">HaoyouZhang:
</t>
        </r>
        <r>
          <rPr>
            <b/>
            <sz val="9"/>
            <color indexed="81"/>
            <rFont val="宋体"/>
            <family val="3"/>
            <charset val="134"/>
          </rPr>
          <t>没有直接给出极限位移角</t>
        </r>
      </text>
    </comment>
    <comment ref="C86" authorId="0" shapeId="0" xr:uid="{188F0610-DB36-4A9E-B0EB-9704509BD01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这四个是研究少筋情况</t>
        </r>
      </text>
    </comment>
    <comment ref="C99" authorId="0" shapeId="0" xr:uid="{DF2F2E8F-6521-4F43-BFA2-D6D63C65209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100" authorId="0" shapeId="0" xr:uid="{99323C53-EE74-4B88-8438-F047F2C5A30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109" authorId="0" shapeId="0" xr:uid="{0473C5E6-80FC-48BA-8677-1FE904FDC53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113" authorId="0" shapeId="0" xr:uid="{38433B82-29CF-4706-BD21-545CBC7118B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B140" authorId="0" shapeId="0" xr:uid="{C1957AA4-063E-40AC-A3A4-6186318EADB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没有直接给出剪力</t>
        </r>
      </text>
    </comment>
    <comment ref="C140" authorId="0" shapeId="0" xr:uid="{19831C0E-E0C8-48AB-AB74-1EFAC36A1E7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没有直接给出极限位移角</t>
        </r>
      </text>
    </comment>
    <comment ref="B143" authorId="0" shapeId="0" xr:uid="{5D86C0D1-183D-42DA-B852-715C167EC81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没有直接给出剪力</t>
        </r>
      </text>
    </comment>
    <comment ref="C143" authorId="0" shapeId="0" xr:uid="{2C206B44-E509-4697-A2F8-C8C1B4051005}">
      <text>
        <r>
          <rPr>
            <b/>
            <sz val="9"/>
            <color indexed="81"/>
            <rFont val="Tahoma"/>
            <family val="2"/>
          </rPr>
          <t xml:space="preserve">HaoyouZhang:
</t>
        </r>
        <r>
          <rPr>
            <b/>
            <sz val="9"/>
            <color indexed="81"/>
            <rFont val="宋体"/>
            <family val="3"/>
            <charset val="134"/>
          </rPr>
          <t>没有直接给出极限位移角</t>
        </r>
      </text>
    </comment>
    <comment ref="B175" authorId="0" shapeId="0" xr:uid="{6D6517F3-9CEA-40DF-B2A0-124CD13AA7E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没有直接给出剪力</t>
        </r>
      </text>
    </comment>
    <comment ref="C175" authorId="0" shapeId="0" xr:uid="{62C16676-515F-4AC5-9FE6-067856C6BF6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没有直接给出极限位移
</t>
        </r>
        <r>
          <rPr>
            <sz val="9"/>
            <color indexed="81"/>
            <rFont val="Tahoma"/>
            <family val="2"/>
          </rPr>
          <t>Checked</t>
        </r>
      </text>
    </comment>
    <comment ref="B184" authorId="0" shapeId="0" xr:uid="{E2B76954-26DB-495A-AF67-C2AE96AB1B2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A185" authorId="0" shapeId="0" xr:uid="{9938A004-9F3E-40A7-A86B-D3E8D9C787C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从图片来看，这仨是剪切破坏</t>
        </r>
      </text>
    </comment>
    <comment ref="A191" authorId="0" shapeId="0" xr:uid="{641002CA-F0CE-4C26-84D6-A072A4DDF80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C195" authorId="0" shapeId="0" xr:uid="{95221A8C-7BE4-4199-8F2F-0C0565A2F26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236" authorId="0" shapeId="0" xr:uid="{19E5C35D-9985-4783-A201-D24DF89D8B9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243" authorId="0" shapeId="0" xr:uid="{1610F150-E493-4406-9562-0E9BAA4CBFC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有的极限位移比峰值处位移还小，取两者中较大</t>
        </r>
      </text>
    </comment>
    <comment ref="C265" authorId="0" shapeId="0" xr:uid="{8740727D-909D-4981-910A-9FC36A13C50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没有下降段，取峰值处</t>
        </r>
      </text>
    </comment>
    <comment ref="C309" authorId="0" shapeId="0" xr:uid="{2B19150D-240B-41C0-9DDF-590ECC95B9A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310" authorId="0" shapeId="0" xr:uid="{C84ACA41-F776-4D57-91FC-30D0B779ECE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取峰值位移（没有下降段）</t>
        </r>
      </text>
    </comment>
    <comment ref="C317" authorId="0" shapeId="0" xr:uid="{CE139E35-962C-47D6-9C52-B33EF676800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这个，还有紧接着下面三个，共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个，没有直接给出极限位移角</t>
        </r>
      </text>
    </comment>
    <comment ref="A321" authorId="0" shapeId="0" xr:uid="{82D429F7-9560-41E2-8EC6-0C23B3D9644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这四个没有发现明显主斜对角裂缝，就认为是弯剪破坏</t>
        </r>
      </text>
    </comment>
    <comment ref="C325" authorId="0" shapeId="0" xr:uid="{6F637732-833F-421F-8196-66960D283BA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没有直接给出极限位移角
研究混凝土截面的，地梁与试件交界处为二次浇筑</t>
        </r>
      </text>
    </comment>
    <comment ref="C327" authorId="0" shapeId="0" xr:uid="{22D8213B-FFDF-4895-B1DD-2C0B16CB50B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没有直接给出极限位移角</t>
        </r>
      </text>
    </comment>
    <comment ref="C337" authorId="0" shapeId="0" xr:uid="{233BBE56-107A-43F0-8FF9-05A1E5EA470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没有直接给出极限位移角</t>
        </r>
      </text>
    </comment>
    <comment ref="A349" authorId="0" shapeId="0" xr:uid="{B92943FD-E736-4F24-9487-55B2214877C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没有破坏模式相关内容</t>
        </r>
      </text>
    </comment>
    <comment ref="C367" authorId="0" shapeId="0" xr:uid="{35B23708-C1F3-4A56-8923-6232CFD680F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B374" authorId="0" shapeId="0" xr:uid="{44C781C7-35A4-4774-A647-F4B7FDBECA8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374" authorId="0" shapeId="0" xr:uid="{E58CC895-CAC3-4C5B-A8DC-BA942EE7922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B375" authorId="0" shapeId="0" xr:uid="{4997D4EB-546F-4B81-B306-487A1284154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375" authorId="0" shapeId="0" xr:uid="{0F5671F6-AA05-4DB4-B94C-9FCC539385F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378" authorId="0" shapeId="0" xr:uid="{448FC02F-FF79-40C3-8EDB-3B4FE570E9C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379" authorId="0" shapeId="0" xr:uid="{BB27BED0-9589-4EAA-A20C-75051E79915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没有给出极限位移角</t>
        </r>
      </text>
    </comment>
    <comment ref="C381" authorId="0" shapeId="0" xr:uid="{3659FB54-8C16-47A5-A309-C7B9D50D83C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研究截面滑移，承载力下降很快，峰值处为</t>
        </r>
        <r>
          <rPr>
            <sz val="9"/>
            <color indexed="81"/>
            <rFont val="Tahoma"/>
            <family val="2"/>
          </rPr>
          <t>0.28%
Checked</t>
        </r>
      </text>
    </comment>
    <comment ref="C393" authorId="0" shapeId="0" xr:uid="{3C1C27A6-641C-4C53-8892-8EEC909502F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比峰值处小</t>
        </r>
      </text>
    </comment>
    <comment ref="A408" authorId="0" shapeId="0" xr:uid="{CDC09356-A795-4DF1-A4C9-C7EFF6A0ECF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没有直接给出破坏模式
</t>
        </r>
      </text>
    </comment>
    <comment ref="A416" authorId="0" shapeId="0" xr:uid="{F56D4D15-1617-4709-AE68-960C62450D7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计算为弯曲破坏，图片为明显剪切破坏</t>
        </r>
      </text>
    </comment>
    <comment ref="C418" authorId="0" shapeId="0" xr:uid="{4E20C9BD-EC95-4403-A8A0-0C374246212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C433" authorId="0" shapeId="0" xr:uid="{54334DF1-849C-42C9-A581-2A79006C866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  <comment ref="A437" authorId="0" shapeId="0" xr:uid="{165AC6ED-255E-47C6-8260-0476012DEA3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没有给出破坏模式</t>
        </r>
      </text>
    </comment>
    <comment ref="C440" authorId="0" shapeId="0" xr:uid="{7E922805-6385-4885-A40E-DBDE6D392A1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没有直接给出极限位移角</t>
        </r>
      </text>
    </comment>
    <comment ref="C444" authorId="0" shapeId="0" xr:uid="{9CCA4131-5588-404D-B44C-16A401D7E39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Checked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HaoyouZhang</author>
  </authors>
  <commentList>
    <comment ref="B9" authorId="0" shapeId="0" xr:uid="{BF8BB95A-34FC-4E8F-9540-4C51205CACA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试验中实际剪跨比</t>
        </r>
      </text>
    </comment>
    <comment ref="AB10" authorId="0" shapeId="0" xr:uid="{ADB815D7-047B-4EE0-8518-CE35F0CBEEA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试验中实际剪跨比</t>
        </r>
      </text>
    </comment>
    <comment ref="AH10" authorId="0" shapeId="0" xr:uid="{0265EC58-6D7D-46BD-B23C-8AE34A8C6F1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试验中实际轴压比</t>
        </r>
      </text>
    </comment>
    <comment ref="AI10" authorId="0" shapeId="0" xr:uid="{662FF73D-F45D-4F73-8A82-B915DA8304D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剪力墙截面形状</t>
        </r>
      </text>
    </comment>
    <comment ref="AK10" authorId="0" shapeId="0" xr:uid="{418D637A-9C98-423A-85F5-739E65F49DF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抗弯承载力与抗剪承载力比值</t>
        </r>
      </text>
    </comment>
    <comment ref="AP10" authorId="0" shapeId="0" xr:uid="{4D42C648-7159-4D3B-B402-97CFF4E1EB4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试验抗侧承载力</t>
        </r>
      </text>
    </comment>
    <comment ref="AQ10" authorId="0" shapeId="0" xr:uid="{09915FBD-6E3D-458B-B9E7-DC3662AFD9A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ACI 318-19 11.5.4.3
</t>
        </r>
        <r>
          <rPr>
            <sz val="9"/>
            <color indexed="81"/>
            <rFont val="宋体"/>
            <family val="3"/>
            <charset val="134"/>
          </rPr>
          <t>修正系数lamda取1.0</t>
        </r>
      </text>
    </comment>
    <comment ref="AR10" authorId="0" shapeId="0" xr:uid="{6A2CF975-14B9-4B59-A0FD-D25164A038A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抗剪承载力</t>
        </r>
      </text>
    </comment>
    <comment ref="AS10" authorId="0" shapeId="0" xr:uid="{408EDB8B-C231-43EC-A5C9-BF517E8419F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抗弯承载力</t>
        </r>
      </text>
    </comment>
    <comment ref="AT10" authorId="0" shapeId="0" xr:uid="{DF260EE7-1B6D-4B6D-A4C7-577F4CA66B3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ACI</t>
        </r>
        <r>
          <rPr>
            <sz val="9"/>
            <color indexed="81"/>
            <rFont val="宋体"/>
            <family val="3"/>
            <charset val="134"/>
          </rPr>
          <t>公式需要的剪跨比</t>
        </r>
      </text>
    </comment>
    <comment ref="AU10" authorId="0" shapeId="0" xr:uid="{EABACA4A-164D-43C7-A21E-263E343B4DD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用于计算的剪跨比</t>
        </r>
      </text>
    </comment>
    <comment ref="AV10" authorId="0" shapeId="0" xr:uid="{36AD6090-1682-4F60-A28F-FA261B681EE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用于计算的轴力</t>
        </r>
      </text>
    </comment>
    <comment ref="AW10" authorId="0" shapeId="0" xr:uid="{0FD7ABB9-E132-4E43-AED0-ACE1E671CF5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混凝土贡献的剪力</t>
        </r>
      </text>
    </comment>
    <comment ref="AX10" authorId="0" shapeId="0" xr:uid="{C59D65C2-104E-4923-833F-9067B29E149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钢筋贡献的剪力</t>
        </r>
      </text>
    </comment>
    <comment ref="AY10" authorId="0" shapeId="0" xr:uid="{8FB193DB-E787-4521-9AA8-DCEA4096611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混凝土贡献的弯矩</t>
        </r>
      </text>
    </comment>
    <comment ref="AZ10" authorId="0" shapeId="0" xr:uid="{46EC079D-5074-418C-BF09-DDE95081DF0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钢筋贡献的弯矩</t>
        </r>
      </text>
    </comment>
    <comment ref="BA10" authorId="0" shapeId="0" xr:uid="{5F67BA98-F0E9-4276-97C8-3FC7FA2AD50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轴向力</t>
        </r>
      </text>
    </comment>
    <comment ref="BB10" authorId="0" shapeId="0" xr:uid="{8BA6FF0D-9CA6-4281-95C7-33840D7373C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混凝土轴心抗压强度</t>
        </r>
      </text>
    </comment>
    <comment ref="BC10" authorId="0" shapeId="0" xr:uid="{D5274F70-09B6-41EF-B3D4-C2468DE28E0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混凝土轴心抗拉强度</t>
        </r>
      </text>
    </comment>
    <comment ref="BD10" authorId="0" shapeId="0" xr:uid="{2A9AF6A0-17AD-438C-901F-97380599CF7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系数，混规</t>
        </r>
        <r>
          <rPr>
            <sz val="9"/>
            <color indexed="81"/>
            <rFont val="Tahoma"/>
            <family val="2"/>
          </rPr>
          <t>6.2.6</t>
        </r>
      </text>
    </comment>
    <comment ref="BE10" authorId="0" shapeId="0" xr:uid="{95DA4FCB-B0A2-462E-B524-2DB66F00B12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系数，混规</t>
        </r>
        <r>
          <rPr>
            <sz val="9"/>
            <color indexed="81"/>
            <rFont val="Tahoma"/>
            <family val="2"/>
          </rPr>
          <t>6.2.6</t>
        </r>
      </text>
    </comment>
    <comment ref="BF10" authorId="0" shapeId="0" xr:uid="{872B835B-22B7-4968-B92E-BB921555492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剪力墙截面总长度</t>
        </r>
      </text>
    </comment>
    <comment ref="BG10" authorId="0" shapeId="0" xr:uid="{E9087A5A-50CB-41E1-8F0B-F29CCF7589A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一侧边缘构件长度</t>
        </r>
      </text>
    </comment>
    <comment ref="BH10" authorId="0" shapeId="0" xr:uid="{151389D0-0A58-4064-9013-870346BDC17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受压中心到截面上边缘距离</t>
        </r>
      </text>
    </comment>
    <comment ref="BI10" authorId="0" shapeId="0" xr:uid="{01BCD13F-0BE5-42D3-9F6F-1EC492CFEED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腹板长度</t>
        </r>
      </text>
    </comment>
    <comment ref="BJ10" authorId="0" shapeId="0" xr:uid="{0C137C5D-2DFB-4832-8B5D-7A5D93C7CA5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截面有效高度</t>
        </r>
      </text>
    </comment>
    <comment ref="BK10" authorId="0" shapeId="0" xr:uid="{DE3BF9CF-BDA0-45A4-A9DD-098EF68ADEF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大偏压受压区高度</t>
        </r>
      </text>
    </comment>
    <comment ref="BL10" authorId="0" shapeId="0" xr:uid="{36BABF23-7A5F-4979-B4D3-D200173F2D2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界限相对受压区高度</t>
        </r>
      </text>
    </comment>
    <comment ref="BM10" authorId="0" shapeId="0" xr:uid="{D4910760-3567-46F4-8BFE-275234A1A69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相对受压区高度</t>
        </r>
      </text>
    </comment>
    <comment ref="BO10" authorId="0" shapeId="0" xr:uid="{D2971E71-2F89-4935-B72A-5A39AC8F34A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判断假定的大偏压是否正确</t>
        </r>
      </text>
    </comment>
    <comment ref="BP10" authorId="0" shapeId="0" xr:uid="{E90B819B-D88E-4489-B0C0-6DFE86A1E518}">
      <text>
        <r>
          <rPr>
            <b/>
            <sz val="9"/>
            <color indexed="81"/>
            <rFont val="Tahoma"/>
            <family val="2"/>
          </rPr>
          <t xml:space="preserve">HaoyouZhang:
</t>
        </r>
        <r>
          <rPr>
            <sz val="9"/>
            <color indexed="81"/>
            <rFont val="宋体"/>
            <family val="3"/>
            <charset val="134"/>
          </rPr>
          <t>判断是否为大偏压</t>
        </r>
      </text>
    </comment>
    <comment ref="BR10" authorId="0" shapeId="0" xr:uid="{B392E625-E4F6-451C-B757-A0CDB023B98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判断是否为小偏压</t>
        </r>
      </text>
    </comment>
    <comment ref="BS10" authorId="0" shapeId="0" xr:uid="{D21A2FD9-5310-4191-AC86-8AD87923EE9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截面厚度</t>
        </r>
      </text>
    </comment>
    <comment ref="BT10" authorId="0" shapeId="0" xr:uid="{F707C13F-F389-4040-8F8A-F914025861C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墙高度（至加载点）</t>
        </r>
      </text>
    </comment>
    <comment ref="BU10" authorId="0" shapeId="0" xr:uid="{37812676-8697-4CC3-9E72-BC731C04CD9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剪力墙腹板面积（矩形截面时为全截面面积）</t>
        </r>
      </text>
    </comment>
    <comment ref="BW10" authorId="0" shapeId="0" xr:uid="{5101B474-3D71-4A97-8686-D3DAF9F459D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腹板厚度与截面总高度（从最左到最右）的乘积</t>
        </r>
      </text>
    </comment>
    <comment ref="BX10" authorId="0" shapeId="0" xr:uid="{6CB178DE-2C09-4812-8167-89A3E7FC74B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剪力墙毛截面面积，即全截面面积</t>
        </r>
      </text>
    </comment>
    <comment ref="BZ10" authorId="0" shapeId="0" xr:uid="{4466152B-5584-4E4C-98B3-72287F2F5E2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腹板竖向、水平钢筋强度，</t>
        </r>
      </text>
    </comment>
    <comment ref="CA10" authorId="0" shapeId="0" xr:uid="{9FEF81FB-A645-493E-8FB1-8CE6DEAF306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边缘构件纵筋强度</t>
        </r>
      </text>
    </comment>
    <comment ref="CG10" authorId="0" shapeId="0" xr:uid="{BD2B75B9-7152-42D3-B1EB-4D00DF41A93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水平分布钢筋间距</t>
        </r>
      </text>
    </comment>
    <comment ref="CH10" authorId="0" shapeId="0" xr:uid="{F36E182B-5BB6-435D-9EAF-462082EDA2C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一根水平分布钢筋面积</t>
        </r>
      </text>
    </comment>
    <comment ref="CI10" authorId="0" shapeId="0" xr:uid="{D858F47B-86EF-4BC4-8E7D-47DEDE21A2F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水平分布钢筋层数</t>
        </r>
      </text>
    </comment>
    <comment ref="CJ10" authorId="0" shapeId="0" xr:uid="{4AFBDF84-4DF6-45B0-BE29-407ED1B2554B}">
      <text>
        <r>
          <rPr>
            <b/>
            <sz val="9"/>
            <color indexed="81"/>
            <rFont val="Tahoma"/>
            <family val="2"/>
          </rPr>
          <t xml:space="preserve">HaoyouZhang:
</t>
        </r>
        <r>
          <rPr>
            <sz val="9"/>
            <color indexed="81"/>
            <rFont val="宋体"/>
            <family val="3"/>
            <charset val="134"/>
          </rPr>
          <t>水平分布钢筋全部截面截面面积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K10" authorId="0" shapeId="0" xr:uid="{75BD0E70-6CBF-412D-9EB9-C18406934BE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剪力墙腹板竖向分布钢筋总面积</t>
        </r>
      </text>
    </comment>
    <comment ref="CL10" authorId="0" shapeId="0" xr:uid="{DA6F12A0-EEFE-4DDA-B1AC-AF446C43D86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受压区一根纵筋面积</t>
        </r>
      </text>
    </comment>
    <comment ref="CM10" authorId="0" shapeId="0" xr:uid="{71ADCE9C-7EFA-44F6-9A5E-464D4F03A17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受压区纵筋总数</t>
        </r>
      </text>
    </comment>
    <comment ref="CN10" authorId="0" shapeId="0" xr:uid="{61523BE6-5AA4-4256-8D91-0F8A5FD6013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受压区纵筋总面积</t>
        </r>
      </text>
    </comment>
    <comment ref="CP10" authorId="0" shapeId="0" xr:uid="{386D8215-2ECF-4391-A832-60014D5CB85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合力平衡时，应为</t>
        </r>
        <r>
          <rPr>
            <sz val="9"/>
            <color indexed="81"/>
            <rFont val="Tahoma"/>
            <family val="2"/>
          </rPr>
          <t>0</t>
        </r>
      </text>
    </comment>
    <comment ref="CQ10" authorId="0" shapeId="0" xr:uid="{532E3B62-DD16-410F-B219-F80438F4B8F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抗弯承载力</t>
        </r>
      </text>
    </comment>
    <comment ref="CR10" authorId="0" shapeId="0" xr:uid="{0E457476-2616-4FC8-A5FB-9F98FEFE05E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实际受压区高度，需要规划求解得到</t>
        </r>
      </text>
    </comment>
    <comment ref="CS10" authorId="0" shapeId="0" xr:uid="{2C015687-6E01-4A35-9C8C-5E8F1240B83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再次判断是否为小偏压</t>
        </r>
      </text>
    </comment>
    <comment ref="CT10" authorId="0" shapeId="0" xr:uid="{1FD71CF1-F6C7-4AF6-8624-A698EC46706F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混凝土极限压应变</t>
        </r>
      </text>
    </comment>
    <comment ref="CU10" authorId="0" shapeId="0" xr:uid="{BDC899E1-B539-444B-8ACF-8EAFEBCF0D1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混凝土弹性模量</t>
        </r>
      </text>
    </comment>
    <comment ref="CV10" authorId="0" shapeId="0" xr:uid="{9216A02F-381D-4312-9498-EC1D9E136D3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钢筋弹性模量</t>
        </r>
      </text>
    </comment>
    <comment ref="CW10" authorId="0" shapeId="0" xr:uid="{8D6CC1CB-EAAA-4BD4-9B1D-41EB8272A84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第一排钢筋中心到截面边缘距离，后面依次类推</t>
        </r>
      </text>
    </comment>
    <comment ref="EK10" authorId="0" shapeId="0" xr:uid="{FFE7E4C4-B7E8-474B-A2F5-64A5348E2B7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对应前面第一排钢筋截面面积，后面一次类推</t>
        </r>
      </text>
    </comment>
    <comment ref="FY10" authorId="0" shapeId="0" xr:uid="{F11AF240-672D-4055-AA29-7BEF43A97E2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第一排钢筋实际受力，拉为正，压为负</t>
        </r>
      </text>
    </comment>
    <comment ref="HM10" authorId="0" shapeId="0" xr:uid="{158337EE-26D7-460D-8286-82162D28320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第一排钢筋对截面边缘的力矩，顺时针为正，逆时针为负。后面依次类推</t>
        </r>
      </text>
    </comment>
    <comment ref="B15" authorId="0" shapeId="0" xr:uid="{35F88E15-7A42-4683-8011-24F0EB8572B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试验中实际轴压比</t>
        </r>
      </text>
    </comment>
    <comment ref="B16" authorId="0" shapeId="0" xr:uid="{2C4E2456-C84F-4703-8178-FC6CD1EB5A2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剪力墙截面形状</t>
        </r>
      </text>
    </comment>
    <comment ref="B18" authorId="0" shapeId="0" xr:uid="{71C3A4ED-1ABF-4B35-AD84-5CEA5119864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抗弯承载力与抗剪承载力比值</t>
        </r>
      </text>
    </comment>
    <comment ref="B19" authorId="0" shapeId="0" xr:uid="{936DA630-807B-4D11-B97C-7B18961F4C2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试验抗侧承载力</t>
        </r>
      </text>
    </comment>
    <comment ref="B20" authorId="0" shapeId="0" xr:uid="{B913732D-558E-47D7-9959-4A913714E2E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ACI 318-19 11.5.4.3
</t>
        </r>
        <r>
          <rPr>
            <sz val="9"/>
            <color indexed="81"/>
            <rFont val="宋体"/>
            <family val="3"/>
            <charset val="134"/>
          </rPr>
          <t>修正系数lamda取1.0</t>
        </r>
      </text>
    </comment>
    <comment ref="B21" authorId="0" shapeId="0" xr:uid="{5A8E3C3E-1FFA-4D3C-8B88-BADE18016AA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抗剪承载力</t>
        </r>
      </text>
    </comment>
    <comment ref="B22" authorId="0" shapeId="0" xr:uid="{8C0C0065-2B94-496F-969A-D9039CDEC7B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抗弯承载力</t>
        </r>
      </text>
    </comment>
    <comment ref="B23" authorId="0" shapeId="0" xr:uid="{C52A3D60-4585-4223-9EF5-23B997B9144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ACI</t>
        </r>
        <r>
          <rPr>
            <sz val="9"/>
            <color indexed="81"/>
            <rFont val="宋体"/>
            <family val="3"/>
            <charset val="134"/>
          </rPr>
          <t>公式需要的剪跨比</t>
        </r>
      </text>
    </comment>
    <comment ref="B24" authorId="0" shapeId="0" xr:uid="{280A1670-203E-4658-925C-FD323A925CA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用于计算的剪跨比</t>
        </r>
      </text>
    </comment>
    <comment ref="B25" authorId="0" shapeId="0" xr:uid="{A05D9F87-7B73-46F8-821A-290B6B77B89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用于计算的轴力</t>
        </r>
      </text>
    </comment>
    <comment ref="B26" authorId="0" shapeId="0" xr:uid="{0AF5A520-4EE0-4CEC-B79A-6283743AAD7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混凝土贡献的剪力</t>
        </r>
      </text>
    </comment>
    <comment ref="B27" authorId="0" shapeId="0" xr:uid="{C63BBB82-FE2C-4C8A-BA94-6794F503E3AE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钢筋贡献的剪力</t>
        </r>
      </text>
    </comment>
    <comment ref="B28" authorId="0" shapeId="0" xr:uid="{76F7ED6B-556C-4B11-9CAB-23836CCB698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混凝土贡献的弯矩</t>
        </r>
      </text>
    </comment>
    <comment ref="B29" authorId="0" shapeId="0" xr:uid="{C857022E-53BB-4018-BFC5-6259AB97411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钢筋贡献的弯矩</t>
        </r>
      </text>
    </comment>
    <comment ref="B30" authorId="0" shapeId="0" xr:uid="{09CB7367-77AC-40F0-A84C-AB785EE3CAA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轴向力</t>
        </r>
      </text>
    </comment>
    <comment ref="B31" authorId="0" shapeId="0" xr:uid="{4154B880-D847-445C-A265-8DB012388EE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混凝土轴心抗压强度</t>
        </r>
      </text>
    </comment>
    <comment ref="B32" authorId="0" shapeId="0" xr:uid="{E3CBD9F2-8071-4E2E-8A1B-05EDD7E23E5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混凝土轴心抗拉强度</t>
        </r>
      </text>
    </comment>
    <comment ref="B33" authorId="0" shapeId="0" xr:uid="{6D97F9E4-801D-42ED-9AC4-F14373A470A2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系数，混规</t>
        </r>
        <r>
          <rPr>
            <sz val="9"/>
            <color indexed="81"/>
            <rFont val="Tahoma"/>
            <family val="2"/>
          </rPr>
          <t>6.2.6</t>
        </r>
      </text>
    </comment>
    <comment ref="B34" authorId="0" shapeId="0" xr:uid="{BA6E587B-51B7-4C4B-A7ED-A74AF5B0A9F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系数，混规</t>
        </r>
        <r>
          <rPr>
            <sz val="9"/>
            <color indexed="81"/>
            <rFont val="Tahoma"/>
            <family val="2"/>
          </rPr>
          <t>6.2.6</t>
        </r>
      </text>
    </comment>
    <comment ref="B35" authorId="0" shapeId="0" xr:uid="{C60ADC49-7481-4AEE-9632-AB941DA09D7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剪力墙截面总长度</t>
        </r>
      </text>
    </comment>
    <comment ref="B36" authorId="0" shapeId="0" xr:uid="{8B397D16-0D10-461F-B6BD-58F0E84372E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一侧边缘构件长度</t>
        </r>
      </text>
    </comment>
    <comment ref="B37" authorId="0" shapeId="0" xr:uid="{A20E2A05-7159-42D5-8FC3-EC33977D1DA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受压中心到截面上边缘距离</t>
        </r>
      </text>
    </comment>
    <comment ref="B38" authorId="0" shapeId="0" xr:uid="{AFE94C58-36FE-4B30-A20C-48F1309DAD6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腹板长度</t>
        </r>
      </text>
    </comment>
    <comment ref="B39" authorId="0" shapeId="0" xr:uid="{3DD1A9DF-B120-47EF-B688-2313DC0BD8E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截面有效高度</t>
        </r>
      </text>
    </comment>
    <comment ref="B40" authorId="0" shapeId="0" xr:uid="{271C9422-CE31-4254-B709-FD25B0296FC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大偏压受压区高度</t>
        </r>
      </text>
    </comment>
    <comment ref="B41" authorId="0" shapeId="0" xr:uid="{EDD0A245-69B2-417A-B18A-4CFD33D9AB1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界限相对受压区高度</t>
        </r>
      </text>
    </comment>
    <comment ref="B42" authorId="0" shapeId="0" xr:uid="{234B1865-34C6-4258-BB50-6C4BBA9B0A7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相对受压区高度</t>
        </r>
      </text>
    </comment>
    <comment ref="B44" authorId="0" shapeId="0" xr:uid="{88BE46A6-C01E-4C1F-B1FA-C1AF590C90A1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判断假定的大偏压是否正确</t>
        </r>
      </text>
    </comment>
    <comment ref="B45" authorId="0" shapeId="0" xr:uid="{F7125BB7-E76A-4B52-A494-0AE0D0F8D534}">
      <text>
        <r>
          <rPr>
            <b/>
            <sz val="9"/>
            <color indexed="81"/>
            <rFont val="Tahoma"/>
            <family val="2"/>
          </rPr>
          <t xml:space="preserve">HaoyouZhang:
</t>
        </r>
        <r>
          <rPr>
            <sz val="9"/>
            <color indexed="81"/>
            <rFont val="宋体"/>
            <family val="3"/>
            <charset val="134"/>
          </rPr>
          <t>判断是否为大偏压</t>
        </r>
      </text>
    </comment>
    <comment ref="B47" authorId="0" shapeId="0" xr:uid="{E9C18BF1-AA91-4437-9502-D3A978C4F13B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判断是否为小偏压</t>
        </r>
      </text>
    </comment>
    <comment ref="B48" authorId="0" shapeId="0" xr:uid="{84EBE7D5-4DA3-4AE8-A4DE-234EA7B7C0F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截面厚度</t>
        </r>
      </text>
    </comment>
    <comment ref="B49" authorId="0" shapeId="0" xr:uid="{9AD00810-9CB4-4DA0-AA84-9DE5C06E73F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墙高度（至加载点）</t>
        </r>
      </text>
    </comment>
    <comment ref="B50" authorId="0" shapeId="0" xr:uid="{E707CBE2-BB41-4543-B71D-1D50BACD280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剪力墙腹板面积（矩形截面时为全截面面积）</t>
        </r>
      </text>
    </comment>
    <comment ref="B52" authorId="0" shapeId="0" xr:uid="{D1BE8DB0-BE72-4A3B-BF5C-D1835710A69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剪力墙毛截面面积，即全截面面积</t>
        </r>
      </text>
    </comment>
    <comment ref="B53" authorId="0" shapeId="0" xr:uid="{3A7E6DC1-62C5-4BD5-A94F-663FFB02AFEC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腹板竖向、水平钢筋强度，</t>
        </r>
      </text>
    </comment>
    <comment ref="B54" authorId="0" shapeId="0" xr:uid="{30605489-1678-416C-8E8E-9118A7E8A89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边缘构件纵筋强度</t>
        </r>
      </text>
    </comment>
    <comment ref="B60" authorId="0" shapeId="0" xr:uid="{C8981C3A-3207-4C4B-9BA9-2460686C712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水平分布钢筋间距</t>
        </r>
      </text>
    </comment>
    <comment ref="B61" authorId="0" shapeId="0" xr:uid="{30914B3C-B2D7-4969-8AEF-920ED606AC0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一根水平分布钢筋面积</t>
        </r>
      </text>
    </comment>
    <comment ref="B62" authorId="0" shapeId="0" xr:uid="{37025A3B-008D-40A2-BB6C-6CD50DC2062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水平分布钢筋层数</t>
        </r>
      </text>
    </comment>
    <comment ref="B63" authorId="0" shapeId="0" xr:uid="{78304D23-5726-4FE5-A588-F54849EE274A}">
      <text>
        <r>
          <rPr>
            <b/>
            <sz val="9"/>
            <color indexed="81"/>
            <rFont val="Tahoma"/>
            <family val="2"/>
          </rPr>
          <t xml:space="preserve">HaoyouZhang:
</t>
        </r>
        <r>
          <rPr>
            <sz val="9"/>
            <color indexed="81"/>
            <rFont val="宋体"/>
            <family val="3"/>
            <charset val="134"/>
          </rPr>
          <t>水平分布钢筋全部截面截面面积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4" authorId="0" shapeId="0" xr:uid="{BD90E5E8-8E65-4213-94E2-FA25CC64BD0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剪力墙腹板竖向分布钢筋总面积</t>
        </r>
      </text>
    </comment>
    <comment ref="B65" authorId="0" shapeId="0" xr:uid="{27A06167-154C-44E2-AA1E-8A76C2A941DD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受压区一根纵筋面积</t>
        </r>
      </text>
    </comment>
    <comment ref="B66" authorId="0" shapeId="0" xr:uid="{B71E3077-DC27-4C76-B62E-4455EC686A7A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受压区纵筋总数</t>
        </r>
      </text>
    </comment>
    <comment ref="B67" authorId="0" shapeId="0" xr:uid="{81907D36-A747-469E-97EA-D0E12DCBC9F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受压区纵筋总面积</t>
        </r>
      </text>
    </comment>
    <comment ref="B69" authorId="0" shapeId="0" xr:uid="{F2AFB48C-5FA0-4C10-8B00-24B94029B2A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合力平衡时，应为</t>
        </r>
        <r>
          <rPr>
            <sz val="9"/>
            <color indexed="81"/>
            <rFont val="Tahoma"/>
            <family val="2"/>
          </rPr>
          <t>0</t>
        </r>
      </text>
    </comment>
    <comment ref="B70" authorId="0" shapeId="0" xr:uid="{6E3CD561-9C8D-4E20-A998-1D9BC5B0B1A7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抗弯承载力</t>
        </r>
      </text>
    </comment>
    <comment ref="B71" authorId="0" shapeId="0" xr:uid="{2C8C63AB-C6C9-4B48-81C0-A4C227BECA85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实际受压区高度，需要规划求解得到</t>
        </r>
      </text>
    </comment>
    <comment ref="B72" authorId="0" shapeId="0" xr:uid="{1D1383C8-330B-4EDE-82C6-C30F6E33D024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再次判断是否为小偏压</t>
        </r>
      </text>
    </comment>
    <comment ref="B73" authorId="0" shapeId="0" xr:uid="{9CE46816-C0C4-402B-98A6-42E813EC82C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混凝土极限压应变</t>
        </r>
      </text>
    </comment>
    <comment ref="B74" authorId="0" shapeId="0" xr:uid="{50ABA568-2E9F-41C4-9E4D-079F976FA72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混凝土弹性模量</t>
        </r>
      </text>
    </comment>
    <comment ref="B75" authorId="0" shapeId="0" xr:uid="{6C9B8139-E262-45E3-B41B-5B4CA2EBB988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钢筋弹性模量</t>
        </r>
      </text>
    </comment>
    <comment ref="B76" authorId="0" shapeId="0" xr:uid="{6F993C85-AF20-43DB-B159-A914D41EA9C3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第一排钢筋中心到截面边缘距离，后面依次类推</t>
        </r>
      </text>
    </comment>
    <comment ref="B116" authorId="0" shapeId="0" xr:uid="{3C9DBBE1-3412-4795-B171-CFB6ACE70F79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对应前面第一排钢筋截面面积，后面一次类推</t>
        </r>
      </text>
    </comment>
    <comment ref="B156" authorId="0" shapeId="0" xr:uid="{17FD6917-2364-4135-815A-039FE115F5B6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第一排钢筋实际受力，拉为正，压为负</t>
        </r>
      </text>
    </comment>
    <comment ref="B196" authorId="0" shapeId="0" xr:uid="{D3BA6EC0-8A95-4638-9D9B-17518CF48650}">
      <text>
        <r>
          <rPr>
            <b/>
            <sz val="9"/>
            <color indexed="81"/>
            <rFont val="Tahoma"/>
            <family val="2"/>
          </rPr>
          <t>HaoyouZhang: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第一排钢筋对截面边缘的力矩，顺时针为正，逆时针为负。后面依次类推</t>
        </r>
      </text>
    </comment>
  </commentList>
</comments>
</file>

<file path=xl/sharedStrings.xml><?xml version="1.0" encoding="utf-8"?>
<sst xmlns="http://schemas.openxmlformats.org/spreadsheetml/2006/main" count="1970" uniqueCount="704">
  <si>
    <t>Author</t>
  </si>
  <si>
    <t>SW11</t>
  </si>
  <si>
    <t>Lefas et al. (1990a)</t>
  </si>
  <si>
    <t>R</t>
  </si>
  <si>
    <t>SW12</t>
  </si>
  <si>
    <t>SW13</t>
  </si>
  <si>
    <t>SW14</t>
  </si>
  <si>
    <t>SW15</t>
  </si>
  <si>
    <t>SW16</t>
  </si>
  <si>
    <t>SW17</t>
  </si>
  <si>
    <t>SW21</t>
  </si>
  <si>
    <t>SW22</t>
  </si>
  <si>
    <t>SW23</t>
  </si>
  <si>
    <t>SW24</t>
  </si>
  <si>
    <t>SW25</t>
  </si>
  <si>
    <t>SW26</t>
  </si>
  <si>
    <t>SW30</t>
  </si>
  <si>
    <t>Lefas et al. (1990b)</t>
  </si>
  <si>
    <t>SW31</t>
  </si>
  <si>
    <t>SW32</t>
  </si>
  <si>
    <t>SW33</t>
  </si>
  <si>
    <t>SW4</t>
  </si>
  <si>
    <t>Pilakoutas et al. (1995)</t>
  </si>
  <si>
    <t>SW5</t>
  </si>
  <si>
    <t>SW6</t>
  </si>
  <si>
    <t>SW7</t>
  </si>
  <si>
    <t>SW8</t>
  </si>
  <si>
    <t>SW9</t>
  </si>
  <si>
    <t>B</t>
  </si>
  <si>
    <t>LSW1</t>
  </si>
  <si>
    <t>Salonikios et al. (1999)</t>
  </si>
  <si>
    <t>LSW2</t>
  </si>
  <si>
    <t>LSW3</t>
  </si>
  <si>
    <t>MSW1</t>
  </si>
  <si>
    <t>MSW2</t>
  </si>
  <si>
    <t>MSW3</t>
  </si>
  <si>
    <t>S1</t>
  </si>
  <si>
    <t>Park et al. (2015)</t>
  </si>
  <si>
    <t>S2</t>
  </si>
  <si>
    <t>S3</t>
  </si>
  <si>
    <t>S4</t>
  </si>
  <si>
    <t>S5</t>
  </si>
  <si>
    <t>S6</t>
  </si>
  <si>
    <t>S7</t>
  </si>
  <si>
    <t>S8</t>
  </si>
  <si>
    <t>Teng and Chandra (2016)</t>
  </si>
  <si>
    <t>J3</t>
  </si>
  <si>
    <t>J4</t>
  </si>
  <si>
    <t>J5</t>
  </si>
  <si>
    <t>J7</t>
  </si>
  <si>
    <t>R1</t>
  </si>
  <si>
    <t>Oesterle et al. (1976)</t>
  </si>
  <si>
    <t>R2</t>
  </si>
  <si>
    <t>B1</t>
  </si>
  <si>
    <t>B2</t>
  </si>
  <si>
    <t>B5</t>
  </si>
  <si>
    <t>F1</t>
  </si>
  <si>
    <t>B6</t>
  </si>
  <si>
    <t>Oesterle et al. (1979)</t>
  </si>
  <si>
    <t>B7</t>
  </si>
  <si>
    <t>B8</t>
  </si>
  <si>
    <t>B9</t>
  </si>
  <si>
    <t>F2</t>
  </si>
  <si>
    <t>M60</t>
  </si>
  <si>
    <t>Cheng et al. (2016)</t>
  </si>
  <si>
    <t>M115</t>
  </si>
  <si>
    <t>H60</t>
  </si>
  <si>
    <t>H115</t>
  </si>
  <si>
    <t>H60X</t>
  </si>
  <si>
    <t>W1</t>
  </si>
  <si>
    <t>Alarcon et al. (2014)</t>
  </si>
  <si>
    <t>W2</t>
  </si>
  <si>
    <t>W3</t>
  </si>
  <si>
    <t>W4</t>
  </si>
  <si>
    <t>W5</t>
  </si>
  <si>
    <t>W6</t>
  </si>
  <si>
    <t>RW-A20-P10-S38</t>
  </si>
  <si>
    <t>Tran (2012)</t>
  </si>
  <si>
    <t>RW-A20-P10-S63</t>
  </si>
  <si>
    <t>RW-A15-P10-S51</t>
  </si>
  <si>
    <t>RW-A15-P10-S78</t>
  </si>
  <si>
    <t>RW-A15-P2.5-S64</t>
  </si>
  <si>
    <t>WSL1</t>
  </si>
  <si>
    <t>Hube et al. (2017)</t>
  </si>
  <si>
    <t>WSL2</t>
  </si>
  <si>
    <t>WSL3</t>
  </si>
  <si>
    <t>WSL4</t>
  </si>
  <si>
    <t>WSL5</t>
  </si>
  <si>
    <t>WSL6</t>
  </si>
  <si>
    <t>WSL7</t>
  </si>
  <si>
    <t>WSL8</t>
  </si>
  <si>
    <t>WSL9</t>
  </si>
  <si>
    <t>M05C</t>
  </si>
  <si>
    <t>Liu et al. (2009)</t>
  </si>
  <si>
    <t>M10C</t>
  </si>
  <si>
    <t>M15C</t>
  </si>
  <si>
    <t>M20C</t>
  </si>
  <si>
    <t>Ghorbani-Renani et al. (2009)</t>
  </si>
  <si>
    <t>B2C</t>
  </si>
  <si>
    <t>Endo_1-3</t>
  </si>
  <si>
    <t>Endo_1-5</t>
  </si>
  <si>
    <t>Hirosawa_1-1</t>
  </si>
  <si>
    <t>Hirosawa_1-2</t>
  </si>
  <si>
    <t>Hirosawa_1-3</t>
  </si>
  <si>
    <t>Hirosawa_1-4</t>
  </si>
  <si>
    <t>Hirosawa_2-1</t>
  </si>
  <si>
    <t>Hirosawa_2-2</t>
  </si>
  <si>
    <t>Hirosawa_2-3</t>
  </si>
  <si>
    <t>Kokusho_1-1</t>
  </si>
  <si>
    <t>Kokusho_1-2</t>
  </si>
  <si>
    <t>Kokusho_1-3</t>
  </si>
  <si>
    <t>Kokusho_1-5</t>
  </si>
  <si>
    <t>Kokusho_1-6</t>
  </si>
  <si>
    <t>Kokusho_1-7</t>
  </si>
  <si>
    <t>Kokusho_2-1</t>
  </si>
  <si>
    <t>Kokusho_2-2</t>
  </si>
  <si>
    <t>Kokusho_2-3</t>
  </si>
  <si>
    <t>Kokusho_2-4</t>
  </si>
  <si>
    <t>Kokusho_2-5</t>
  </si>
  <si>
    <t>Kokusho_2-6</t>
  </si>
  <si>
    <t>Kokusho_3-1</t>
  </si>
  <si>
    <t>Kokusho_3-2</t>
  </si>
  <si>
    <t>Kokusho_3-3</t>
  </si>
  <si>
    <t>Kokusho_3-4</t>
  </si>
  <si>
    <t>Kokusho_3-5</t>
  </si>
  <si>
    <t>Kokusho_3-6</t>
  </si>
  <si>
    <t>Kokusho_3-7</t>
  </si>
  <si>
    <t>Kokusho_3-8</t>
  </si>
  <si>
    <t>Hirosawa_7-1</t>
  </si>
  <si>
    <t>Hirosawa_7-2</t>
  </si>
  <si>
    <t>Hirosawa_7-3</t>
  </si>
  <si>
    <t>Hirosawa_7-5</t>
  </si>
  <si>
    <t>Hirosawa_7-6</t>
  </si>
  <si>
    <t>Hirosawa_8-1</t>
  </si>
  <si>
    <t>Hirosawa_8-3</t>
  </si>
  <si>
    <t>Hirosawa_8-4</t>
  </si>
  <si>
    <t>Tanabe_1-1</t>
  </si>
  <si>
    <t>Tanabe_1-2</t>
  </si>
  <si>
    <t>Tanabe_1-3</t>
  </si>
  <si>
    <t>Tanabe_2-1</t>
  </si>
  <si>
    <t>Tanabe_2-2</t>
  </si>
  <si>
    <t>Tanabe_2-3</t>
  </si>
  <si>
    <t>Tanabe_2-5</t>
  </si>
  <si>
    <t>Tanabe_2-6</t>
  </si>
  <si>
    <t>Tanabe_2-7</t>
  </si>
  <si>
    <t>Tanabe_2-8</t>
  </si>
  <si>
    <t>Tanabe_2-9</t>
  </si>
  <si>
    <t>Tanabe_2-10</t>
  </si>
  <si>
    <t>Tanabe_2-11</t>
  </si>
  <si>
    <t>Tanabe_2-12</t>
  </si>
  <si>
    <t>Tanabe_2-13</t>
  </si>
  <si>
    <t>Tanabe_3-3</t>
  </si>
  <si>
    <t>Tanabe_3-4</t>
  </si>
  <si>
    <t>Tanabe_3-5</t>
  </si>
  <si>
    <t>Tanabe_3-6</t>
  </si>
  <si>
    <t>Tanabe_3-7</t>
  </si>
  <si>
    <t>Tanabe_3-8</t>
  </si>
  <si>
    <t>Tanabe_4-4</t>
  </si>
  <si>
    <t>Tanabe_4-5</t>
  </si>
  <si>
    <t>Tanabe_4-6</t>
  </si>
  <si>
    <t>Tanabe_4-7</t>
  </si>
  <si>
    <t>Tanabe_4-8</t>
  </si>
  <si>
    <t>Tanabe_4-9</t>
  </si>
  <si>
    <t>Tanabe_4-10</t>
  </si>
  <si>
    <t>Tanabe_4-11</t>
  </si>
  <si>
    <t>Tanabe_4-12</t>
  </si>
  <si>
    <t>Sugano_2-1</t>
  </si>
  <si>
    <t>Sugano_2-2</t>
  </si>
  <si>
    <t>Sugano_2-3</t>
  </si>
  <si>
    <t>Sugano_2-4</t>
  </si>
  <si>
    <t>Sugano_2-5</t>
  </si>
  <si>
    <t>Sugano_2-6</t>
  </si>
  <si>
    <t>Sugano_2-7</t>
  </si>
  <si>
    <t>Sugano_2-8</t>
  </si>
  <si>
    <t>WSH1</t>
  </si>
  <si>
    <t>Dazio et al. (2009)</t>
  </si>
  <si>
    <t>WSH2</t>
  </si>
  <si>
    <t>WSH3</t>
  </si>
  <si>
    <t>WSH4</t>
  </si>
  <si>
    <t>WSH5</t>
  </si>
  <si>
    <t>WSH6</t>
  </si>
  <si>
    <t>WMCC</t>
  </si>
  <si>
    <t>Villalobos (2014)</t>
  </si>
  <si>
    <t>WMCN</t>
  </si>
  <si>
    <t>W60N</t>
  </si>
  <si>
    <t>W60C</t>
  </si>
  <si>
    <t>W40C</t>
  </si>
  <si>
    <t>W60N2</t>
  </si>
  <si>
    <t>SRCW12</t>
  </si>
  <si>
    <t>Hube et al. (2014)</t>
  </si>
  <si>
    <t>W7</t>
  </si>
  <si>
    <t>W8</t>
  </si>
  <si>
    <t>W9</t>
  </si>
  <si>
    <t>Hidalgo et al. (2002)</t>
  </si>
  <si>
    <t>Han et al. (2002)</t>
  </si>
  <si>
    <t>B1-1</t>
  </si>
  <si>
    <t>Barda et al. (1977)</t>
  </si>
  <si>
    <t>B2-1</t>
  </si>
  <si>
    <t>B3-2</t>
  </si>
  <si>
    <t>B4-3</t>
  </si>
  <si>
    <t>B5-4</t>
  </si>
  <si>
    <t>B6-4</t>
  </si>
  <si>
    <t>B8-5</t>
  </si>
  <si>
    <t>Jiang_SSW-2</t>
  </si>
  <si>
    <t>Jiang_SSW-3</t>
  </si>
  <si>
    <t>Zhou_SW1</t>
  </si>
  <si>
    <t>Zhou_SW2</t>
  </si>
  <si>
    <t>Zhang_SW1-1</t>
  </si>
  <si>
    <t>Zhang_SW1-2</t>
  </si>
  <si>
    <t>Zhang_SW1-3</t>
  </si>
  <si>
    <t>Zhang_SW1-4</t>
  </si>
  <si>
    <t>Zhang_SW2-1</t>
  </si>
  <si>
    <t>Zhang_SW2-2</t>
  </si>
  <si>
    <t>Zhang_SW2-3</t>
  </si>
  <si>
    <t>Zhang_SW4-1</t>
  </si>
  <si>
    <t>Zhang_SW4-2</t>
  </si>
  <si>
    <t>Zhang_SW5-1</t>
  </si>
  <si>
    <t>Zhang_SW5-3</t>
  </si>
  <si>
    <t>Zhang_SW6-1</t>
  </si>
  <si>
    <t>Zhang_SW6-3</t>
  </si>
  <si>
    <t>M1</t>
  </si>
  <si>
    <t>M2</t>
  </si>
  <si>
    <t>M3</t>
  </si>
  <si>
    <t>M4</t>
  </si>
  <si>
    <t>SHW1</t>
  </si>
  <si>
    <t>Tasnimi (2000)</t>
  </si>
  <si>
    <t>SHW2</t>
  </si>
  <si>
    <t>SHW3</t>
  </si>
  <si>
    <t>SHW4</t>
  </si>
  <si>
    <t>Section</t>
  </si>
  <si>
    <t>Specimen</t>
  </si>
  <si>
    <t>lw/tw</t>
  </si>
  <si>
    <t>ρvwFy,vw/fc</t>
  </si>
  <si>
    <t>ρhwFy,vw/fc</t>
  </si>
  <si>
    <t>ρvcFy,vc/fc</t>
  </si>
  <si>
    <t>ρhcFy,hc/fc</t>
  </si>
  <si>
    <t>Hirosawa (1975)</t>
  </si>
  <si>
    <t>Zhang and Wang (2000)</t>
  </si>
  <si>
    <t>Greifenhagen and Lestuzzi (2005)</t>
  </si>
  <si>
    <t>SLDRCE (2008)</t>
  </si>
  <si>
    <t>P/fcAg</t>
  </si>
  <si>
    <t>Ab/Ag</t>
  </si>
  <si>
    <t>FailureMode</t>
  </si>
  <si>
    <t>F</t>
  </si>
  <si>
    <t>Drift_at_yield</t>
    <phoneticPr fontId="22" type="noConversion"/>
  </si>
  <si>
    <t>Drift_at_Max</t>
    <phoneticPr fontId="22" type="noConversion"/>
  </si>
  <si>
    <t>Cho et al.(2004)</t>
  </si>
  <si>
    <t>HPCW-01</t>
  </si>
  <si>
    <t>HPCW-02</t>
  </si>
  <si>
    <t>HPCW-03</t>
  </si>
  <si>
    <t>HPCW-04</t>
  </si>
  <si>
    <t>Hsiao et al.(2008)</t>
  </si>
  <si>
    <t>MW1</t>
  </si>
  <si>
    <t>Nakamura et al. (2009)</t>
  </si>
  <si>
    <t>I-1</t>
  </si>
  <si>
    <t>I-2</t>
  </si>
  <si>
    <t>Oh et al. (2006)</t>
  </si>
  <si>
    <t>HRI-W2</t>
  </si>
  <si>
    <t>HRI-W5</t>
  </si>
  <si>
    <t>HRI-W7</t>
  </si>
  <si>
    <t>Oh et al. (2002)</t>
  </si>
  <si>
    <t>WR-0</t>
  </si>
  <si>
    <t>Palermo and Vecchio (2002)</t>
  </si>
  <si>
    <t>DP1</t>
  </si>
  <si>
    <t>DP2</t>
  </si>
  <si>
    <t>Paulay et al. (1982)</t>
  </si>
  <si>
    <t>wall 1</t>
  </si>
  <si>
    <t>Tokunaga and Nakachi (2012)</t>
  </si>
  <si>
    <t>No3</t>
  </si>
  <si>
    <t>No4</t>
  </si>
  <si>
    <t>H1</t>
  </si>
  <si>
    <t>Tomazevic et al. (1996)</t>
  </si>
  <si>
    <t>SW00N1</t>
  </si>
  <si>
    <t>SW00N2</t>
  </si>
  <si>
    <t>SW23N1</t>
  </si>
  <si>
    <t>SW23N2</t>
  </si>
  <si>
    <t>SW23C1</t>
  </si>
  <si>
    <t>SW23C2</t>
  </si>
  <si>
    <t>SW60N1</t>
  </si>
  <si>
    <t>SW60N2</t>
  </si>
  <si>
    <t>SW60C1</t>
  </si>
  <si>
    <t>SW60C2</t>
  </si>
  <si>
    <t>Dabbagh (2005)</t>
  </si>
  <si>
    <t>SW1</t>
  </si>
  <si>
    <t>SW2</t>
  </si>
  <si>
    <t>SW3</t>
  </si>
  <si>
    <t>Gebreyohaness et al (2014)</t>
  </si>
  <si>
    <t>WPS1</t>
  </si>
  <si>
    <t>WPS2</t>
  </si>
  <si>
    <t>WPS3</t>
  </si>
  <si>
    <t>WPS4</t>
  </si>
  <si>
    <t>WPS9</t>
  </si>
  <si>
    <t>WPS10</t>
  </si>
  <si>
    <t>WSS1</t>
  </si>
  <si>
    <t>WSS2</t>
  </si>
  <si>
    <t>Kuang and Ho (2008)</t>
  </si>
  <si>
    <t>U1.5</t>
  </si>
  <si>
    <t>C1.0</t>
  </si>
  <si>
    <t>C1.5</t>
  </si>
  <si>
    <t>U1.0-BC</t>
  </si>
  <si>
    <t>U1.5-BC</t>
  </si>
  <si>
    <t>U1.0-BC2</t>
  </si>
  <si>
    <t>U1.0-CT</t>
  </si>
  <si>
    <t>Yuan et al. (2018)</t>
  </si>
  <si>
    <t>SW-1</t>
  </si>
  <si>
    <t>SW-2</t>
  </si>
  <si>
    <t>Terzioglu et al. (2018)</t>
  </si>
  <si>
    <t>T2-S2-3</t>
  </si>
  <si>
    <t>T1-S2-9</t>
  </si>
  <si>
    <t>T1-N10-S1-11</t>
  </si>
  <si>
    <t>T1-S1-2</t>
  </si>
  <si>
    <t>W1-SR</t>
  </si>
  <si>
    <t>Christidis and Trezos (2017)</t>
  </si>
  <si>
    <t>W11</t>
  </si>
  <si>
    <t>W13</t>
  </si>
  <si>
    <t>Ren et al. (2018)</t>
  </si>
  <si>
    <t>RC-W</t>
  </si>
  <si>
    <t>Qiao et al. (2017)</t>
  </si>
  <si>
    <t>Shen et al. (2017)</t>
  </si>
  <si>
    <t>SHW0</t>
  </si>
  <si>
    <t>Mohamed et al. (2014)</t>
  </si>
  <si>
    <t>ST15</t>
  </si>
  <si>
    <t>S9</t>
  </si>
  <si>
    <t>Mansur et al. (1992)</t>
  </si>
  <si>
    <t>Altin et al. (2013)</t>
    <phoneticPr fontId="23" type="noConversion"/>
  </si>
  <si>
    <t>Athanasopoulou (2010)</t>
    <phoneticPr fontId="23" type="noConversion"/>
  </si>
  <si>
    <t>S4</t>
    <phoneticPr fontId="23" type="noConversion"/>
  </si>
  <si>
    <t>Baek and Park (2015)</t>
    <phoneticPr fontId="23" type="noConversion"/>
  </si>
  <si>
    <t>SF0.5</t>
    <phoneticPr fontId="23" type="noConversion"/>
  </si>
  <si>
    <t>SF0.5-L</t>
    <phoneticPr fontId="23" type="noConversion"/>
  </si>
  <si>
    <t>SF0.5-LL</t>
    <phoneticPr fontId="23" type="noConversion"/>
  </si>
  <si>
    <t>SF0.33</t>
    <phoneticPr fontId="23" type="noConversion"/>
  </si>
  <si>
    <t>SF0.33-L</t>
    <phoneticPr fontId="23" type="noConversion"/>
  </si>
  <si>
    <t>SF0.33D</t>
    <phoneticPr fontId="23" type="noConversion"/>
  </si>
  <si>
    <t>SF0.33D-L</t>
    <phoneticPr fontId="23" type="noConversion"/>
  </si>
  <si>
    <t>Baek et al. (2017)</t>
    <phoneticPr fontId="23" type="noConversion"/>
  </si>
  <si>
    <t>NS2</t>
    <phoneticPr fontId="23" type="noConversion"/>
  </si>
  <si>
    <t>HS2</t>
    <phoneticPr fontId="23" type="noConversion"/>
  </si>
  <si>
    <t>NS2L</t>
    <phoneticPr fontId="23" type="noConversion"/>
  </si>
  <si>
    <t>HS2L</t>
    <phoneticPr fontId="23" type="noConversion"/>
  </si>
  <si>
    <t>NF2</t>
    <phoneticPr fontId="23" type="noConversion"/>
  </si>
  <si>
    <t>HF2</t>
    <phoneticPr fontId="23" type="noConversion"/>
  </si>
  <si>
    <t>HF2-500</t>
    <phoneticPr fontId="23" type="noConversion"/>
  </si>
  <si>
    <t>HF2-600</t>
    <phoneticPr fontId="23" type="noConversion"/>
  </si>
  <si>
    <t>Park et al. (2019)</t>
    <phoneticPr fontId="23" type="noConversion"/>
  </si>
  <si>
    <t>N0.5 MG-S</t>
    <phoneticPr fontId="23" type="noConversion"/>
  </si>
  <si>
    <t>H0.5 MG-S</t>
    <phoneticPr fontId="23" type="noConversion"/>
  </si>
  <si>
    <t>NS1M</t>
    <phoneticPr fontId="23" type="noConversion"/>
  </si>
  <si>
    <t>HS1M</t>
    <phoneticPr fontId="23" type="noConversion"/>
  </si>
  <si>
    <t>HS1T</t>
    <phoneticPr fontId="23" type="noConversion"/>
  </si>
  <si>
    <t>NS0.5M</t>
    <phoneticPr fontId="23" type="noConversion"/>
  </si>
  <si>
    <t>HS0.5M</t>
    <phoneticPr fontId="23" type="noConversion"/>
  </si>
  <si>
    <t>NS2M</t>
    <phoneticPr fontId="23" type="noConversion"/>
  </si>
  <si>
    <t>HS2M</t>
    <phoneticPr fontId="23" type="noConversion"/>
  </si>
  <si>
    <t>NS2H</t>
    <phoneticPr fontId="23" type="noConversion"/>
  </si>
  <si>
    <t>HS2H</t>
    <phoneticPr fontId="23" type="noConversion"/>
  </si>
  <si>
    <t>Baek et al. (2018)</t>
  </si>
  <si>
    <t>SW1</t>
    <phoneticPr fontId="23" type="noConversion"/>
  </si>
  <si>
    <t>FW1</t>
    <phoneticPr fontId="23" type="noConversion"/>
  </si>
  <si>
    <t>FW2</t>
  </si>
  <si>
    <t>FW3</t>
  </si>
  <si>
    <t>FW4</t>
  </si>
  <si>
    <t>Birely (2012)</t>
  </si>
  <si>
    <t>PW1</t>
  </si>
  <si>
    <t>PW2</t>
  </si>
  <si>
    <t>PW3</t>
  </si>
  <si>
    <t>PW4</t>
  </si>
  <si>
    <t>Chen et al. (2002)</t>
  </si>
  <si>
    <t>SW-3</t>
  </si>
  <si>
    <t>Chong et al. (2017)</t>
  </si>
  <si>
    <t>SW-4</t>
  </si>
  <si>
    <t>Christidis et al. (2013)</t>
  </si>
  <si>
    <t>Christidis et al. (2015)</t>
  </si>
  <si>
    <t>Wall W7</t>
  </si>
  <si>
    <t>Wall W9</t>
  </si>
  <si>
    <t>Wall W11</t>
  </si>
  <si>
    <t>Wall W13</t>
  </si>
  <si>
    <t>Chu et al. (2017)</t>
  </si>
  <si>
    <t>2-SW01</t>
  </si>
  <si>
    <t>Dashti et al. (2017)</t>
  </si>
  <si>
    <t>RWB</t>
  </si>
  <si>
    <t>RWT</t>
  </si>
  <si>
    <t>RWL</t>
  </si>
  <si>
    <t>Fang et al. (2011)</t>
  </si>
  <si>
    <t>HPCSW-01</t>
  </si>
  <si>
    <t>HPCSW-02</t>
  </si>
  <si>
    <t>HPCSW-03</t>
  </si>
  <si>
    <t>HPCSW-04</t>
  </si>
  <si>
    <t>HPCSW-05</t>
  </si>
  <si>
    <t>HPCSW-06</t>
  </si>
  <si>
    <t>HPCSW-07</t>
  </si>
  <si>
    <t>HPCSW-08</t>
  </si>
  <si>
    <t>Farvashany et al. (2008)</t>
  </si>
  <si>
    <t>HSCW1</t>
  </si>
  <si>
    <t>HSCW2</t>
  </si>
  <si>
    <t>HSCW3</t>
  </si>
  <si>
    <t>HSCW4</t>
  </si>
  <si>
    <t>HSCW5</t>
  </si>
  <si>
    <t>HSCW6</t>
  </si>
  <si>
    <t>HSCW7</t>
  </si>
  <si>
    <t>Wall 4</t>
  </si>
  <si>
    <t>Li and Li (2004)</t>
  </si>
  <si>
    <t>SJ-1</t>
  </si>
  <si>
    <t>SJ-2</t>
  </si>
  <si>
    <t>SJ-3</t>
  </si>
  <si>
    <t>SJ-4</t>
  </si>
  <si>
    <t>SJ-5</t>
  </si>
  <si>
    <t>SJ-6</t>
  </si>
  <si>
    <t>SJ-7</t>
  </si>
  <si>
    <t>SJ-8</t>
  </si>
  <si>
    <t>SJ-9</t>
  </si>
  <si>
    <t>Cui et al. (2013)</t>
  </si>
  <si>
    <t>DHPCW-01</t>
  </si>
  <si>
    <t>DHPCW-02</t>
  </si>
  <si>
    <t>DHPCW-03</t>
  </si>
  <si>
    <t>DHPCW-04</t>
  </si>
  <si>
    <t>DHPCW-05</t>
  </si>
  <si>
    <t>DHPCW-06</t>
  </si>
  <si>
    <t>Liu et al. (2011)</t>
  </si>
  <si>
    <t>N2T0</t>
  </si>
  <si>
    <t>N4T0</t>
  </si>
  <si>
    <t>N6T0</t>
  </si>
  <si>
    <t>Ma et al. (2013)</t>
  </si>
  <si>
    <t>Kono et al. (2012)</t>
  </si>
  <si>
    <t>BC40</t>
  </si>
  <si>
    <t>BC80</t>
  </si>
  <si>
    <t>NC80</t>
  </si>
  <si>
    <t>NC40</t>
  </si>
  <si>
    <t>MC</t>
  </si>
  <si>
    <t>SC</t>
  </si>
  <si>
    <t>HN</t>
  </si>
  <si>
    <t>Mehmood et al. (2015)</t>
  </si>
  <si>
    <t>RC shear wall specimen</t>
  </si>
  <si>
    <t>Mestyanek (1986)</t>
  </si>
  <si>
    <t>Unit 1.0</t>
  </si>
  <si>
    <t>Unit 1.5</t>
  </si>
  <si>
    <t>Unit 2.0</t>
  </si>
  <si>
    <t>Mohammadi-Doostdar (1994)</t>
  </si>
  <si>
    <t>Wall 7</t>
  </si>
  <si>
    <t>Wall 8</t>
  </si>
  <si>
    <t>Wall 5</t>
  </si>
  <si>
    <t>Segura and Wallace (2018)</t>
  </si>
  <si>
    <t>WP6</t>
  </si>
  <si>
    <t>WP7</t>
  </si>
  <si>
    <t>Yun et al. (2004)</t>
  </si>
  <si>
    <t>HW1</t>
  </si>
  <si>
    <t>HW2</t>
  </si>
  <si>
    <t>HW3</t>
  </si>
  <si>
    <t>Zheng et al. (2012)</t>
  </si>
  <si>
    <t>JLQ-1</t>
  </si>
  <si>
    <t>JLQ-2</t>
  </si>
  <si>
    <t>JLQ-3</t>
  </si>
  <si>
    <t>JLQ-4</t>
  </si>
  <si>
    <t>JLQ-5</t>
  </si>
  <si>
    <t>JLQ-6</t>
  </si>
  <si>
    <t>JLQ-7</t>
  </si>
  <si>
    <t>JLQ-8</t>
  </si>
  <si>
    <t>JLQ-9</t>
  </si>
  <si>
    <t>Zhou et al. (2010)</t>
  </si>
  <si>
    <t>Num</t>
    <phoneticPr fontId="22" type="noConversion"/>
  </si>
  <si>
    <t>M/Vlw</t>
    <phoneticPr fontId="22" type="noConversion"/>
  </si>
  <si>
    <t>θu</t>
    <phoneticPr fontId="22" type="noConversion"/>
  </si>
  <si>
    <t>τ/fc</t>
    <phoneticPr fontId="22" type="noConversion"/>
  </si>
  <si>
    <t>Deng et al.(2006)</t>
    <phoneticPr fontId="22" type="noConversion"/>
  </si>
  <si>
    <t>P</t>
    <phoneticPr fontId="22" type="noConversion"/>
  </si>
  <si>
    <t>Ag</t>
    <phoneticPr fontId="22" type="noConversion"/>
  </si>
  <si>
    <t>fc</t>
    <phoneticPr fontId="22" type="noConversion"/>
  </si>
  <si>
    <t>Fy,vw</t>
    <phoneticPr fontId="23" type="noConversion"/>
  </si>
  <si>
    <t>Fy,vc</t>
    <phoneticPr fontId="23" type="noConversion"/>
  </si>
  <si>
    <t>Fy,hc</t>
    <phoneticPr fontId="23" type="noConversion"/>
  </si>
  <si>
    <t>lw</t>
    <phoneticPr fontId="23" type="noConversion"/>
  </si>
  <si>
    <t>tw</t>
    <phoneticPr fontId="23" type="noConversion"/>
  </si>
  <si>
    <t>h</t>
    <phoneticPr fontId="23" type="noConversion"/>
  </si>
  <si>
    <t>ρvw</t>
    <phoneticPr fontId="23" type="noConversion"/>
  </si>
  <si>
    <t>ρhw</t>
    <phoneticPr fontId="23" type="noConversion"/>
  </si>
  <si>
    <t>ρvc</t>
    <phoneticPr fontId="23" type="noConversion"/>
  </si>
  <si>
    <t>ρhc</t>
    <phoneticPr fontId="23" type="noConversion"/>
  </si>
  <si>
    <t>Ab</t>
    <phoneticPr fontId="23" type="noConversion"/>
  </si>
  <si>
    <t>B</t>
    <phoneticPr fontId="22" type="noConversion"/>
  </si>
  <si>
    <t>U1.0</t>
    <phoneticPr fontId="22" type="noConversion"/>
  </si>
  <si>
    <t>Villalobos (2014)</t>
    <phoneticPr fontId="22" type="noConversion"/>
  </si>
  <si>
    <t>Pilette (1987)</t>
    <phoneticPr fontId="22" type="noConversion"/>
  </si>
  <si>
    <t>Ash</t>
    <phoneticPr fontId="22" type="noConversion"/>
  </si>
  <si>
    <t>layer</t>
    <phoneticPr fontId="22" type="noConversion"/>
  </si>
  <si>
    <t>Ash1</t>
    <phoneticPr fontId="22" type="noConversion"/>
  </si>
  <si>
    <t>s</t>
    <phoneticPr fontId="22" type="noConversion"/>
  </si>
  <si>
    <t>Aw</t>
    <phoneticPr fontId="22" type="noConversion"/>
  </si>
  <si>
    <t>alpha1</t>
    <phoneticPr fontId="22" type="noConversion"/>
  </si>
  <si>
    <t>Asv</t>
    <phoneticPr fontId="22" type="noConversion"/>
  </si>
  <si>
    <t>nv</t>
    <phoneticPr fontId="22" type="noConversion"/>
  </si>
  <si>
    <t>Asv1</t>
    <phoneticPr fontId="22" type="noConversion"/>
  </si>
  <si>
    <t>lw0</t>
    <phoneticPr fontId="22" type="noConversion"/>
  </si>
  <si>
    <t>V@M</t>
    <phoneticPr fontId="22" type="noConversion"/>
  </si>
  <si>
    <t>ft</t>
    <phoneticPr fontId="22" type="noConversion"/>
  </si>
  <si>
    <t>Vc</t>
    <phoneticPr fontId="22" type="noConversion"/>
  </si>
  <si>
    <t>Vs</t>
    <phoneticPr fontId="22" type="noConversion"/>
  </si>
  <si>
    <t>N</t>
    <phoneticPr fontId="22" type="noConversion"/>
  </si>
  <si>
    <t>Mc</t>
    <phoneticPr fontId="22" type="noConversion"/>
  </si>
  <si>
    <t>Ms</t>
    <phoneticPr fontId="22" type="noConversion"/>
  </si>
  <si>
    <t>lweb</t>
    <phoneticPr fontId="22" type="noConversion"/>
  </si>
  <si>
    <t>lamda</t>
    <phoneticPr fontId="22" type="noConversion"/>
  </si>
  <si>
    <t>as'</t>
    <phoneticPr fontId="22" type="noConversion"/>
  </si>
  <si>
    <t>Vtest</t>
    <phoneticPr fontId="22" type="noConversion"/>
  </si>
  <si>
    <t>Vn_ACI</t>
    <phoneticPr fontId="22" type="noConversion"/>
  </si>
  <si>
    <t>Vn_GB</t>
    <phoneticPr fontId="22" type="noConversion"/>
  </si>
  <si>
    <t>alpha_c</t>
    <phoneticPr fontId="22" type="noConversion"/>
  </si>
  <si>
    <t>V@M/Vn_GB</t>
    <phoneticPr fontId="22" type="noConversion"/>
  </si>
  <si>
    <t>xi</t>
    <phoneticPr fontId="22" type="noConversion"/>
  </si>
  <si>
    <t>xi_b</t>
    <phoneticPr fontId="22" type="noConversion"/>
  </si>
  <si>
    <t>beta1</t>
    <phoneticPr fontId="22" type="noConversion"/>
  </si>
  <si>
    <t>lb</t>
    <phoneticPr fontId="22" type="noConversion"/>
  </si>
  <si>
    <t>Asw</t>
    <phoneticPr fontId="22" type="noConversion"/>
  </si>
  <si>
    <t>SEC?</t>
    <phoneticPr fontId="22" type="noConversion"/>
  </si>
  <si>
    <t>Moment</t>
    <phoneticPr fontId="22" type="noConversion"/>
  </si>
  <si>
    <t>ForceEquilibrium</t>
    <phoneticPr fontId="22" type="noConversion"/>
  </si>
  <si>
    <t>Area1</t>
    <phoneticPr fontId="22" type="noConversion"/>
  </si>
  <si>
    <t>Area2</t>
  </si>
  <si>
    <t>Area3</t>
  </si>
  <si>
    <t>Area4</t>
  </si>
  <si>
    <t>Area5</t>
  </si>
  <si>
    <t>Area6</t>
  </si>
  <si>
    <t>Area7</t>
  </si>
  <si>
    <t>Area8</t>
  </si>
  <si>
    <t>Area9</t>
  </si>
  <si>
    <t>Area10</t>
  </si>
  <si>
    <t>Area11</t>
  </si>
  <si>
    <t>Area12</t>
  </si>
  <si>
    <t>Area13</t>
  </si>
  <si>
    <t>Area14</t>
  </si>
  <si>
    <t>Area15</t>
  </si>
  <si>
    <t>Area16</t>
  </si>
  <si>
    <t>Area17</t>
  </si>
  <si>
    <t>Area18</t>
  </si>
  <si>
    <t>Area19</t>
  </si>
  <si>
    <t>Area20</t>
  </si>
  <si>
    <t>Force1</t>
    <phoneticPr fontId="22" type="noConversion"/>
  </si>
  <si>
    <t>Force2</t>
  </si>
  <si>
    <t>Force3</t>
  </si>
  <si>
    <t>Force4</t>
  </si>
  <si>
    <t>Force5</t>
  </si>
  <si>
    <t>Force6</t>
  </si>
  <si>
    <t>Force7</t>
  </si>
  <si>
    <t>Force8</t>
  </si>
  <si>
    <t>Force9</t>
  </si>
  <si>
    <t>Force10</t>
  </si>
  <si>
    <t>Force11</t>
  </si>
  <si>
    <t>Force12</t>
  </si>
  <si>
    <t>Force13</t>
  </si>
  <si>
    <t>Force14</t>
  </si>
  <si>
    <t>Force15</t>
  </si>
  <si>
    <t>Force16</t>
  </si>
  <si>
    <t>Force17</t>
  </si>
  <si>
    <t>Force18</t>
  </si>
  <si>
    <t>Force19</t>
  </si>
  <si>
    <t>Force20</t>
  </si>
  <si>
    <t>Moment1</t>
    <phoneticPr fontId="22" type="noConversion"/>
  </si>
  <si>
    <t>Moment2</t>
  </si>
  <si>
    <t>Moment3</t>
  </si>
  <si>
    <t>Moment4</t>
  </si>
  <si>
    <t>Moment5</t>
  </si>
  <si>
    <t>Moment6</t>
  </si>
  <si>
    <t>Moment7</t>
  </si>
  <si>
    <t>Moment8</t>
  </si>
  <si>
    <t>Moment9</t>
  </si>
  <si>
    <t>Moment10</t>
  </si>
  <si>
    <t>Moment11</t>
  </si>
  <si>
    <t>Moment12</t>
  </si>
  <si>
    <t>Moment13</t>
  </si>
  <si>
    <t>Moment14</t>
  </si>
  <si>
    <t>Moment15</t>
  </si>
  <si>
    <t>Moment16</t>
  </si>
  <si>
    <t>Moment17</t>
  </si>
  <si>
    <t>Moment18</t>
  </si>
  <si>
    <t>Moment19</t>
  </si>
  <si>
    <t>Moment20</t>
  </si>
  <si>
    <t>x_real</t>
    <phoneticPr fontId="22" type="noConversion"/>
  </si>
  <si>
    <t>eps_cu</t>
    <phoneticPr fontId="22" type="noConversion"/>
  </si>
  <si>
    <t>DRein.1</t>
    <phoneticPr fontId="22" type="noConversion"/>
  </si>
  <si>
    <t>DRein.2</t>
  </si>
  <si>
    <t>DRein.3</t>
  </si>
  <si>
    <t>DRein.4</t>
  </si>
  <si>
    <t>DRein.5</t>
  </si>
  <si>
    <t>DRein.6</t>
  </si>
  <si>
    <t>DRein.7</t>
  </si>
  <si>
    <t>DRein.8</t>
  </si>
  <si>
    <t>DRein.9</t>
  </si>
  <si>
    <t>DRein.10</t>
  </si>
  <si>
    <t>DRein.11</t>
  </si>
  <si>
    <t>DRein.12</t>
  </si>
  <si>
    <t>DRein.13</t>
  </si>
  <si>
    <t>DRein.14</t>
  </si>
  <si>
    <t>DRein.15</t>
  </si>
  <si>
    <t>DRein.16</t>
  </si>
  <si>
    <t>DRein.17</t>
  </si>
  <si>
    <t>DRein.18</t>
  </si>
  <si>
    <t>DRein.19</t>
  </si>
  <si>
    <t>DRein.20</t>
  </si>
  <si>
    <t>Ec</t>
    <phoneticPr fontId="22" type="noConversion"/>
  </si>
  <si>
    <t>Es</t>
    <phoneticPr fontId="22" type="noConversion"/>
  </si>
  <si>
    <t>xi&lt;=xi_b?</t>
    <phoneticPr fontId="22" type="noConversion"/>
  </si>
  <si>
    <r>
      <rPr>
        <sz val="11"/>
        <color theme="1"/>
        <rFont val="宋体"/>
        <family val="3"/>
        <charset val="134"/>
      </rPr>
      <t>满足</t>
    </r>
    <r>
      <rPr>
        <sz val="11"/>
        <color theme="1"/>
        <rFont val="Times New Roman"/>
        <family val="1"/>
      </rPr>
      <t>xi</t>
    </r>
    <r>
      <rPr>
        <sz val="11"/>
        <color theme="1"/>
        <rFont val="宋体"/>
        <family val="3"/>
        <charset val="134"/>
      </rPr>
      <t>不满足</t>
    </r>
    <r>
      <rPr>
        <sz val="11"/>
        <color theme="1"/>
        <rFont val="Times New Roman"/>
        <family val="1"/>
      </rPr>
      <t>as'</t>
    </r>
    <phoneticPr fontId="22" type="noConversion"/>
  </si>
  <si>
    <t>V@moment</t>
    <phoneticPr fontId="22" type="noConversion"/>
  </si>
  <si>
    <t>xi&gt;xi_b?</t>
  </si>
  <si>
    <t>x_l</t>
    <phoneticPr fontId="22" type="noConversion"/>
  </si>
  <si>
    <t>x_l&gt;=2as'?</t>
    <phoneticPr fontId="22" type="noConversion"/>
  </si>
  <si>
    <t>LEC?</t>
    <phoneticPr fontId="22" type="noConversion"/>
  </si>
  <si>
    <t>Tokunaga and Nakachi (2012)</t>
    <phoneticPr fontId="22" type="noConversion"/>
  </si>
  <si>
    <t>Gebreyohaness et al (2014)</t>
    <phoneticPr fontId="22" type="noConversion"/>
  </si>
  <si>
    <t>Terzioglu et al. (2018)</t>
    <phoneticPr fontId="22" type="noConversion"/>
  </si>
  <si>
    <t>Abdulridha and Palermo (2017)</t>
    <phoneticPr fontId="22" type="noConversion"/>
  </si>
  <si>
    <t>Christidis and Trezos (2017)</t>
    <phoneticPr fontId="22" type="noConversion"/>
  </si>
  <si>
    <t>NS1T</t>
    <phoneticPr fontId="23" type="noConversion"/>
  </si>
  <si>
    <t>Force21</t>
  </si>
  <si>
    <t>Force22</t>
  </si>
  <si>
    <t>Force23</t>
  </si>
  <si>
    <t>Force24</t>
  </si>
  <si>
    <t>Force25</t>
  </si>
  <si>
    <t>Force26</t>
  </si>
  <si>
    <t>Force27</t>
  </si>
  <si>
    <t>Force28</t>
  </si>
  <si>
    <t>Force29</t>
  </si>
  <si>
    <t>Force30</t>
  </si>
  <si>
    <t>DRein.21</t>
  </si>
  <si>
    <t>DRein.22</t>
  </si>
  <si>
    <t>DRein.23</t>
  </si>
  <si>
    <t>DRein.24</t>
  </si>
  <si>
    <t>DRein.25</t>
  </si>
  <si>
    <t>DRein.26</t>
  </si>
  <si>
    <t>DRein.27</t>
  </si>
  <si>
    <t>DRein.28</t>
  </si>
  <si>
    <t>DRein.29</t>
  </si>
  <si>
    <t>DRein.30</t>
  </si>
  <si>
    <t>Area21</t>
  </si>
  <si>
    <t>Area22</t>
  </si>
  <si>
    <t>Area23</t>
  </si>
  <si>
    <t>Area24</t>
  </si>
  <si>
    <t>Area25</t>
  </si>
  <si>
    <t>Area26</t>
  </si>
  <si>
    <t>Area27</t>
  </si>
  <si>
    <t>Area28</t>
  </si>
  <si>
    <t>Area29</t>
  </si>
  <si>
    <t>Area30</t>
  </si>
  <si>
    <t>Moment21</t>
  </si>
  <si>
    <t>Moment22</t>
  </si>
  <si>
    <t>Moment23</t>
  </si>
  <si>
    <t>Moment24</t>
  </si>
  <si>
    <t>Moment25</t>
  </si>
  <si>
    <t>Moment26</t>
  </si>
  <si>
    <t>Moment27</t>
  </si>
  <si>
    <t>Moment28</t>
  </si>
  <si>
    <t>Moment29</t>
  </si>
  <si>
    <t>Moment30</t>
  </si>
  <si>
    <t>DRein.31</t>
  </si>
  <si>
    <t>DRein.32</t>
  </si>
  <si>
    <t>DRein.33</t>
  </si>
  <si>
    <t>DRein.34</t>
  </si>
  <si>
    <t>DRein.35</t>
  </si>
  <si>
    <t>DRein.36</t>
  </si>
  <si>
    <t>DRein.37</t>
  </si>
  <si>
    <t>DRein.38</t>
  </si>
  <si>
    <t>DRein.39</t>
  </si>
  <si>
    <t>DRein.40</t>
  </si>
  <si>
    <t>Force31</t>
  </si>
  <si>
    <t>Force32</t>
  </si>
  <si>
    <t>Force33</t>
  </si>
  <si>
    <t>Force34</t>
  </si>
  <si>
    <t>Force35</t>
  </si>
  <si>
    <t>Force36</t>
  </si>
  <si>
    <t>Force37</t>
  </si>
  <si>
    <t>Force38</t>
  </si>
  <si>
    <t>Force39</t>
  </si>
  <si>
    <t>Force40</t>
  </si>
  <si>
    <t>Moment31</t>
  </si>
  <si>
    <t>Moment32</t>
  </si>
  <si>
    <t>Moment33</t>
  </si>
  <si>
    <t>Moment34</t>
  </si>
  <si>
    <t>Moment35</t>
  </si>
  <si>
    <t>Moment36</t>
  </si>
  <si>
    <t>Moment37</t>
  </si>
  <si>
    <t>Moment38</t>
  </si>
  <si>
    <t>Moment39</t>
  </si>
  <si>
    <t>Moment40</t>
  </si>
  <si>
    <t>Area31</t>
  </si>
  <si>
    <t>Area32</t>
  </si>
  <si>
    <t>Area33</t>
  </si>
  <si>
    <t>Area34</t>
  </si>
  <si>
    <t>Area35</t>
  </si>
  <si>
    <t>Area36</t>
  </si>
  <si>
    <t>Area37</t>
  </si>
  <si>
    <t>Area38</t>
  </si>
  <si>
    <t>Area39</t>
  </si>
  <si>
    <t>Area40</t>
  </si>
  <si>
    <t>V@M/Vn_ACI</t>
    <phoneticPr fontId="22" type="noConversion"/>
  </si>
  <si>
    <t>V@M/Vtest</t>
    <phoneticPr fontId="22" type="noConversion"/>
  </si>
  <si>
    <t>Vn_GB/Vtest</t>
    <phoneticPr fontId="22" type="noConversion"/>
  </si>
  <si>
    <t>Vn_ACI/Vtest</t>
    <phoneticPr fontId="22" type="noConversion"/>
  </si>
  <si>
    <t>No</t>
    <phoneticPr fontId="22" type="noConversion"/>
  </si>
  <si>
    <t>A</t>
    <phoneticPr fontId="22" type="noConversion"/>
  </si>
  <si>
    <t>Fy,hw</t>
    <phoneticPr fontId="22" type="noConversion"/>
  </si>
  <si>
    <t>τ/fc</t>
  </si>
  <si>
    <t>Vtest/Ag/sqrt(fc)</t>
    <phoneticPr fontId="22" type="noConversion"/>
  </si>
  <si>
    <t>c</t>
  </si>
  <si>
    <t>DC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</si>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</sst>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00"/>
  </numFmts>
  <fonts count="41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0070C0"/>
      <name val="Times New Roman"/>
      <family val="1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Times New Roman"/>
      <family val="1"/>
    </font>
    <font>
      <b/>
      <sz val="11"/>
      <color rgb="FF0070C0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C00000"/>
      <name val="Times New Roman"/>
      <family val="1"/>
    </font>
    <font>
      <b/>
      <sz val="11"/>
      <color rgb="FFC0000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Aptos"/>
      <family val="2"/>
    </font>
    <font>
      <sz val="11"/>
      <name val="Aptos"/>
      <family val="2"/>
    </font>
    <font>
      <sz val="11"/>
      <color rgb="FF0070C0"/>
      <name val="Aptos"/>
      <family val="2"/>
    </font>
    <font>
      <sz val="11"/>
      <color rgb="FFFF0000"/>
      <name val="Aptos"/>
      <family val="2"/>
    </font>
    <font>
      <i/>
      <sz val="11"/>
      <name val="Aptos"/>
      <family val="2"/>
    </font>
    <font>
      <sz val="11"/>
      <color rgb="FFC00000"/>
      <name val="Aptos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FF6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1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quotePrefix="1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10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6" fillId="33" borderId="10" xfId="0" applyFont="1" applyFill="1" applyBorder="1" applyAlignment="1">
      <alignment horizontal="center"/>
    </xf>
    <xf numFmtId="0" fontId="24" fillId="0" borderId="0" xfId="0" applyFont="1"/>
    <xf numFmtId="0" fontId="24" fillId="0" borderId="10" xfId="0" applyFont="1" applyBorder="1"/>
    <xf numFmtId="0" fontId="26" fillId="34" borderId="10" xfId="0" applyFont="1" applyFill="1" applyBorder="1" applyAlignment="1">
      <alignment horizontal="center"/>
    </xf>
    <xf numFmtId="0" fontId="25" fillId="33" borderId="10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0" fontId="21" fillId="34" borderId="10" xfId="0" applyFont="1" applyFill="1" applyBorder="1" applyAlignment="1">
      <alignment horizontal="center"/>
    </xf>
    <xf numFmtId="0" fontId="25" fillId="34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8" fillId="36" borderId="10" xfId="0" applyFont="1" applyFill="1" applyBorder="1" applyAlignment="1">
      <alignment horizontal="center"/>
    </xf>
    <xf numFmtId="0" fontId="18" fillId="36" borderId="10" xfId="0" applyFont="1" applyFill="1" applyBorder="1" applyAlignment="1">
      <alignment horizontal="center" vertical="center"/>
    </xf>
    <xf numFmtId="0" fontId="33" fillId="0" borderId="10" xfId="0" applyFont="1" applyBorder="1" applyAlignment="1">
      <alignment horizontal="center"/>
    </xf>
    <xf numFmtId="0" fontId="33" fillId="0" borderId="10" xfId="0" applyFont="1" applyBorder="1"/>
    <xf numFmtId="0" fontId="32" fillId="0" borderId="10" xfId="0" applyFont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0" fontId="18" fillId="36" borderId="0" xfId="0" applyFont="1" applyFill="1" applyAlignment="1">
      <alignment horizontal="center" vertical="center"/>
    </xf>
    <xf numFmtId="0" fontId="26" fillId="0" borderId="10" xfId="0" applyFont="1" applyBorder="1"/>
    <xf numFmtId="0" fontId="26" fillId="34" borderId="10" xfId="0" applyFont="1" applyFill="1" applyBorder="1"/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6" fillId="33" borderId="10" xfId="0" applyFont="1" applyFill="1" applyBorder="1"/>
    <xf numFmtId="0" fontId="33" fillId="33" borderId="10" xfId="0" applyFont="1" applyFill="1" applyBorder="1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7" borderId="0" xfId="0" applyFont="1" applyFill="1" applyAlignment="1">
      <alignment horizontal="center"/>
    </xf>
    <xf numFmtId="0" fontId="18" fillId="37" borderId="0" xfId="0" applyFont="1" applyFill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3" fillId="34" borderId="10" xfId="0" applyFont="1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25" fillId="33" borderId="13" xfId="0" applyFont="1" applyFill="1" applyBorder="1" applyAlignment="1">
      <alignment horizontal="center"/>
    </xf>
    <xf numFmtId="0" fontId="25" fillId="33" borderId="16" xfId="0" applyFont="1" applyFill="1" applyBorder="1" applyAlignment="1">
      <alignment horizontal="center"/>
    </xf>
    <xf numFmtId="0" fontId="25" fillId="33" borderId="12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5" fillId="0" borderId="0" xfId="0" quotePrefix="1" applyFont="1" applyAlignment="1">
      <alignment horizontal="center"/>
    </xf>
    <xf numFmtId="0" fontId="36" fillId="33" borderId="10" xfId="0" applyFont="1" applyFill="1" applyBorder="1" applyAlignment="1">
      <alignment horizontal="center"/>
    </xf>
    <xf numFmtId="0" fontId="35" fillId="33" borderId="0" xfId="0" applyFont="1" applyFill="1" applyAlignment="1">
      <alignment horizontal="center"/>
    </xf>
    <xf numFmtId="0" fontId="35" fillId="0" borderId="0" xfId="0" applyFont="1" applyAlignment="1">
      <alignment horizontal="center" vertical="center"/>
    </xf>
    <xf numFmtId="0" fontId="35" fillId="36" borderId="10" xfId="0" applyFont="1" applyFill="1" applyBorder="1" applyAlignment="1">
      <alignment horizontal="center"/>
    </xf>
    <xf numFmtId="0" fontId="35" fillId="37" borderId="0" xfId="0" applyFont="1" applyFill="1" applyAlignment="1">
      <alignment horizontal="center"/>
    </xf>
    <xf numFmtId="0" fontId="35" fillId="37" borderId="0" xfId="0" applyFont="1" applyFill="1" applyAlignment="1">
      <alignment horizontal="center" vertical="center"/>
    </xf>
    <xf numFmtId="0" fontId="35" fillId="33" borderId="0" xfId="0" applyFont="1" applyFill="1" applyAlignment="1">
      <alignment horizontal="center" vertical="center"/>
    </xf>
    <xf numFmtId="0" fontId="35" fillId="33" borderId="10" xfId="0" applyFont="1" applyFill="1" applyBorder="1" applyAlignment="1">
      <alignment horizontal="center" vertical="center"/>
    </xf>
    <xf numFmtId="0" fontId="35" fillId="36" borderId="10" xfId="0" applyFont="1" applyFill="1" applyBorder="1" applyAlignment="1">
      <alignment horizontal="center" vertical="center"/>
    </xf>
    <xf numFmtId="0" fontId="35" fillId="0" borderId="0" xfId="0" applyFont="1"/>
    <xf numFmtId="0" fontId="37" fillId="0" borderId="10" xfId="0" applyFont="1" applyBorder="1"/>
    <xf numFmtId="0" fontId="37" fillId="0" borderId="10" xfId="0" applyFont="1" applyBorder="1" applyAlignment="1">
      <alignment horizontal="center"/>
    </xf>
    <xf numFmtId="165" fontId="37" fillId="0" borderId="10" xfId="0" applyNumberFormat="1" applyFont="1" applyBorder="1" applyAlignment="1">
      <alignment horizontal="right"/>
    </xf>
    <xf numFmtId="165" fontId="37" fillId="0" borderId="10" xfId="0" applyNumberFormat="1" applyFont="1" applyBorder="1"/>
    <xf numFmtId="164" fontId="37" fillId="0" borderId="10" xfId="0" applyNumberFormat="1" applyFont="1" applyBorder="1" applyAlignment="1">
      <alignment horizontal="center"/>
    </xf>
    <xf numFmtId="165" fontId="37" fillId="0" borderId="11" xfId="0" applyNumberFormat="1" applyFont="1" applyBorder="1" applyAlignment="1">
      <alignment horizontal="right"/>
    </xf>
    <xf numFmtId="165" fontId="36" fillId="0" borderId="11" xfId="0" applyNumberFormat="1" applyFont="1" applyBorder="1" applyAlignment="1">
      <alignment horizontal="right"/>
    </xf>
    <xf numFmtId="1" fontId="36" fillId="0" borderId="0" xfId="0" applyNumberFormat="1" applyFont="1" applyAlignment="1">
      <alignment horizontal="right"/>
    </xf>
    <xf numFmtId="0" fontId="36" fillId="0" borderId="0" xfId="0" applyFont="1"/>
    <xf numFmtId="0" fontId="36" fillId="0" borderId="0" xfId="0" applyFont="1" applyAlignment="1">
      <alignment horizontal="center" vertical="center"/>
    </xf>
    <xf numFmtId="0" fontId="36" fillId="36" borderId="10" xfId="0" applyFont="1" applyFill="1" applyBorder="1"/>
    <xf numFmtId="0" fontId="36" fillId="36" borderId="10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5" fontId="37" fillId="33" borderId="10" xfId="0" applyNumberFormat="1" applyFont="1" applyFill="1" applyBorder="1" applyAlignment="1">
      <alignment horizontal="right"/>
    </xf>
    <xf numFmtId="0" fontId="38" fillId="0" borderId="10" xfId="0" applyFont="1" applyBorder="1" applyAlignment="1">
      <alignment horizontal="center"/>
    </xf>
    <xf numFmtId="165" fontId="36" fillId="0" borderId="0" xfId="0" applyNumberFormat="1" applyFont="1" applyAlignment="1">
      <alignment horizontal="right"/>
    </xf>
    <xf numFmtId="0" fontId="37" fillId="33" borderId="10" xfId="0" applyFont="1" applyFill="1" applyBorder="1" applyAlignment="1">
      <alignment horizontal="center"/>
    </xf>
    <xf numFmtId="165" fontId="37" fillId="34" borderId="10" xfId="0" applyNumberFormat="1" applyFont="1" applyFill="1" applyBorder="1" applyAlignment="1">
      <alignment horizontal="right"/>
    </xf>
    <xf numFmtId="0" fontId="38" fillId="0" borderId="10" xfId="0" applyFont="1" applyBorder="1"/>
    <xf numFmtId="165" fontId="38" fillId="0" borderId="10" xfId="0" applyNumberFormat="1" applyFont="1" applyBorder="1" applyAlignment="1">
      <alignment horizontal="right"/>
    </xf>
    <xf numFmtId="165" fontId="38" fillId="0" borderId="10" xfId="0" applyNumberFormat="1" applyFont="1" applyBorder="1"/>
    <xf numFmtId="164" fontId="38" fillId="0" borderId="10" xfId="0" applyNumberFormat="1" applyFont="1" applyBorder="1" applyAlignment="1">
      <alignment horizontal="center"/>
    </xf>
    <xf numFmtId="165" fontId="38" fillId="0" borderId="11" xfId="0" applyNumberFormat="1" applyFont="1" applyBorder="1" applyAlignment="1">
      <alignment horizontal="right"/>
    </xf>
    <xf numFmtId="0" fontId="38" fillId="33" borderId="10" xfId="0" applyFont="1" applyFill="1" applyBorder="1" applyAlignment="1">
      <alignment horizontal="center"/>
    </xf>
    <xf numFmtId="1" fontId="38" fillId="0" borderId="0" xfId="0" applyNumberFormat="1" applyFont="1" applyAlignment="1">
      <alignment horizontal="right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38" fillId="36" borderId="10" xfId="0" applyFont="1" applyFill="1" applyBorder="1"/>
    <xf numFmtId="0" fontId="38" fillId="36" borderId="10" xfId="0" applyFont="1" applyFill="1" applyBorder="1" applyAlignment="1">
      <alignment horizontal="center"/>
    </xf>
    <xf numFmtId="1" fontId="36" fillId="0" borderId="0" xfId="0" applyNumberFormat="1" applyFont="1"/>
    <xf numFmtId="165" fontId="37" fillId="0" borderId="11" xfId="0" applyNumberFormat="1" applyFont="1" applyBorder="1"/>
    <xf numFmtId="0" fontId="37" fillId="0" borderId="12" xfId="0" applyFont="1" applyBorder="1"/>
    <xf numFmtId="0" fontId="37" fillId="0" borderId="12" xfId="0" applyFont="1" applyBorder="1" applyAlignment="1">
      <alignment horizontal="center"/>
    </xf>
    <xf numFmtId="165" fontId="37" fillId="0" borderId="12" xfId="0" applyNumberFormat="1" applyFont="1" applyBorder="1"/>
    <xf numFmtId="164" fontId="37" fillId="0" borderId="12" xfId="0" applyNumberFormat="1" applyFont="1" applyBorder="1" applyAlignment="1">
      <alignment horizontal="center"/>
    </xf>
    <xf numFmtId="165" fontId="37" fillId="0" borderId="14" xfId="0" applyNumberFormat="1" applyFont="1" applyBorder="1"/>
    <xf numFmtId="0" fontId="37" fillId="0" borderId="13" xfId="0" applyFont="1" applyBorder="1"/>
    <xf numFmtId="0" fontId="37" fillId="0" borderId="13" xfId="0" applyFont="1" applyBorder="1" applyAlignment="1">
      <alignment horizontal="center"/>
    </xf>
    <xf numFmtId="165" fontId="37" fillId="0" borderId="13" xfId="0" applyNumberFormat="1" applyFont="1" applyBorder="1"/>
    <xf numFmtId="164" fontId="37" fillId="0" borderId="13" xfId="0" applyNumberFormat="1" applyFont="1" applyBorder="1" applyAlignment="1">
      <alignment horizontal="center"/>
    </xf>
    <xf numFmtId="165" fontId="37" fillId="0" borderId="15" xfId="0" applyNumberFormat="1" applyFont="1" applyBorder="1"/>
    <xf numFmtId="165" fontId="36" fillId="0" borderId="0" xfId="0" applyNumberFormat="1" applyFont="1"/>
    <xf numFmtId="0" fontId="37" fillId="0" borderId="16" xfId="0" applyFont="1" applyBorder="1"/>
    <xf numFmtId="0" fontId="37" fillId="0" borderId="16" xfId="0" applyFont="1" applyBorder="1" applyAlignment="1">
      <alignment horizontal="center"/>
    </xf>
    <xf numFmtId="165" fontId="37" fillId="0" borderId="16" xfId="0" applyNumberFormat="1" applyFont="1" applyBorder="1"/>
    <xf numFmtId="165" fontId="37" fillId="33" borderId="16" xfId="0" applyNumberFormat="1" applyFont="1" applyFill="1" applyBorder="1"/>
    <xf numFmtId="164" fontId="37" fillId="0" borderId="16" xfId="0" applyNumberFormat="1" applyFont="1" applyBorder="1" applyAlignment="1">
      <alignment horizontal="center"/>
    </xf>
    <xf numFmtId="0" fontId="37" fillId="34" borderId="10" xfId="0" applyFont="1" applyFill="1" applyBorder="1" applyAlignment="1">
      <alignment horizontal="center"/>
    </xf>
    <xf numFmtId="0" fontId="37" fillId="35" borderId="10" xfId="0" applyFont="1" applyFill="1" applyBorder="1" applyAlignment="1">
      <alignment horizontal="center"/>
    </xf>
    <xf numFmtId="165" fontId="37" fillId="33" borderId="10" xfId="0" applyNumberFormat="1" applyFont="1" applyFill="1" applyBorder="1"/>
    <xf numFmtId="0" fontId="35" fillId="36" borderId="10" xfId="0" applyFont="1" applyFill="1" applyBorder="1"/>
    <xf numFmtId="0" fontId="36" fillId="0" borderId="10" xfId="0" applyFont="1" applyBorder="1"/>
    <xf numFmtId="0" fontId="36" fillId="0" borderId="10" xfId="0" applyFont="1" applyBorder="1" applyAlignment="1">
      <alignment vertical="center"/>
    </xf>
    <xf numFmtId="0" fontId="36" fillId="0" borderId="10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1" fontId="36" fillId="0" borderId="0" xfId="0" applyNumberFormat="1" applyFont="1" applyAlignment="1">
      <alignment horizontal="center"/>
    </xf>
    <xf numFmtId="0" fontId="36" fillId="36" borderId="10" xfId="0" applyFont="1" applyFill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6" fillId="34" borderId="11" xfId="0" applyFont="1" applyFill="1" applyBorder="1" applyAlignment="1">
      <alignment horizontal="center" vertical="center"/>
    </xf>
    <xf numFmtId="0" fontId="36" fillId="33" borderId="11" xfId="0" applyFont="1" applyFill="1" applyBorder="1" applyAlignment="1">
      <alignment horizontal="center"/>
    </xf>
    <xf numFmtId="0" fontId="36" fillId="33" borderId="10" xfId="0" applyFont="1" applyFill="1" applyBorder="1"/>
    <xf numFmtId="0" fontId="36" fillId="0" borderId="11" xfId="0" applyFont="1" applyBorder="1"/>
    <xf numFmtId="0" fontId="36" fillId="33" borderId="11" xfId="0" applyFont="1" applyFill="1" applyBorder="1"/>
    <xf numFmtId="0" fontId="36" fillId="34" borderId="10" xfId="0" applyFont="1" applyFill="1" applyBorder="1" applyAlignment="1">
      <alignment horizontal="center"/>
    </xf>
    <xf numFmtId="0" fontId="35" fillId="0" borderId="10" xfId="0" applyFont="1" applyBorder="1"/>
    <xf numFmtId="0" fontId="35" fillId="0" borderId="10" xfId="0" applyFont="1" applyBorder="1" applyAlignment="1">
      <alignment horizontal="center"/>
    </xf>
    <xf numFmtId="0" fontId="35" fillId="0" borderId="11" xfId="0" applyFont="1" applyBorder="1"/>
    <xf numFmtId="0" fontId="40" fillId="0" borderId="0" xfId="0" applyFont="1"/>
    <xf numFmtId="0" fontId="40" fillId="0" borderId="10" xfId="0" applyFont="1" applyBorder="1"/>
    <xf numFmtId="0" fontId="40" fillId="0" borderId="10" xfId="0" applyFont="1" applyBorder="1" applyAlignment="1">
      <alignment horizontal="center"/>
    </xf>
    <xf numFmtId="0" fontId="40" fillId="0" borderId="11" xfId="0" applyFont="1" applyBorder="1"/>
    <xf numFmtId="1" fontId="40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0" fillId="36" borderId="10" xfId="0" applyFont="1" applyFill="1" applyBorder="1"/>
    <xf numFmtId="0" fontId="40" fillId="36" borderId="10" xfId="0" applyFont="1" applyFill="1" applyBorder="1" applyAlignment="1">
      <alignment horizontal="center"/>
    </xf>
    <xf numFmtId="0" fontId="37" fillId="34" borderId="16" xfId="0" applyFont="1" applyFill="1" applyBorder="1" applyAlignment="1">
      <alignment horizontal="center"/>
    </xf>
    <xf numFmtId="0" fontId="36" fillId="34" borderId="10" xfId="0" applyFont="1" applyFill="1" applyBorder="1"/>
    <xf numFmtId="166" fontId="3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spPr>
            <a:ln w="28575">
              <a:noFill/>
            </a:ln>
          </c:spPr>
          <c:xVal>
            <c:numRef>
              <c:f>Sheet1!$B$2:$B$153</c:f>
              <c:numCache>
                <c:formatCode>General</c:formatCode>
                <c:ptCount val="152"/>
                <c:pt idx="0">
                  <c:v>9.4691796412637724E-2</c:v>
                </c:pt>
                <c:pt idx="1">
                  <c:v>0.12082444918265814</c:v>
                </c:pt>
                <c:pt idx="2">
                  <c:v>0.15482054890921884</c:v>
                </c:pt>
                <c:pt idx="3">
                  <c:v>0.11989593937337405</c:v>
                </c:pt>
                <c:pt idx="4">
                  <c:v>0.14076762344660729</c:v>
                </c:pt>
                <c:pt idx="5">
                  <c:v>0.13079119462098185</c:v>
                </c:pt>
                <c:pt idx="6">
                  <c:v>9.7407078773538408E-2</c:v>
                </c:pt>
                <c:pt idx="7">
                  <c:v>7.0231709340264334E-2</c:v>
                </c:pt>
                <c:pt idx="8">
                  <c:v>7.0163949762611963E-2</c:v>
                </c:pt>
                <c:pt idx="9">
                  <c:v>8.9128766309326354E-2</c:v>
                </c:pt>
                <c:pt idx="10">
                  <c:v>5.8804072181998603E-2</c:v>
                </c:pt>
                <c:pt idx="11">
                  <c:v>7.8895463510848127E-2</c:v>
                </c:pt>
                <c:pt idx="12">
                  <c:v>9.6719023373763979E-2</c:v>
                </c:pt>
                <c:pt idx="13">
                  <c:v>9.2551455699935115E-2</c:v>
                </c:pt>
                <c:pt idx="14">
                  <c:v>7.7864443249058626E-2</c:v>
                </c:pt>
                <c:pt idx="15">
                  <c:v>4.9015278636403779E-2</c:v>
                </c:pt>
                <c:pt idx="16">
                  <c:v>5.3639293789387602E-2</c:v>
                </c:pt>
                <c:pt idx="17">
                  <c:v>7.8289671785606751E-2</c:v>
                </c:pt>
                <c:pt idx="18">
                  <c:v>5.7799611838913148E-2</c:v>
                </c:pt>
                <c:pt idx="19">
                  <c:v>6.2899106002554273E-2</c:v>
                </c:pt>
                <c:pt idx="20">
                  <c:v>3.9440203562340972E-2</c:v>
                </c:pt>
                <c:pt idx="21">
                  <c:v>6.0857538035961264E-2</c:v>
                </c:pt>
                <c:pt idx="22">
                  <c:v>8.2365591397849464E-2</c:v>
                </c:pt>
                <c:pt idx="23">
                  <c:v>1.3622803663557056E-2</c:v>
                </c:pt>
                <c:pt idx="24">
                  <c:v>2.40271056381644E-2</c:v>
                </c:pt>
                <c:pt idx="25">
                  <c:v>1.6092476197141166E-2</c:v>
                </c:pt>
                <c:pt idx="26">
                  <c:v>7.5234619395203345E-2</c:v>
                </c:pt>
                <c:pt idx="27">
                  <c:v>8.6548488008342028E-2</c:v>
                </c:pt>
                <c:pt idx="28">
                  <c:v>9.6767466110531802E-2</c:v>
                </c:pt>
                <c:pt idx="29">
                  <c:v>8.2398696688043241E-2</c:v>
                </c:pt>
                <c:pt idx="30">
                  <c:v>6.0886594572341725E-2</c:v>
                </c:pt>
                <c:pt idx="31">
                  <c:v>3.716433642208402E-2</c:v>
                </c:pt>
                <c:pt idx="32">
                  <c:v>3.7717517508634141E-2</c:v>
                </c:pt>
                <c:pt idx="33">
                  <c:v>0.18310028929604627</c:v>
                </c:pt>
                <c:pt idx="34">
                  <c:v>0.12125282805429863</c:v>
                </c:pt>
                <c:pt idx="35">
                  <c:v>0.17647058823529413</c:v>
                </c:pt>
                <c:pt idx="36">
                  <c:v>0.15258357441337192</c:v>
                </c:pt>
                <c:pt idx="37">
                  <c:v>2.4888888888888891E-2</c:v>
                </c:pt>
                <c:pt idx="38">
                  <c:v>2.9547325102880662E-2</c:v>
                </c:pt>
                <c:pt idx="39">
                  <c:v>3.8605442176870751E-2</c:v>
                </c:pt>
                <c:pt idx="40">
                  <c:v>3.6104319478402605E-2</c:v>
                </c:pt>
                <c:pt idx="41">
                  <c:v>3.8207136640557013E-2</c:v>
                </c:pt>
                <c:pt idx="42">
                  <c:v>4.3640350877192979E-2</c:v>
                </c:pt>
                <c:pt idx="43">
                  <c:v>7.3925822827754784E-2</c:v>
                </c:pt>
                <c:pt idx="44">
                  <c:v>7.3953665189592677E-2</c:v>
                </c:pt>
                <c:pt idx="45">
                  <c:v>7.8105590062111804E-2</c:v>
                </c:pt>
                <c:pt idx="46">
                  <c:v>7.9601990049751242E-2</c:v>
                </c:pt>
                <c:pt idx="47">
                  <c:v>0.10059661915810407</c:v>
                </c:pt>
                <c:pt idx="48">
                  <c:v>0.1095100864553314</c:v>
                </c:pt>
                <c:pt idx="49">
                  <c:v>9.9582898852971849E-2</c:v>
                </c:pt>
                <c:pt idx="50">
                  <c:v>7.1949947862356631E-2</c:v>
                </c:pt>
                <c:pt idx="51">
                  <c:v>7.7685088633993746E-2</c:v>
                </c:pt>
                <c:pt idx="52">
                  <c:v>8.1334723670490106E-2</c:v>
                </c:pt>
                <c:pt idx="53">
                  <c:v>7.5599582898852977E-2</c:v>
                </c:pt>
                <c:pt idx="54">
                  <c:v>5.5565485056101684E-2</c:v>
                </c:pt>
                <c:pt idx="55">
                  <c:v>7.7157360406091377E-2</c:v>
                </c:pt>
                <c:pt idx="56">
                  <c:v>9.9492385786802029E-2</c:v>
                </c:pt>
                <c:pt idx="57">
                  <c:v>9.1370558375634528E-2</c:v>
                </c:pt>
                <c:pt idx="58">
                  <c:v>8.1218274111675134E-2</c:v>
                </c:pt>
                <c:pt idx="59">
                  <c:v>7.8514588859416437E-2</c:v>
                </c:pt>
                <c:pt idx="60">
                  <c:v>5.305039787798408E-2</c:v>
                </c:pt>
                <c:pt idx="61">
                  <c:v>5.5172413793103448E-2</c:v>
                </c:pt>
                <c:pt idx="62">
                  <c:v>5.8355437665782495E-2</c:v>
                </c:pt>
                <c:pt idx="63">
                  <c:v>6.1538461538461528E-2</c:v>
                </c:pt>
                <c:pt idx="64">
                  <c:v>6.7904509283819622E-2</c:v>
                </c:pt>
                <c:pt idx="65">
                  <c:v>4.0236686390532544E-2</c:v>
                </c:pt>
                <c:pt idx="66">
                  <c:v>3.980392156862745E-2</c:v>
                </c:pt>
                <c:pt idx="67">
                  <c:v>7.6844262295081969E-2</c:v>
                </c:pt>
                <c:pt idx="68">
                  <c:v>2.8555555555555553E-2</c:v>
                </c:pt>
                <c:pt idx="69">
                  <c:v>3.6222222222222218E-2</c:v>
                </c:pt>
                <c:pt idx="70">
                  <c:v>3.111111111111111E-2</c:v>
                </c:pt>
                <c:pt idx="71">
                  <c:v>3.3634042553191489E-2</c:v>
                </c:pt>
                <c:pt idx="72">
                  <c:v>5.6949544403644768E-2</c:v>
                </c:pt>
                <c:pt idx="73">
                  <c:v>5.311736936350317E-2</c:v>
                </c:pt>
                <c:pt idx="74">
                  <c:v>4.5214790647090809E-2</c:v>
                </c:pt>
                <c:pt idx="75">
                  <c:v>5.0358470525756781E-2</c:v>
                </c:pt>
                <c:pt idx="76">
                  <c:v>4.3048128342245986E-2</c:v>
                </c:pt>
                <c:pt idx="77">
                  <c:v>5.3490338164251201E-2</c:v>
                </c:pt>
                <c:pt idx="78">
                  <c:v>5.1364734299516907E-2</c:v>
                </c:pt>
                <c:pt idx="79">
                  <c:v>6.8862111353831454E-2</c:v>
                </c:pt>
                <c:pt idx="80">
                  <c:v>5.1243961352657005E-2</c:v>
                </c:pt>
                <c:pt idx="81">
                  <c:v>4.5150501672240807E-2</c:v>
                </c:pt>
                <c:pt idx="82">
                  <c:v>2.7844009537373381E-2</c:v>
                </c:pt>
                <c:pt idx="83">
                  <c:v>4.1601255886970168E-2</c:v>
                </c:pt>
                <c:pt idx="84">
                  <c:v>6.6006600660066E-2</c:v>
                </c:pt>
                <c:pt idx="85">
                  <c:v>5.7040998217468809E-2</c:v>
                </c:pt>
                <c:pt idx="86">
                  <c:v>3.0475416497358798E-2</c:v>
                </c:pt>
                <c:pt idx="87">
                  <c:v>9.8684210526315791E-2</c:v>
                </c:pt>
                <c:pt idx="88">
                  <c:v>6.6141356255969438E-2</c:v>
                </c:pt>
                <c:pt idx="89">
                  <c:v>0.10771780303030301</c:v>
                </c:pt>
                <c:pt idx="90">
                  <c:v>7.407407407407407E-2</c:v>
                </c:pt>
                <c:pt idx="91">
                  <c:v>0.11048988285410011</c:v>
                </c:pt>
                <c:pt idx="92">
                  <c:v>6.9033530571992116E-2</c:v>
                </c:pt>
                <c:pt idx="93">
                  <c:v>8.9931573802541548E-2</c:v>
                </c:pt>
                <c:pt idx="94">
                  <c:v>8.3554376657824919E-2</c:v>
                </c:pt>
                <c:pt idx="95">
                  <c:v>5.5572576252723313E-2</c:v>
                </c:pt>
                <c:pt idx="96">
                  <c:v>5.9317129629629629E-2</c:v>
                </c:pt>
                <c:pt idx="97">
                  <c:v>3.4098360655737708E-2</c:v>
                </c:pt>
                <c:pt idx="98">
                  <c:v>5.9446443873179086E-2</c:v>
                </c:pt>
                <c:pt idx="99">
                  <c:v>9.9041349041349036E-2</c:v>
                </c:pt>
                <c:pt idx="100">
                  <c:v>7.9847998489425975E-2</c:v>
                </c:pt>
                <c:pt idx="101">
                  <c:v>7.3306451612903223E-2</c:v>
                </c:pt>
                <c:pt idx="102">
                  <c:v>4.0476190476190471E-2</c:v>
                </c:pt>
                <c:pt idx="103">
                  <c:v>9.7006677188486698E-2</c:v>
                </c:pt>
                <c:pt idx="104">
                  <c:v>8.0967380294185584E-2</c:v>
                </c:pt>
                <c:pt idx="105">
                  <c:v>0.11843751026153251</c:v>
                </c:pt>
                <c:pt idx="106">
                  <c:v>3.7979797979797981E-2</c:v>
                </c:pt>
                <c:pt idx="107">
                  <c:v>6.1683501683501674E-2</c:v>
                </c:pt>
                <c:pt idx="108">
                  <c:v>6.6801346801346806E-2</c:v>
                </c:pt>
                <c:pt idx="109">
                  <c:v>2.074074074074074E-2</c:v>
                </c:pt>
                <c:pt idx="110">
                  <c:v>7.7644959857270296E-2</c:v>
                </c:pt>
                <c:pt idx="111">
                  <c:v>6.3850750572742268E-2</c:v>
                </c:pt>
                <c:pt idx="112">
                  <c:v>7.3366524994294274E-2</c:v>
                </c:pt>
                <c:pt idx="113">
                  <c:v>6.067457321185097E-2</c:v>
                </c:pt>
                <c:pt idx="114">
                  <c:v>6.1929309152214319E-2</c:v>
                </c:pt>
                <c:pt idx="115">
                  <c:v>7.716853451191083E-2</c:v>
                </c:pt>
                <c:pt idx="116">
                  <c:v>7.6921804196563359E-2</c:v>
                </c:pt>
                <c:pt idx="117">
                  <c:v>7.6820209360832059E-2</c:v>
                </c:pt>
                <c:pt idx="118">
                  <c:v>8.0165065620349071E-2</c:v>
                </c:pt>
                <c:pt idx="119">
                  <c:v>6.1364313375037234E-2</c:v>
                </c:pt>
                <c:pt idx="120">
                  <c:v>4.8096580969603474E-2</c:v>
                </c:pt>
                <c:pt idx="121">
                  <c:v>7.958656330749353E-2</c:v>
                </c:pt>
                <c:pt idx="122">
                  <c:v>8.0704116271831716E-2</c:v>
                </c:pt>
                <c:pt idx="123">
                  <c:v>1.9565053803897961E-2</c:v>
                </c:pt>
                <c:pt idx="124">
                  <c:v>3.1354252890862119E-2</c:v>
                </c:pt>
                <c:pt idx="125">
                  <c:v>2.4117691323651141E-2</c:v>
                </c:pt>
                <c:pt idx="126">
                  <c:v>3.2207088569493565E-2</c:v>
                </c:pt>
                <c:pt idx="127">
                  <c:v>3.2207088569493565E-2</c:v>
                </c:pt>
                <c:pt idx="128">
                  <c:v>4.1839115057566406E-2</c:v>
                </c:pt>
                <c:pt idx="129">
                  <c:v>5.2725311661273727E-2</c:v>
                </c:pt>
                <c:pt idx="130">
                  <c:v>5.5283818697168079E-2</c:v>
                </c:pt>
                <c:pt idx="131">
                  <c:v>5.5032984674041184E-2</c:v>
                </c:pt>
                <c:pt idx="132">
                  <c:v>5.8745328216319254E-2</c:v>
                </c:pt>
                <c:pt idx="133">
                  <c:v>5.389203084832906E-2</c:v>
                </c:pt>
                <c:pt idx="134">
                  <c:v>0.1171785078999686</c:v>
                </c:pt>
                <c:pt idx="135">
                  <c:v>0.10908866202202755</c:v>
                </c:pt>
                <c:pt idx="136">
                  <c:v>9.8602723463440164E-2</c:v>
                </c:pt>
                <c:pt idx="137">
                  <c:v>5.2884615384615384E-2</c:v>
                </c:pt>
                <c:pt idx="138">
                  <c:v>2.663438256658596E-2</c:v>
                </c:pt>
                <c:pt idx="139">
                  <c:v>3.1132581857219541E-2</c:v>
                </c:pt>
                <c:pt idx="140">
                  <c:v>3.6637931034482762E-2</c:v>
                </c:pt>
                <c:pt idx="141">
                  <c:v>6.4814814814814811E-2</c:v>
                </c:pt>
                <c:pt idx="142">
                  <c:v>6.934109051549181E-2</c:v>
                </c:pt>
                <c:pt idx="143">
                  <c:v>7.6882742347774799E-2</c:v>
                </c:pt>
                <c:pt idx="144">
                  <c:v>5.5875991348233602E-2</c:v>
                </c:pt>
                <c:pt idx="145">
                  <c:v>6.6952874090581385E-2</c:v>
                </c:pt>
                <c:pt idx="146">
                  <c:v>7.3900504686373478E-2</c:v>
                </c:pt>
                <c:pt idx="147">
                  <c:v>6.275807825915973E-2</c:v>
                </c:pt>
                <c:pt idx="148">
                  <c:v>4.0392616229753202E-2</c:v>
                </c:pt>
                <c:pt idx="149">
                  <c:v>3.7671011294114272E-2</c:v>
                </c:pt>
                <c:pt idx="150">
                  <c:v>6.4502164502164491E-2</c:v>
                </c:pt>
                <c:pt idx="151">
                  <c:v>7.3208273208273208E-2</c:v>
                </c:pt>
              </c:numCache>
            </c:numRef>
          </c:xVal>
          <c:yVal>
            <c:numRef>
              <c:f>Sheet1!$C$2:$C$153</c:f>
              <c:numCache>
                <c:formatCode>General</c:formatCode>
                <c:ptCount val="152"/>
                <c:pt idx="0">
                  <c:v>6.0606059999999996E-3</c:v>
                </c:pt>
                <c:pt idx="1">
                  <c:v>7.2727269999999997E-3</c:v>
                </c:pt>
                <c:pt idx="2">
                  <c:v>6.0606059999999996E-3</c:v>
                </c:pt>
                <c:pt idx="3">
                  <c:v>7.2727269999999997E-3</c:v>
                </c:pt>
                <c:pt idx="4">
                  <c:v>7.2727269999999997E-3</c:v>
                </c:pt>
                <c:pt idx="5">
                  <c:v>4.8484849999999996E-3</c:v>
                </c:pt>
                <c:pt idx="6">
                  <c:v>6.0606059999999996E-3</c:v>
                </c:pt>
                <c:pt idx="7">
                  <c:v>8.0000000000000002E-3</c:v>
                </c:pt>
                <c:pt idx="8">
                  <c:v>5.0909090000000002E-3</c:v>
                </c:pt>
                <c:pt idx="9">
                  <c:v>6.5454550000000004E-3</c:v>
                </c:pt>
                <c:pt idx="10">
                  <c:v>8.0000000000000002E-3</c:v>
                </c:pt>
                <c:pt idx="11">
                  <c:v>8.0000000000000002E-3</c:v>
                </c:pt>
                <c:pt idx="12">
                  <c:v>8.0000000000000002E-3</c:v>
                </c:pt>
                <c:pt idx="13">
                  <c:v>8.7272730000000007E-3</c:v>
                </c:pt>
                <c:pt idx="14">
                  <c:v>6.5454550000000004E-3</c:v>
                </c:pt>
                <c:pt idx="15">
                  <c:v>5.0909090000000002E-3</c:v>
                </c:pt>
                <c:pt idx="16">
                  <c:v>7.2727269999999997E-3</c:v>
                </c:pt>
                <c:pt idx="17">
                  <c:v>1.8333333E-2</c:v>
                </c:pt>
                <c:pt idx="18">
                  <c:v>0.02</c:v>
                </c:pt>
                <c:pt idx="19">
                  <c:v>1.0555556000000001E-2</c:v>
                </c:pt>
                <c:pt idx="20">
                  <c:v>1.7222221999999999E-2</c:v>
                </c:pt>
                <c:pt idx="21">
                  <c:v>1.2222222E-2</c:v>
                </c:pt>
                <c:pt idx="22">
                  <c:v>2.5000000000000001E-2</c:v>
                </c:pt>
                <c:pt idx="23">
                  <c:v>2.3622047244094488E-2</c:v>
                </c:pt>
                <c:pt idx="24">
                  <c:v>2.7777777777777776E-2</c:v>
                </c:pt>
                <c:pt idx="25">
                  <c:v>3.3245844269466314E-2</c:v>
                </c:pt>
                <c:pt idx="26">
                  <c:v>1.7999999999999999E-2</c:v>
                </c:pt>
                <c:pt idx="27">
                  <c:v>1.7999999999999999E-2</c:v>
                </c:pt>
                <c:pt idx="28">
                  <c:v>1.2E-2</c:v>
                </c:pt>
                <c:pt idx="29">
                  <c:v>3.0352748154224774E-2</c:v>
                </c:pt>
                <c:pt idx="30">
                  <c:v>3.1102362204724409E-2</c:v>
                </c:pt>
                <c:pt idx="31">
                  <c:v>2.9921259842519685E-2</c:v>
                </c:pt>
                <c:pt idx="32">
                  <c:v>2.1929824561403508E-2</c:v>
                </c:pt>
                <c:pt idx="33">
                  <c:v>0.01</c:v>
                </c:pt>
                <c:pt idx="34">
                  <c:v>1.9411764705882354E-2</c:v>
                </c:pt>
                <c:pt idx="35">
                  <c:v>1.9411764705882354E-2</c:v>
                </c:pt>
                <c:pt idx="36">
                  <c:v>1.8823529411764704E-2</c:v>
                </c:pt>
                <c:pt idx="37">
                  <c:v>9.2105263157894728E-3</c:v>
                </c:pt>
                <c:pt idx="38">
                  <c:v>1.425438596491228E-2</c:v>
                </c:pt>
                <c:pt idx="39">
                  <c:v>2.0394736842105264E-2</c:v>
                </c:pt>
                <c:pt idx="40">
                  <c:v>1.3157894736842105E-2</c:v>
                </c:pt>
                <c:pt idx="41">
                  <c:v>1.3157894736842105E-2</c:v>
                </c:pt>
                <c:pt idx="42">
                  <c:v>2.1017699115044249E-2</c:v>
                </c:pt>
                <c:pt idx="43">
                  <c:v>3.0165912518853696E-2</c:v>
                </c:pt>
                <c:pt idx="44">
                  <c:v>2.5037707390648568E-2</c:v>
                </c:pt>
                <c:pt idx="45">
                  <c:v>2.1333333333333333E-2</c:v>
                </c:pt>
                <c:pt idx="46">
                  <c:v>1.5333333333333332E-2</c:v>
                </c:pt>
                <c:pt idx="47">
                  <c:v>0.02</c:v>
                </c:pt>
                <c:pt idx="48">
                  <c:v>1.4E-2</c:v>
                </c:pt>
                <c:pt idx="49">
                  <c:v>1.95E-2</c:v>
                </c:pt>
                <c:pt idx="50">
                  <c:v>2.0500000000000001E-2</c:v>
                </c:pt>
                <c:pt idx="51">
                  <c:v>2.1999999999999999E-2</c:v>
                </c:pt>
                <c:pt idx="52">
                  <c:v>2.75E-2</c:v>
                </c:pt>
                <c:pt idx="53">
                  <c:v>2.7E-2</c:v>
                </c:pt>
                <c:pt idx="54">
                  <c:v>1.9574468085106381E-2</c:v>
                </c:pt>
                <c:pt idx="55">
                  <c:v>1.0500000000000001E-2</c:v>
                </c:pt>
                <c:pt idx="56">
                  <c:v>1.0999999999999999E-2</c:v>
                </c:pt>
                <c:pt idx="57">
                  <c:v>1.0999999999999999E-2</c:v>
                </c:pt>
                <c:pt idx="58">
                  <c:v>6.4999999999999997E-3</c:v>
                </c:pt>
                <c:pt idx="59">
                  <c:v>7.3333333333333332E-3</c:v>
                </c:pt>
                <c:pt idx="60">
                  <c:v>6.4999999999999997E-3</c:v>
                </c:pt>
                <c:pt idx="61">
                  <c:v>5.4999999999999997E-3</c:v>
                </c:pt>
                <c:pt idx="62">
                  <c:v>8.0000000000000002E-3</c:v>
                </c:pt>
                <c:pt idx="63">
                  <c:v>9.4999999999999998E-3</c:v>
                </c:pt>
                <c:pt idx="64">
                  <c:v>0.01</c:v>
                </c:pt>
                <c:pt idx="65">
                  <c:v>2.753623188405797E-2</c:v>
                </c:pt>
                <c:pt idx="66">
                  <c:v>2.318840579710145E-2</c:v>
                </c:pt>
                <c:pt idx="67">
                  <c:v>1.5942028985507246E-2</c:v>
                </c:pt>
                <c:pt idx="68">
                  <c:v>1.4545454545454545E-2</c:v>
                </c:pt>
                <c:pt idx="69">
                  <c:v>0.01</c:v>
                </c:pt>
                <c:pt idx="70">
                  <c:v>0.01</c:v>
                </c:pt>
                <c:pt idx="71">
                  <c:v>1.2727272727272728E-2</c:v>
                </c:pt>
                <c:pt idx="72">
                  <c:v>3.03784E-2</c:v>
                </c:pt>
                <c:pt idx="73">
                  <c:v>2.1194999999999999E-2</c:v>
                </c:pt>
                <c:pt idx="74">
                  <c:v>2.6040000000000001E-2</c:v>
                </c:pt>
                <c:pt idx="75">
                  <c:v>2.5700000000000001E-2</c:v>
                </c:pt>
                <c:pt idx="76">
                  <c:v>2.811E-2</c:v>
                </c:pt>
                <c:pt idx="77">
                  <c:v>2.2499999999999999E-2</c:v>
                </c:pt>
                <c:pt idx="78">
                  <c:v>2.8499999999999998E-2</c:v>
                </c:pt>
                <c:pt idx="79">
                  <c:v>2.3E-2</c:v>
                </c:pt>
                <c:pt idx="80">
                  <c:v>2.1000000000000001E-2</c:v>
                </c:pt>
                <c:pt idx="81">
                  <c:v>1.0999999999999999E-2</c:v>
                </c:pt>
                <c:pt idx="82">
                  <c:v>9.7999999999999997E-3</c:v>
                </c:pt>
                <c:pt idx="83">
                  <c:v>8.6999999999999994E-3</c:v>
                </c:pt>
                <c:pt idx="84">
                  <c:v>2E-3</c:v>
                </c:pt>
                <c:pt idx="85">
                  <c:v>3.5000000000000001E-3</c:v>
                </c:pt>
                <c:pt idx="86">
                  <c:v>3.5000000000000001E-3</c:v>
                </c:pt>
                <c:pt idx="87">
                  <c:v>8.7259259259259252E-3</c:v>
                </c:pt>
                <c:pt idx="88">
                  <c:v>1.037037037037037E-2</c:v>
                </c:pt>
                <c:pt idx="89">
                  <c:v>1.1022222222222221E-2</c:v>
                </c:pt>
                <c:pt idx="90">
                  <c:v>1.1748148148148148E-2</c:v>
                </c:pt>
                <c:pt idx="91">
                  <c:v>0.01</c:v>
                </c:pt>
                <c:pt idx="92">
                  <c:v>1.0666666666666666E-2</c:v>
                </c:pt>
                <c:pt idx="93">
                  <c:v>1.2059259259259261E-2</c:v>
                </c:pt>
                <c:pt idx="94">
                  <c:v>1.037037037037037E-2</c:v>
                </c:pt>
                <c:pt idx="95">
                  <c:v>0.03</c:v>
                </c:pt>
                <c:pt idx="96">
                  <c:v>2.5000000000000001E-2</c:v>
                </c:pt>
                <c:pt idx="97">
                  <c:v>3.4000000000000002E-2</c:v>
                </c:pt>
                <c:pt idx="98">
                  <c:v>3.4000000000000002E-2</c:v>
                </c:pt>
                <c:pt idx="99">
                  <c:v>2.286842105263158E-2</c:v>
                </c:pt>
                <c:pt idx="100">
                  <c:v>2.9250000000000002E-2</c:v>
                </c:pt>
                <c:pt idx="101">
                  <c:v>2.3142857142857142E-2</c:v>
                </c:pt>
                <c:pt idx="102">
                  <c:v>2.5999999999999999E-2</c:v>
                </c:pt>
                <c:pt idx="103">
                  <c:v>1.4999999999999999E-2</c:v>
                </c:pt>
                <c:pt idx="104">
                  <c:v>2.1000000000000001E-2</c:v>
                </c:pt>
                <c:pt idx="105">
                  <c:v>1.4999999999999999E-2</c:v>
                </c:pt>
                <c:pt idx="106">
                  <c:v>1.0325925925925924E-2</c:v>
                </c:pt>
                <c:pt idx="107">
                  <c:v>5.4370370370370371E-3</c:v>
                </c:pt>
                <c:pt idx="108">
                  <c:v>8.4000000000000012E-3</c:v>
                </c:pt>
                <c:pt idx="109">
                  <c:v>6.0740740740740738E-3</c:v>
                </c:pt>
                <c:pt idx="110">
                  <c:v>2.8547619047619047E-2</c:v>
                </c:pt>
                <c:pt idx="111">
                  <c:v>2.8000000000000001E-2</c:v>
                </c:pt>
                <c:pt idx="112">
                  <c:v>3.104761904761905E-2</c:v>
                </c:pt>
                <c:pt idx="113">
                  <c:v>2.757142857142857E-2</c:v>
                </c:pt>
                <c:pt idx="114">
                  <c:v>1.8501872659176029E-2</c:v>
                </c:pt>
                <c:pt idx="115">
                  <c:v>2.1910112359550562E-2</c:v>
                </c:pt>
                <c:pt idx="116">
                  <c:v>2.6367041198501875E-2</c:v>
                </c:pt>
                <c:pt idx="117">
                  <c:v>2.7565543071161047E-2</c:v>
                </c:pt>
                <c:pt idx="118">
                  <c:v>1.7412935323383085E-2</c:v>
                </c:pt>
                <c:pt idx="119">
                  <c:v>0.02</c:v>
                </c:pt>
                <c:pt idx="120">
                  <c:v>2.01E-2</c:v>
                </c:pt>
                <c:pt idx="121">
                  <c:v>1.7600000000000001E-2</c:v>
                </c:pt>
                <c:pt idx="122">
                  <c:v>1.66E-2</c:v>
                </c:pt>
                <c:pt idx="123">
                  <c:v>1.37142857E-2</c:v>
                </c:pt>
                <c:pt idx="124">
                  <c:v>6.0714285999999996E-3</c:v>
                </c:pt>
                <c:pt idx="125">
                  <c:v>1.6214285700000001E-2</c:v>
                </c:pt>
                <c:pt idx="126">
                  <c:v>6.0000000000000001E-3</c:v>
                </c:pt>
                <c:pt idx="127">
                  <c:v>1.21428571E-2</c:v>
                </c:pt>
                <c:pt idx="128">
                  <c:v>7.7142857000000002E-3</c:v>
                </c:pt>
                <c:pt idx="129">
                  <c:v>1.28571429E-2</c:v>
                </c:pt>
                <c:pt idx="130">
                  <c:v>6.4285714000000002E-3</c:v>
                </c:pt>
                <c:pt idx="131">
                  <c:v>1.4E-2</c:v>
                </c:pt>
                <c:pt idx="132">
                  <c:v>7.8571429000000009E-3</c:v>
                </c:pt>
                <c:pt idx="133">
                  <c:v>3.1333333333333331E-2</c:v>
                </c:pt>
                <c:pt idx="134">
                  <c:v>7.6716049382716048E-3</c:v>
                </c:pt>
                <c:pt idx="135">
                  <c:v>1.5671604938271605E-2</c:v>
                </c:pt>
                <c:pt idx="136">
                  <c:v>9.1185185185185189E-3</c:v>
                </c:pt>
                <c:pt idx="137">
                  <c:v>2.1299999999999999E-2</c:v>
                </c:pt>
                <c:pt idx="138">
                  <c:v>0.02</c:v>
                </c:pt>
                <c:pt idx="139">
                  <c:v>0.02</c:v>
                </c:pt>
                <c:pt idx="140">
                  <c:v>2.5000000000000001E-2</c:v>
                </c:pt>
                <c:pt idx="141">
                  <c:v>0.02</c:v>
                </c:pt>
                <c:pt idx="142">
                  <c:v>1.0696517412935324E-2</c:v>
                </c:pt>
                <c:pt idx="143">
                  <c:v>1.4676616915422885E-2</c:v>
                </c:pt>
                <c:pt idx="144">
                  <c:v>1.9154228855721392E-2</c:v>
                </c:pt>
                <c:pt idx="145">
                  <c:v>1.7014925373134329E-2</c:v>
                </c:pt>
                <c:pt idx="146">
                  <c:v>1.9104477611940299E-2</c:v>
                </c:pt>
                <c:pt idx="147">
                  <c:v>1.3582089552238807E-2</c:v>
                </c:pt>
                <c:pt idx="148">
                  <c:v>1.5124378109452736E-2</c:v>
                </c:pt>
                <c:pt idx="149">
                  <c:v>1.4029850746268656E-2</c:v>
                </c:pt>
                <c:pt idx="150">
                  <c:v>1.9617021276595745E-2</c:v>
                </c:pt>
                <c:pt idx="151">
                  <c:v>1.9744680851063828E-2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C6F-4136-8C2D-12515BEEBEB8}"/>
            </c:ext>
          </c:extLst>
        </c:ser>
        <c:ser>
          <c:idx val="2"/>
          <c:order val="1"/>
          <c:spPr>
            <a:ln w="28575">
              <a:noFill/>
            </a:ln>
          </c:spPr>
          <c:xVal>
            <c:numRef>
              <c:f>Sheet1!$B$154:$B$183</c:f>
              <c:numCache>
                <c:formatCode>General</c:formatCode>
                <c:ptCount val="30"/>
                <c:pt idx="0">
                  <c:v>7.7576280944156584E-2</c:v>
                </c:pt>
                <c:pt idx="1">
                  <c:v>0.11050347222222222</c:v>
                </c:pt>
                <c:pt idx="2">
                  <c:v>3.9859012600291434E-2</c:v>
                </c:pt>
                <c:pt idx="3">
                  <c:v>5.2872164933288425E-2</c:v>
                </c:pt>
                <c:pt idx="4">
                  <c:v>6.0451513289451753E-2</c:v>
                </c:pt>
                <c:pt idx="5">
                  <c:v>0.11897494208019896</c:v>
                </c:pt>
                <c:pt idx="6">
                  <c:v>6.2507595173824121E-2</c:v>
                </c:pt>
                <c:pt idx="7">
                  <c:v>7.3172263184521941E-2</c:v>
                </c:pt>
                <c:pt idx="8">
                  <c:v>6.9624434086620543E-2</c:v>
                </c:pt>
                <c:pt idx="9">
                  <c:v>5.4049227662835923E-2</c:v>
                </c:pt>
                <c:pt idx="10">
                  <c:v>5.5115896469566716E-2</c:v>
                </c:pt>
                <c:pt idx="11">
                  <c:v>6.6688384445021703E-2</c:v>
                </c:pt>
                <c:pt idx="12">
                  <c:v>0.10550151819257887</c:v>
                </c:pt>
                <c:pt idx="13">
                  <c:v>7.8991455855252149E-2</c:v>
                </c:pt>
                <c:pt idx="14">
                  <c:v>7.6095791001451377E-2</c:v>
                </c:pt>
                <c:pt idx="15">
                  <c:v>0.14377121040723981</c:v>
                </c:pt>
                <c:pt idx="16">
                  <c:v>0.20098039215686275</c:v>
                </c:pt>
                <c:pt idx="17">
                  <c:v>0.16568269643623876</c:v>
                </c:pt>
                <c:pt idx="18">
                  <c:v>7.8554049356969066E-2</c:v>
                </c:pt>
                <c:pt idx="19">
                  <c:v>0.12161415146489774</c:v>
                </c:pt>
                <c:pt idx="20">
                  <c:v>6.1561424254368689E-2</c:v>
                </c:pt>
                <c:pt idx="21">
                  <c:v>6.6417600664176013E-2</c:v>
                </c:pt>
                <c:pt idx="22">
                  <c:v>5.9640102827763497E-2</c:v>
                </c:pt>
                <c:pt idx="23">
                  <c:v>5.460526315789474E-2</c:v>
                </c:pt>
                <c:pt idx="24">
                  <c:v>5.5526315789473681E-2</c:v>
                </c:pt>
                <c:pt idx="25">
                  <c:v>5.8233082706766914E-2</c:v>
                </c:pt>
                <c:pt idx="26">
                  <c:v>8.5479493228853565E-2</c:v>
                </c:pt>
                <c:pt idx="27">
                  <c:v>9.5952407605827517E-2</c:v>
                </c:pt>
                <c:pt idx="28">
                  <c:v>0.10947462036480454</c:v>
                </c:pt>
                <c:pt idx="29">
                  <c:v>0.10819151417206187</c:v>
                </c:pt>
              </c:numCache>
            </c:numRef>
          </c:xVal>
          <c:yVal>
            <c:numRef>
              <c:f>Sheet1!$C$154:$C$183</c:f>
              <c:numCache>
                <c:formatCode>General</c:formatCode>
                <c:ptCount val="30"/>
                <c:pt idx="0">
                  <c:v>1.8333333E-2</c:v>
                </c:pt>
                <c:pt idx="1">
                  <c:v>1.8333333E-2</c:v>
                </c:pt>
                <c:pt idx="2">
                  <c:v>2.7777777777777776E-2</c:v>
                </c:pt>
                <c:pt idx="3">
                  <c:v>2.7777777777777801E-2</c:v>
                </c:pt>
                <c:pt idx="4">
                  <c:v>2.2965879265091901E-2</c:v>
                </c:pt>
                <c:pt idx="5">
                  <c:v>1.6622922134733157E-2</c:v>
                </c:pt>
                <c:pt idx="6">
                  <c:v>2.7777777777777776E-2</c:v>
                </c:pt>
                <c:pt idx="7">
                  <c:v>3.2808398950131233E-2</c:v>
                </c:pt>
                <c:pt idx="8">
                  <c:v>2.8871391076115485E-2</c:v>
                </c:pt>
                <c:pt idx="9">
                  <c:v>2.7777777777777776E-2</c:v>
                </c:pt>
                <c:pt idx="10">
                  <c:v>3.1173092698933553E-2</c:v>
                </c:pt>
                <c:pt idx="11">
                  <c:v>2.8977583378895572E-2</c:v>
                </c:pt>
                <c:pt idx="12">
                  <c:v>1.4960629921259842E-2</c:v>
                </c:pt>
                <c:pt idx="13">
                  <c:v>1.6929133858267716E-2</c:v>
                </c:pt>
                <c:pt idx="14">
                  <c:v>7.4666666666666666E-3</c:v>
                </c:pt>
                <c:pt idx="15">
                  <c:v>5.8823529411764705E-3</c:v>
                </c:pt>
                <c:pt idx="16">
                  <c:v>1.2352941176470587E-2</c:v>
                </c:pt>
                <c:pt idx="17">
                  <c:v>4.7058823529411761E-3</c:v>
                </c:pt>
                <c:pt idx="18">
                  <c:v>1.2999999999999999E-2</c:v>
                </c:pt>
                <c:pt idx="19">
                  <c:v>1.1594202898550725E-2</c:v>
                </c:pt>
                <c:pt idx="20">
                  <c:v>1.5333333333333332E-2</c:v>
                </c:pt>
                <c:pt idx="21">
                  <c:v>3.4000000000000002E-2</c:v>
                </c:pt>
                <c:pt idx="22">
                  <c:v>2.8666666666666667E-2</c:v>
                </c:pt>
                <c:pt idx="23">
                  <c:v>2.4521739130434782E-2</c:v>
                </c:pt>
                <c:pt idx="24">
                  <c:v>2.0695652173913046E-2</c:v>
                </c:pt>
                <c:pt idx="25">
                  <c:v>1.9113043478260872E-2</c:v>
                </c:pt>
                <c:pt idx="26">
                  <c:v>2.8833333333333332E-2</c:v>
                </c:pt>
                <c:pt idx="27">
                  <c:v>2.4966666666666668E-2</c:v>
                </c:pt>
                <c:pt idx="28">
                  <c:v>3.04E-2</c:v>
                </c:pt>
                <c:pt idx="29">
                  <c:v>3.04E-2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6F-4136-8C2D-12515BEEBEB8}"/>
            </c:ext>
          </c:extLst>
        </c:ser>
        <c:ser>
          <c:idx val="1"/>
          <c:order val="2"/>
          <c:spPr>
            <a:ln w="28575">
              <a:noFill/>
            </a:ln>
          </c:spPr>
          <c:xVal>
            <c:numRef>
              <c:f>Sheet1!$B$184:$B$363</c:f>
              <c:numCache>
                <c:formatCode>General</c:formatCode>
                <c:ptCount val="180"/>
                <c:pt idx="0">
                  <c:v>0.16159731986258677</c:v>
                </c:pt>
                <c:pt idx="1">
                  <c:v>0.14461493920092647</c:v>
                </c:pt>
                <c:pt idx="2">
                  <c:v>0.13752541388324135</c:v>
                </c:pt>
                <c:pt idx="3">
                  <c:v>0.12588113757899855</c:v>
                </c:pt>
                <c:pt idx="4">
                  <c:v>5.1998286203941729E-2</c:v>
                </c:pt>
                <c:pt idx="5">
                  <c:v>3.0760972789958298E-2</c:v>
                </c:pt>
                <c:pt idx="6">
                  <c:v>5.3373074323738882E-2</c:v>
                </c:pt>
                <c:pt idx="7">
                  <c:v>0.1434108527131783</c:v>
                </c:pt>
                <c:pt idx="8">
                  <c:v>0.13032407407407406</c:v>
                </c:pt>
                <c:pt idx="9">
                  <c:v>0.16316872427983539</c:v>
                </c:pt>
                <c:pt idx="10">
                  <c:v>0.14885138302859821</c:v>
                </c:pt>
                <c:pt idx="11">
                  <c:v>9.4453491713765672E-2</c:v>
                </c:pt>
                <c:pt idx="12">
                  <c:v>0.11458885941644562</c:v>
                </c:pt>
                <c:pt idx="13">
                  <c:v>0.14096749889740881</c:v>
                </c:pt>
                <c:pt idx="14">
                  <c:v>0.11276223776223776</c:v>
                </c:pt>
                <c:pt idx="15">
                  <c:v>0.10963883677298313</c:v>
                </c:pt>
                <c:pt idx="16">
                  <c:v>0.10297984224364592</c:v>
                </c:pt>
                <c:pt idx="17">
                  <c:v>0.12773109243697478</c:v>
                </c:pt>
                <c:pt idx="18">
                  <c:v>0.11404893449092345</c:v>
                </c:pt>
                <c:pt idx="19">
                  <c:v>0.10964912280701754</c:v>
                </c:pt>
                <c:pt idx="20">
                  <c:v>0.14241486068111456</c:v>
                </c:pt>
                <c:pt idx="21">
                  <c:v>0.14158322903629536</c:v>
                </c:pt>
                <c:pt idx="22">
                  <c:v>9.9284436493738817E-2</c:v>
                </c:pt>
                <c:pt idx="23">
                  <c:v>0.10584869675778766</c:v>
                </c:pt>
                <c:pt idx="24">
                  <c:v>0.10395880270357259</c:v>
                </c:pt>
                <c:pt idx="25">
                  <c:v>0.10520023909145249</c:v>
                </c:pt>
                <c:pt idx="26">
                  <c:v>0.10573042776432608</c:v>
                </c:pt>
                <c:pt idx="27">
                  <c:v>0.14674237895995218</c:v>
                </c:pt>
                <c:pt idx="28">
                  <c:v>7.9092581238503976E-2</c:v>
                </c:pt>
                <c:pt idx="29">
                  <c:v>0.16573556797020486</c:v>
                </c:pt>
                <c:pt idx="30">
                  <c:v>0.17281549247606021</c:v>
                </c:pt>
                <c:pt idx="31">
                  <c:v>7.720588235294118E-2</c:v>
                </c:pt>
                <c:pt idx="32">
                  <c:v>8.5487482190107891E-2</c:v>
                </c:pt>
                <c:pt idx="33">
                  <c:v>0.10246331236897274</c:v>
                </c:pt>
                <c:pt idx="34">
                  <c:v>0.15677419354838709</c:v>
                </c:pt>
                <c:pt idx="35">
                  <c:v>0.16709677419354838</c:v>
                </c:pt>
                <c:pt idx="36">
                  <c:v>0.10123281175912754</c:v>
                </c:pt>
                <c:pt idx="37">
                  <c:v>0.1631246046805819</c:v>
                </c:pt>
                <c:pt idx="38">
                  <c:v>0.10751988430947217</c:v>
                </c:pt>
                <c:pt idx="39">
                  <c:v>9.155998103366525E-2</c:v>
                </c:pt>
                <c:pt idx="40">
                  <c:v>0.14767025089605734</c:v>
                </c:pt>
                <c:pt idx="41">
                  <c:v>6.7236786313441363E-2</c:v>
                </c:pt>
                <c:pt idx="42">
                  <c:v>7.9456007386604091E-2</c:v>
                </c:pt>
                <c:pt idx="43">
                  <c:v>2.942489677381117E-2</c:v>
                </c:pt>
                <c:pt idx="44">
                  <c:v>4.1238961709344983E-2</c:v>
                </c:pt>
                <c:pt idx="45">
                  <c:v>7.5475778546712807E-2</c:v>
                </c:pt>
                <c:pt idx="46">
                  <c:v>0.10185986159169551</c:v>
                </c:pt>
                <c:pt idx="47">
                  <c:v>8.7153979238754328E-2</c:v>
                </c:pt>
                <c:pt idx="48">
                  <c:v>8.9965397923875437E-2</c:v>
                </c:pt>
                <c:pt idx="49">
                  <c:v>8.2434357826175461E-2</c:v>
                </c:pt>
                <c:pt idx="50">
                  <c:v>7.4292692855688985E-2</c:v>
                </c:pt>
                <c:pt idx="51">
                  <c:v>0.14172307692307692</c:v>
                </c:pt>
                <c:pt idx="52">
                  <c:v>6.515957446808511E-2</c:v>
                </c:pt>
                <c:pt idx="53">
                  <c:v>7.6279981549815495E-2</c:v>
                </c:pt>
                <c:pt idx="54">
                  <c:v>8.8231877323420083E-2</c:v>
                </c:pt>
                <c:pt idx="55">
                  <c:v>0.10486381322957199</c:v>
                </c:pt>
                <c:pt idx="56">
                  <c:v>5.7627688172043001E-2</c:v>
                </c:pt>
                <c:pt idx="57">
                  <c:v>6.174395161290322E-2</c:v>
                </c:pt>
                <c:pt idx="58">
                  <c:v>6.145484949832776E-2</c:v>
                </c:pt>
                <c:pt idx="59">
                  <c:v>5.52860696517413E-2</c:v>
                </c:pt>
                <c:pt idx="60">
                  <c:v>4.5926616915422887E-2</c:v>
                </c:pt>
                <c:pt idx="61">
                  <c:v>5.1064205599222826E-2</c:v>
                </c:pt>
                <c:pt idx="62">
                  <c:v>5.6257175660160738E-2</c:v>
                </c:pt>
                <c:pt idx="63">
                  <c:v>6.6931614118755339E-2</c:v>
                </c:pt>
                <c:pt idx="64">
                  <c:v>5.8749729612805536E-2</c:v>
                </c:pt>
                <c:pt idx="65">
                  <c:v>6.4200735453168928E-2</c:v>
                </c:pt>
                <c:pt idx="66">
                  <c:v>5.9746675776528091E-2</c:v>
                </c:pt>
                <c:pt idx="67">
                  <c:v>7.9530219860481283E-2</c:v>
                </c:pt>
                <c:pt idx="68">
                  <c:v>8.0826628904000872E-2</c:v>
                </c:pt>
                <c:pt idx="69">
                  <c:v>0.10474308300395256</c:v>
                </c:pt>
                <c:pt idx="70">
                  <c:v>8.584467952779587E-2</c:v>
                </c:pt>
                <c:pt idx="71">
                  <c:v>8.3917452628230998E-2</c:v>
                </c:pt>
                <c:pt idx="72">
                  <c:v>7.4187133258586974E-2</c:v>
                </c:pt>
                <c:pt idx="73">
                  <c:v>6.5559454565847886E-2</c:v>
                </c:pt>
                <c:pt idx="74">
                  <c:v>9.2314184733871402E-2</c:v>
                </c:pt>
                <c:pt idx="75">
                  <c:v>9.4217180214392154E-2</c:v>
                </c:pt>
                <c:pt idx="76">
                  <c:v>7.3282308436702734E-2</c:v>
                </c:pt>
                <c:pt idx="77">
                  <c:v>9.6175578421459587E-2</c:v>
                </c:pt>
                <c:pt idx="78">
                  <c:v>8.1927838745206275E-2</c:v>
                </c:pt>
                <c:pt idx="79">
                  <c:v>9.1448931116389548E-2</c:v>
                </c:pt>
                <c:pt idx="80">
                  <c:v>0.12818156108597284</c:v>
                </c:pt>
                <c:pt idx="81">
                  <c:v>2.9527622745288362E-2</c:v>
                </c:pt>
                <c:pt idx="82">
                  <c:v>5.639093352027106E-2</c:v>
                </c:pt>
                <c:pt idx="83">
                  <c:v>4.7292323869610943E-2</c:v>
                </c:pt>
                <c:pt idx="84">
                  <c:v>6.0493827160493827E-2</c:v>
                </c:pt>
                <c:pt idx="85">
                  <c:v>5.8994386503529124E-2</c:v>
                </c:pt>
                <c:pt idx="86">
                  <c:v>7.0046236712903387E-2</c:v>
                </c:pt>
                <c:pt idx="87">
                  <c:v>0.11287477954144622</c:v>
                </c:pt>
                <c:pt idx="88">
                  <c:v>0.15274188917599771</c:v>
                </c:pt>
                <c:pt idx="89">
                  <c:v>0.11093423891895716</c:v>
                </c:pt>
                <c:pt idx="90">
                  <c:v>0.1276665038267383</c:v>
                </c:pt>
                <c:pt idx="91">
                  <c:v>0.12615596963423051</c:v>
                </c:pt>
                <c:pt idx="92">
                  <c:v>0.12325986907926709</c:v>
                </c:pt>
                <c:pt idx="93">
                  <c:v>0.11856368563685638</c:v>
                </c:pt>
                <c:pt idx="94">
                  <c:v>0.10906515580736545</c:v>
                </c:pt>
                <c:pt idx="95">
                  <c:v>0.11297330850403477</c:v>
                </c:pt>
                <c:pt idx="96">
                  <c:v>9.8707876485654267E-2</c:v>
                </c:pt>
                <c:pt idx="97">
                  <c:v>8.9436459046315295E-2</c:v>
                </c:pt>
                <c:pt idx="98">
                  <c:v>8.5217391304347828E-2</c:v>
                </c:pt>
                <c:pt idx="99">
                  <c:v>8.0103115470464337E-2</c:v>
                </c:pt>
                <c:pt idx="100">
                  <c:v>6.8677949472651462E-2</c:v>
                </c:pt>
                <c:pt idx="101">
                  <c:v>7.2287581699346404E-2</c:v>
                </c:pt>
                <c:pt idx="102">
                  <c:v>0.11558889171398705</c:v>
                </c:pt>
                <c:pt idx="103">
                  <c:v>0.10748333755167468</c:v>
                </c:pt>
                <c:pt idx="104">
                  <c:v>0.10931811338315402</c:v>
                </c:pt>
                <c:pt idx="105">
                  <c:v>7.9252591031943653E-2</c:v>
                </c:pt>
                <c:pt idx="106">
                  <c:v>9.1830032392929598E-2</c:v>
                </c:pt>
                <c:pt idx="107">
                  <c:v>9.1913652783218003E-2</c:v>
                </c:pt>
                <c:pt idx="108">
                  <c:v>7.8132927447995937E-2</c:v>
                </c:pt>
                <c:pt idx="109">
                  <c:v>7.1192473938469364E-2</c:v>
                </c:pt>
                <c:pt idx="110">
                  <c:v>8.9311002178649235E-2</c:v>
                </c:pt>
                <c:pt idx="111">
                  <c:v>0.17619561308881695</c:v>
                </c:pt>
                <c:pt idx="112">
                  <c:v>0.21812678062678062</c:v>
                </c:pt>
                <c:pt idx="113">
                  <c:v>0.22720686257462469</c:v>
                </c:pt>
                <c:pt idx="114">
                  <c:v>0.14274691358024691</c:v>
                </c:pt>
                <c:pt idx="115">
                  <c:v>0.14178240740740738</c:v>
                </c:pt>
                <c:pt idx="116">
                  <c:v>0.16082505269497138</c:v>
                </c:pt>
                <c:pt idx="117">
                  <c:v>0.1558641975308642</c:v>
                </c:pt>
                <c:pt idx="118">
                  <c:v>0.17004843759229724</c:v>
                </c:pt>
                <c:pt idx="119">
                  <c:v>0.20141547840797253</c:v>
                </c:pt>
                <c:pt idx="120">
                  <c:v>0.13772015765010087</c:v>
                </c:pt>
                <c:pt idx="121">
                  <c:v>0.17968099376354885</c:v>
                </c:pt>
                <c:pt idx="122">
                  <c:v>8.1128496435746073E-2</c:v>
                </c:pt>
                <c:pt idx="123">
                  <c:v>0.13870071229194222</c:v>
                </c:pt>
                <c:pt idx="124">
                  <c:v>0.12698191066150161</c:v>
                </c:pt>
                <c:pt idx="125">
                  <c:v>0.11829460734255905</c:v>
                </c:pt>
                <c:pt idx="126">
                  <c:v>8.6089577950043059E-2</c:v>
                </c:pt>
                <c:pt idx="127">
                  <c:v>0.10258397932816538</c:v>
                </c:pt>
                <c:pt idx="128">
                  <c:v>8.476080246913581E-2</c:v>
                </c:pt>
                <c:pt idx="129">
                  <c:v>5.5401234567901241E-2</c:v>
                </c:pt>
                <c:pt idx="130">
                  <c:v>9.8482820169567151E-2</c:v>
                </c:pt>
                <c:pt idx="131">
                  <c:v>0.10004462293618921</c:v>
                </c:pt>
                <c:pt idx="132">
                  <c:v>9.0967741935483862E-2</c:v>
                </c:pt>
                <c:pt idx="133">
                  <c:v>0.18410958904109589</c:v>
                </c:pt>
                <c:pt idx="134">
                  <c:v>0.1789041095890411</c:v>
                </c:pt>
                <c:pt idx="135">
                  <c:v>0.12200913242009132</c:v>
                </c:pt>
                <c:pt idx="136">
                  <c:v>0.13068493150684932</c:v>
                </c:pt>
                <c:pt idx="137">
                  <c:v>0.12510936132983377</c:v>
                </c:pt>
                <c:pt idx="138">
                  <c:v>0.13551316984559492</c:v>
                </c:pt>
                <c:pt idx="139">
                  <c:v>0.12216404886561955</c:v>
                </c:pt>
                <c:pt idx="140">
                  <c:v>0.1789272030651341</c:v>
                </c:pt>
                <c:pt idx="141">
                  <c:v>0.18624813153961137</c:v>
                </c:pt>
                <c:pt idx="142">
                  <c:v>0.20953654188948309</c:v>
                </c:pt>
                <c:pt idx="143">
                  <c:v>0.14606175173282923</c:v>
                </c:pt>
                <c:pt idx="144">
                  <c:v>0.13509766855702585</c:v>
                </c:pt>
                <c:pt idx="145">
                  <c:v>0.16473118279569893</c:v>
                </c:pt>
                <c:pt idx="146">
                  <c:v>0.15469534050179212</c:v>
                </c:pt>
                <c:pt idx="147">
                  <c:v>0.18923766816143497</c:v>
                </c:pt>
                <c:pt idx="148">
                  <c:v>0.21639928698752231</c:v>
                </c:pt>
                <c:pt idx="149">
                  <c:v>0.18410958904109589</c:v>
                </c:pt>
                <c:pt idx="150">
                  <c:v>0.17899543378995433</c:v>
                </c:pt>
                <c:pt idx="151">
                  <c:v>0.12200913242009132</c:v>
                </c:pt>
                <c:pt idx="152">
                  <c:v>0.13068493150684932</c:v>
                </c:pt>
                <c:pt idx="153">
                  <c:v>8.8433048433048431E-2</c:v>
                </c:pt>
                <c:pt idx="154">
                  <c:v>0.11008547008547008</c:v>
                </c:pt>
                <c:pt idx="155">
                  <c:v>8.4102564102564101E-2</c:v>
                </c:pt>
                <c:pt idx="156">
                  <c:v>0.10985754985754986</c:v>
                </c:pt>
                <c:pt idx="157">
                  <c:v>6.9961066187481269E-2</c:v>
                </c:pt>
                <c:pt idx="158">
                  <c:v>6.876310272536687E-2</c:v>
                </c:pt>
                <c:pt idx="159">
                  <c:v>5.8269065981148241E-2</c:v>
                </c:pt>
                <c:pt idx="160">
                  <c:v>6.5168834581526738E-2</c:v>
                </c:pt>
                <c:pt idx="161">
                  <c:v>0.1047128892341555</c:v>
                </c:pt>
                <c:pt idx="162">
                  <c:v>9.1927235061824306E-2</c:v>
                </c:pt>
                <c:pt idx="163">
                  <c:v>7.9788955784294679E-2</c:v>
                </c:pt>
                <c:pt idx="164">
                  <c:v>5.8894230769230768E-2</c:v>
                </c:pt>
                <c:pt idx="165">
                  <c:v>7.5716845878136207E-2</c:v>
                </c:pt>
                <c:pt idx="166">
                  <c:v>6.0562015503875966E-2</c:v>
                </c:pt>
                <c:pt idx="167">
                  <c:v>7.93040293040293E-2</c:v>
                </c:pt>
                <c:pt idx="168">
                  <c:v>7.946428571428571E-2</c:v>
                </c:pt>
                <c:pt idx="169">
                  <c:v>6.8981481481481477E-2</c:v>
                </c:pt>
                <c:pt idx="170">
                  <c:v>6.535947712418301E-2</c:v>
                </c:pt>
                <c:pt idx="171">
                  <c:v>7.5407268170426062E-2</c:v>
                </c:pt>
                <c:pt idx="172">
                  <c:v>7.8596491228070178E-2</c:v>
                </c:pt>
                <c:pt idx="173">
                  <c:v>8.4561403508771921E-2</c:v>
                </c:pt>
                <c:pt idx="174">
                  <c:v>9.2824654228162995E-2</c:v>
                </c:pt>
                <c:pt idx="175">
                  <c:v>0.11487050960735172</c:v>
                </c:pt>
                <c:pt idx="176">
                  <c:v>0.12144558928184659</c:v>
                </c:pt>
                <c:pt idx="177">
                  <c:v>6.7460317460317457E-2</c:v>
                </c:pt>
                <c:pt idx="178">
                  <c:v>8.2668600435097897E-2</c:v>
                </c:pt>
                <c:pt idx="179">
                  <c:v>6.6707242848447965E-2</c:v>
                </c:pt>
              </c:numCache>
            </c:numRef>
          </c:xVal>
          <c:yVal>
            <c:numRef>
              <c:f>Sheet1!$C$184:$C$363</c:f>
              <c:numCache>
                <c:formatCode>General</c:formatCode>
                <c:ptCount val="180"/>
                <c:pt idx="0">
                  <c:v>1.4084507042253521E-2</c:v>
                </c:pt>
                <c:pt idx="1">
                  <c:v>1.7000000000000001E-2</c:v>
                </c:pt>
                <c:pt idx="2">
                  <c:v>1.2999999999999999E-2</c:v>
                </c:pt>
                <c:pt idx="3">
                  <c:v>0.01</c:v>
                </c:pt>
                <c:pt idx="4">
                  <c:v>2.8333333333333332E-2</c:v>
                </c:pt>
                <c:pt idx="5">
                  <c:v>1.0500000000000001E-2</c:v>
                </c:pt>
                <c:pt idx="6">
                  <c:v>4.0000000000000001E-3</c:v>
                </c:pt>
                <c:pt idx="7">
                  <c:v>1.2E-2</c:v>
                </c:pt>
                <c:pt idx="8">
                  <c:v>1.2E-2</c:v>
                </c:pt>
                <c:pt idx="9">
                  <c:v>1.2E-2</c:v>
                </c:pt>
                <c:pt idx="10">
                  <c:v>1.2E-2</c:v>
                </c:pt>
                <c:pt idx="11">
                  <c:v>2.4608695652173912E-3</c:v>
                </c:pt>
                <c:pt idx="12">
                  <c:v>8.9999999999999993E-3</c:v>
                </c:pt>
                <c:pt idx="13">
                  <c:v>1.6789087093389297E-2</c:v>
                </c:pt>
                <c:pt idx="14">
                  <c:v>1.0055555555555557E-2</c:v>
                </c:pt>
                <c:pt idx="15">
                  <c:v>8.5555555555555558E-3</c:v>
                </c:pt>
                <c:pt idx="16">
                  <c:v>7.4285714285714285E-3</c:v>
                </c:pt>
                <c:pt idx="17">
                  <c:v>7.0000000000000001E-3</c:v>
                </c:pt>
                <c:pt idx="18">
                  <c:v>7.4285714285714285E-3</c:v>
                </c:pt>
                <c:pt idx="19">
                  <c:v>3.7499999999999999E-3</c:v>
                </c:pt>
                <c:pt idx="20">
                  <c:v>5.333333333333334E-3</c:v>
                </c:pt>
                <c:pt idx="21">
                  <c:v>5.0833333333333329E-3</c:v>
                </c:pt>
                <c:pt idx="22">
                  <c:v>2.7777777777777779E-3</c:v>
                </c:pt>
                <c:pt idx="23">
                  <c:v>7.7777777777777776E-3</c:v>
                </c:pt>
                <c:pt idx="24">
                  <c:v>2.3333333333333335E-3</c:v>
                </c:pt>
                <c:pt idx="25">
                  <c:v>5.0714285714285713E-3</c:v>
                </c:pt>
                <c:pt idx="26">
                  <c:v>4.7857142857142855E-3</c:v>
                </c:pt>
                <c:pt idx="27">
                  <c:v>8.2857142857142851E-3</c:v>
                </c:pt>
                <c:pt idx="28">
                  <c:v>3.5714285714285713E-3</c:v>
                </c:pt>
                <c:pt idx="29">
                  <c:v>5.7142857142857143E-3</c:v>
                </c:pt>
                <c:pt idx="30">
                  <c:v>9.4117647058823521E-3</c:v>
                </c:pt>
                <c:pt idx="31">
                  <c:v>8.0000000000000002E-3</c:v>
                </c:pt>
                <c:pt idx="32">
                  <c:v>1.4999999999999999E-2</c:v>
                </c:pt>
                <c:pt idx="33">
                  <c:v>0.01</c:v>
                </c:pt>
                <c:pt idx="34">
                  <c:v>0.01</c:v>
                </c:pt>
                <c:pt idx="35">
                  <c:v>1.0500000000000001E-2</c:v>
                </c:pt>
                <c:pt idx="36">
                  <c:v>0.01</c:v>
                </c:pt>
                <c:pt idx="37">
                  <c:v>1.2999999999999999E-2</c:v>
                </c:pt>
                <c:pt idx="38">
                  <c:v>1.2E-2</c:v>
                </c:pt>
                <c:pt idx="39">
                  <c:v>0.01</c:v>
                </c:pt>
                <c:pt idx="40">
                  <c:v>1.0200000000000001E-2</c:v>
                </c:pt>
                <c:pt idx="41">
                  <c:v>1.2500000000000001E-2</c:v>
                </c:pt>
                <c:pt idx="42">
                  <c:v>1.17E-2</c:v>
                </c:pt>
                <c:pt idx="43">
                  <c:v>8.9999999999999993E-3</c:v>
                </c:pt>
                <c:pt idx="44">
                  <c:v>1.2500000000000001E-2</c:v>
                </c:pt>
                <c:pt idx="45">
                  <c:v>5.0000000000000001E-3</c:v>
                </c:pt>
                <c:pt idx="46">
                  <c:v>7.4999999999999997E-3</c:v>
                </c:pt>
                <c:pt idx="47">
                  <c:v>3.5000000000000001E-3</c:v>
                </c:pt>
                <c:pt idx="48">
                  <c:v>0.01</c:v>
                </c:pt>
                <c:pt idx="49">
                  <c:v>6.0000000000000001E-3</c:v>
                </c:pt>
                <c:pt idx="50">
                  <c:v>1.2E-2</c:v>
                </c:pt>
                <c:pt idx="51">
                  <c:v>8.0000000000000002E-3</c:v>
                </c:pt>
                <c:pt idx="52">
                  <c:v>1.4285714285714286E-3</c:v>
                </c:pt>
                <c:pt idx="53">
                  <c:v>1.4285714285714286E-3</c:v>
                </c:pt>
                <c:pt idx="54">
                  <c:v>2.8571428571428571E-3</c:v>
                </c:pt>
                <c:pt idx="55">
                  <c:v>1.4285714285714286E-3</c:v>
                </c:pt>
                <c:pt idx="56">
                  <c:v>1.4285714285714286E-3</c:v>
                </c:pt>
                <c:pt idx="57">
                  <c:v>1.4285714285714286E-3</c:v>
                </c:pt>
                <c:pt idx="58">
                  <c:v>2.8571428571428571E-3</c:v>
                </c:pt>
                <c:pt idx="59">
                  <c:v>7.4418604651162795E-3</c:v>
                </c:pt>
                <c:pt idx="60">
                  <c:v>1.3953488372093023E-2</c:v>
                </c:pt>
                <c:pt idx="61">
                  <c:v>4.6511627906976744E-3</c:v>
                </c:pt>
                <c:pt idx="62">
                  <c:v>1.8604651162790697E-2</c:v>
                </c:pt>
                <c:pt idx="63">
                  <c:v>4.6511627906976744E-3</c:v>
                </c:pt>
                <c:pt idx="64">
                  <c:v>9.3023255813953487E-3</c:v>
                </c:pt>
                <c:pt idx="65">
                  <c:v>4.6511627906976744E-3</c:v>
                </c:pt>
                <c:pt idx="66">
                  <c:v>9.3023255813953487E-3</c:v>
                </c:pt>
                <c:pt idx="67">
                  <c:v>9.3023255813953487E-3</c:v>
                </c:pt>
                <c:pt idx="68">
                  <c:v>9.3023255813953487E-3</c:v>
                </c:pt>
                <c:pt idx="69">
                  <c:v>5.1162790697674423E-3</c:v>
                </c:pt>
                <c:pt idx="70">
                  <c:v>4.6511627906976744E-3</c:v>
                </c:pt>
                <c:pt idx="71">
                  <c:v>4.6511627906976744E-3</c:v>
                </c:pt>
                <c:pt idx="72">
                  <c:v>2.5000000000000001E-3</c:v>
                </c:pt>
                <c:pt idx="73">
                  <c:v>2.5000000000000001E-3</c:v>
                </c:pt>
                <c:pt idx="74">
                  <c:v>3.0000000000000001E-3</c:v>
                </c:pt>
                <c:pt idx="75">
                  <c:v>3.7499999999999999E-3</c:v>
                </c:pt>
                <c:pt idx="76">
                  <c:v>3.7499999999999999E-3</c:v>
                </c:pt>
                <c:pt idx="77">
                  <c:v>5.0000000000000001E-3</c:v>
                </c:pt>
                <c:pt idx="78">
                  <c:v>5.0000000000000001E-3</c:v>
                </c:pt>
                <c:pt idx="79">
                  <c:v>2.7500000000000003E-3</c:v>
                </c:pt>
                <c:pt idx="80">
                  <c:v>7.6470588235294122E-3</c:v>
                </c:pt>
                <c:pt idx="81">
                  <c:v>2.4242420000000001E-3</c:v>
                </c:pt>
                <c:pt idx="82">
                  <c:v>3.333333E-3</c:v>
                </c:pt>
                <c:pt idx="83">
                  <c:v>5.7575760000000004E-3</c:v>
                </c:pt>
                <c:pt idx="84">
                  <c:v>3.9583329999999996E-3</c:v>
                </c:pt>
                <c:pt idx="85">
                  <c:v>1.8749999999999999E-3</c:v>
                </c:pt>
                <c:pt idx="86">
                  <c:v>2.7083329999999998E-3</c:v>
                </c:pt>
                <c:pt idx="87">
                  <c:v>3.9583329999999996E-3</c:v>
                </c:pt>
                <c:pt idx="88">
                  <c:v>3.9583329999999996E-3</c:v>
                </c:pt>
                <c:pt idx="89">
                  <c:v>3.9583329999999996E-3</c:v>
                </c:pt>
                <c:pt idx="90">
                  <c:v>6.6666670000000003E-3</c:v>
                </c:pt>
                <c:pt idx="91">
                  <c:v>4.7916670000000003E-3</c:v>
                </c:pt>
                <c:pt idx="92">
                  <c:v>6.6666670000000003E-3</c:v>
                </c:pt>
                <c:pt idx="93">
                  <c:v>6.875E-3</c:v>
                </c:pt>
                <c:pt idx="94">
                  <c:v>6.875E-3</c:v>
                </c:pt>
                <c:pt idx="95">
                  <c:v>6.875E-3</c:v>
                </c:pt>
                <c:pt idx="96">
                  <c:v>4.3750000000000004E-3</c:v>
                </c:pt>
                <c:pt idx="97">
                  <c:v>4.3750000000000004E-3</c:v>
                </c:pt>
                <c:pt idx="98">
                  <c:v>7.2916669999999999E-3</c:v>
                </c:pt>
                <c:pt idx="99">
                  <c:v>8.3333330000000001E-3</c:v>
                </c:pt>
                <c:pt idx="100">
                  <c:v>7.0833329999999998E-3</c:v>
                </c:pt>
                <c:pt idx="101">
                  <c:v>6.6666670000000003E-3</c:v>
                </c:pt>
                <c:pt idx="102">
                  <c:v>3.5416670000000001E-3</c:v>
                </c:pt>
                <c:pt idx="103">
                  <c:v>3.5416670000000001E-3</c:v>
                </c:pt>
                <c:pt idx="104">
                  <c:v>3.5416670000000001E-3</c:v>
                </c:pt>
                <c:pt idx="105">
                  <c:v>5.416667E-3</c:v>
                </c:pt>
                <c:pt idx="106">
                  <c:v>6.875E-3</c:v>
                </c:pt>
                <c:pt idx="107">
                  <c:v>6.875E-3</c:v>
                </c:pt>
                <c:pt idx="108">
                  <c:v>6.2500000000000003E-3</c:v>
                </c:pt>
                <c:pt idx="109">
                  <c:v>6.2500000000000003E-3</c:v>
                </c:pt>
                <c:pt idx="110">
                  <c:v>6.2500000000000003E-3</c:v>
                </c:pt>
                <c:pt idx="111">
                  <c:v>6.1728395061728392E-3</c:v>
                </c:pt>
                <c:pt idx="112">
                  <c:v>5.5555555555555558E-3</c:v>
                </c:pt>
                <c:pt idx="113">
                  <c:v>8.024691358024692E-3</c:v>
                </c:pt>
                <c:pt idx="114">
                  <c:v>6.1728395061728392E-3</c:v>
                </c:pt>
                <c:pt idx="115">
                  <c:v>6.1728395061728392E-3</c:v>
                </c:pt>
                <c:pt idx="116">
                  <c:v>3.0864197530864196E-3</c:v>
                </c:pt>
                <c:pt idx="117">
                  <c:v>3.7037037037037038E-3</c:v>
                </c:pt>
                <c:pt idx="118">
                  <c:v>3.7037037037037038E-3</c:v>
                </c:pt>
                <c:pt idx="119">
                  <c:v>1.049317943336831E-2</c:v>
                </c:pt>
                <c:pt idx="120">
                  <c:v>6.2959076600209865E-3</c:v>
                </c:pt>
                <c:pt idx="121">
                  <c:v>5.246589716684155E-3</c:v>
                </c:pt>
                <c:pt idx="122">
                  <c:v>1.3641133263378805E-2</c:v>
                </c:pt>
                <c:pt idx="123">
                  <c:v>1.049317943336831E-2</c:v>
                </c:pt>
                <c:pt idx="124">
                  <c:v>9.9737532808398949E-3</c:v>
                </c:pt>
                <c:pt idx="125">
                  <c:v>7.4257426000000001E-3</c:v>
                </c:pt>
                <c:pt idx="126">
                  <c:v>1.0872727272727273E-2</c:v>
                </c:pt>
                <c:pt idx="127">
                  <c:v>1.3659090909090909E-2</c:v>
                </c:pt>
                <c:pt idx="128">
                  <c:v>1.1104545454545454E-2</c:v>
                </c:pt>
                <c:pt idx="129">
                  <c:v>9.2090909090909098E-3</c:v>
                </c:pt>
                <c:pt idx="130">
                  <c:v>1.0872727272727273E-2</c:v>
                </c:pt>
                <c:pt idx="131">
                  <c:v>1.4013636363636364E-2</c:v>
                </c:pt>
                <c:pt idx="132">
                  <c:v>8.2000000000000007E-3</c:v>
                </c:pt>
                <c:pt idx="133">
                  <c:v>2.1000000000000001E-2</c:v>
                </c:pt>
                <c:pt idx="134">
                  <c:v>2.4500000000000001E-2</c:v>
                </c:pt>
                <c:pt idx="135">
                  <c:v>1.6E-2</c:v>
                </c:pt>
                <c:pt idx="136">
                  <c:v>1.55E-2</c:v>
                </c:pt>
                <c:pt idx="137">
                  <c:v>2.01E-2</c:v>
                </c:pt>
                <c:pt idx="138">
                  <c:v>2.5600000000000001E-2</c:v>
                </c:pt>
                <c:pt idx="139">
                  <c:v>1.7600000000000001E-2</c:v>
                </c:pt>
                <c:pt idx="140">
                  <c:v>2.01E-2</c:v>
                </c:pt>
                <c:pt idx="141">
                  <c:v>1.4E-2</c:v>
                </c:pt>
                <c:pt idx="142">
                  <c:v>1.7000000000000001E-2</c:v>
                </c:pt>
                <c:pt idx="143">
                  <c:v>1.2500000000000001E-2</c:v>
                </c:pt>
                <c:pt idx="144">
                  <c:v>1.2E-2</c:v>
                </c:pt>
                <c:pt idx="145">
                  <c:v>1.2E-2</c:v>
                </c:pt>
                <c:pt idx="146">
                  <c:v>1.0500000000000001E-2</c:v>
                </c:pt>
                <c:pt idx="147">
                  <c:v>1.7999999999999999E-2</c:v>
                </c:pt>
                <c:pt idx="148">
                  <c:v>1.2E-2</c:v>
                </c:pt>
                <c:pt idx="149">
                  <c:v>0.02</c:v>
                </c:pt>
                <c:pt idx="150">
                  <c:v>2.5499999999999998E-2</c:v>
                </c:pt>
                <c:pt idx="151">
                  <c:v>1.7999999999999999E-2</c:v>
                </c:pt>
                <c:pt idx="152">
                  <c:v>1.7999999999999999E-2</c:v>
                </c:pt>
                <c:pt idx="153">
                  <c:v>1.2999999999999999E-2</c:v>
                </c:pt>
                <c:pt idx="154">
                  <c:v>1.7999999999999999E-2</c:v>
                </c:pt>
                <c:pt idx="155">
                  <c:v>1.55E-2</c:v>
                </c:pt>
                <c:pt idx="156">
                  <c:v>1.7500000000000002E-2</c:v>
                </c:pt>
                <c:pt idx="157">
                  <c:v>1.4999999999999999E-2</c:v>
                </c:pt>
                <c:pt idx="158">
                  <c:v>1.4999999999999999E-2</c:v>
                </c:pt>
                <c:pt idx="159">
                  <c:v>2.8666666666666667E-2</c:v>
                </c:pt>
                <c:pt idx="160">
                  <c:v>1.5333333333333332E-2</c:v>
                </c:pt>
                <c:pt idx="161">
                  <c:v>1.1182352941176471E-2</c:v>
                </c:pt>
                <c:pt idx="162">
                  <c:v>1.1905882352941176E-2</c:v>
                </c:pt>
                <c:pt idx="163">
                  <c:v>9.7764705882352945E-3</c:v>
                </c:pt>
                <c:pt idx="164">
                  <c:v>9.683333333333332E-3</c:v>
                </c:pt>
                <c:pt idx="165">
                  <c:v>1.125E-2</c:v>
                </c:pt>
                <c:pt idx="166">
                  <c:v>9.2833333333333344E-3</c:v>
                </c:pt>
                <c:pt idx="167">
                  <c:v>7.6333333333333331E-3</c:v>
                </c:pt>
                <c:pt idx="168">
                  <c:v>1.3175000000000001E-2</c:v>
                </c:pt>
                <c:pt idx="169">
                  <c:v>1.3416666666666667E-2</c:v>
                </c:pt>
                <c:pt idx="170">
                  <c:v>1.265E-2</c:v>
                </c:pt>
                <c:pt idx="171">
                  <c:v>2.12E-2</c:v>
                </c:pt>
                <c:pt idx="172">
                  <c:v>1.8287500000000002E-2</c:v>
                </c:pt>
                <c:pt idx="173">
                  <c:v>1.7837499999999999E-2</c:v>
                </c:pt>
                <c:pt idx="174">
                  <c:v>1.7184615384615385E-2</c:v>
                </c:pt>
                <c:pt idx="175">
                  <c:v>1.3984615384615384E-2</c:v>
                </c:pt>
                <c:pt idx="176">
                  <c:v>1.1161538461538461E-2</c:v>
                </c:pt>
                <c:pt idx="177">
                  <c:v>7.5187969924812026E-3</c:v>
                </c:pt>
                <c:pt idx="178">
                  <c:v>7.5187969924812026E-3</c:v>
                </c:pt>
                <c:pt idx="179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6F-4136-8C2D-12515BEEBEB8}"/>
            </c:ext>
          </c:extLst>
        </c:ser>
        <c:ser>
          <c:idx val="0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Sheet1!$B$364:$B$388</c:f>
              <c:numCache>
                <c:formatCode>General</c:formatCode>
                <c:ptCount val="25"/>
                <c:pt idx="0">
                  <c:v>9.8348348348348338E-2</c:v>
                </c:pt>
                <c:pt idx="1">
                  <c:v>7.3688271604938266E-2</c:v>
                </c:pt>
                <c:pt idx="2">
                  <c:v>9.3444909344490942E-2</c:v>
                </c:pt>
                <c:pt idx="3">
                  <c:v>6.9675687618928395E-2</c:v>
                </c:pt>
                <c:pt idx="4">
                  <c:v>7.0362050992602052E-2</c:v>
                </c:pt>
                <c:pt idx="5">
                  <c:v>0.10837922800083312</c:v>
                </c:pt>
                <c:pt idx="6">
                  <c:v>9.9517340896651249E-2</c:v>
                </c:pt>
                <c:pt idx="7">
                  <c:v>0.11267518569493372</c:v>
                </c:pt>
                <c:pt idx="8">
                  <c:v>8.308290462941427E-2</c:v>
                </c:pt>
                <c:pt idx="9">
                  <c:v>6.2886824365547031E-2</c:v>
                </c:pt>
                <c:pt idx="10">
                  <c:v>0.25529516068892893</c:v>
                </c:pt>
                <c:pt idx="11">
                  <c:v>0.28729267603782882</c:v>
                </c:pt>
                <c:pt idx="12">
                  <c:v>0.12899067005937237</c:v>
                </c:pt>
                <c:pt idx="13">
                  <c:v>0.14443381180223286</c:v>
                </c:pt>
                <c:pt idx="14">
                  <c:v>0.12463186274509805</c:v>
                </c:pt>
                <c:pt idx="15">
                  <c:v>6.231195566112431E-2</c:v>
                </c:pt>
                <c:pt idx="16">
                  <c:v>3.9350752177355501E-2</c:v>
                </c:pt>
                <c:pt idx="17">
                  <c:v>3.34916864608076E-2</c:v>
                </c:pt>
                <c:pt idx="18">
                  <c:v>3.3333333333333333E-2</c:v>
                </c:pt>
                <c:pt idx="19">
                  <c:v>8.2739509105304823E-2</c:v>
                </c:pt>
                <c:pt idx="20">
                  <c:v>5.7482185273159139E-2</c:v>
                </c:pt>
                <c:pt idx="21">
                  <c:v>4.1666666666666664E-2</c:v>
                </c:pt>
                <c:pt idx="22">
                  <c:v>3.3259259259259259E-2</c:v>
                </c:pt>
                <c:pt idx="23">
                  <c:v>6.0757575757575753E-2</c:v>
                </c:pt>
                <c:pt idx="24">
                  <c:v>0.10009259259259259</c:v>
                </c:pt>
              </c:numCache>
            </c:numRef>
          </c:xVal>
          <c:yVal>
            <c:numRef>
              <c:f>Sheet1!$C$364:$C$388</c:f>
              <c:numCache>
                <c:formatCode>General</c:formatCode>
                <c:ptCount val="25"/>
                <c:pt idx="0">
                  <c:v>8.3333330000000001E-3</c:v>
                </c:pt>
                <c:pt idx="1">
                  <c:v>6.6666670000000003E-3</c:v>
                </c:pt>
                <c:pt idx="2">
                  <c:v>8.3333330000000001E-3</c:v>
                </c:pt>
                <c:pt idx="3">
                  <c:v>2.6749999999999999E-2</c:v>
                </c:pt>
                <c:pt idx="4">
                  <c:v>3.2099999999999997E-2</c:v>
                </c:pt>
                <c:pt idx="5">
                  <c:v>1.6150000000000001E-2</c:v>
                </c:pt>
                <c:pt idx="6">
                  <c:v>1.8950000000000002E-2</c:v>
                </c:pt>
                <c:pt idx="7">
                  <c:v>1.5650000000000001E-2</c:v>
                </c:pt>
                <c:pt idx="8">
                  <c:v>2.9524330235101148E-2</c:v>
                </c:pt>
                <c:pt idx="9">
                  <c:v>3.0071077091306724E-2</c:v>
                </c:pt>
                <c:pt idx="10">
                  <c:v>5.3590568060021436E-3</c:v>
                </c:pt>
                <c:pt idx="11">
                  <c:v>8.5744908896034297E-3</c:v>
                </c:pt>
                <c:pt idx="12">
                  <c:v>1.2200000000000001E-2</c:v>
                </c:pt>
                <c:pt idx="13">
                  <c:v>0.01</c:v>
                </c:pt>
                <c:pt idx="14">
                  <c:v>9.7333333333333334E-3</c:v>
                </c:pt>
                <c:pt idx="15">
                  <c:v>6.0000000000000001E-3</c:v>
                </c:pt>
                <c:pt idx="16">
                  <c:v>7.0000000000000001E-3</c:v>
                </c:pt>
                <c:pt idx="17">
                  <c:v>4.0000000000000001E-3</c:v>
                </c:pt>
                <c:pt idx="18">
                  <c:v>8.0000000000000002E-3</c:v>
                </c:pt>
                <c:pt idx="19">
                  <c:v>1.7000000000000001E-2</c:v>
                </c:pt>
                <c:pt idx="20">
                  <c:v>2.1000000000000001E-2</c:v>
                </c:pt>
                <c:pt idx="21">
                  <c:v>1.6E-2</c:v>
                </c:pt>
                <c:pt idx="22">
                  <c:v>1.83E-2</c:v>
                </c:pt>
                <c:pt idx="23">
                  <c:v>2.0689655172413793E-2</c:v>
                </c:pt>
                <c:pt idx="24">
                  <c:v>1.896551724137931E-2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C6F-4136-8C2D-12515BEEB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800319"/>
        <c:axId val="2103658335"/>
      </c:scatterChart>
      <c:valAx>
        <c:axId val="210480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58335"/>
        <c:crosses val="autoZero"/>
        <c:crossBetween val="midCat"/>
      </c:valAx>
      <c:valAx>
        <c:axId val="210365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80031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Sheet1!$B$2:$B$153</c:f>
              <c:numCache>
                <c:formatCode>General</c:formatCode>
                <c:ptCount val="152"/>
                <c:pt idx="0">
                  <c:v>9.4691796412637724E-2</c:v>
                </c:pt>
                <c:pt idx="1">
                  <c:v>0.12082444918265814</c:v>
                </c:pt>
                <c:pt idx="2">
                  <c:v>0.15482054890921884</c:v>
                </c:pt>
                <c:pt idx="3">
                  <c:v>0.11989593937337405</c:v>
                </c:pt>
                <c:pt idx="4">
                  <c:v>0.14076762344660729</c:v>
                </c:pt>
                <c:pt idx="5">
                  <c:v>0.13079119462098185</c:v>
                </c:pt>
                <c:pt idx="6">
                  <c:v>9.7407078773538408E-2</c:v>
                </c:pt>
                <c:pt idx="7">
                  <c:v>7.0231709340264334E-2</c:v>
                </c:pt>
                <c:pt idx="8">
                  <c:v>7.0163949762611963E-2</c:v>
                </c:pt>
                <c:pt idx="9">
                  <c:v>8.9128766309326354E-2</c:v>
                </c:pt>
                <c:pt idx="10">
                  <c:v>5.8804072181998603E-2</c:v>
                </c:pt>
                <c:pt idx="11">
                  <c:v>7.8895463510848127E-2</c:v>
                </c:pt>
                <c:pt idx="12">
                  <c:v>9.6719023373763979E-2</c:v>
                </c:pt>
                <c:pt idx="13">
                  <c:v>9.2551455699935115E-2</c:v>
                </c:pt>
                <c:pt idx="14">
                  <c:v>7.7864443249058626E-2</c:v>
                </c:pt>
                <c:pt idx="15">
                  <c:v>4.9015278636403779E-2</c:v>
                </c:pt>
                <c:pt idx="16">
                  <c:v>5.3639293789387602E-2</c:v>
                </c:pt>
                <c:pt idx="17">
                  <c:v>7.8289671785606751E-2</c:v>
                </c:pt>
                <c:pt idx="18">
                  <c:v>5.7799611838913148E-2</c:v>
                </c:pt>
                <c:pt idx="19">
                  <c:v>6.2899106002554273E-2</c:v>
                </c:pt>
                <c:pt idx="20">
                  <c:v>3.9440203562340972E-2</c:v>
                </c:pt>
                <c:pt idx="21">
                  <c:v>6.0857538035961264E-2</c:v>
                </c:pt>
                <c:pt idx="22">
                  <c:v>8.2365591397849464E-2</c:v>
                </c:pt>
                <c:pt idx="23">
                  <c:v>1.3622803663557056E-2</c:v>
                </c:pt>
                <c:pt idx="24">
                  <c:v>2.40271056381644E-2</c:v>
                </c:pt>
                <c:pt idx="25">
                  <c:v>1.6092476197141166E-2</c:v>
                </c:pt>
                <c:pt idx="26">
                  <c:v>7.5234619395203345E-2</c:v>
                </c:pt>
                <c:pt idx="27">
                  <c:v>8.6548488008342028E-2</c:v>
                </c:pt>
                <c:pt idx="28">
                  <c:v>9.6767466110531802E-2</c:v>
                </c:pt>
                <c:pt idx="29">
                  <c:v>8.2398696688043241E-2</c:v>
                </c:pt>
                <c:pt idx="30">
                  <c:v>6.0886594572341725E-2</c:v>
                </c:pt>
                <c:pt idx="31">
                  <c:v>3.716433642208402E-2</c:v>
                </c:pt>
                <c:pt idx="32">
                  <c:v>3.7717517508634141E-2</c:v>
                </c:pt>
                <c:pt idx="33">
                  <c:v>0.18310028929604627</c:v>
                </c:pt>
                <c:pt idx="34">
                  <c:v>0.12125282805429863</c:v>
                </c:pt>
                <c:pt idx="35">
                  <c:v>0.17647058823529413</c:v>
                </c:pt>
                <c:pt idx="36">
                  <c:v>0.15258357441337192</c:v>
                </c:pt>
                <c:pt idx="37">
                  <c:v>2.4888888888888891E-2</c:v>
                </c:pt>
                <c:pt idx="38">
                  <c:v>2.9547325102880662E-2</c:v>
                </c:pt>
                <c:pt idx="39">
                  <c:v>3.8605442176870751E-2</c:v>
                </c:pt>
                <c:pt idx="40">
                  <c:v>3.6104319478402605E-2</c:v>
                </c:pt>
                <c:pt idx="41">
                  <c:v>3.8207136640557013E-2</c:v>
                </c:pt>
                <c:pt idx="42">
                  <c:v>4.3640350877192979E-2</c:v>
                </c:pt>
                <c:pt idx="43">
                  <c:v>7.3925822827754784E-2</c:v>
                </c:pt>
                <c:pt idx="44">
                  <c:v>7.3953665189592677E-2</c:v>
                </c:pt>
                <c:pt idx="45">
                  <c:v>7.8105590062111804E-2</c:v>
                </c:pt>
                <c:pt idx="46">
                  <c:v>7.9601990049751242E-2</c:v>
                </c:pt>
                <c:pt idx="47">
                  <c:v>0.10059661915810407</c:v>
                </c:pt>
                <c:pt idx="48">
                  <c:v>0.1095100864553314</c:v>
                </c:pt>
                <c:pt idx="49">
                  <c:v>9.9582898852971849E-2</c:v>
                </c:pt>
                <c:pt idx="50">
                  <c:v>7.1949947862356631E-2</c:v>
                </c:pt>
                <c:pt idx="51">
                  <c:v>7.7685088633993746E-2</c:v>
                </c:pt>
                <c:pt idx="52">
                  <c:v>8.1334723670490106E-2</c:v>
                </c:pt>
                <c:pt idx="53">
                  <c:v>7.5599582898852977E-2</c:v>
                </c:pt>
                <c:pt idx="54">
                  <c:v>5.5565485056101684E-2</c:v>
                </c:pt>
                <c:pt idx="55">
                  <c:v>7.7157360406091377E-2</c:v>
                </c:pt>
                <c:pt idx="56">
                  <c:v>9.9492385786802029E-2</c:v>
                </c:pt>
                <c:pt idx="57">
                  <c:v>9.1370558375634528E-2</c:v>
                </c:pt>
                <c:pt idx="58">
                  <c:v>8.1218274111675134E-2</c:v>
                </c:pt>
                <c:pt idx="59">
                  <c:v>7.8514588859416437E-2</c:v>
                </c:pt>
                <c:pt idx="60">
                  <c:v>5.305039787798408E-2</c:v>
                </c:pt>
                <c:pt idx="61">
                  <c:v>5.5172413793103448E-2</c:v>
                </c:pt>
                <c:pt idx="62">
                  <c:v>5.8355437665782495E-2</c:v>
                </c:pt>
                <c:pt idx="63">
                  <c:v>6.1538461538461528E-2</c:v>
                </c:pt>
                <c:pt idx="64">
                  <c:v>6.7904509283819622E-2</c:v>
                </c:pt>
                <c:pt idx="65">
                  <c:v>4.0236686390532544E-2</c:v>
                </c:pt>
                <c:pt idx="66">
                  <c:v>3.980392156862745E-2</c:v>
                </c:pt>
                <c:pt idx="67">
                  <c:v>7.6844262295081969E-2</c:v>
                </c:pt>
                <c:pt idx="68">
                  <c:v>2.8555555555555553E-2</c:v>
                </c:pt>
                <c:pt idx="69">
                  <c:v>3.6222222222222218E-2</c:v>
                </c:pt>
                <c:pt idx="70">
                  <c:v>3.111111111111111E-2</c:v>
                </c:pt>
                <c:pt idx="71">
                  <c:v>3.3634042553191489E-2</c:v>
                </c:pt>
                <c:pt idx="72">
                  <c:v>5.6949544403644768E-2</c:v>
                </c:pt>
                <c:pt idx="73">
                  <c:v>5.311736936350317E-2</c:v>
                </c:pt>
                <c:pt idx="74">
                  <c:v>4.5214790647090809E-2</c:v>
                </c:pt>
                <c:pt idx="75">
                  <c:v>5.0358470525756781E-2</c:v>
                </c:pt>
                <c:pt idx="76">
                  <c:v>4.3048128342245986E-2</c:v>
                </c:pt>
                <c:pt idx="77">
                  <c:v>5.3490338164251201E-2</c:v>
                </c:pt>
                <c:pt idx="78">
                  <c:v>5.1364734299516907E-2</c:v>
                </c:pt>
                <c:pt idx="79">
                  <c:v>6.8862111353831454E-2</c:v>
                </c:pt>
                <c:pt idx="80">
                  <c:v>5.1243961352657005E-2</c:v>
                </c:pt>
                <c:pt idx="81">
                  <c:v>4.5150501672240807E-2</c:v>
                </c:pt>
                <c:pt idx="82">
                  <c:v>2.7844009537373381E-2</c:v>
                </c:pt>
                <c:pt idx="83">
                  <c:v>4.1601255886970168E-2</c:v>
                </c:pt>
                <c:pt idx="84">
                  <c:v>6.6006600660066E-2</c:v>
                </c:pt>
                <c:pt idx="85">
                  <c:v>5.7040998217468809E-2</c:v>
                </c:pt>
                <c:pt idx="86">
                  <c:v>3.0475416497358798E-2</c:v>
                </c:pt>
                <c:pt idx="87">
                  <c:v>9.8684210526315791E-2</c:v>
                </c:pt>
                <c:pt idx="88">
                  <c:v>6.6141356255969438E-2</c:v>
                </c:pt>
                <c:pt idx="89">
                  <c:v>0.10771780303030301</c:v>
                </c:pt>
                <c:pt idx="90">
                  <c:v>7.407407407407407E-2</c:v>
                </c:pt>
                <c:pt idx="91">
                  <c:v>0.11048988285410011</c:v>
                </c:pt>
                <c:pt idx="92">
                  <c:v>6.9033530571992116E-2</c:v>
                </c:pt>
                <c:pt idx="93">
                  <c:v>8.9931573802541548E-2</c:v>
                </c:pt>
                <c:pt idx="94">
                  <c:v>8.3554376657824919E-2</c:v>
                </c:pt>
                <c:pt idx="95">
                  <c:v>5.5572576252723313E-2</c:v>
                </c:pt>
                <c:pt idx="96">
                  <c:v>5.9317129629629629E-2</c:v>
                </c:pt>
                <c:pt idx="97">
                  <c:v>3.4098360655737708E-2</c:v>
                </c:pt>
                <c:pt idx="98">
                  <c:v>5.9446443873179086E-2</c:v>
                </c:pt>
                <c:pt idx="99">
                  <c:v>9.9041349041349036E-2</c:v>
                </c:pt>
                <c:pt idx="100">
                  <c:v>7.9847998489425975E-2</c:v>
                </c:pt>
                <c:pt idx="101">
                  <c:v>7.3306451612903223E-2</c:v>
                </c:pt>
                <c:pt idx="102">
                  <c:v>4.0476190476190471E-2</c:v>
                </c:pt>
                <c:pt idx="103">
                  <c:v>9.7006677188486698E-2</c:v>
                </c:pt>
                <c:pt idx="104">
                  <c:v>8.0967380294185584E-2</c:v>
                </c:pt>
                <c:pt idx="105">
                  <c:v>0.11843751026153251</c:v>
                </c:pt>
                <c:pt idx="106">
                  <c:v>3.7979797979797981E-2</c:v>
                </c:pt>
                <c:pt idx="107">
                  <c:v>6.1683501683501674E-2</c:v>
                </c:pt>
                <c:pt idx="108">
                  <c:v>6.6801346801346806E-2</c:v>
                </c:pt>
                <c:pt idx="109">
                  <c:v>2.074074074074074E-2</c:v>
                </c:pt>
                <c:pt idx="110">
                  <c:v>7.7644959857270296E-2</c:v>
                </c:pt>
                <c:pt idx="111">
                  <c:v>6.3850750572742268E-2</c:v>
                </c:pt>
                <c:pt idx="112">
                  <c:v>7.3366524994294274E-2</c:v>
                </c:pt>
                <c:pt idx="113">
                  <c:v>6.067457321185097E-2</c:v>
                </c:pt>
                <c:pt idx="114">
                  <c:v>6.1929309152214319E-2</c:v>
                </c:pt>
                <c:pt idx="115">
                  <c:v>7.716853451191083E-2</c:v>
                </c:pt>
                <c:pt idx="116">
                  <c:v>7.6921804196563359E-2</c:v>
                </c:pt>
                <c:pt idx="117">
                  <c:v>7.6820209360832059E-2</c:v>
                </c:pt>
                <c:pt idx="118">
                  <c:v>8.0165065620349071E-2</c:v>
                </c:pt>
                <c:pt idx="119">
                  <c:v>6.1364313375037234E-2</c:v>
                </c:pt>
                <c:pt idx="120">
                  <c:v>4.8096580969603474E-2</c:v>
                </c:pt>
                <c:pt idx="121">
                  <c:v>7.958656330749353E-2</c:v>
                </c:pt>
                <c:pt idx="122">
                  <c:v>8.0704116271831716E-2</c:v>
                </c:pt>
                <c:pt idx="123">
                  <c:v>1.9565053803897961E-2</c:v>
                </c:pt>
                <c:pt idx="124">
                  <c:v>3.1354252890862119E-2</c:v>
                </c:pt>
                <c:pt idx="125">
                  <c:v>2.4117691323651141E-2</c:v>
                </c:pt>
                <c:pt idx="126">
                  <c:v>3.2207088569493565E-2</c:v>
                </c:pt>
                <c:pt idx="127">
                  <c:v>3.2207088569493565E-2</c:v>
                </c:pt>
                <c:pt idx="128">
                  <c:v>4.1839115057566406E-2</c:v>
                </c:pt>
                <c:pt idx="129">
                  <c:v>5.2725311661273727E-2</c:v>
                </c:pt>
                <c:pt idx="130">
                  <c:v>5.5283818697168079E-2</c:v>
                </c:pt>
                <c:pt idx="131">
                  <c:v>5.5032984674041184E-2</c:v>
                </c:pt>
                <c:pt idx="132">
                  <c:v>5.8745328216319254E-2</c:v>
                </c:pt>
                <c:pt idx="133">
                  <c:v>5.389203084832906E-2</c:v>
                </c:pt>
                <c:pt idx="134">
                  <c:v>0.1171785078999686</c:v>
                </c:pt>
                <c:pt idx="135">
                  <c:v>0.10908866202202755</c:v>
                </c:pt>
                <c:pt idx="136">
                  <c:v>9.8602723463440164E-2</c:v>
                </c:pt>
                <c:pt idx="137">
                  <c:v>5.2884615384615384E-2</c:v>
                </c:pt>
                <c:pt idx="138">
                  <c:v>2.663438256658596E-2</c:v>
                </c:pt>
                <c:pt idx="139">
                  <c:v>3.1132581857219541E-2</c:v>
                </c:pt>
                <c:pt idx="140">
                  <c:v>3.6637931034482762E-2</c:v>
                </c:pt>
                <c:pt idx="141">
                  <c:v>6.4814814814814811E-2</c:v>
                </c:pt>
                <c:pt idx="142">
                  <c:v>6.934109051549181E-2</c:v>
                </c:pt>
                <c:pt idx="143">
                  <c:v>7.6882742347774799E-2</c:v>
                </c:pt>
                <c:pt idx="144">
                  <c:v>5.5875991348233602E-2</c:v>
                </c:pt>
                <c:pt idx="145">
                  <c:v>6.6952874090581385E-2</c:v>
                </c:pt>
                <c:pt idx="146">
                  <c:v>7.3900504686373478E-2</c:v>
                </c:pt>
                <c:pt idx="147">
                  <c:v>6.275807825915973E-2</c:v>
                </c:pt>
                <c:pt idx="148">
                  <c:v>4.0392616229753202E-2</c:v>
                </c:pt>
                <c:pt idx="149">
                  <c:v>3.7671011294114272E-2</c:v>
                </c:pt>
                <c:pt idx="150">
                  <c:v>6.4502164502164491E-2</c:v>
                </c:pt>
                <c:pt idx="151">
                  <c:v>7.3208273208273208E-2</c:v>
                </c:pt>
              </c:numCache>
            </c:numRef>
          </c:xVal>
          <c:yVal>
            <c:numRef>
              <c:f>Sheet1!$C$2:$C$153</c:f>
              <c:numCache>
                <c:formatCode>General</c:formatCode>
                <c:ptCount val="152"/>
                <c:pt idx="0">
                  <c:v>6.0606059999999996E-3</c:v>
                </c:pt>
                <c:pt idx="1">
                  <c:v>7.2727269999999997E-3</c:v>
                </c:pt>
                <c:pt idx="2">
                  <c:v>6.0606059999999996E-3</c:v>
                </c:pt>
                <c:pt idx="3">
                  <c:v>7.2727269999999997E-3</c:v>
                </c:pt>
                <c:pt idx="4">
                  <c:v>7.2727269999999997E-3</c:v>
                </c:pt>
                <c:pt idx="5">
                  <c:v>4.8484849999999996E-3</c:v>
                </c:pt>
                <c:pt idx="6">
                  <c:v>6.0606059999999996E-3</c:v>
                </c:pt>
                <c:pt idx="7">
                  <c:v>8.0000000000000002E-3</c:v>
                </c:pt>
                <c:pt idx="8">
                  <c:v>5.0909090000000002E-3</c:v>
                </c:pt>
                <c:pt idx="9">
                  <c:v>6.5454550000000004E-3</c:v>
                </c:pt>
                <c:pt idx="10">
                  <c:v>8.0000000000000002E-3</c:v>
                </c:pt>
                <c:pt idx="11">
                  <c:v>8.0000000000000002E-3</c:v>
                </c:pt>
                <c:pt idx="12">
                  <c:v>8.0000000000000002E-3</c:v>
                </c:pt>
                <c:pt idx="13">
                  <c:v>8.7272730000000007E-3</c:v>
                </c:pt>
                <c:pt idx="14">
                  <c:v>6.5454550000000004E-3</c:v>
                </c:pt>
                <c:pt idx="15">
                  <c:v>5.0909090000000002E-3</c:v>
                </c:pt>
                <c:pt idx="16">
                  <c:v>7.2727269999999997E-3</c:v>
                </c:pt>
                <c:pt idx="17">
                  <c:v>1.8333333E-2</c:v>
                </c:pt>
                <c:pt idx="18">
                  <c:v>0.02</c:v>
                </c:pt>
                <c:pt idx="19">
                  <c:v>1.0555556000000001E-2</c:v>
                </c:pt>
                <c:pt idx="20">
                  <c:v>1.7222221999999999E-2</c:v>
                </c:pt>
                <c:pt idx="21">
                  <c:v>1.2222222E-2</c:v>
                </c:pt>
                <c:pt idx="22">
                  <c:v>2.5000000000000001E-2</c:v>
                </c:pt>
                <c:pt idx="23">
                  <c:v>2.3622047244094488E-2</c:v>
                </c:pt>
                <c:pt idx="24">
                  <c:v>2.7777777777777776E-2</c:v>
                </c:pt>
                <c:pt idx="25">
                  <c:v>3.3245844269466314E-2</c:v>
                </c:pt>
                <c:pt idx="26">
                  <c:v>1.7999999999999999E-2</c:v>
                </c:pt>
                <c:pt idx="27">
                  <c:v>1.7999999999999999E-2</c:v>
                </c:pt>
                <c:pt idx="28">
                  <c:v>1.2E-2</c:v>
                </c:pt>
                <c:pt idx="29">
                  <c:v>3.0352748154224774E-2</c:v>
                </c:pt>
                <c:pt idx="30">
                  <c:v>3.1102362204724409E-2</c:v>
                </c:pt>
                <c:pt idx="31">
                  <c:v>2.9921259842519685E-2</c:v>
                </c:pt>
                <c:pt idx="32">
                  <c:v>2.1929824561403508E-2</c:v>
                </c:pt>
                <c:pt idx="33">
                  <c:v>0.01</c:v>
                </c:pt>
                <c:pt idx="34">
                  <c:v>1.9411764705882354E-2</c:v>
                </c:pt>
                <c:pt idx="35">
                  <c:v>1.9411764705882354E-2</c:v>
                </c:pt>
                <c:pt idx="36">
                  <c:v>1.8823529411764704E-2</c:v>
                </c:pt>
                <c:pt idx="37">
                  <c:v>9.2105263157894728E-3</c:v>
                </c:pt>
                <c:pt idx="38">
                  <c:v>1.425438596491228E-2</c:v>
                </c:pt>
                <c:pt idx="39">
                  <c:v>2.0394736842105264E-2</c:v>
                </c:pt>
                <c:pt idx="40">
                  <c:v>1.3157894736842105E-2</c:v>
                </c:pt>
                <c:pt idx="41">
                  <c:v>1.3157894736842105E-2</c:v>
                </c:pt>
                <c:pt idx="42">
                  <c:v>2.1017699115044249E-2</c:v>
                </c:pt>
                <c:pt idx="43">
                  <c:v>3.0165912518853696E-2</c:v>
                </c:pt>
                <c:pt idx="44">
                  <c:v>2.5037707390648568E-2</c:v>
                </c:pt>
                <c:pt idx="45">
                  <c:v>2.1333333333333333E-2</c:v>
                </c:pt>
                <c:pt idx="46">
                  <c:v>1.5333333333333332E-2</c:v>
                </c:pt>
                <c:pt idx="47">
                  <c:v>0.02</c:v>
                </c:pt>
                <c:pt idx="48">
                  <c:v>1.4E-2</c:v>
                </c:pt>
                <c:pt idx="49">
                  <c:v>1.95E-2</c:v>
                </c:pt>
                <c:pt idx="50">
                  <c:v>2.0500000000000001E-2</c:v>
                </c:pt>
                <c:pt idx="51">
                  <c:v>2.1999999999999999E-2</c:v>
                </c:pt>
                <c:pt idx="52">
                  <c:v>2.75E-2</c:v>
                </c:pt>
                <c:pt idx="53">
                  <c:v>2.7E-2</c:v>
                </c:pt>
                <c:pt idx="54">
                  <c:v>1.9574468085106381E-2</c:v>
                </c:pt>
                <c:pt idx="55">
                  <c:v>1.0500000000000001E-2</c:v>
                </c:pt>
                <c:pt idx="56">
                  <c:v>1.0999999999999999E-2</c:v>
                </c:pt>
                <c:pt idx="57">
                  <c:v>1.0999999999999999E-2</c:v>
                </c:pt>
                <c:pt idx="58">
                  <c:v>6.4999999999999997E-3</c:v>
                </c:pt>
                <c:pt idx="59">
                  <c:v>7.3333333333333332E-3</c:v>
                </c:pt>
                <c:pt idx="60">
                  <c:v>6.4999999999999997E-3</c:v>
                </c:pt>
                <c:pt idx="61">
                  <c:v>5.4999999999999997E-3</c:v>
                </c:pt>
                <c:pt idx="62">
                  <c:v>8.0000000000000002E-3</c:v>
                </c:pt>
                <c:pt idx="63">
                  <c:v>9.4999999999999998E-3</c:v>
                </c:pt>
                <c:pt idx="64">
                  <c:v>0.01</c:v>
                </c:pt>
                <c:pt idx="65">
                  <c:v>2.753623188405797E-2</c:v>
                </c:pt>
                <c:pt idx="66">
                  <c:v>2.318840579710145E-2</c:v>
                </c:pt>
                <c:pt idx="67">
                  <c:v>1.5942028985507246E-2</c:v>
                </c:pt>
                <c:pt idx="68">
                  <c:v>1.4545454545454545E-2</c:v>
                </c:pt>
                <c:pt idx="69">
                  <c:v>0.01</c:v>
                </c:pt>
                <c:pt idx="70">
                  <c:v>0.01</c:v>
                </c:pt>
                <c:pt idx="71">
                  <c:v>1.2727272727272728E-2</c:v>
                </c:pt>
                <c:pt idx="72">
                  <c:v>3.03784E-2</c:v>
                </c:pt>
                <c:pt idx="73">
                  <c:v>2.1194999999999999E-2</c:v>
                </c:pt>
                <c:pt idx="74">
                  <c:v>2.6040000000000001E-2</c:v>
                </c:pt>
                <c:pt idx="75">
                  <c:v>2.5700000000000001E-2</c:v>
                </c:pt>
                <c:pt idx="76">
                  <c:v>2.811E-2</c:v>
                </c:pt>
                <c:pt idx="77">
                  <c:v>2.2499999999999999E-2</c:v>
                </c:pt>
                <c:pt idx="78">
                  <c:v>2.8499999999999998E-2</c:v>
                </c:pt>
                <c:pt idx="79">
                  <c:v>2.3E-2</c:v>
                </c:pt>
                <c:pt idx="80">
                  <c:v>2.1000000000000001E-2</c:v>
                </c:pt>
                <c:pt idx="81">
                  <c:v>1.0999999999999999E-2</c:v>
                </c:pt>
                <c:pt idx="82">
                  <c:v>9.7999999999999997E-3</c:v>
                </c:pt>
                <c:pt idx="83">
                  <c:v>8.6999999999999994E-3</c:v>
                </c:pt>
                <c:pt idx="84">
                  <c:v>2E-3</c:v>
                </c:pt>
                <c:pt idx="85">
                  <c:v>3.5000000000000001E-3</c:v>
                </c:pt>
                <c:pt idx="86">
                  <c:v>3.5000000000000001E-3</c:v>
                </c:pt>
                <c:pt idx="87">
                  <c:v>8.7259259259259252E-3</c:v>
                </c:pt>
                <c:pt idx="88">
                  <c:v>1.037037037037037E-2</c:v>
                </c:pt>
                <c:pt idx="89">
                  <c:v>1.1022222222222221E-2</c:v>
                </c:pt>
                <c:pt idx="90">
                  <c:v>1.1748148148148148E-2</c:v>
                </c:pt>
                <c:pt idx="91">
                  <c:v>0.01</c:v>
                </c:pt>
                <c:pt idx="92">
                  <c:v>1.0666666666666666E-2</c:v>
                </c:pt>
                <c:pt idx="93">
                  <c:v>1.2059259259259261E-2</c:v>
                </c:pt>
                <c:pt idx="94">
                  <c:v>1.037037037037037E-2</c:v>
                </c:pt>
                <c:pt idx="95">
                  <c:v>0.03</c:v>
                </c:pt>
                <c:pt idx="96">
                  <c:v>2.5000000000000001E-2</c:v>
                </c:pt>
                <c:pt idx="97">
                  <c:v>3.4000000000000002E-2</c:v>
                </c:pt>
                <c:pt idx="98">
                  <c:v>3.4000000000000002E-2</c:v>
                </c:pt>
                <c:pt idx="99">
                  <c:v>2.286842105263158E-2</c:v>
                </c:pt>
                <c:pt idx="100">
                  <c:v>2.9250000000000002E-2</c:v>
                </c:pt>
                <c:pt idx="101">
                  <c:v>2.3142857142857142E-2</c:v>
                </c:pt>
                <c:pt idx="102">
                  <c:v>2.5999999999999999E-2</c:v>
                </c:pt>
                <c:pt idx="103">
                  <c:v>1.4999999999999999E-2</c:v>
                </c:pt>
                <c:pt idx="104">
                  <c:v>2.1000000000000001E-2</c:v>
                </c:pt>
                <c:pt idx="105">
                  <c:v>1.4999999999999999E-2</c:v>
                </c:pt>
                <c:pt idx="106">
                  <c:v>1.0325925925925924E-2</c:v>
                </c:pt>
                <c:pt idx="107">
                  <c:v>5.4370370370370371E-3</c:v>
                </c:pt>
                <c:pt idx="108">
                  <c:v>8.4000000000000012E-3</c:v>
                </c:pt>
                <c:pt idx="109">
                  <c:v>6.0740740740740738E-3</c:v>
                </c:pt>
                <c:pt idx="110">
                  <c:v>2.8547619047619047E-2</c:v>
                </c:pt>
                <c:pt idx="111">
                  <c:v>2.8000000000000001E-2</c:v>
                </c:pt>
                <c:pt idx="112">
                  <c:v>3.104761904761905E-2</c:v>
                </c:pt>
                <c:pt idx="113">
                  <c:v>2.757142857142857E-2</c:v>
                </c:pt>
                <c:pt idx="114">
                  <c:v>1.8501872659176029E-2</c:v>
                </c:pt>
                <c:pt idx="115">
                  <c:v>2.1910112359550562E-2</c:v>
                </c:pt>
                <c:pt idx="116">
                  <c:v>2.6367041198501875E-2</c:v>
                </c:pt>
                <c:pt idx="117">
                  <c:v>2.7565543071161047E-2</c:v>
                </c:pt>
                <c:pt idx="118">
                  <c:v>1.7412935323383085E-2</c:v>
                </c:pt>
                <c:pt idx="119">
                  <c:v>0.02</c:v>
                </c:pt>
                <c:pt idx="120">
                  <c:v>2.01E-2</c:v>
                </c:pt>
                <c:pt idx="121">
                  <c:v>1.7600000000000001E-2</c:v>
                </c:pt>
                <c:pt idx="122">
                  <c:v>1.66E-2</c:v>
                </c:pt>
                <c:pt idx="123">
                  <c:v>1.37142857E-2</c:v>
                </c:pt>
                <c:pt idx="124">
                  <c:v>6.0714285999999996E-3</c:v>
                </c:pt>
                <c:pt idx="125">
                  <c:v>1.6214285700000001E-2</c:v>
                </c:pt>
                <c:pt idx="126">
                  <c:v>6.0000000000000001E-3</c:v>
                </c:pt>
                <c:pt idx="127">
                  <c:v>1.21428571E-2</c:v>
                </c:pt>
                <c:pt idx="128">
                  <c:v>7.7142857000000002E-3</c:v>
                </c:pt>
                <c:pt idx="129">
                  <c:v>1.28571429E-2</c:v>
                </c:pt>
                <c:pt idx="130">
                  <c:v>6.4285714000000002E-3</c:v>
                </c:pt>
                <c:pt idx="131">
                  <c:v>1.4E-2</c:v>
                </c:pt>
                <c:pt idx="132">
                  <c:v>7.8571429000000009E-3</c:v>
                </c:pt>
                <c:pt idx="133">
                  <c:v>3.1333333333333331E-2</c:v>
                </c:pt>
                <c:pt idx="134">
                  <c:v>7.6716049382716048E-3</c:v>
                </c:pt>
                <c:pt idx="135">
                  <c:v>1.5671604938271605E-2</c:v>
                </c:pt>
                <c:pt idx="136">
                  <c:v>9.1185185185185189E-3</c:v>
                </c:pt>
                <c:pt idx="137">
                  <c:v>2.1299999999999999E-2</c:v>
                </c:pt>
                <c:pt idx="138">
                  <c:v>0.02</c:v>
                </c:pt>
                <c:pt idx="139">
                  <c:v>0.02</c:v>
                </c:pt>
                <c:pt idx="140">
                  <c:v>2.5000000000000001E-2</c:v>
                </c:pt>
                <c:pt idx="141">
                  <c:v>0.02</c:v>
                </c:pt>
                <c:pt idx="142">
                  <c:v>1.0696517412935324E-2</c:v>
                </c:pt>
                <c:pt idx="143">
                  <c:v>1.4676616915422885E-2</c:v>
                </c:pt>
                <c:pt idx="144">
                  <c:v>1.9154228855721392E-2</c:v>
                </c:pt>
                <c:pt idx="145">
                  <c:v>1.7014925373134329E-2</c:v>
                </c:pt>
                <c:pt idx="146">
                  <c:v>1.9104477611940299E-2</c:v>
                </c:pt>
                <c:pt idx="147">
                  <c:v>1.3582089552238807E-2</c:v>
                </c:pt>
                <c:pt idx="148">
                  <c:v>1.5124378109452736E-2</c:v>
                </c:pt>
                <c:pt idx="149">
                  <c:v>1.4029850746268656E-2</c:v>
                </c:pt>
                <c:pt idx="150">
                  <c:v>1.9617021276595745E-2</c:v>
                </c:pt>
                <c:pt idx="151">
                  <c:v>1.9744680851063828E-2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F-4AAF-AC09-2472A0014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800319"/>
        <c:axId val="2103658335"/>
      </c:scatterChart>
      <c:valAx>
        <c:axId val="210480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58335"/>
        <c:crosses val="autoZero"/>
        <c:crossBetween val="midCat"/>
      </c:valAx>
      <c:valAx>
        <c:axId val="210365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80031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θu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Sheet1!$B$2:$B$455</c:f>
              <c:numCache>
                <c:formatCode>General</c:formatCode>
                <c:ptCount val="454"/>
                <c:pt idx="0">
                  <c:v>9.4691796412637724E-2</c:v>
                </c:pt>
                <c:pt idx="1">
                  <c:v>0.12082444918265814</c:v>
                </c:pt>
                <c:pt idx="2">
                  <c:v>0.15482054890921884</c:v>
                </c:pt>
                <c:pt idx="3">
                  <c:v>0.11989593937337405</c:v>
                </c:pt>
                <c:pt idx="4">
                  <c:v>0.14076762344660729</c:v>
                </c:pt>
                <c:pt idx="5">
                  <c:v>0.13079119462098185</c:v>
                </c:pt>
                <c:pt idx="6">
                  <c:v>9.7407078773538408E-2</c:v>
                </c:pt>
                <c:pt idx="7">
                  <c:v>7.0231709340264334E-2</c:v>
                </c:pt>
                <c:pt idx="8">
                  <c:v>7.0163949762611963E-2</c:v>
                </c:pt>
                <c:pt idx="9">
                  <c:v>8.9128766309326354E-2</c:v>
                </c:pt>
                <c:pt idx="10">
                  <c:v>5.8804072181998603E-2</c:v>
                </c:pt>
                <c:pt idx="11">
                  <c:v>7.8895463510848127E-2</c:v>
                </c:pt>
                <c:pt idx="12">
                  <c:v>9.6719023373763979E-2</c:v>
                </c:pt>
                <c:pt idx="13">
                  <c:v>9.2551455699935115E-2</c:v>
                </c:pt>
                <c:pt idx="14">
                  <c:v>7.7864443249058626E-2</c:v>
                </c:pt>
                <c:pt idx="15">
                  <c:v>4.9015278636403779E-2</c:v>
                </c:pt>
                <c:pt idx="16">
                  <c:v>5.3639293789387602E-2</c:v>
                </c:pt>
                <c:pt idx="17">
                  <c:v>7.8289671785606751E-2</c:v>
                </c:pt>
                <c:pt idx="18">
                  <c:v>5.7799611838913148E-2</c:v>
                </c:pt>
                <c:pt idx="19">
                  <c:v>6.2899106002554273E-2</c:v>
                </c:pt>
                <c:pt idx="20">
                  <c:v>3.9440203562340972E-2</c:v>
                </c:pt>
                <c:pt idx="21">
                  <c:v>6.0857538035961264E-2</c:v>
                </c:pt>
                <c:pt idx="22">
                  <c:v>8.2365591397849464E-2</c:v>
                </c:pt>
                <c:pt idx="23">
                  <c:v>1.3622803663557056E-2</c:v>
                </c:pt>
                <c:pt idx="24">
                  <c:v>2.40271056381644E-2</c:v>
                </c:pt>
                <c:pt idx="25">
                  <c:v>1.6092476197141166E-2</c:v>
                </c:pt>
                <c:pt idx="26">
                  <c:v>7.5234619395203345E-2</c:v>
                </c:pt>
                <c:pt idx="27">
                  <c:v>8.6548488008342028E-2</c:v>
                </c:pt>
                <c:pt idx="28">
                  <c:v>9.6767466110531802E-2</c:v>
                </c:pt>
                <c:pt idx="29">
                  <c:v>8.2398696688043241E-2</c:v>
                </c:pt>
                <c:pt idx="30">
                  <c:v>6.0886594572341725E-2</c:v>
                </c:pt>
                <c:pt idx="31">
                  <c:v>3.716433642208402E-2</c:v>
                </c:pt>
                <c:pt idx="32">
                  <c:v>3.7717517508634141E-2</c:v>
                </c:pt>
                <c:pt idx="33">
                  <c:v>0.18310028929604627</c:v>
                </c:pt>
                <c:pt idx="34">
                  <c:v>0.12125282805429863</c:v>
                </c:pt>
                <c:pt idx="35">
                  <c:v>0.17647058823529413</c:v>
                </c:pt>
                <c:pt idx="36">
                  <c:v>0.15258357441337192</c:v>
                </c:pt>
                <c:pt idx="37">
                  <c:v>2.4888888888888891E-2</c:v>
                </c:pt>
                <c:pt idx="38">
                  <c:v>2.9547325102880662E-2</c:v>
                </c:pt>
                <c:pt idx="39">
                  <c:v>3.8605442176870751E-2</c:v>
                </c:pt>
                <c:pt idx="40">
                  <c:v>3.6104319478402605E-2</c:v>
                </c:pt>
                <c:pt idx="41">
                  <c:v>3.8207136640557013E-2</c:v>
                </c:pt>
                <c:pt idx="42">
                  <c:v>4.3640350877192979E-2</c:v>
                </c:pt>
                <c:pt idx="43">
                  <c:v>7.3925822827754784E-2</c:v>
                </c:pt>
                <c:pt idx="44">
                  <c:v>7.3953665189592677E-2</c:v>
                </c:pt>
                <c:pt idx="45">
                  <c:v>7.8105590062111804E-2</c:v>
                </c:pt>
                <c:pt idx="46">
                  <c:v>7.9601990049751242E-2</c:v>
                </c:pt>
                <c:pt idx="47">
                  <c:v>0.10059661915810407</c:v>
                </c:pt>
                <c:pt idx="48">
                  <c:v>0.1095100864553314</c:v>
                </c:pt>
                <c:pt idx="49">
                  <c:v>9.9582898852971849E-2</c:v>
                </c:pt>
                <c:pt idx="50">
                  <c:v>7.1949947862356631E-2</c:v>
                </c:pt>
                <c:pt idx="51">
                  <c:v>7.7685088633993746E-2</c:v>
                </c:pt>
                <c:pt idx="52">
                  <c:v>8.1334723670490106E-2</c:v>
                </c:pt>
                <c:pt idx="53">
                  <c:v>7.5599582898852977E-2</c:v>
                </c:pt>
                <c:pt idx="54">
                  <c:v>5.5565485056101684E-2</c:v>
                </c:pt>
                <c:pt idx="55">
                  <c:v>7.7157360406091377E-2</c:v>
                </c:pt>
                <c:pt idx="56">
                  <c:v>9.9492385786802029E-2</c:v>
                </c:pt>
                <c:pt idx="57">
                  <c:v>9.1370558375634528E-2</c:v>
                </c:pt>
                <c:pt idx="58">
                  <c:v>8.1218274111675134E-2</c:v>
                </c:pt>
                <c:pt idx="59">
                  <c:v>7.8514588859416437E-2</c:v>
                </c:pt>
                <c:pt idx="60">
                  <c:v>5.305039787798408E-2</c:v>
                </c:pt>
                <c:pt idx="61">
                  <c:v>5.5172413793103448E-2</c:v>
                </c:pt>
                <c:pt idx="62">
                  <c:v>5.8355437665782495E-2</c:v>
                </c:pt>
                <c:pt idx="63">
                  <c:v>6.1538461538461528E-2</c:v>
                </c:pt>
                <c:pt idx="64">
                  <c:v>6.7904509283819622E-2</c:v>
                </c:pt>
                <c:pt idx="65">
                  <c:v>4.0236686390532544E-2</c:v>
                </c:pt>
                <c:pt idx="66">
                  <c:v>3.980392156862745E-2</c:v>
                </c:pt>
                <c:pt idx="67">
                  <c:v>7.6844262295081969E-2</c:v>
                </c:pt>
                <c:pt idx="68">
                  <c:v>2.8555555555555553E-2</c:v>
                </c:pt>
                <c:pt idx="69">
                  <c:v>3.6222222222222218E-2</c:v>
                </c:pt>
                <c:pt idx="70">
                  <c:v>3.111111111111111E-2</c:v>
                </c:pt>
                <c:pt idx="71">
                  <c:v>3.3634042553191489E-2</c:v>
                </c:pt>
                <c:pt idx="72">
                  <c:v>5.6949544403644768E-2</c:v>
                </c:pt>
                <c:pt idx="73">
                  <c:v>5.311736936350317E-2</c:v>
                </c:pt>
                <c:pt idx="74">
                  <c:v>4.5214790647090809E-2</c:v>
                </c:pt>
                <c:pt idx="75">
                  <c:v>5.0358470525756781E-2</c:v>
                </c:pt>
                <c:pt idx="76">
                  <c:v>4.3048128342245986E-2</c:v>
                </c:pt>
                <c:pt idx="77">
                  <c:v>5.3490338164251201E-2</c:v>
                </c:pt>
                <c:pt idx="78">
                  <c:v>5.1364734299516907E-2</c:v>
                </c:pt>
                <c:pt idx="79">
                  <c:v>6.8862111353831454E-2</c:v>
                </c:pt>
                <c:pt idx="80">
                  <c:v>5.1243961352657005E-2</c:v>
                </c:pt>
                <c:pt idx="81">
                  <c:v>4.5150501672240807E-2</c:v>
                </c:pt>
                <c:pt idx="82">
                  <c:v>2.7844009537373381E-2</c:v>
                </c:pt>
                <c:pt idx="83">
                  <c:v>4.1601255886970168E-2</c:v>
                </c:pt>
                <c:pt idx="84">
                  <c:v>6.6006600660066E-2</c:v>
                </c:pt>
                <c:pt idx="85">
                  <c:v>5.7040998217468809E-2</c:v>
                </c:pt>
                <c:pt idx="86">
                  <c:v>3.0475416497358798E-2</c:v>
                </c:pt>
                <c:pt idx="87">
                  <c:v>9.8684210526315791E-2</c:v>
                </c:pt>
                <c:pt idx="88">
                  <c:v>6.6141356255969438E-2</c:v>
                </c:pt>
                <c:pt idx="89">
                  <c:v>0.10771780303030301</c:v>
                </c:pt>
                <c:pt idx="90">
                  <c:v>7.407407407407407E-2</c:v>
                </c:pt>
                <c:pt idx="91">
                  <c:v>0.11048988285410011</c:v>
                </c:pt>
                <c:pt idx="92">
                  <c:v>6.9033530571992116E-2</c:v>
                </c:pt>
                <c:pt idx="93">
                  <c:v>8.9931573802541548E-2</c:v>
                </c:pt>
                <c:pt idx="94">
                  <c:v>8.3554376657824919E-2</c:v>
                </c:pt>
                <c:pt idx="95">
                  <c:v>5.5572576252723313E-2</c:v>
                </c:pt>
                <c:pt idx="96">
                  <c:v>5.9317129629629629E-2</c:v>
                </c:pt>
                <c:pt idx="97">
                  <c:v>3.4098360655737708E-2</c:v>
                </c:pt>
                <c:pt idx="98">
                  <c:v>5.9446443873179086E-2</c:v>
                </c:pt>
                <c:pt idx="99">
                  <c:v>9.9041349041349036E-2</c:v>
                </c:pt>
                <c:pt idx="100">
                  <c:v>7.9847998489425975E-2</c:v>
                </c:pt>
                <c:pt idx="101">
                  <c:v>7.3306451612903223E-2</c:v>
                </c:pt>
                <c:pt idx="102">
                  <c:v>4.0476190476190471E-2</c:v>
                </c:pt>
                <c:pt idx="103">
                  <c:v>9.7006677188486698E-2</c:v>
                </c:pt>
                <c:pt idx="104">
                  <c:v>8.0967380294185584E-2</c:v>
                </c:pt>
                <c:pt idx="105">
                  <c:v>0.11843751026153251</c:v>
                </c:pt>
                <c:pt idx="106">
                  <c:v>3.7979797979797981E-2</c:v>
                </c:pt>
                <c:pt idx="107">
                  <c:v>6.1683501683501674E-2</c:v>
                </c:pt>
                <c:pt idx="108">
                  <c:v>6.6801346801346806E-2</c:v>
                </c:pt>
                <c:pt idx="109">
                  <c:v>2.074074074074074E-2</c:v>
                </c:pt>
                <c:pt idx="110">
                  <c:v>7.7644959857270296E-2</c:v>
                </c:pt>
                <c:pt idx="111">
                  <c:v>6.3850750572742268E-2</c:v>
                </c:pt>
                <c:pt idx="112">
                  <c:v>7.3366524994294274E-2</c:v>
                </c:pt>
                <c:pt idx="113">
                  <c:v>6.067457321185097E-2</c:v>
                </c:pt>
                <c:pt idx="114">
                  <c:v>6.1929309152214319E-2</c:v>
                </c:pt>
                <c:pt idx="115">
                  <c:v>7.716853451191083E-2</c:v>
                </c:pt>
                <c:pt idx="116">
                  <c:v>7.6921804196563359E-2</c:v>
                </c:pt>
                <c:pt idx="117">
                  <c:v>7.6820209360832059E-2</c:v>
                </c:pt>
                <c:pt idx="118">
                  <c:v>8.0165065620349071E-2</c:v>
                </c:pt>
                <c:pt idx="119">
                  <c:v>6.1364313375037234E-2</c:v>
                </c:pt>
                <c:pt idx="120">
                  <c:v>4.8096580969603474E-2</c:v>
                </c:pt>
                <c:pt idx="121">
                  <c:v>7.958656330749353E-2</c:v>
                </c:pt>
                <c:pt idx="122">
                  <c:v>8.0704116271831716E-2</c:v>
                </c:pt>
                <c:pt idx="123">
                  <c:v>1.9565053803897961E-2</c:v>
                </c:pt>
                <c:pt idx="124">
                  <c:v>3.1354252890862119E-2</c:v>
                </c:pt>
                <c:pt idx="125">
                  <c:v>2.4117691323651141E-2</c:v>
                </c:pt>
                <c:pt idx="126">
                  <c:v>3.2207088569493565E-2</c:v>
                </c:pt>
                <c:pt idx="127">
                  <c:v>3.2207088569493565E-2</c:v>
                </c:pt>
                <c:pt idx="128">
                  <c:v>4.1839115057566406E-2</c:v>
                </c:pt>
                <c:pt idx="129">
                  <c:v>5.2725311661273727E-2</c:v>
                </c:pt>
                <c:pt idx="130">
                  <c:v>5.5283818697168079E-2</c:v>
                </c:pt>
                <c:pt idx="131">
                  <c:v>5.5032984674041184E-2</c:v>
                </c:pt>
                <c:pt idx="132">
                  <c:v>5.8745328216319254E-2</c:v>
                </c:pt>
                <c:pt idx="133">
                  <c:v>5.389203084832906E-2</c:v>
                </c:pt>
                <c:pt idx="134">
                  <c:v>0.1171785078999686</c:v>
                </c:pt>
                <c:pt idx="135">
                  <c:v>0.10908866202202755</c:v>
                </c:pt>
                <c:pt idx="136">
                  <c:v>9.8602723463440164E-2</c:v>
                </c:pt>
                <c:pt idx="137">
                  <c:v>5.2884615384615384E-2</c:v>
                </c:pt>
                <c:pt idx="138">
                  <c:v>2.663438256658596E-2</c:v>
                </c:pt>
                <c:pt idx="139">
                  <c:v>3.1132581857219541E-2</c:v>
                </c:pt>
                <c:pt idx="140">
                  <c:v>3.6637931034482762E-2</c:v>
                </c:pt>
                <c:pt idx="141">
                  <c:v>6.4814814814814811E-2</c:v>
                </c:pt>
                <c:pt idx="142">
                  <c:v>6.934109051549181E-2</c:v>
                </c:pt>
                <c:pt idx="143">
                  <c:v>7.6882742347774799E-2</c:v>
                </c:pt>
                <c:pt idx="144">
                  <c:v>5.5875991348233602E-2</c:v>
                </c:pt>
                <c:pt idx="145">
                  <c:v>6.6952874090581385E-2</c:v>
                </c:pt>
                <c:pt idx="146">
                  <c:v>7.3900504686373478E-2</c:v>
                </c:pt>
                <c:pt idx="147">
                  <c:v>6.275807825915973E-2</c:v>
                </c:pt>
                <c:pt idx="148">
                  <c:v>4.0392616229753202E-2</c:v>
                </c:pt>
                <c:pt idx="149">
                  <c:v>3.7671011294114272E-2</c:v>
                </c:pt>
                <c:pt idx="150">
                  <c:v>6.4502164502164491E-2</c:v>
                </c:pt>
                <c:pt idx="151">
                  <c:v>7.3208273208273208E-2</c:v>
                </c:pt>
                <c:pt idx="152">
                  <c:v>7.7576280944156584E-2</c:v>
                </c:pt>
                <c:pt idx="153">
                  <c:v>0.11050347222222222</c:v>
                </c:pt>
                <c:pt idx="154">
                  <c:v>3.9859012600291434E-2</c:v>
                </c:pt>
                <c:pt idx="155">
                  <c:v>5.2872164933288425E-2</c:v>
                </c:pt>
                <c:pt idx="156">
                  <c:v>6.0451513289451753E-2</c:v>
                </c:pt>
                <c:pt idx="157">
                  <c:v>0.11897494208019896</c:v>
                </c:pt>
                <c:pt idx="158">
                  <c:v>6.2507595173824121E-2</c:v>
                </c:pt>
                <c:pt idx="159">
                  <c:v>7.3172263184521941E-2</c:v>
                </c:pt>
                <c:pt idx="160">
                  <c:v>6.9624434086620543E-2</c:v>
                </c:pt>
                <c:pt idx="161">
                  <c:v>5.4049227662835923E-2</c:v>
                </c:pt>
                <c:pt idx="162">
                  <c:v>5.5115896469566716E-2</c:v>
                </c:pt>
                <c:pt idx="163">
                  <c:v>6.6688384445021703E-2</c:v>
                </c:pt>
                <c:pt idx="164">
                  <c:v>0.10550151819257887</c:v>
                </c:pt>
                <c:pt idx="165">
                  <c:v>7.8991455855252149E-2</c:v>
                </c:pt>
                <c:pt idx="166">
                  <c:v>7.6095791001451377E-2</c:v>
                </c:pt>
                <c:pt idx="167">
                  <c:v>0.14377121040723981</c:v>
                </c:pt>
                <c:pt idx="168">
                  <c:v>0.20098039215686275</c:v>
                </c:pt>
                <c:pt idx="169">
                  <c:v>0.16568269643623876</c:v>
                </c:pt>
                <c:pt idx="170">
                  <c:v>7.8554049356969066E-2</c:v>
                </c:pt>
                <c:pt idx="171">
                  <c:v>0.12161415146489774</c:v>
                </c:pt>
                <c:pt idx="172">
                  <c:v>6.1561424254368689E-2</c:v>
                </c:pt>
                <c:pt idx="173">
                  <c:v>6.6417600664176013E-2</c:v>
                </c:pt>
                <c:pt idx="174">
                  <c:v>5.9640102827763497E-2</c:v>
                </c:pt>
                <c:pt idx="175">
                  <c:v>5.460526315789474E-2</c:v>
                </c:pt>
                <c:pt idx="176">
                  <c:v>5.5526315789473681E-2</c:v>
                </c:pt>
                <c:pt idx="177">
                  <c:v>5.8233082706766914E-2</c:v>
                </c:pt>
                <c:pt idx="178">
                  <c:v>8.5479493228853565E-2</c:v>
                </c:pt>
                <c:pt idx="179">
                  <c:v>9.5952407605827517E-2</c:v>
                </c:pt>
                <c:pt idx="180">
                  <c:v>0.10947462036480454</c:v>
                </c:pt>
                <c:pt idx="181">
                  <c:v>0.10819151417206187</c:v>
                </c:pt>
                <c:pt idx="182">
                  <c:v>0.16159731986258677</c:v>
                </c:pt>
                <c:pt idx="183">
                  <c:v>0.14461493920092647</c:v>
                </c:pt>
                <c:pt idx="184">
                  <c:v>0.13752541388324135</c:v>
                </c:pt>
                <c:pt idx="185">
                  <c:v>0.12588113757899855</c:v>
                </c:pt>
                <c:pt idx="186">
                  <c:v>5.1998286203941729E-2</c:v>
                </c:pt>
                <c:pt idx="187">
                  <c:v>3.0760972789958298E-2</c:v>
                </c:pt>
                <c:pt idx="188">
                  <c:v>5.3373074323738882E-2</c:v>
                </c:pt>
                <c:pt idx="189">
                  <c:v>0.1434108527131783</c:v>
                </c:pt>
                <c:pt idx="190">
                  <c:v>0.13032407407407406</c:v>
                </c:pt>
                <c:pt idx="191">
                  <c:v>0.16316872427983539</c:v>
                </c:pt>
                <c:pt idx="192">
                  <c:v>0.14885138302859821</c:v>
                </c:pt>
                <c:pt idx="193">
                  <c:v>9.4453491713765672E-2</c:v>
                </c:pt>
                <c:pt idx="194">
                  <c:v>0.11458885941644562</c:v>
                </c:pt>
                <c:pt idx="195">
                  <c:v>0.14096749889740881</c:v>
                </c:pt>
                <c:pt idx="196">
                  <c:v>0.11276223776223776</c:v>
                </c:pt>
                <c:pt idx="197">
                  <c:v>0.10963883677298313</c:v>
                </c:pt>
                <c:pt idx="198">
                  <c:v>0.10297984224364592</c:v>
                </c:pt>
                <c:pt idx="199">
                  <c:v>0.12773109243697478</c:v>
                </c:pt>
                <c:pt idx="200">
                  <c:v>0.11404893449092345</c:v>
                </c:pt>
                <c:pt idx="201">
                  <c:v>0.10964912280701754</c:v>
                </c:pt>
                <c:pt idx="202">
                  <c:v>0.14241486068111456</c:v>
                </c:pt>
                <c:pt idx="203">
                  <c:v>0.14158322903629536</c:v>
                </c:pt>
                <c:pt idx="204">
                  <c:v>9.9284436493738817E-2</c:v>
                </c:pt>
                <c:pt idx="205">
                  <c:v>0.10584869675778766</c:v>
                </c:pt>
                <c:pt idx="206">
                  <c:v>0.10395880270357259</c:v>
                </c:pt>
                <c:pt idx="207">
                  <c:v>0.10520023909145249</c:v>
                </c:pt>
                <c:pt idx="208">
                  <c:v>0.10573042776432608</c:v>
                </c:pt>
                <c:pt idx="209">
                  <c:v>0.14674237895995218</c:v>
                </c:pt>
                <c:pt idx="210">
                  <c:v>7.9092581238503976E-2</c:v>
                </c:pt>
                <c:pt idx="211">
                  <c:v>0.16573556797020486</c:v>
                </c:pt>
                <c:pt idx="212">
                  <c:v>0.17281549247606021</c:v>
                </c:pt>
                <c:pt idx="213">
                  <c:v>7.720588235294118E-2</c:v>
                </c:pt>
                <c:pt idx="214">
                  <c:v>8.5487482190107891E-2</c:v>
                </c:pt>
                <c:pt idx="215">
                  <c:v>0.10246331236897274</c:v>
                </c:pt>
                <c:pt idx="216">
                  <c:v>0.15677419354838709</c:v>
                </c:pt>
                <c:pt idx="217">
                  <c:v>0.16709677419354838</c:v>
                </c:pt>
                <c:pt idx="218">
                  <c:v>0.10123281175912754</c:v>
                </c:pt>
                <c:pt idx="219">
                  <c:v>0.1631246046805819</c:v>
                </c:pt>
                <c:pt idx="220">
                  <c:v>0.10751988430947217</c:v>
                </c:pt>
                <c:pt idx="221">
                  <c:v>9.155998103366525E-2</c:v>
                </c:pt>
                <c:pt idx="222">
                  <c:v>0.14767025089605734</c:v>
                </c:pt>
                <c:pt idx="223">
                  <c:v>6.7236786313441363E-2</c:v>
                </c:pt>
                <c:pt idx="224">
                  <c:v>7.9456007386604091E-2</c:v>
                </c:pt>
                <c:pt idx="225">
                  <c:v>2.942489677381117E-2</c:v>
                </c:pt>
                <c:pt idx="226">
                  <c:v>4.1238961709344983E-2</c:v>
                </c:pt>
                <c:pt idx="227">
                  <c:v>7.5475778546712807E-2</c:v>
                </c:pt>
                <c:pt idx="228">
                  <c:v>0.10185986159169551</c:v>
                </c:pt>
                <c:pt idx="229">
                  <c:v>8.7153979238754328E-2</c:v>
                </c:pt>
                <c:pt idx="230">
                  <c:v>8.9965397923875437E-2</c:v>
                </c:pt>
                <c:pt idx="231">
                  <c:v>8.2434357826175461E-2</c:v>
                </c:pt>
                <c:pt idx="232">
                  <c:v>7.4292692855688985E-2</c:v>
                </c:pt>
                <c:pt idx="233">
                  <c:v>0.14172307692307692</c:v>
                </c:pt>
                <c:pt idx="234">
                  <c:v>6.515957446808511E-2</c:v>
                </c:pt>
                <c:pt idx="235">
                  <c:v>7.6279981549815495E-2</c:v>
                </c:pt>
                <c:pt idx="236">
                  <c:v>8.8231877323420083E-2</c:v>
                </c:pt>
                <c:pt idx="237">
                  <c:v>0.10486381322957199</c:v>
                </c:pt>
                <c:pt idx="238">
                  <c:v>5.7627688172043001E-2</c:v>
                </c:pt>
                <c:pt idx="239">
                  <c:v>6.174395161290322E-2</c:v>
                </c:pt>
                <c:pt idx="240">
                  <c:v>6.145484949832776E-2</c:v>
                </c:pt>
                <c:pt idx="241">
                  <c:v>5.52860696517413E-2</c:v>
                </c:pt>
                <c:pt idx="242">
                  <c:v>4.5926616915422887E-2</c:v>
                </c:pt>
                <c:pt idx="243">
                  <c:v>5.1064205599222826E-2</c:v>
                </c:pt>
                <c:pt idx="244">
                  <c:v>5.6257175660160738E-2</c:v>
                </c:pt>
                <c:pt idx="245">
                  <c:v>6.6931614118755339E-2</c:v>
                </c:pt>
                <c:pt idx="246">
                  <c:v>5.8749729612805536E-2</c:v>
                </c:pt>
                <c:pt idx="247">
                  <c:v>6.4200735453168928E-2</c:v>
                </c:pt>
                <c:pt idx="248">
                  <c:v>5.9746675776528091E-2</c:v>
                </c:pt>
                <c:pt idx="249">
                  <c:v>7.9530219860481283E-2</c:v>
                </c:pt>
                <c:pt idx="250">
                  <c:v>8.0826628904000872E-2</c:v>
                </c:pt>
                <c:pt idx="251">
                  <c:v>0.10474308300395256</c:v>
                </c:pt>
                <c:pt idx="252">
                  <c:v>8.584467952779587E-2</c:v>
                </c:pt>
                <c:pt idx="253">
                  <c:v>8.3917452628230998E-2</c:v>
                </c:pt>
                <c:pt idx="254">
                  <c:v>7.4187133258586974E-2</c:v>
                </c:pt>
                <c:pt idx="255">
                  <c:v>6.5559454565847886E-2</c:v>
                </c:pt>
                <c:pt idx="256">
                  <c:v>9.2314184733871402E-2</c:v>
                </c:pt>
                <c:pt idx="257">
                  <c:v>9.4217180214392154E-2</c:v>
                </c:pt>
                <c:pt idx="258">
                  <c:v>7.3282308436702734E-2</c:v>
                </c:pt>
                <c:pt idx="259">
                  <c:v>9.6175578421459587E-2</c:v>
                </c:pt>
                <c:pt idx="260">
                  <c:v>8.1927838745206275E-2</c:v>
                </c:pt>
                <c:pt idx="261">
                  <c:v>9.1448931116389548E-2</c:v>
                </c:pt>
                <c:pt idx="262">
                  <c:v>0.12818156108597284</c:v>
                </c:pt>
                <c:pt idx="263">
                  <c:v>2.9527622745288362E-2</c:v>
                </c:pt>
                <c:pt idx="264">
                  <c:v>5.639093352027106E-2</c:v>
                </c:pt>
                <c:pt idx="265">
                  <c:v>4.7292323869610943E-2</c:v>
                </c:pt>
                <c:pt idx="266">
                  <c:v>6.0493827160493827E-2</c:v>
                </c:pt>
                <c:pt idx="267">
                  <c:v>5.8994386503529124E-2</c:v>
                </c:pt>
                <c:pt idx="268">
                  <c:v>7.0046236712903387E-2</c:v>
                </c:pt>
                <c:pt idx="269">
                  <c:v>0.11287477954144622</c:v>
                </c:pt>
                <c:pt idx="270">
                  <c:v>0.15274188917599771</c:v>
                </c:pt>
                <c:pt idx="271">
                  <c:v>0.11093423891895716</c:v>
                </c:pt>
                <c:pt idx="272">
                  <c:v>0.1276665038267383</c:v>
                </c:pt>
                <c:pt idx="273">
                  <c:v>0.12615596963423051</c:v>
                </c:pt>
                <c:pt idx="274">
                  <c:v>0.12325986907926709</c:v>
                </c:pt>
                <c:pt idx="275">
                  <c:v>0.11856368563685638</c:v>
                </c:pt>
                <c:pt idx="276">
                  <c:v>0.10906515580736545</c:v>
                </c:pt>
                <c:pt idx="277">
                  <c:v>0.11297330850403477</c:v>
                </c:pt>
                <c:pt idx="278">
                  <c:v>9.8707876485654267E-2</c:v>
                </c:pt>
                <c:pt idx="279">
                  <c:v>8.9436459046315295E-2</c:v>
                </c:pt>
                <c:pt idx="280">
                  <c:v>8.5217391304347828E-2</c:v>
                </c:pt>
                <c:pt idx="281">
                  <c:v>8.0103115470464337E-2</c:v>
                </c:pt>
                <c:pt idx="282">
                  <c:v>6.8677949472651462E-2</c:v>
                </c:pt>
                <c:pt idx="283">
                  <c:v>7.2287581699346404E-2</c:v>
                </c:pt>
                <c:pt idx="284">
                  <c:v>0.11558889171398705</c:v>
                </c:pt>
                <c:pt idx="285">
                  <c:v>0.10748333755167468</c:v>
                </c:pt>
                <c:pt idx="286">
                  <c:v>0.10931811338315402</c:v>
                </c:pt>
                <c:pt idx="287">
                  <c:v>7.9252591031943653E-2</c:v>
                </c:pt>
                <c:pt idx="288">
                  <c:v>9.1830032392929598E-2</c:v>
                </c:pt>
                <c:pt idx="289">
                  <c:v>9.1913652783218003E-2</c:v>
                </c:pt>
                <c:pt idx="290">
                  <c:v>7.8132927447995937E-2</c:v>
                </c:pt>
                <c:pt idx="291">
                  <c:v>7.1192473938469364E-2</c:v>
                </c:pt>
                <c:pt idx="292">
                  <c:v>8.9311002178649235E-2</c:v>
                </c:pt>
                <c:pt idx="293">
                  <c:v>0.17619561308881695</c:v>
                </c:pt>
                <c:pt idx="294">
                  <c:v>0.21812678062678062</c:v>
                </c:pt>
                <c:pt idx="295">
                  <c:v>0.22720686257462469</c:v>
                </c:pt>
                <c:pt idx="296">
                  <c:v>0.14274691358024691</c:v>
                </c:pt>
                <c:pt idx="297">
                  <c:v>0.14178240740740738</c:v>
                </c:pt>
                <c:pt idx="298">
                  <c:v>0.16082505269497138</c:v>
                </c:pt>
                <c:pt idx="299">
                  <c:v>0.1558641975308642</c:v>
                </c:pt>
                <c:pt idx="300">
                  <c:v>0.17004843759229724</c:v>
                </c:pt>
                <c:pt idx="301">
                  <c:v>0.20141547840797253</c:v>
                </c:pt>
                <c:pt idx="302">
                  <c:v>0.13772015765010087</c:v>
                </c:pt>
                <c:pt idx="303">
                  <c:v>0.17968099376354885</c:v>
                </c:pt>
                <c:pt idx="304">
                  <c:v>8.1128496435746073E-2</c:v>
                </c:pt>
                <c:pt idx="305">
                  <c:v>0.13870071229194222</c:v>
                </c:pt>
                <c:pt idx="306">
                  <c:v>0.12698191066150161</c:v>
                </c:pt>
                <c:pt idx="307">
                  <c:v>0.11829460734255905</c:v>
                </c:pt>
                <c:pt idx="308">
                  <c:v>8.6089577950043059E-2</c:v>
                </c:pt>
                <c:pt idx="309">
                  <c:v>0.10258397932816538</c:v>
                </c:pt>
                <c:pt idx="310">
                  <c:v>8.476080246913581E-2</c:v>
                </c:pt>
                <c:pt idx="311">
                  <c:v>5.5401234567901241E-2</c:v>
                </c:pt>
                <c:pt idx="312">
                  <c:v>9.8482820169567151E-2</c:v>
                </c:pt>
                <c:pt idx="313">
                  <c:v>0.10004462293618921</c:v>
                </c:pt>
                <c:pt idx="314">
                  <c:v>9.0967741935483862E-2</c:v>
                </c:pt>
                <c:pt idx="315">
                  <c:v>0.18410958904109589</c:v>
                </c:pt>
                <c:pt idx="316">
                  <c:v>0.1789041095890411</c:v>
                </c:pt>
                <c:pt idx="317">
                  <c:v>0.12200913242009132</c:v>
                </c:pt>
                <c:pt idx="318">
                  <c:v>0.13068493150684932</c:v>
                </c:pt>
                <c:pt idx="319">
                  <c:v>0.12510936132983377</c:v>
                </c:pt>
                <c:pt idx="320">
                  <c:v>0.13551316984559492</c:v>
                </c:pt>
                <c:pt idx="321">
                  <c:v>0.12216404886561955</c:v>
                </c:pt>
                <c:pt idx="322">
                  <c:v>0.1789272030651341</c:v>
                </c:pt>
                <c:pt idx="323">
                  <c:v>0.18624813153961137</c:v>
                </c:pt>
                <c:pt idx="324">
                  <c:v>0.20953654188948309</c:v>
                </c:pt>
                <c:pt idx="325">
                  <c:v>0.14606175173282923</c:v>
                </c:pt>
                <c:pt idx="326">
                  <c:v>0.13509766855702585</c:v>
                </c:pt>
                <c:pt idx="327">
                  <c:v>0.16473118279569893</c:v>
                </c:pt>
                <c:pt idx="328">
                  <c:v>0.15469534050179212</c:v>
                </c:pt>
                <c:pt idx="329">
                  <c:v>0.18923766816143497</c:v>
                </c:pt>
                <c:pt idx="330">
                  <c:v>0.21639928698752231</c:v>
                </c:pt>
                <c:pt idx="331">
                  <c:v>0.18410958904109589</c:v>
                </c:pt>
                <c:pt idx="332">
                  <c:v>0.17899543378995433</c:v>
                </c:pt>
                <c:pt idx="333">
                  <c:v>0.12200913242009132</c:v>
                </c:pt>
                <c:pt idx="334">
                  <c:v>0.13068493150684932</c:v>
                </c:pt>
                <c:pt idx="335">
                  <c:v>8.8433048433048431E-2</c:v>
                </c:pt>
                <c:pt idx="336">
                  <c:v>0.11008547008547008</c:v>
                </c:pt>
                <c:pt idx="337">
                  <c:v>8.4102564102564101E-2</c:v>
                </c:pt>
                <c:pt idx="338">
                  <c:v>0.10985754985754986</c:v>
                </c:pt>
                <c:pt idx="339">
                  <c:v>6.9961066187481269E-2</c:v>
                </c:pt>
                <c:pt idx="340">
                  <c:v>6.876310272536687E-2</c:v>
                </c:pt>
                <c:pt idx="341">
                  <c:v>5.8269065981148241E-2</c:v>
                </c:pt>
                <c:pt idx="342">
                  <c:v>6.5168834581526738E-2</c:v>
                </c:pt>
                <c:pt idx="343">
                  <c:v>0.1047128892341555</c:v>
                </c:pt>
                <c:pt idx="344">
                  <c:v>9.1927235061824306E-2</c:v>
                </c:pt>
                <c:pt idx="345">
                  <c:v>7.9788955784294679E-2</c:v>
                </c:pt>
                <c:pt idx="346">
                  <c:v>5.8894230769230768E-2</c:v>
                </c:pt>
                <c:pt idx="347">
                  <c:v>7.5716845878136207E-2</c:v>
                </c:pt>
                <c:pt idx="348">
                  <c:v>6.0562015503875966E-2</c:v>
                </c:pt>
                <c:pt idx="349">
                  <c:v>7.93040293040293E-2</c:v>
                </c:pt>
                <c:pt idx="350">
                  <c:v>7.946428571428571E-2</c:v>
                </c:pt>
                <c:pt idx="351">
                  <c:v>6.8981481481481477E-2</c:v>
                </c:pt>
                <c:pt idx="352">
                  <c:v>6.535947712418301E-2</c:v>
                </c:pt>
                <c:pt idx="353">
                  <c:v>7.5407268170426062E-2</c:v>
                </c:pt>
                <c:pt idx="354">
                  <c:v>7.8596491228070178E-2</c:v>
                </c:pt>
                <c:pt idx="355">
                  <c:v>8.4561403508771921E-2</c:v>
                </c:pt>
                <c:pt idx="356">
                  <c:v>9.2824654228162995E-2</c:v>
                </c:pt>
                <c:pt idx="357">
                  <c:v>0.11487050960735172</c:v>
                </c:pt>
                <c:pt idx="358">
                  <c:v>0.12144558928184659</c:v>
                </c:pt>
                <c:pt idx="359">
                  <c:v>6.7460317460317457E-2</c:v>
                </c:pt>
                <c:pt idx="360">
                  <c:v>8.2668600435097897E-2</c:v>
                </c:pt>
                <c:pt idx="361">
                  <c:v>6.6707242848447965E-2</c:v>
                </c:pt>
                <c:pt idx="362">
                  <c:v>9.8348348348348338E-2</c:v>
                </c:pt>
                <c:pt idx="363">
                  <c:v>7.3688271604938266E-2</c:v>
                </c:pt>
                <c:pt idx="364">
                  <c:v>9.3444909344490942E-2</c:v>
                </c:pt>
                <c:pt idx="365">
                  <c:v>6.9675687618928395E-2</c:v>
                </c:pt>
                <c:pt idx="366">
                  <c:v>7.0362050992602052E-2</c:v>
                </c:pt>
                <c:pt idx="367">
                  <c:v>0.10837922800083312</c:v>
                </c:pt>
                <c:pt idx="368">
                  <c:v>9.9517340896651249E-2</c:v>
                </c:pt>
                <c:pt idx="369">
                  <c:v>0.11267518569493372</c:v>
                </c:pt>
                <c:pt idx="370">
                  <c:v>8.308290462941427E-2</c:v>
                </c:pt>
                <c:pt idx="371">
                  <c:v>6.2886824365547031E-2</c:v>
                </c:pt>
                <c:pt idx="372">
                  <c:v>0.25529516068892893</c:v>
                </c:pt>
                <c:pt idx="373">
                  <c:v>0.28729267603782882</c:v>
                </c:pt>
                <c:pt idx="374">
                  <c:v>0.12899067005937237</c:v>
                </c:pt>
                <c:pt idx="375">
                  <c:v>0.14443381180223286</c:v>
                </c:pt>
                <c:pt idx="376">
                  <c:v>0.12463186274509805</c:v>
                </c:pt>
                <c:pt idx="377">
                  <c:v>6.231195566112431E-2</c:v>
                </c:pt>
                <c:pt idx="378">
                  <c:v>3.9350752177355501E-2</c:v>
                </c:pt>
                <c:pt idx="379">
                  <c:v>3.34916864608076E-2</c:v>
                </c:pt>
                <c:pt idx="380">
                  <c:v>3.3333333333333333E-2</c:v>
                </c:pt>
                <c:pt idx="381">
                  <c:v>8.2739509105304823E-2</c:v>
                </c:pt>
                <c:pt idx="382">
                  <c:v>5.7482185273159139E-2</c:v>
                </c:pt>
                <c:pt idx="383">
                  <c:v>4.1666666666666664E-2</c:v>
                </c:pt>
                <c:pt idx="384">
                  <c:v>3.3259259259259259E-2</c:v>
                </c:pt>
                <c:pt idx="385">
                  <c:v>6.0757575757575753E-2</c:v>
                </c:pt>
                <c:pt idx="386">
                  <c:v>0.10009259259259259</c:v>
                </c:pt>
                <c:pt idx="387">
                  <c:v>0.21696543580936026</c:v>
                </c:pt>
                <c:pt idx="388">
                  <c:v>0.11345800339366516</c:v>
                </c:pt>
                <c:pt idx="389">
                  <c:v>0.13764044943820225</c:v>
                </c:pt>
                <c:pt idx="390">
                  <c:v>0.13359220092531393</c:v>
                </c:pt>
                <c:pt idx="391">
                  <c:v>0.12991374434389139</c:v>
                </c:pt>
                <c:pt idx="392">
                  <c:v>8.1083705573897852E-2</c:v>
                </c:pt>
                <c:pt idx="393">
                  <c:v>9.5164109535832209E-2</c:v>
                </c:pt>
                <c:pt idx="394">
                  <c:v>7.4181752787435565E-2</c:v>
                </c:pt>
                <c:pt idx="395">
                  <c:v>8.2923710186628308E-2</c:v>
                </c:pt>
                <c:pt idx="396">
                  <c:v>9.5104811265943029E-2</c:v>
                </c:pt>
                <c:pt idx="397">
                  <c:v>6.955155669808627E-2</c:v>
                </c:pt>
                <c:pt idx="398">
                  <c:v>4.8752879952442874E-2</c:v>
                </c:pt>
                <c:pt idx="399">
                  <c:v>4.3167641325536056E-2</c:v>
                </c:pt>
                <c:pt idx="400">
                  <c:v>2.9033423667570009E-2</c:v>
                </c:pt>
                <c:pt idx="401">
                  <c:v>4.6684350132625993E-2</c:v>
                </c:pt>
                <c:pt idx="402">
                  <c:v>5.0928381962864713E-2</c:v>
                </c:pt>
                <c:pt idx="403">
                  <c:v>4.4110275689223058E-2</c:v>
                </c:pt>
                <c:pt idx="404">
                  <c:v>4.5087719298245614E-2</c:v>
                </c:pt>
                <c:pt idx="405">
                  <c:v>4.6785714285714285E-2</c:v>
                </c:pt>
                <c:pt idx="406">
                  <c:v>5.3004625647680222E-2</c:v>
                </c:pt>
                <c:pt idx="407">
                  <c:v>3.5293026436278956E-2</c:v>
                </c:pt>
                <c:pt idx="408">
                  <c:v>6.7570595076798204E-2</c:v>
                </c:pt>
                <c:pt idx="409">
                  <c:v>7.410762423942481E-2</c:v>
                </c:pt>
                <c:pt idx="410">
                  <c:v>7.5063851648965771E-2</c:v>
                </c:pt>
                <c:pt idx="411">
                  <c:v>7.7031314881062254E-2</c:v>
                </c:pt>
                <c:pt idx="412">
                  <c:v>9.2101168672597239E-2</c:v>
                </c:pt>
                <c:pt idx="413">
                  <c:v>0.12093023255813952</c:v>
                </c:pt>
                <c:pt idx="414">
                  <c:v>7.0014350048604998E-2</c:v>
                </c:pt>
                <c:pt idx="415">
                  <c:v>0.10141487694718407</c:v>
                </c:pt>
                <c:pt idx="416">
                  <c:v>8.505154639175258E-2</c:v>
                </c:pt>
                <c:pt idx="417">
                  <c:v>0.11479591836734693</c:v>
                </c:pt>
                <c:pt idx="418">
                  <c:v>0.13846153846153847</c:v>
                </c:pt>
                <c:pt idx="419">
                  <c:v>0.11254370629370629</c:v>
                </c:pt>
                <c:pt idx="420">
                  <c:v>0.12891344383057091</c:v>
                </c:pt>
                <c:pt idx="421">
                  <c:v>0.15270292340356034</c:v>
                </c:pt>
                <c:pt idx="422">
                  <c:v>5.0389273356401386E-2</c:v>
                </c:pt>
                <c:pt idx="423">
                  <c:v>5.8371704267463985E-2</c:v>
                </c:pt>
                <c:pt idx="424">
                  <c:v>9.244913507902662E-2</c:v>
                </c:pt>
                <c:pt idx="425">
                  <c:v>7.1915527031080048E-2</c:v>
                </c:pt>
                <c:pt idx="426">
                  <c:v>8.6064924782264449E-2</c:v>
                </c:pt>
                <c:pt idx="427">
                  <c:v>5.1148060174188437E-2</c:v>
                </c:pt>
                <c:pt idx="428">
                  <c:v>4.9926578560939794E-2</c:v>
                </c:pt>
                <c:pt idx="429">
                  <c:v>4.2358522534733989E-2</c:v>
                </c:pt>
                <c:pt idx="430">
                  <c:v>2.6443013667683271E-2</c:v>
                </c:pt>
                <c:pt idx="431">
                  <c:v>5.1232323232323233E-2</c:v>
                </c:pt>
                <c:pt idx="432">
                  <c:v>5.1151515151515156E-2</c:v>
                </c:pt>
                <c:pt idx="433">
                  <c:v>4.9188311688311684E-2</c:v>
                </c:pt>
                <c:pt idx="434">
                  <c:v>4.8538961038961041E-2</c:v>
                </c:pt>
                <c:pt idx="435">
                  <c:v>7.7777777777777779E-2</c:v>
                </c:pt>
                <c:pt idx="436">
                  <c:v>7.3174603174603184E-2</c:v>
                </c:pt>
                <c:pt idx="437">
                  <c:v>9.6984126984126978E-2</c:v>
                </c:pt>
                <c:pt idx="438">
                  <c:v>4.178415234446909E-2</c:v>
                </c:pt>
                <c:pt idx="439">
                  <c:v>5.9258468310226034E-2</c:v>
                </c:pt>
                <c:pt idx="440">
                  <c:v>5.8520187661022162E-2</c:v>
                </c:pt>
                <c:pt idx="441">
                  <c:v>6.0747179821209543E-2</c:v>
                </c:pt>
                <c:pt idx="442">
                  <c:v>8.4189497716894976E-2</c:v>
                </c:pt>
                <c:pt idx="443">
                  <c:v>0.1089150047483381</c:v>
                </c:pt>
                <c:pt idx="444">
                  <c:v>8.9714714714714719E-2</c:v>
                </c:pt>
                <c:pt idx="445">
                  <c:v>9.9715099715099717E-2</c:v>
                </c:pt>
                <c:pt idx="446">
                  <c:v>0.10364842454394693</c:v>
                </c:pt>
                <c:pt idx="447">
                  <c:v>0.11247443762781185</c:v>
                </c:pt>
              </c:numCache>
            </c:numRef>
          </c:xVal>
          <c:yVal>
            <c:numRef>
              <c:f>Sheet1!$D$2:$D$455</c:f>
              <c:numCache>
                <c:formatCode>General</c:formatCode>
                <c:ptCount val="454"/>
                <c:pt idx="0">
                  <c:v>-5.1059454839005811</c:v>
                </c:pt>
                <c:pt idx="1">
                  <c:v>-4.9236239546066267</c:v>
                </c:pt>
                <c:pt idx="2">
                  <c:v>-5.1059454839005811</c:v>
                </c:pt>
                <c:pt idx="3">
                  <c:v>-4.9236239546066267</c:v>
                </c:pt>
                <c:pt idx="4">
                  <c:v>-4.9236239546066267</c:v>
                </c:pt>
                <c:pt idx="5">
                  <c:v>-5.329088993964791</c:v>
                </c:pt>
                <c:pt idx="6">
                  <c:v>-5.1059454839005811</c:v>
                </c:pt>
                <c:pt idx="7">
                  <c:v>-4.8283137373023015</c:v>
                </c:pt>
                <c:pt idx="8">
                  <c:v>-5.2802988789025012</c:v>
                </c:pt>
                <c:pt idx="9">
                  <c:v>-5.02898436332001</c:v>
                </c:pt>
                <c:pt idx="10">
                  <c:v>-4.8283137373023015</c:v>
                </c:pt>
                <c:pt idx="11">
                  <c:v>-4.8283137373023015</c:v>
                </c:pt>
                <c:pt idx="12">
                  <c:v>-4.8283137373023015</c:v>
                </c:pt>
                <c:pt idx="13">
                  <c:v>-4.7413023290626715</c:v>
                </c:pt>
                <c:pt idx="14">
                  <c:v>-5.02898436332001</c:v>
                </c:pt>
                <c:pt idx="15">
                  <c:v>-5.2802988789025012</c:v>
                </c:pt>
                <c:pt idx="16">
                  <c:v>-4.9236239546066267</c:v>
                </c:pt>
                <c:pt idx="17">
                  <c:v>-3.9990344005995944</c:v>
                </c:pt>
                <c:pt idx="18">
                  <c:v>-3.912023005428146</c:v>
                </c:pt>
                <c:pt idx="19">
                  <c:v>-4.5511029226125537</c:v>
                </c:pt>
                <c:pt idx="20">
                  <c:v>-4.0615547523023361</c:v>
                </c:pt>
                <c:pt idx="21">
                  <c:v>-4.404499508707759</c:v>
                </c:pt>
                <c:pt idx="22">
                  <c:v>-3.6888794541139363</c:v>
                </c:pt>
                <c:pt idx="23">
                  <c:v>-3.7455747977904816</c:v>
                </c:pt>
                <c:pt idx="24">
                  <c:v>-3.5835189384561099</c:v>
                </c:pt>
                <c:pt idx="25">
                  <c:v>-3.4038255040684251</c:v>
                </c:pt>
                <c:pt idx="26">
                  <c:v>-4.0173835210859723</c:v>
                </c:pt>
                <c:pt idx="27">
                  <c:v>-4.0173835210859723</c:v>
                </c:pt>
                <c:pt idx="28">
                  <c:v>-4.4228486291941369</c:v>
                </c:pt>
                <c:pt idx="29">
                  <c:v>-3.4948682168370473</c:v>
                </c:pt>
                <c:pt idx="30">
                  <c:v>-3.470471507545561</c:v>
                </c:pt>
                <c:pt idx="31">
                  <c:v>-3.509186019726251</c:v>
                </c:pt>
                <c:pt idx="32">
                  <c:v>-3.8199077165203406</c:v>
                </c:pt>
                <c:pt idx="33">
                  <c:v>-4.6051701859880909</c:v>
                </c:pt>
                <c:pt idx="34">
                  <c:v>-3.9418759685778273</c:v>
                </c:pt>
                <c:pt idx="35">
                  <c:v>-3.9418759685778273</c:v>
                </c:pt>
                <c:pt idx="36">
                  <c:v>-3.972647627244581</c:v>
                </c:pt>
                <c:pt idx="37">
                  <c:v>-4.6874082842250635</c:v>
                </c:pt>
                <c:pt idx="38">
                  <c:v>-4.2506906326127947</c:v>
                </c:pt>
                <c:pt idx="39">
                  <c:v>-3.8924784093551756</c:v>
                </c:pt>
                <c:pt idx="40">
                  <c:v>-4.3307333402863311</c:v>
                </c:pt>
                <c:pt idx="41">
                  <c:v>-4.3307333402863311</c:v>
                </c:pt>
                <c:pt idx="42">
                  <c:v>-3.8623903812257359</c:v>
                </c:pt>
                <c:pt idx="43">
                  <c:v>-3.5010427166318716</c:v>
                </c:pt>
                <c:pt idx="44">
                  <c:v>-3.6873722948233647</c:v>
                </c:pt>
                <c:pt idx="45">
                  <c:v>-3.8474844842905749</c:v>
                </c:pt>
                <c:pt idx="46">
                  <c:v>-4.1777261711611517</c:v>
                </c:pt>
                <c:pt idx="47">
                  <c:v>-3.912023005428146</c:v>
                </c:pt>
                <c:pt idx="48">
                  <c:v>-4.2686979493668789</c:v>
                </c:pt>
                <c:pt idx="49">
                  <c:v>-3.9373408134124359</c:v>
                </c:pt>
                <c:pt idx="50">
                  <c:v>-3.8873303928377747</c:v>
                </c:pt>
                <c:pt idx="51">
                  <c:v>-3.8167128256238212</c:v>
                </c:pt>
                <c:pt idx="52">
                  <c:v>-3.5935692743096115</c:v>
                </c:pt>
                <c:pt idx="53">
                  <c:v>-3.6119184129778081</c:v>
                </c:pt>
                <c:pt idx="54">
                  <c:v>-3.9335292106491098</c:v>
                </c:pt>
                <c:pt idx="55">
                  <c:v>-4.5563800218186596</c:v>
                </c:pt>
                <c:pt idx="56">
                  <c:v>-4.5098600061837661</c:v>
                </c:pt>
                <c:pt idx="57">
                  <c:v>-4.5098600061837661</c:v>
                </c:pt>
                <c:pt idx="58">
                  <c:v>-5.0359531020805459</c:v>
                </c:pt>
                <c:pt idx="59">
                  <c:v>-4.9153251142919308</c:v>
                </c:pt>
                <c:pt idx="60">
                  <c:v>-5.0359531020805459</c:v>
                </c:pt>
                <c:pt idx="61">
                  <c:v>-5.2030071867437115</c:v>
                </c:pt>
                <c:pt idx="62">
                  <c:v>-4.8283137373023015</c:v>
                </c:pt>
                <c:pt idx="63">
                  <c:v>-4.656463480375642</c:v>
                </c:pt>
                <c:pt idx="64">
                  <c:v>-4.6051701859880909</c:v>
                </c:pt>
                <c:pt idx="65">
                  <c:v>-3.5922526184248644</c:v>
                </c:pt>
                <c:pt idx="66">
                  <c:v>-3.764102875351524</c:v>
                </c:pt>
                <c:pt idx="67">
                  <c:v>-4.1387963247929349</c:v>
                </c:pt>
                <c:pt idx="68">
                  <c:v>-4.2304767365466809</c:v>
                </c:pt>
                <c:pt idx="69">
                  <c:v>-4.6051701859880909</c:v>
                </c:pt>
                <c:pt idx="70">
                  <c:v>-4.6051701859880909</c:v>
                </c:pt>
                <c:pt idx="71">
                  <c:v>-4.3640081291712036</c:v>
                </c:pt>
                <c:pt idx="72">
                  <c:v>-3.4940234494292062</c:v>
                </c:pt>
                <c:pt idx="73">
                  <c:v>-3.8539899741775367</c:v>
                </c:pt>
                <c:pt idx="74">
                  <c:v>-3.6481214616417685</c:v>
                </c:pt>
                <c:pt idx="75">
                  <c:v>-3.6612642870809631</c:v>
                </c:pt>
                <c:pt idx="76">
                  <c:v>-3.5716298940636966</c:v>
                </c:pt>
                <c:pt idx="77">
                  <c:v>-3.7942399697717626</c:v>
                </c:pt>
                <c:pt idx="78">
                  <c:v>-3.5578511917075324</c:v>
                </c:pt>
                <c:pt idx="79">
                  <c:v>-3.7722610630529876</c:v>
                </c:pt>
                <c:pt idx="80">
                  <c:v>-3.8632328412587138</c:v>
                </c:pt>
                <c:pt idx="81">
                  <c:v>-4.5098600061837661</c:v>
                </c:pt>
                <c:pt idx="82">
                  <c:v>-4.6253728933056104</c:v>
                </c:pt>
                <c:pt idx="83">
                  <c:v>-4.744432253321599</c:v>
                </c:pt>
                <c:pt idx="84">
                  <c:v>-6.2146080984221914</c:v>
                </c:pt>
                <c:pt idx="85">
                  <c:v>-5.6549923104867688</c:v>
                </c:pt>
                <c:pt idx="86">
                  <c:v>-5.6549923104867688</c:v>
                </c:pt>
                <c:pt idx="87">
                  <c:v>-4.7414566932090345</c:v>
                </c:pt>
                <c:pt idx="88">
                  <c:v>-4.5688025418172167</c:v>
                </c:pt>
                <c:pt idx="89">
                  <c:v>-4.5078418420275295</c:v>
                </c:pt>
                <c:pt idx="90">
                  <c:v>-4.4440596552257734</c:v>
                </c:pt>
                <c:pt idx="91">
                  <c:v>-4.6051701859880909</c:v>
                </c:pt>
                <c:pt idx="92">
                  <c:v>-4.5406316648505198</c:v>
                </c:pt>
                <c:pt idx="93">
                  <c:v>-4.4179225108580811</c:v>
                </c:pt>
                <c:pt idx="94">
                  <c:v>-4.5688025418172167</c:v>
                </c:pt>
                <c:pt idx="95">
                  <c:v>-3.5065578973199818</c:v>
                </c:pt>
                <c:pt idx="96">
                  <c:v>-3.6888794541139363</c:v>
                </c:pt>
                <c:pt idx="97">
                  <c:v>-3.3813947543659757</c:v>
                </c:pt>
                <c:pt idx="98">
                  <c:v>-3.3813947543659757</c:v>
                </c:pt>
                <c:pt idx="99">
                  <c:v>-3.7779983134431308</c:v>
                </c:pt>
                <c:pt idx="100">
                  <c:v>-3.5318757053042713</c:v>
                </c:pt>
                <c:pt idx="101">
                  <c:v>-3.7660690928050662</c:v>
                </c:pt>
                <c:pt idx="102">
                  <c:v>-3.6496587409606551</c:v>
                </c:pt>
                <c:pt idx="103">
                  <c:v>-4.1997050778799272</c:v>
                </c:pt>
                <c:pt idx="104">
                  <c:v>-3.8632328412587138</c:v>
                </c:pt>
                <c:pt idx="105">
                  <c:v>-4.1997050778799272</c:v>
                </c:pt>
                <c:pt idx="106">
                  <c:v>-4.5730974661000978</c:v>
                </c:pt>
                <c:pt idx="107">
                  <c:v>-5.2145210288060513</c:v>
                </c:pt>
                <c:pt idx="108">
                  <c:v>-4.7795235731328694</c:v>
                </c:pt>
                <c:pt idx="109">
                  <c:v>-5.1037257171622681</c:v>
                </c:pt>
                <c:pt idx="110">
                  <c:v>-3.5561817422379911</c:v>
                </c:pt>
                <c:pt idx="111">
                  <c:v>-3.575550768806933</c:v>
                </c:pt>
                <c:pt idx="112">
                  <c:v>-3.4722331547789071</c:v>
                </c:pt>
                <c:pt idx="113">
                  <c:v>-3.5909752391325647</c:v>
                </c:pt>
                <c:pt idx="114">
                  <c:v>-3.9898833272004186</c:v>
                </c:pt>
                <c:pt idx="115">
                  <c:v>-3.8208069971564842</c:v>
                </c:pt>
                <c:pt idx="116">
                  <c:v>-3.6356404882302984</c:v>
                </c:pt>
                <c:pt idx="117">
                  <c:v>-3.5911887256594648</c:v>
                </c:pt>
                <c:pt idx="118">
                  <c:v>-4.0505419395637077</c:v>
                </c:pt>
                <c:pt idx="119">
                  <c:v>-3.912023005428146</c:v>
                </c:pt>
                <c:pt idx="120">
                  <c:v>-3.907035463917107</c:v>
                </c:pt>
                <c:pt idx="121">
                  <c:v>-4.0398563769380305</c:v>
                </c:pt>
                <c:pt idx="122">
                  <c:v>-4.0983525836196391</c:v>
                </c:pt>
                <c:pt idx="123">
                  <c:v>-4.2893172376112805</c:v>
                </c:pt>
                <c:pt idx="124">
                  <c:v>-5.1041613474011971</c:v>
                </c:pt>
                <c:pt idx="125">
                  <c:v>-4.1218625919970506</c:v>
                </c:pt>
                <c:pt idx="126">
                  <c:v>-5.1159958097540823</c:v>
                </c:pt>
                <c:pt idx="127">
                  <c:v>-4.4110141750765459</c:v>
                </c:pt>
                <c:pt idx="128">
                  <c:v>-4.8646813833250278</c:v>
                </c:pt>
                <c:pt idx="129">
                  <c:v>-4.3538557543738516</c:v>
                </c:pt>
                <c:pt idx="130">
                  <c:v>-5.0470029427115755</c:v>
                </c:pt>
                <c:pt idx="131">
                  <c:v>-4.2686979493668789</c:v>
                </c:pt>
                <c:pt idx="132">
                  <c:v>-4.8463322373504338</c:v>
                </c:pt>
                <c:pt idx="133">
                  <c:v>-3.463072785380243</c:v>
                </c:pt>
                <c:pt idx="134">
                  <c:v>-4.8702294366956291</c:v>
                </c:pt>
                <c:pt idx="135">
                  <c:v>-4.155904806782206</c:v>
                </c:pt>
                <c:pt idx="136">
                  <c:v>-4.6974479312361126</c:v>
                </c:pt>
                <c:pt idx="137">
                  <c:v>-3.8490482062667577</c:v>
                </c:pt>
                <c:pt idx="138">
                  <c:v>-3.912023005428146</c:v>
                </c:pt>
                <c:pt idx="139">
                  <c:v>-3.912023005428146</c:v>
                </c:pt>
                <c:pt idx="140">
                  <c:v>-3.6888794541139363</c:v>
                </c:pt>
                <c:pt idx="141">
                  <c:v>-3.912023005428146</c:v>
                </c:pt>
                <c:pt idx="142">
                  <c:v>-4.5378370659195042</c:v>
                </c:pt>
                <c:pt idx="143">
                  <c:v>-4.2214997377073473</c:v>
                </c:pt>
                <c:pt idx="144">
                  <c:v>-3.9552317597593829</c:v>
                </c:pt>
                <c:pt idx="145">
                  <c:v>-4.0736643569845619</c:v>
                </c:pt>
                <c:pt idx="146">
                  <c:v>-3.9578325414594402</c:v>
                </c:pt>
                <c:pt idx="147">
                  <c:v>-4.2990032988622069</c:v>
                </c:pt>
                <c:pt idx="148">
                  <c:v>-4.1914473926409457</c:v>
                </c:pt>
                <c:pt idx="149">
                  <c:v>-4.2665680231090537</c:v>
                </c:pt>
                <c:pt idx="150">
                  <c:v>-3.9313576571356017</c:v>
                </c:pt>
                <c:pt idx="151">
                  <c:v>-3.924871147905995</c:v>
                </c:pt>
                <c:pt idx="152">
                  <c:v>-3.9990344005995944</c:v>
                </c:pt>
                <c:pt idx="153">
                  <c:v>-3.9990344005995944</c:v>
                </c:pt>
                <c:pt idx="154">
                  <c:v>-3.5835189384561099</c:v>
                </c:pt>
                <c:pt idx="155">
                  <c:v>-3.583518938456109</c:v>
                </c:pt>
                <c:pt idx="156">
                  <c:v>-3.7737456747571763</c:v>
                </c:pt>
                <c:pt idx="157">
                  <c:v>-4.0969726846283701</c:v>
                </c:pt>
                <c:pt idx="158">
                  <c:v>-3.5835189384561099</c:v>
                </c:pt>
                <c:pt idx="159">
                  <c:v>-3.4170707308184456</c:v>
                </c:pt>
                <c:pt idx="160">
                  <c:v>-3.5449041023283305</c:v>
                </c:pt>
                <c:pt idx="161">
                  <c:v>-3.5835189384561099</c:v>
                </c:pt>
                <c:pt idx="162">
                  <c:v>-3.4681999697548855</c:v>
                </c:pt>
                <c:pt idx="163">
                  <c:v>-3.541232734838744</c:v>
                </c:pt>
                <c:pt idx="164">
                  <c:v>-4.2023332002861968</c:v>
                </c:pt>
                <c:pt idx="165">
                  <c:v>-4.0787192443190197</c:v>
                </c:pt>
                <c:pt idx="166">
                  <c:v>-4.8973066087892523</c:v>
                </c:pt>
                <c:pt idx="167">
                  <c:v>-5.1357984370502621</c:v>
                </c:pt>
                <c:pt idx="168">
                  <c:v>-4.3938610923208845</c:v>
                </c:pt>
                <c:pt idx="169">
                  <c:v>-5.3589419883644718</c:v>
                </c:pt>
                <c:pt idx="170">
                  <c:v>-4.3428059215206005</c:v>
                </c:pt>
                <c:pt idx="171">
                  <c:v>-4.4572500559114694</c:v>
                </c:pt>
                <c:pt idx="172">
                  <c:v>-4.1777261711611517</c:v>
                </c:pt>
                <c:pt idx="173">
                  <c:v>-3.3813947543659757</c:v>
                </c:pt>
                <c:pt idx="174">
                  <c:v>-3.552020271396739</c:v>
                </c:pt>
                <c:pt idx="175">
                  <c:v>-3.7081952434132277</c:v>
                </c:pt>
                <c:pt idx="176">
                  <c:v>-3.8778316406798665</c:v>
                </c:pt>
                <c:pt idx="177">
                  <c:v>-3.9573842723818204</c:v>
                </c:pt>
                <c:pt idx="178">
                  <c:v>-3.5462231537124129</c:v>
                </c:pt>
                <c:pt idx="179">
                  <c:v>-3.690213677127073</c:v>
                </c:pt>
                <c:pt idx="180">
                  <c:v>-3.4933126705699609</c:v>
                </c:pt>
                <c:pt idx="181">
                  <c:v>-3.4933126705699609</c:v>
                </c:pt>
                <c:pt idx="182">
                  <c:v>-4.2626798770413155</c:v>
                </c:pt>
                <c:pt idx="183">
                  <c:v>-4.0745419349259206</c:v>
                </c:pt>
                <c:pt idx="184">
                  <c:v>-4.3428059215206005</c:v>
                </c:pt>
                <c:pt idx="185">
                  <c:v>-4.6051701859880909</c:v>
                </c:pt>
                <c:pt idx="186">
                  <c:v>-3.5637163111599302</c:v>
                </c:pt>
                <c:pt idx="187">
                  <c:v>-4.5563800218186596</c:v>
                </c:pt>
                <c:pt idx="188">
                  <c:v>-5.521460917862246</c:v>
                </c:pt>
                <c:pt idx="189">
                  <c:v>-4.4228486291941369</c:v>
                </c:pt>
                <c:pt idx="190">
                  <c:v>-4.4228486291941369</c:v>
                </c:pt>
                <c:pt idx="191">
                  <c:v>-4.4228486291941369</c:v>
                </c:pt>
                <c:pt idx="192">
                  <c:v>-4.4228486291941369</c:v>
                </c:pt>
                <c:pt idx="193">
                  <c:v>-6.0072405097021493</c:v>
                </c:pt>
                <c:pt idx="194">
                  <c:v>-4.7105307016459177</c:v>
                </c:pt>
                <c:pt idx="195">
                  <c:v>-4.0870261814144211</c:v>
                </c:pt>
                <c:pt idx="196">
                  <c:v>-4.5996300056124761</c:v>
                </c:pt>
                <c:pt idx="197">
                  <c:v>-4.7611744344646727</c:v>
                </c:pt>
                <c:pt idx="198">
                  <c:v>-4.9024217094560232</c:v>
                </c:pt>
                <c:pt idx="199">
                  <c:v>-4.9618451299268234</c:v>
                </c:pt>
                <c:pt idx="200">
                  <c:v>-4.9024217094560232</c:v>
                </c:pt>
                <c:pt idx="201">
                  <c:v>-5.585999438999818</c:v>
                </c:pt>
                <c:pt idx="202">
                  <c:v>-5.2337788454104652</c:v>
                </c:pt>
                <c:pt idx="203">
                  <c:v>-5.2817880645968263</c:v>
                </c:pt>
                <c:pt idx="204">
                  <c:v>-5.8861040314501558</c:v>
                </c:pt>
                <c:pt idx="205">
                  <c:v>-4.8564846142689975</c:v>
                </c:pt>
                <c:pt idx="206">
                  <c:v>-6.0604574185949334</c:v>
                </c:pt>
                <c:pt idx="207">
                  <c:v>-5.2841327315560802</c:v>
                </c:pt>
                <c:pt idx="208">
                  <c:v>-5.3421199892064299</c:v>
                </c:pt>
                <c:pt idx="209">
                  <c:v>-4.7932224174910312</c:v>
                </c:pt>
                <c:pt idx="210">
                  <c:v>-5.6347896031692493</c:v>
                </c:pt>
                <c:pt idx="211">
                  <c:v>-5.1647859739235145</c:v>
                </c:pt>
                <c:pt idx="212">
                  <c:v>-4.6657948078045264</c:v>
                </c:pt>
                <c:pt idx="213">
                  <c:v>-4.8283137373023015</c:v>
                </c:pt>
                <c:pt idx="214">
                  <c:v>-4.1997050778799272</c:v>
                </c:pt>
                <c:pt idx="215">
                  <c:v>-4.6051701859880909</c:v>
                </c:pt>
                <c:pt idx="216">
                  <c:v>-4.6051701859880909</c:v>
                </c:pt>
                <c:pt idx="217">
                  <c:v>-4.5563800218186596</c:v>
                </c:pt>
                <c:pt idx="218">
                  <c:v>-4.6051701859880909</c:v>
                </c:pt>
                <c:pt idx="219">
                  <c:v>-4.3428059215206005</c:v>
                </c:pt>
                <c:pt idx="220">
                  <c:v>-4.4228486291941369</c:v>
                </c:pt>
                <c:pt idx="221">
                  <c:v>-4.6051701859880909</c:v>
                </c:pt>
                <c:pt idx="222">
                  <c:v>-4.5853675586919111</c:v>
                </c:pt>
                <c:pt idx="223">
                  <c:v>-4.3820266346738812</c:v>
                </c:pt>
                <c:pt idx="224">
                  <c:v>-4.4481664371784264</c:v>
                </c:pt>
                <c:pt idx="225">
                  <c:v>-4.7105307016459177</c:v>
                </c:pt>
                <c:pt idx="226">
                  <c:v>-4.3820266346738812</c:v>
                </c:pt>
                <c:pt idx="227">
                  <c:v>-5.2983173665480363</c:v>
                </c:pt>
                <c:pt idx="228">
                  <c:v>-4.8928522584398726</c:v>
                </c:pt>
                <c:pt idx="229">
                  <c:v>-5.6549923104867688</c:v>
                </c:pt>
                <c:pt idx="230">
                  <c:v>-4.6051701859880909</c:v>
                </c:pt>
                <c:pt idx="231">
                  <c:v>-5.1159958097540823</c:v>
                </c:pt>
                <c:pt idx="232">
                  <c:v>-4.4228486291941369</c:v>
                </c:pt>
                <c:pt idx="233">
                  <c:v>-4.8283137373023015</c:v>
                </c:pt>
                <c:pt idx="234">
                  <c:v>-6.5510803350434044</c:v>
                </c:pt>
                <c:pt idx="235">
                  <c:v>-6.5510803350434044</c:v>
                </c:pt>
                <c:pt idx="236">
                  <c:v>-5.857933154483459</c:v>
                </c:pt>
                <c:pt idx="237">
                  <c:v>-6.5510803350434044</c:v>
                </c:pt>
                <c:pt idx="238">
                  <c:v>-6.5510803350434044</c:v>
                </c:pt>
                <c:pt idx="239">
                  <c:v>-6.5510803350434044</c:v>
                </c:pt>
                <c:pt idx="240">
                  <c:v>-5.857933154483459</c:v>
                </c:pt>
                <c:pt idx="241">
                  <c:v>-4.9006343988819268</c:v>
                </c:pt>
                <c:pt idx="242">
                  <c:v>-4.2720257394595533</c:v>
                </c:pt>
                <c:pt idx="243">
                  <c:v>-5.3706380281276624</c:v>
                </c:pt>
                <c:pt idx="244">
                  <c:v>-3.9843436670077721</c:v>
                </c:pt>
                <c:pt idx="245">
                  <c:v>-5.3706380281276624</c:v>
                </c:pt>
                <c:pt idx="246">
                  <c:v>-4.6774908475677179</c:v>
                </c:pt>
                <c:pt idx="247">
                  <c:v>-5.3706380281276624</c:v>
                </c:pt>
                <c:pt idx="248">
                  <c:v>-4.6774908475677179</c:v>
                </c:pt>
                <c:pt idx="249">
                  <c:v>-4.6774908475677179</c:v>
                </c:pt>
                <c:pt idx="250">
                  <c:v>-4.6774908475677179</c:v>
                </c:pt>
                <c:pt idx="251">
                  <c:v>-5.2753278483233377</c:v>
                </c:pt>
                <c:pt idx="252">
                  <c:v>-5.3706380281276624</c:v>
                </c:pt>
                <c:pt idx="253">
                  <c:v>-5.3706380281276624</c:v>
                </c:pt>
                <c:pt idx="254">
                  <c:v>-5.9914645471079817</c:v>
                </c:pt>
                <c:pt idx="255">
                  <c:v>-5.9914645471079817</c:v>
                </c:pt>
                <c:pt idx="256">
                  <c:v>-5.8091429903140277</c:v>
                </c:pt>
                <c:pt idx="257">
                  <c:v>-5.585999438999818</c:v>
                </c:pt>
                <c:pt idx="258">
                  <c:v>-5.585999438999818</c:v>
                </c:pt>
                <c:pt idx="259">
                  <c:v>-5.2983173665480363</c:v>
                </c:pt>
                <c:pt idx="260">
                  <c:v>-5.2983173665480363</c:v>
                </c:pt>
                <c:pt idx="261">
                  <c:v>-5.8961543673036569</c:v>
                </c:pt>
                <c:pt idx="262">
                  <c:v>-4.8734341725827708</c:v>
                </c:pt>
                <c:pt idx="263">
                  <c:v>-6.0222363807747508</c:v>
                </c:pt>
                <c:pt idx="264">
                  <c:v>-5.7037825746562056</c:v>
                </c:pt>
                <c:pt idx="265">
                  <c:v>-5.1572387261828689</c:v>
                </c:pt>
                <c:pt idx="266">
                  <c:v>-5.5319323019400715</c:v>
                </c:pt>
                <c:pt idx="267">
                  <c:v>-6.2791466195597634</c:v>
                </c:pt>
                <c:pt idx="268">
                  <c:v>-5.9114219625113762</c:v>
                </c:pt>
                <c:pt idx="269">
                  <c:v>-5.5319323019400715</c:v>
                </c:pt>
                <c:pt idx="270">
                  <c:v>-5.5319323019400715</c:v>
                </c:pt>
                <c:pt idx="271">
                  <c:v>-5.5319323019400715</c:v>
                </c:pt>
                <c:pt idx="272">
                  <c:v>-5.0106352440962567</c:v>
                </c:pt>
                <c:pt idx="273">
                  <c:v>-5.3408769114016179</c:v>
                </c:pt>
                <c:pt idx="274">
                  <c:v>-5.0106352440962567</c:v>
                </c:pt>
                <c:pt idx="275">
                  <c:v>-4.9798636354295018</c:v>
                </c:pt>
                <c:pt idx="276">
                  <c:v>-4.9798636354295018</c:v>
                </c:pt>
                <c:pt idx="277">
                  <c:v>-4.9798636354295018</c:v>
                </c:pt>
                <c:pt idx="278">
                  <c:v>-5.431848759172559</c:v>
                </c:pt>
                <c:pt idx="279">
                  <c:v>-5.431848759172559</c:v>
                </c:pt>
                <c:pt idx="280">
                  <c:v>-4.9210230896922837</c:v>
                </c:pt>
                <c:pt idx="281">
                  <c:v>-4.7874917827820465</c:v>
                </c:pt>
                <c:pt idx="282">
                  <c:v>-4.9500107193386453</c:v>
                </c:pt>
                <c:pt idx="283">
                  <c:v>-5.0106352440962567</c:v>
                </c:pt>
                <c:pt idx="284">
                  <c:v>-5.6431577587221238</c:v>
                </c:pt>
                <c:pt idx="285">
                  <c:v>-5.6431577587221238</c:v>
                </c:pt>
                <c:pt idx="286">
                  <c:v>-5.6431577587221238</c:v>
                </c:pt>
                <c:pt idx="287">
                  <c:v>-5.2182745973360403</c:v>
                </c:pt>
                <c:pt idx="288">
                  <c:v>-4.9798636354295018</c:v>
                </c:pt>
                <c:pt idx="289">
                  <c:v>-4.9798636354295018</c:v>
                </c:pt>
                <c:pt idx="290">
                  <c:v>-5.0751738152338266</c:v>
                </c:pt>
                <c:pt idx="291">
                  <c:v>-5.0751738152338266</c:v>
                </c:pt>
                <c:pt idx="292">
                  <c:v>-5.0751738152338266</c:v>
                </c:pt>
                <c:pt idx="293">
                  <c:v>-5.0875963352323845</c:v>
                </c:pt>
                <c:pt idx="294">
                  <c:v>-5.1929568508902104</c:v>
                </c:pt>
                <c:pt idx="295">
                  <c:v>-4.8252320707648932</c:v>
                </c:pt>
                <c:pt idx="296">
                  <c:v>-5.0875963352323845</c:v>
                </c:pt>
                <c:pt idx="297">
                  <c:v>-5.0875963352323845</c:v>
                </c:pt>
                <c:pt idx="298">
                  <c:v>-5.780743515792329</c:v>
                </c:pt>
                <c:pt idx="299">
                  <c:v>-5.598421958998375</c:v>
                </c:pt>
                <c:pt idx="300">
                  <c:v>-5.598421958998375</c:v>
                </c:pt>
                <c:pt idx="301">
                  <c:v>-4.5570298106601568</c:v>
                </c:pt>
                <c:pt idx="302">
                  <c:v>-5.0678554344261473</c:v>
                </c:pt>
                <c:pt idx="303">
                  <c:v>-5.2501769912201022</c:v>
                </c:pt>
                <c:pt idx="304">
                  <c:v>-4.2946655461926655</c:v>
                </c:pt>
                <c:pt idx="305">
                  <c:v>-4.5570298106601568</c:v>
                </c:pt>
                <c:pt idx="306">
                  <c:v>-4.6077983083943606</c:v>
                </c:pt>
                <c:pt idx="307">
                  <c:v>-4.9028025858263735</c:v>
                </c:pt>
                <c:pt idx="308">
                  <c:v>-4.5214977102639757</c:v>
                </c:pt>
                <c:pt idx="309">
                  <c:v>-4.2933499783651907</c:v>
                </c:pt>
                <c:pt idx="310">
                  <c:v>-4.5004007540767583</c:v>
                </c:pt>
                <c:pt idx="311">
                  <c:v>-4.6875641405258701</c:v>
                </c:pt>
                <c:pt idx="312">
                  <c:v>-4.5214977102639757</c:v>
                </c:pt>
                <c:pt idx="313">
                  <c:v>-4.2677243974483483</c:v>
                </c:pt>
                <c:pt idx="314">
                  <c:v>-4.8036211247119294</c:v>
                </c:pt>
                <c:pt idx="315">
                  <c:v>-3.8632328412587138</c:v>
                </c:pt>
                <c:pt idx="316">
                  <c:v>-3.7090821614314557</c:v>
                </c:pt>
                <c:pt idx="317">
                  <c:v>-4.1351665567423561</c:v>
                </c:pt>
                <c:pt idx="318">
                  <c:v>-4.1669152550569359</c:v>
                </c:pt>
                <c:pt idx="319">
                  <c:v>-3.907035463917107</c:v>
                </c:pt>
                <c:pt idx="320">
                  <c:v>-3.6651629274966204</c:v>
                </c:pt>
                <c:pt idx="321">
                  <c:v>-4.0398563769380305</c:v>
                </c:pt>
                <c:pt idx="322">
                  <c:v>-3.907035463917107</c:v>
                </c:pt>
                <c:pt idx="323">
                  <c:v>-4.2686979493668789</c:v>
                </c:pt>
                <c:pt idx="324">
                  <c:v>-4.0745419349259206</c:v>
                </c:pt>
                <c:pt idx="325">
                  <c:v>-4.3820266346738812</c:v>
                </c:pt>
                <c:pt idx="326">
                  <c:v>-4.4228486291941369</c:v>
                </c:pt>
                <c:pt idx="327">
                  <c:v>-4.4228486291941369</c:v>
                </c:pt>
                <c:pt idx="328">
                  <c:v>-4.5563800218186596</c:v>
                </c:pt>
                <c:pt idx="329">
                  <c:v>-4.0173835210859723</c:v>
                </c:pt>
                <c:pt idx="330">
                  <c:v>-4.4228486291941369</c:v>
                </c:pt>
                <c:pt idx="331">
                  <c:v>-3.912023005428146</c:v>
                </c:pt>
                <c:pt idx="332">
                  <c:v>-3.6690768268177565</c:v>
                </c:pt>
                <c:pt idx="333">
                  <c:v>-4.0173835210859723</c:v>
                </c:pt>
                <c:pt idx="334">
                  <c:v>-4.0173835210859723</c:v>
                </c:pt>
                <c:pt idx="335">
                  <c:v>-4.3428059215206005</c:v>
                </c:pt>
                <c:pt idx="336">
                  <c:v>-4.0173835210859723</c:v>
                </c:pt>
                <c:pt idx="337">
                  <c:v>-4.1669152550569359</c:v>
                </c:pt>
                <c:pt idx="338">
                  <c:v>-4.0455543980526683</c:v>
                </c:pt>
                <c:pt idx="339">
                  <c:v>-4.1997050778799272</c:v>
                </c:pt>
                <c:pt idx="340">
                  <c:v>-4.1997050778799272</c:v>
                </c:pt>
                <c:pt idx="341">
                  <c:v>-3.552020271396739</c:v>
                </c:pt>
                <c:pt idx="342">
                  <c:v>-4.1777261711611517</c:v>
                </c:pt>
                <c:pt idx="343">
                  <c:v>-4.4934183735439692</c:v>
                </c:pt>
                <c:pt idx="344">
                  <c:v>-4.4307226856250423</c:v>
                </c:pt>
                <c:pt idx="345">
                  <c:v>-4.6277767406170049</c:v>
                </c:pt>
                <c:pt idx="346">
                  <c:v>-4.6373490843523264</c:v>
                </c:pt>
                <c:pt idx="347">
                  <c:v>-4.487387150331708</c:v>
                </c:pt>
                <c:pt idx="348">
                  <c:v>-4.6795346012769539</c:v>
                </c:pt>
                <c:pt idx="349">
                  <c:v>-4.8752306570900528</c:v>
                </c:pt>
                <c:pt idx="350">
                  <c:v>-4.3294341845547111</c:v>
                </c:pt>
                <c:pt idx="351">
                  <c:v>-4.3112575637856745</c:v>
                </c:pt>
                <c:pt idx="352">
                  <c:v>-4.3700980638086078</c:v>
                </c:pt>
                <c:pt idx="353">
                  <c:v>-3.8537540973041704</c:v>
                </c:pt>
                <c:pt idx="354">
                  <c:v>-4.0015375126358945</c:v>
                </c:pt>
                <c:pt idx="355">
                  <c:v>-4.0264522961791824</c:v>
                </c:pt>
                <c:pt idx="356">
                  <c:v>-4.0637407498085736</c:v>
                </c:pt>
                <c:pt idx="357">
                  <c:v>-4.2697974547002957</c:v>
                </c:pt>
                <c:pt idx="358">
                  <c:v>-4.4952814765535321</c:v>
                </c:pt>
                <c:pt idx="359">
                  <c:v>-4.8903491282217537</c:v>
                </c:pt>
                <c:pt idx="360">
                  <c:v>-4.8903491282217537</c:v>
                </c:pt>
                <c:pt idx="361">
                  <c:v>-4.6051701859880909</c:v>
                </c:pt>
                <c:pt idx="362">
                  <c:v>-4.7874917827820465</c:v>
                </c:pt>
                <c:pt idx="363">
                  <c:v>-5.0106352440962567</c:v>
                </c:pt>
                <c:pt idx="364">
                  <c:v>-4.7874917827820465</c:v>
                </c:pt>
                <c:pt idx="365">
                  <c:v>-3.6212208056401214</c:v>
                </c:pt>
                <c:pt idx="366">
                  <c:v>-3.4388992488461669</c:v>
                </c:pt>
                <c:pt idx="367">
                  <c:v>-4.1258352293134717</c:v>
                </c:pt>
                <c:pt idx="368">
                  <c:v>-3.9659513474537018</c:v>
                </c:pt>
                <c:pt idx="369">
                  <c:v>-4.1572843619959752</c:v>
                </c:pt>
                <c:pt idx="370">
                  <c:v>-3.5225406018265915</c:v>
                </c:pt>
                <c:pt idx="371">
                  <c:v>-3.5041914631583948</c:v>
                </c:pt>
                <c:pt idx="372">
                  <c:v>-5.2289672884132434</c:v>
                </c:pt>
                <c:pt idx="373">
                  <c:v>-4.7589636591675077</c:v>
                </c:pt>
                <c:pt idx="374">
                  <c:v>-4.406319327242926</c:v>
                </c:pt>
                <c:pt idx="375">
                  <c:v>-4.6051701859880909</c:v>
                </c:pt>
                <c:pt idx="376">
                  <c:v>-4.632198858376011</c:v>
                </c:pt>
                <c:pt idx="377">
                  <c:v>-5.1159958097540823</c:v>
                </c:pt>
                <c:pt idx="378">
                  <c:v>-4.9618451299268234</c:v>
                </c:pt>
                <c:pt idx="379">
                  <c:v>-5.521460917862246</c:v>
                </c:pt>
                <c:pt idx="380">
                  <c:v>-4.8283137373023015</c:v>
                </c:pt>
                <c:pt idx="381">
                  <c:v>-4.0745419349259206</c:v>
                </c:pt>
                <c:pt idx="382">
                  <c:v>-3.8632328412587138</c:v>
                </c:pt>
                <c:pt idx="383">
                  <c:v>-4.1351665567423561</c:v>
                </c:pt>
                <c:pt idx="384">
                  <c:v>-4.0008542191347614</c:v>
                </c:pt>
                <c:pt idx="385">
                  <c:v>-3.8781214537524646</c:v>
                </c:pt>
                <c:pt idx="386">
                  <c:v>-3.9651328307420943</c:v>
                </c:pt>
                <c:pt idx="387">
                  <c:v>-5.3589419883644718</c:v>
                </c:pt>
                <c:pt idx="388">
                  <c:v>-3.8548645915881976</c:v>
                </c:pt>
                <c:pt idx="389">
                  <c:v>-3.912023005428146</c:v>
                </c:pt>
                <c:pt idx="390">
                  <c:v>-3.912023005428146</c:v>
                </c:pt>
                <c:pt idx="391">
                  <c:v>-3.9418759685778273</c:v>
                </c:pt>
                <c:pt idx="392">
                  <c:v>-4.3266475807340106</c:v>
                </c:pt>
                <c:pt idx="393">
                  <c:v>-4.3583101080565658</c:v>
                </c:pt>
                <c:pt idx="394">
                  <c:v>-3.5394457641648169</c:v>
                </c:pt>
                <c:pt idx="395">
                  <c:v>-3.9371077403429742</c:v>
                </c:pt>
                <c:pt idx="396">
                  <c:v>-3.741705022312106</c:v>
                </c:pt>
                <c:pt idx="397">
                  <c:v>-3.8319802823699942</c:v>
                </c:pt>
                <c:pt idx="398">
                  <c:v>-3.5373568966929474</c:v>
                </c:pt>
                <c:pt idx="399">
                  <c:v>-3.6119184129778081</c:v>
                </c:pt>
                <c:pt idx="400">
                  <c:v>-4.3342952318526917</c:v>
                </c:pt>
                <c:pt idx="401">
                  <c:v>-5.2030071867437115</c:v>
                </c:pt>
                <c:pt idx="402">
                  <c:v>-5.521460917862246</c:v>
                </c:pt>
                <c:pt idx="403">
                  <c:v>-3.7450971341121648</c:v>
                </c:pt>
                <c:pt idx="404">
                  <c:v>-3.758729836015017</c:v>
                </c:pt>
                <c:pt idx="405">
                  <c:v>-3.8279882764850721</c:v>
                </c:pt>
                <c:pt idx="406">
                  <c:v>-3.5560983428801181</c:v>
                </c:pt>
                <c:pt idx="407">
                  <c:v>-3.5032301072273069</c:v>
                </c:pt>
                <c:pt idx="408">
                  <c:v>-3.886705197443856</c:v>
                </c:pt>
                <c:pt idx="409">
                  <c:v>-3.6635616461296463</c:v>
                </c:pt>
                <c:pt idx="410">
                  <c:v>-3.6635616461296463</c:v>
                </c:pt>
                <c:pt idx="411">
                  <c:v>-3.9015202832289968</c:v>
                </c:pt>
                <c:pt idx="412">
                  <c:v>-5.6624736421390578</c:v>
                </c:pt>
                <c:pt idx="413">
                  <c:v>-3.912023005428146</c:v>
                </c:pt>
                <c:pt idx="414">
                  <c:v>-3.7942399697717626</c:v>
                </c:pt>
                <c:pt idx="415">
                  <c:v>-4.8333262791258456</c:v>
                </c:pt>
                <c:pt idx="416">
                  <c:v>-4.6831317274578037</c:v>
                </c:pt>
                <c:pt idx="417">
                  <c:v>-4.3389671452134344</c:v>
                </c:pt>
                <c:pt idx="418">
                  <c:v>-4.4145498263794414</c:v>
                </c:pt>
                <c:pt idx="419">
                  <c:v>-4.656463480375642</c:v>
                </c:pt>
                <c:pt idx="420">
                  <c:v>-4.499809670330265</c:v>
                </c:pt>
                <c:pt idx="421">
                  <c:v>-4.4800070430340853</c:v>
                </c:pt>
                <c:pt idx="422">
                  <c:v>-4.8928522584398726</c:v>
                </c:pt>
                <c:pt idx="423">
                  <c:v>-3.5065578973199818</c:v>
                </c:pt>
                <c:pt idx="424">
                  <c:v>-5.308267707401205</c:v>
                </c:pt>
                <c:pt idx="425">
                  <c:v>-3.7297014486341915</c:v>
                </c:pt>
                <c:pt idx="426">
                  <c:v>-3.912023005428146</c:v>
                </c:pt>
                <c:pt idx="427">
                  <c:v>-5.1159958097540823</c:v>
                </c:pt>
                <c:pt idx="428">
                  <c:v>-4.4583553176510469</c:v>
                </c:pt>
                <c:pt idx="429">
                  <c:v>-4.3550450951796451</c:v>
                </c:pt>
                <c:pt idx="430">
                  <c:v>-4.2395585493220516</c:v>
                </c:pt>
                <c:pt idx="431">
                  <c:v>-3.3813947543659757</c:v>
                </c:pt>
                <c:pt idx="432">
                  <c:v>-3.912023005428146</c:v>
                </c:pt>
                <c:pt idx="433">
                  <c:v>-3.7380696983047081</c:v>
                </c:pt>
                <c:pt idx="434">
                  <c:v>-4.1997050778799272</c:v>
                </c:pt>
                <c:pt idx="435">
                  <c:v>-4.1799024505837474</c:v>
                </c:pt>
                <c:pt idx="436">
                  <c:v>-4.0118433407103566</c:v>
                </c:pt>
                <c:pt idx="437">
                  <c:v>-4.1997050778799272</c:v>
                </c:pt>
                <c:pt idx="438">
                  <c:v>-4.1997050778799272</c:v>
                </c:pt>
                <c:pt idx="439">
                  <c:v>-4.1997050778799272</c:v>
                </c:pt>
                <c:pt idx="440">
                  <c:v>-4.3820266346738812</c:v>
                </c:pt>
                <c:pt idx="441">
                  <c:v>-4.6051701859880909</c:v>
                </c:pt>
                <c:pt idx="442">
                  <c:v>-3.7507548578320238</c:v>
                </c:pt>
                <c:pt idx="443">
                  <c:v>-4.1669152550569359</c:v>
                </c:pt>
                <c:pt idx="444">
                  <c:v>-4.6051701859880909</c:v>
                </c:pt>
                <c:pt idx="445">
                  <c:v>-4.5563800218186596</c:v>
                </c:pt>
                <c:pt idx="446">
                  <c:v>-4.1043948980756024</c:v>
                </c:pt>
                <c:pt idx="447">
                  <c:v>-4.3820266346738812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5D-4EAC-8F9B-EF8C33FE6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682111"/>
        <c:axId val="1643160031"/>
      </c:scatterChart>
      <c:valAx>
        <c:axId val="210268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160031"/>
        <c:crosses val="autoZero"/>
        <c:crossBetween val="midCat"/>
      </c:valAx>
      <c:valAx>
        <c:axId val="164316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68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33336</xdr:colOff>
      <xdr:row>1</xdr:row>
      <xdr:rowOff>19050</xdr:rowOff>
    </xdr:from>
    <xdr:to>
      <xdr:col>14</xdr:col>
      <xdr:colOff>457199</xdr:colOff>
      <xdr:row>22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B99131-642B-4BFD-9DC6-E62A764C5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</xdr:colOff>
      <xdr:row>23</xdr:row>
      <xdr:rowOff>0</xdr:rowOff>
    </xdr:from>
    <xdr:to>
      <xdr:col>14</xdr:col>
      <xdr:colOff>452438</xdr:colOff>
      <xdr:row>44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F2613B6-8F09-4352-A55B-47D6572B1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23812</xdr:colOff>
      <xdr:row>1</xdr:row>
      <xdr:rowOff>19049</xdr:rowOff>
    </xdr:from>
    <xdr:to>
      <xdr:col>22</xdr:col>
      <xdr:colOff>476250</xdr:colOff>
      <xdr:row>21</xdr:row>
      <xdr:rowOff>123824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F5F9EC1-6893-42FE-A19B-863037697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426"/>
  <sheetViews>
    <sheetView tabSelected="1" zoomScaleNormal="100" workbookViewId="0">
      <pane xSplit="6" ySplit="3" topLeftCell="G181" activePane="bottomRight" state="frozen"/>
      <selection pane="topRight" activeCell="F1" sqref="F1"/>
      <selection pane="bottomLeft" activeCell="A4" sqref="A4"/>
      <selection pane="bottomRight" activeCell="H199" sqref="H199"/>
    </sheetView>
  </sheetViews>
  <sheetFormatPr defaultColWidth="8.7109375" defaultRowHeight="15"/>
  <cols>
    <col min="1" max="1" width="8.7109375" style="68"/>
    <col min="2" max="2" width="5.7109375" style="68" customWidth="1"/>
    <col min="3" max="3" width="22.7109375" style="68" customWidth="1"/>
    <col min="4" max="4" width="16.5703125" style="68" bestFit="1" customWidth="1"/>
    <col min="5" max="5" width="12.5703125" style="56" bestFit="1" customWidth="1"/>
    <col min="6" max="9" width="11.140625" style="68" customWidth="1"/>
    <col min="10" max="10" width="8.7109375" style="68" bestFit="1" customWidth="1"/>
    <col min="11" max="11" width="10.28515625" style="68" bestFit="1" customWidth="1"/>
    <col min="12" max="12" width="12.7109375" style="68" bestFit="1" customWidth="1"/>
    <col min="13" max="13" width="12.5703125" style="68" bestFit="1" customWidth="1"/>
    <col min="14" max="14" width="11.7109375" style="68" bestFit="1" customWidth="1"/>
    <col min="15" max="15" width="11.5703125" style="82" bestFit="1" customWidth="1"/>
    <col min="16" max="16" width="10.5703125" style="68" bestFit="1" customWidth="1"/>
    <col min="17" max="17" width="9.28515625" style="68" customWidth="1"/>
    <col min="18" max="18" width="10.28515625" style="68" bestFit="1" customWidth="1"/>
    <col min="19" max="19" width="14.7109375" style="77" customWidth="1"/>
    <col min="20" max="20" width="12.140625" style="132" customWidth="1"/>
    <col min="21" max="24" width="14.28515625" style="132" customWidth="1"/>
    <col min="25" max="25" width="10.85546875" style="77" customWidth="1"/>
    <col min="26" max="31" width="10.85546875" style="68" customWidth="1"/>
    <col min="32" max="32" width="10.85546875" style="77" customWidth="1"/>
    <col min="33" max="35" width="10.85546875" style="68" customWidth="1"/>
    <col min="36" max="38" width="10.140625" style="68" bestFit="1" customWidth="1"/>
    <col min="39" max="40" width="10.140625" style="56" bestFit="1" customWidth="1"/>
    <col min="41" max="41" width="10.140625" style="68" bestFit="1" customWidth="1"/>
    <col min="42" max="42" width="10" style="121" bestFit="1" customWidth="1"/>
    <col min="43" max="43" width="10.140625" style="68" bestFit="1" customWidth="1"/>
    <col min="44" max="44" width="10" style="68" bestFit="1" customWidth="1"/>
    <col min="45" max="49" width="10.140625" style="68" bestFit="1" customWidth="1"/>
    <col min="50" max="50" width="9.85546875" style="68" customWidth="1"/>
    <col min="51" max="51" width="10.140625" style="68" bestFit="1" customWidth="1"/>
    <col min="52" max="52" width="9.85546875" style="68" customWidth="1"/>
    <col min="53" max="59" width="10.140625" style="68" bestFit="1" customWidth="1"/>
    <col min="60" max="62" width="10.140625" style="121" bestFit="1" customWidth="1"/>
    <col min="63" max="63" width="10.140625" style="56" bestFit="1" customWidth="1"/>
    <col min="64" max="64" width="9.85546875" style="56" bestFit="1" customWidth="1"/>
    <col min="65" max="65" width="9.85546875" style="62" bestFit="1" customWidth="1"/>
    <col min="66" max="66" width="10" style="62" bestFit="1" customWidth="1"/>
    <col min="67" max="67" width="10" style="56" bestFit="1" customWidth="1"/>
    <col min="68" max="68" width="11.28515625" style="56" customWidth="1"/>
    <col min="69" max="69" width="13.7109375" style="68" customWidth="1"/>
    <col min="70" max="70" width="12.42578125" style="56" bestFit="1" customWidth="1"/>
    <col min="71" max="71" width="10.140625" style="56" bestFit="1" customWidth="1"/>
    <col min="72" max="72" width="11.28515625" style="56" bestFit="1" customWidth="1"/>
    <col min="73" max="73" width="9.140625" style="56" bestFit="1" customWidth="1"/>
    <col min="74" max="76" width="10.140625" style="56" bestFit="1" customWidth="1"/>
    <col min="77" max="87" width="10.140625" style="68" bestFit="1" customWidth="1"/>
    <col min="88" max="89" width="10" style="68" bestFit="1" customWidth="1"/>
    <col min="90" max="91" width="9.85546875" style="68" bestFit="1" customWidth="1"/>
    <col min="92" max="92" width="9.7109375" style="68" bestFit="1" customWidth="1"/>
    <col min="93" max="95" width="9.5703125" style="68" bestFit="1" customWidth="1"/>
    <col min="96" max="96" width="9.42578125" style="68" bestFit="1" customWidth="1"/>
    <col min="97" max="105" width="9.28515625" style="68" bestFit="1" customWidth="1"/>
    <col min="106" max="111" width="9.140625" style="68" bestFit="1" customWidth="1"/>
    <col min="112" max="116" width="8.7109375" style="68"/>
    <col min="117" max="127" width="10.140625" style="68" bestFit="1" customWidth="1"/>
    <col min="128" max="129" width="10" style="68" bestFit="1" customWidth="1"/>
    <col min="130" max="131" width="9.85546875" style="68" bestFit="1" customWidth="1"/>
    <col min="132" max="132" width="9.7109375" style="68" bestFit="1" customWidth="1"/>
    <col min="133" max="135" width="9.5703125" style="68" bestFit="1" customWidth="1"/>
    <col min="136" max="136" width="9.42578125" style="68" bestFit="1" customWidth="1"/>
    <col min="137" max="145" width="9.28515625" style="68" bestFit="1" customWidth="1"/>
    <col min="146" max="151" width="9.140625" style="68" bestFit="1" customWidth="1"/>
    <col min="152" max="156" width="8.7109375" style="68"/>
    <col min="157" max="167" width="10.140625" style="68" bestFit="1" customWidth="1"/>
    <col min="168" max="169" width="10" style="68" bestFit="1" customWidth="1"/>
    <col min="170" max="171" width="9.85546875" style="68" bestFit="1" customWidth="1"/>
    <col min="172" max="172" width="9.7109375" style="68" bestFit="1" customWidth="1"/>
    <col min="173" max="175" width="9.5703125" style="68" bestFit="1" customWidth="1"/>
    <col min="176" max="176" width="9.42578125" style="68" bestFit="1" customWidth="1"/>
    <col min="177" max="185" width="9.28515625" style="68" bestFit="1" customWidth="1"/>
    <col min="186" max="191" width="9.140625" style="68" bestFit="1" customWidth="1"/>
    <col min="192" max="196" width="8.7109375" style="68"/>
    <col min="197" max="197" width="13.28515625" style="68" bestFit="1" customWidth="1"/>
    <col min="198" max="198" width="12.140625" style="68" bestFit="1" customWidth="1"/>
    <col min="199" max="199" width="14.42578125" style="68" bestFit="1" customWidth="1"/>
    <col min="200" max="201" width="12.42578125" style="68" bestFit="1" customWidth="1"/>
    <col min="202" max="203" width="13.28515625" style="68" bestFit="1" customWidth="1"/>
    <col min="204" max="204" width="12.7109375" style="68" bestFit="1" customWidth="1"/>
    <col min="205" max="206" width="12.42578125" style="68" bestFit="1" customWidth="1"/>
    <col min="207" max="207" width="12.5703125" style="68" bestFit="1" customWidth="1"/>
    <col min="208" max="209" width="12.42578125" style="68" bestFit="1" customWidth="1"/>
    <col min="210" max="210" width="13" style="68" bestFit="1" customWidth="1"/>
    <col min="211" max="211" width="12.28515625" style="68" bestFit="1" customWidth="1"/>
    <col min="212" max="212" width="12" style="68" bestFit="1" customWidth="1"/>
    <col min="213" max="215" width="11.85546875" style="68" bestFit="1" customWidth="1"/>
    <col min="216" max="216" width="11.5703125" style="68" bestFit="1" customWidth="1"/>
    <col min="217" max="219" width="11.28515625" style="68" bestFit="1" customWidth="1"/>
    <col min="220" max="220" width="13.7109375" style="68" bestFit="1" customWidth="1"/>
    <col min="221" max="225" width="11.7109375" style="68" bestFit="1" customWidth="1"/>
    <col min="226" max="229" width="11.140625" style="68" bestFit="1" customWidth="1"/>
    <col min="230" max="231" width="11.28515625" style="68" bestFit="1" customWidth="1"/>
    <col min="232" max="236" width="8.7109375" style="68"/>
    <col min="237" max="237" width="9" style="68" bestFit="1" customWidth="1"/>
    <col min="238" max="16384" width="8.7109375" style="68"/>
  </cols>
  <sheetData>
    <row r="1" spans="1:237">
      <c r="A1" s="68" t="s">
        <v>703</v>
      </c>
      <c r="B1" s="56" t="s">
        <v>459</v>
      </c>
      <c r="C1" s="56" t="s">
        <v>0</v>
      </c>
      <c r="D1" s="56" t="s">
        <v>230</v>
      </c>
      <c r="E1" s="56" t="s">
        <v>242</v>
      </c>
      <c r="F1" s="56" t="s">
        <v>699</v>
      </c>
      <c r="G1" s="56" t="s">
        <v>244</v>
      </c>
      <c r="H1" s="56" t="s">
        <v>245</v>
      </c>
      <c r="I1" s="56" t="s">
        <v>702</v>
      </c>
      <c r="J1" s="56" t="s">
        <v>460</v>
      </c>
      <c r="K1" s="56" t="s">
        <v>231</v>
      </c>
      <c r="L1" s="56" t="s">
        <v>232</v>
      </c>
      <c r="M1" s="56" t="s">
        <v>233</v>
      </c>
      <c r="N1" s="56" t="s">
        <v>234</v>
      </c>
      <c r="O1" s="57" t="s">
        <v>235</v>
      </c>
      <c r="P1" s="56" t="s">
        <v>240</v>
      </c>
      <c r="Q1" s="58" t="s">
        <v>229</v>
      </c>
      <c r="R1" s="56" t="s">
        <v>241</v>
      </c>
      <c r="S1" s="57" t="s">
        <v>700</v>
      </c>
      <c r="T1" s="59" t="s">
        <v>506</v>
      </c>
      <c r="U1" s="59" t="s">
        <v>692</v>
      </c>
      <c r="V1" s="59" t="s">
        <v>693</v>
      </c>
      <c r="W1" s="59" t="s">
        <v>694</v>
      </c>
      <c r="X1" s="59" t="s">
        <v>695</v>
      </c>
      <c r="Y1" s="57" t="s">
        <v>502</v>
      </c>
      <c r="Z1" s="56" t="s">
        <v>503</v>
      </c>
      <c r="AA1" s="56" t="s">
        <v>504</v>
      </c>
      <c r="AB1" s="56" t="s">
        <v>492</v>
      </c>
      <c r="AC1" s="60" t="s">
        <v>505</v>
      </c>
      <c r="AD1" s="60" t="s">
        <v>500</v>
      </c>
      <c r="AE1" s="60" t="s">
        <v>496</v>
      </c>
      <c r="AF1" s="57" t="s">
        <v>494</v>
      </c>
      <c r="AG1" s="56" t="s">
        <v>495</v>
      </c>
      <c r="AH1" s="56" t="s">
        <v>497</v>
      </c>
      <c r="AI1" s="56" t="s">
        <v>498</v>
      </c>
      <c r="AJ1" s="56" t="s">
        <v>464</v>
      </c>
      <c r="AK1" s="60" t="s">
        <v>466</v>
      </c>
      <c r="AL1" s="60" t="s">
        <v>493</v>
      </c>
      <c r="AM1" s="56" t="s">
        <v>487</v>
      </c>
      <c r="AN1" s="56" t="s">
        <v>509</v>
      </c>
      <c r="AO1" s="61" t="s">
        <v>470</v>
      </c>
      <c r="AP1" s="62" t="s">
        <v>510</v>
      </c>
      <c r="AQ1" s="63" t="s">
        <v>501</v>
      </c>
      <c r="AR1" s="64" t="s">
        <v>499</v>
      </c>
      <c r="AS1" s="60" t="s">
        <v>491</v>
      </c>
      <c r="AT1" s="65" t="s">
        <v>471</v>
      </c>
      <c r="AU1" s="61" t="s">
        <v>472</v>
      </c>
      <c r="AV1" s="65" t="s">
        <v>486</v>
      </c>
      <c r="AW1" s="61" t="s">
        <v>477</v>
      </c>
      <c r="AX1" s="61" t="s">
        <v>697</v>
      </c>
      <c r="AY1" s="60" t="s">
        <v>465</v>
      </c>
      <c r="AZ1" s="60" t="s">
        <v>698</v>
      </c>
      <c r="BA1" s="60" t="s">
        <v>467</v>
      </c>
      <c r="BB1" s="56" t="s">
        <v>468</v>
      </c>
      <c r="BC1" s="56" t="s">
        <v>469</v>
      </c>
      <c r="BD1" s="56" t="s">
        <v>473</v>
      </c>
      <c r="BE1" s="60" t="s">
        <v>474</v>
      </c>
      <c r="BF1" s="56" t="s">
        <v>475</v>
      </c>
      <c r="BG1" s="56" t="s">
        <v>476</v>
      </c>
      <c r="BH1" s="66" t="s">
        <v>485</v>
      </c>
      <c r="BI1" s="67" t="s">
        <v>484</v>
      </c>
      <c r="BJ1" s="67" t="s">
        <v>483</v>
      </c>
      <c r="BK1" s="60" t="s">
        <v>482</v>
      </c>
      <c r="BL1" s="56" t="s">
        <v>511</v>
      </c>
      <c r="BM1" s="62" t="s">
        <v>490</v>
      </c>
      <c r="BN1" s="62" t="s">
        <v>489</v>
      </c>
      <c r="BO1" s="56" t="s">
        <v>488</v>
      </c>
      <c r="BP1" s="56" t="s">
        <v>601</v>
      </c>
      <c r="BQ1" s="56" t="s">
        <v>514</v>
      </c>
      <c r="BR1" s="56" t="s">
        <v>513</v>
      </c>
      <c r="BS1" s="56" t="s">
        <v>575</v>
      </c>
      <c r="BT1" s="56" t="s">
        <v>701</v>
      </c>
      <c r="BU1" s="56" t="s">
        <v>602</v>
      </c>
      <c r="BV1" s="56" t="s">
        <v>576</v>
      </c>
      <c r="BW1" s="56" t="s">
        <v>597</v>
      </c>
      <c r="BX1" s="56" t="s">
        <v>598</v>
      </c>
      <c r="BY1" s="56" t="s">
        <v>577</v>
      </c>
      <c r="BZ1" s="56" t="s">
        <v>578</v>
      </c>
      <c r="CA1" s="56" t="s">
        <v>579</v>
      </c>
      <c r="CB1" s="56" t="s">
        <v>580</v>
      </c>
      <c r="CC1" s="56" t="s">
        <v>581</v>
      </c>
      <c r="CD1" s="56" t="s">
        <v>582</v>
      </c>
      <c r="CE1" s="56" t="s">
        <v>583</v>
      </c>
      <c r="CF1" s="56" t="s">
        <v>584</v>
      </c>
      <c r="CG1" s="56" t="s">
        <v>585</v>
      </c>
      <c r="CH1" s="56" t="s">
        <v>586</v>
      </c>
      <c r="CI1" s="56" t="s">
        <v>587</v>
      </c>
      <c r="CJ1" s="56" t="s">
        <v>588</v>
      </c>
      <c r="CK1" s="56" t="s">
        <v>589</v>
      </c>
      <c r="CL1" s="56" t="s">
        <v>590</v>
      </c>
      <c r="CM1" s="56" t="s">
        <v>591</v>
      </c>
      <c r="CN1" s="56" t="s">
        <v>592</v>
      </c>
      <c r="CO1" s="56" t="s">
        <v>593</v>
      </c>
      <c r="CP1" s="56" t="s">
        <v>594</v>
      </c>
      <c r="CQ1" s="56" t="s">
        <v>595</v>
      </c>
      <c r="CR1" s="56" t="s">
        <v>596</v>
      </c>
      <c r="CS1" s="56" t="s">
        <v>622</v>
      </c>
      <c r="CT1" s="56" t="s">
        <v>623</v>
      </c>
      <c r="CU1" s="56" t="s">
        <v>624</v>
      </c>
      <c r="CV1" s="56" t="s">
        <v>625</v>
      </c>
      <c r="CW1" s="56" t="s">
        <v>626</v>
      </c>
      <c r="CX1" s="56" t="s">
        <v>627</v>
      </c>
      <c r="CY1" s="56" t="s">
        <v>628</v>
      </c>
      <c r="CZ1" s="56" t="s">
        <v>629</v>
      </c>
      <c r="DA1" s="56" t="s">
        <v>630</v>
      </c>
      <c r="DB1" s="56" t="s">
        <v>631</v>
      </c>
      <c r="DC1" s="56" t="s">
        <v>652</v>
      </c>
      <c r="DD1" s="56" t="s">
        <v>653</v>
      </c>
      <c r="DE1" s="56" t="s">
        <v>654</v>
      </c>
      <c r="DF1" s="56" t="s">
        <v>655</v>
      </c>
      <c r="DG1" s="56" t="s">
        <v>656</v>
      </c>
      <c r="DH1" s="56" t="s">
        <v>657</v>
      </c>
      <c r="DI1" s="56" t="s">
        <v>658</v>
      </c>
      <c r="DJ1" s="56" t="s">
        <v>659</v>
      </c>
      <c r="DK1" s="56" t="s">
        <v>660</v>
      </c>
      <c r="DL1" s="56" t="s">
        <v>661</v>
      </c>
      <c r="DM1" s="56" t="s">
        <v>515</v>
      </c>
      <c r="DN1" s="56" t="s">
        <v>516</v>
      </c>
      <c r="DO1" s="56" t="s">
        <v>517</v>
      </c>
      <c r="DP1" s="56" t="s">
        <v>518</v>
      </c>
      <c r="DQ1" s="56" t="s">
        <v>519</v>
      </c>
      <c r="DR1" s="56" t="s">
        <v>520</v>
      </c>
      <c r="DS1" s="56" t="s">
        <v>521</v>
      </c>
      <c r="DT1" s="56" t="s">
        <v>522</v>
      </c>
      <c r="DU1" s="56" t="s">
        <v>523</v>
      </c>
      <c r="DV1" s="56" t="s">
        <v>524</v>
      </c>
      <c r="DW1" s="56" t="s">
        <v>525</v>
      </c>
      <c r="DX1" s="56" t="s">
        <v>526</v>
      </c>
      <c r="DY1" s="56" t="s">
        <v>527</v>
      </c>
      <c r="DZ1" s="56" t="s">
        <v>528</v>
      </c>
      <c r="EA1" s="56" t="s">
        <v>529</v>
      </c>
      <c r="EB1" s="56" t="s">
        <v>530</v>
      </c>
      <c r="EC1" s="56" t="s">
        <v>531</v>
      </c>
      <c r="ED1" s="56" t="s">
        <v>532</v>
      </c>
      <c r="EE1" s="56" t="s">
        <v>533</v>
      </c>
      <c r="EF1" s="56" t="s">
        <v>534</v>
      </c>
      <c r="EG1" s="56" t="s">
        <v>632</v>
      </c>
      <c r="EH1" s="56" t="s">
        <v>633</v>
      </c>
      <c r="EI1" s="56" t="s">
        <v>634</v>
      </c>
      <c r="EJ1" s="56" t="s">
        <v>635</v>
      </c>
      <c r="EK1" s="56" t="s">
        <v>636</v>
      </c>
      <c r="EL1" s="56" t="s">
        <v>637</v>
      </c>
      <c r="EM1" s="56" t="s">
        <v>638</v>
      </c>
      <c r="EN1" s="56" t="s">
        <v>639</v>
      </c>
      <c r="EO1" s="56" t="s">
        <v>640</v>
      </c>
      <c r="EP1" s="56" t="s">
        <v>641</v>
      </c>
      <c r="EQ1" s="56" t="s">
        <v>682</v>
      </c>
      <c r="ER1" s="56" t="s">
        <v>683</v>
      </c>
      <c r="ES1" s="56" t="s">
        <v>684</v>
      </c>
      <c r="ET1" s="56" t="s">
        <v>685</v>
      </c>
      <c r="EU1" s="56" t="s">
        <v>686</v>
      </c>
      <c r="EV1" s="56" t="s">
        <v>687</v>
      </c>
      <c r="EW1" s="56" t="s">
        <v>688</v>
      </c>
      <c r="EX1" s="56" t="s">
        <v>689</v>
      </c>
      <c r="EY1" s="56" t="s">
        <v>690</v>
      </c>
      <c r="EZ1" s="56" t="s">
        <v>691</v>
      </c>
      <c r="FA1" s="56" t="s">
        <v>535</v>
      </c>
      <c r="FB1" s="56" t="s">
        <v>536</v>
      </c>
      <c r="FC1" s="56" t="s">
        <v>537</v>
      </c>
      <c r="FD1" s="56" t="s">
        <v>538</v>
      </c>
      <c r="FE1" s="56" t="s">
        <v>539</v>
      </c>
      <c r="FF1" s="56" t="s">
        <v>540</v>
      </c>
      <c r="FG1" s="56" t="s">
        <v>541</v>
      </c>
      <c r="FH1" s="56" t="s">
        <v>542</v>
      </c>
      <c r="FI1" s="56" t="s">
        <v>543</v>
      </c>
      <c r="FJ1" s="56" t="s">
        <v>544</v>
      </c>
      <c r="FK1" s="56" t="s">
        <v>545</v>
      </c>
      <c r="FL1" s="56" t="s">
        <v>546</v>
      </c>
      <c r="FM1" s="56" t="s">
        <v>547</v>
      </c>
      <c r="FN1" s="56" t="s">
        <v>548</v>
      </c>
      <c r="FO1" s="56" t="s">
        <v>549</v>
      </c>
      <c r="FP1" s="56" t="s">
        <v>550</v>
      </c>
      <c r="FQ1" s="56" t="s">
        <v>551</v>
      </c>
      <c r="FR1" s="56" t="s">
        <v>552</v>
      </c>
      <c r="FS1" s="56" t="s">
        <v>553</v>
      </c>
      <c r="FT1" s="56" t="s">
        <v>554</v>
      </c>
      <c r="FU1" s="56" t="s">
        <v>612</v>
      </c>
      <c r="FV1" s="56" t="s">
        <v>613</v>
      </c>
      <c r="FW1" s="56" t="s">
        <v>614</v>
      </c>
      <c r="FX1" s="56" t="s">
        <v>615</v>
      </c>
      <c r="FY1" s="56" t="s">
        <v>616</v>
      </c>
      <c r="FZ1" s="56" t="s">
        <v>617</v>
      </c>
      <c r="GA1" s="56" t="s">
        <v>618</v>
      </c>
      <c r="GB1" s="56" t="s">
        <v>619</v>
      </c>
      <c r="GC1" s="56" t="s">
        <v>620</v>
      </c>
      <c r="GD1" s="56" t="s">
        <v>621</v>
      </c>
      <c r="GE1" s="56" t="s">
        <v>662</v>
      </c>
      <c r="GF1" s="56" t="s">
        <v>663</v>
      </c>
      <c r="GG1" s="56" t="s">
        <v>664</v>
      </c>
      <c r="GH1" s="56" t="s">
        <v>665</v>
      </c>
      <c r="GI1" s="56" t="s">
        <v>666</v>
      </c>
      <c r="GJ1" s="56" t="s">
        <v>667</v>
      </c>
      <c r="GK1" s="56" t="s">
        <v>668</v>
      </c>
      <c r="GL1" s="56" t="s">
        <v>669</v>
      </c>
      <c r="GM1" s="56" t="s">
        <v>670</v>
      </c>
      <c r="GN1" s="56" t="s">
        <v>671</v>
      </c>
      <c r="GO1" s="56" t="s">
        <v>555</v>
      </c>
      <c r="GP1" s="56" t="s">
        <v>556</v>
      </c>
      <c r="GQ1" s="56" t="s">
        <v>557</v>
      </c>
      <c r="GR1" s="56" t="s">
        <v>558</v>
      </c>
      <c r="GS1" s="56" t="s">
        <v>559</v>
      </c>
      <c r="GT1" s="56" t="s">
        <v>560</v>
      </c>
      <c r="GU1" s="56" t="s">
        <v>561</v>
      </c>
      <c r="GV1" s="56" t="s">
        <v>562</v>
      </c>
      <c r="GW1" s="56" t="s">
        <v>563</v>
      </c>
      <c r="GX1" s="56" t="s">
        <v>564</v>
      </c>
      <c r="GY1" s="56" t="s">
        <v>565</v>
      </c>
      <c r="GZ1" s="56" t="s">
        <v>566</v>
      </c>
      <c r="HA1" s="56" t="s">
        <v>567</v>
      </c>
      <c r="HB1" s="56" t="s">
        <v>568</v>
      </c>
      <c r="HC1" s="56" t="s">
        <v>569</v>
      </c>
      <c r="HD1" s="56" t="s">
        <v>570</v>
      </c>
      <c r="HE1" s="56" t="s">
        <v>571</v>
      </c>
      <c r="HF1" s="56" t="s">
        <v>572</v>
      </c>
      <c r="HG1" s="56" t="s">
        <v>573</v>
      </c>
      <c r="HH1" s="56" t="s">
        <v>574</v>
      </c>
      <c r="HI1" s="56" t="s">
        <v>642</v>
      </c>
      <c r="HJ1" s="56" t="s">
        <v>643</v>
      </c>
      <c r="HK1" s="56" t="s">
        <v>644</v>
      </c>
      <c r="HL1" s="56" t="s">
        <v>645</v>
      </c>
      <c r="HM1" s="56" t="s">
        <v>646</v>
      </c>
      <c r="HN1" s="56" t="s">
        <v>647</v>
      </c>
      <c r="HO1" s="56" t="s">
        <v>648</v>
      </c>
      <c r="HP1" s="56" t="s">
        <v>649</v>
      </c>
      <c r="HQ1" s="56" t="s">
        <v>650</v>
      </c>
      <c r="HR1" s="56" t="s">
        <v>651</v>
      </c>
      <c r="HS1" s="56" t="s">
        <v>672</v>
      </c>
      <c r="HT1" s="56" t="s">
        <v>673</v>
      </c>
      <c r="HU1" s="56" t="s">
        <v>674</v>
      </c>
      <c r="HV1" s="56" t="s">
        <v>675</v>
      </c>
      <c r="HW1" s="56" t="s">
        <v>676</v>
      </c>
      <c r="HX1" s="56" t="s">
        <v>677</v>
      </c>
      <c r="HY1" s="56" t="s">
        <v>678</v>
      </c>
      <c r="HZ1" s="56" t="s">
        <v>679</v>
      </c>
      <c r="IA1" s="56" t="s">
        <v>680</v>
      </c>
      <c r="IB1" s="56" t="s">
        <v>681</v>
      </c>
      <c r="IC1" s="56" t="s">
        <v>696</v>
      </c>
    </row>
    <row r="2" spans="1:237" s="77" customFormat="1">
      <c r="A2" s="77">
        <v>1</v>
      </c>
      <c r="B2" s="69">
        <v>1</v>
      </c>
      <c r="C2" s="69" t="s">
        <v>2</v>
      </c>
      <c r="D2" s="70" t="s">
        <v>1</v>
      </c>
      <c r="E2" s="70">
        <v>1</v>
      </c>
      <c r="F2" s="70">
        <v>9.4691796412637724E-2</v>
      </c>
      <c r="G2" s="70">
        <v>6.0606059999999996E-3</v>
      </c>
      <c r="H2" s="70">
        <v>9.6969699999999992E-3</v>
      </c>
      <c r="I2" s="70">
        <f>8.25/AU2</f>
        <v>0.01</v>
      </c>
      <c r="J2" s="71">
        <v>1.1000000000000001</v>
      </c>
      <c r="K2" s="72">
        <v>10.714285714285714</v>
      </c>
      <c r="L2" s="71">
        <v>0.26887891235312805</v>
      </c>
      <c r="M2" s="71">
        <v>0.13671128107074568</v>
      </c>
      <c r="N2" s="71">
        <v>0.34823135755258122</v>
      </c>
      <c r="O2" s="71">
        <v>0.14913957934990438</v>
      </c>
      <c r="P2" s="71">
        <v>0</v>
      </c>
      <c r="Q2" s="73" t="s">
        <v>3</v>
      </c>
      <c r="R2" s="74">
        <v>0</v>
      </c>
      <c r="S2" s="75">
        <f>Y2/AY2/SQRT(AK2)</f>
        <v>0.78551847519286166</v>
      </c>
      <c r="T2" s="59">
        <f t="shared" ref="T2:T65" si="0">BP2/AA2</f>
        <v>0.79533772108964451</v>
      </c>
      <c r="U2" s="59">
        <f t="shared" ref="U2:U65" si="1">BP2/Z2</f>
        <v>0.58937967089921051</v>
      </c>
      <c r="V2" s="59">
        <f t="shared" ref="V2:V65" si="2">BP2/Y2</f>
        <v>0.8683101617856821</v>
      </c>
      <c r="W2" s="59">
        <f t="shared" ref="W2:W65" si="3">AA2/Y2</f>
        <v>1.0917502574831512</v>
      </c>
      <c r="X2" s="59">
        <f t="shared" ref="X2:X65" si="4">Z2/Y2</f>
        <v>1.4732611331179952</v>
      </c>
      <c r="Y2" s="76">
        <v>260000</v>
      </c>
      <c r="Z2" s="57">
        <f t="shared" ref="Z2:Z65" si="5">(AC2*1*AK2^0.5+BE2*AZ2)*AX2</f>
        <v>383047.89461067878</v>
      </c>
      <c r="AA2" s="57">
        <f t="shared" ref="AA2:AA65" si="6">IF(AF2&lt;0,AG2,AF2+AG2)</f>
        <v>283855.0669456193</v>
      </c>
      <c r="AB2" s="57">
        <f t="shared" ref="AB2:AB33" si="7">(AH2+AI2)/AU2</f>
        <v>392671.6813603972</v>
      </c>
      <c r="AC2" s="57">
        <f t="shared" ref="AC2:AC65" si="8">IF(J2&lt;=1.5,0.25,IF(J2&gt;=2,0.17,0.25-(J2-1.5)/(2-1.5)*(0.25-0.17)))</f>
        <v>0.25</v>
      </c>
      <c r="AD2" s="57">
        <f t="shared" ref="AD2:AD65" si="9">IF(J2&lt;1.5,1.5,IF(J2&gt;2.2,2.2,J2))</f>
        <v>1.5</v>
      </c>
      <c r="AE2" s="57">
        <f t="shared" ref="AE2:AE65" si="10">IF(P2&gt;0.2,0.2*AY2*AK2,P2*AY2*AK2)</f>
        <v>0</v>
      </c>
      <c r="AF2" s="57">
        <f t="shared" ref="AF2:AF65" si="11">(1/(AD2-0.5))*(0.4*AL2*AT2*AS2+0.1*AE2*AV2/AY2)</f>
        <v>66429.198664651369</v>
      </c>
      <c r="AG2" s="57">
        <f t="shared" ref="AG2:AG33" si="12">0.8*AZ2*BK2/BH2*AS2</f>
        <v>217425.86828096796</v>
      </c>
      <c r="AH2" s="57">
        <f t="shared" ref="AH2:AH33" si="13">AM2*AK2*AT2*AP2*(AS2-0.5*AP2)</f>
        <v>237079069.03747228</v>
      </c>
      <c r="AI2" s="57">
        <f t="shared" ref="AI2:AI33" si="14">BB2*BO2*(AS2-AQ2)</f>
        <v>86875068.084855393</v>
      </c>
      <c r="AJ2" s="77">
        <v>0</v>
      </c>
      <c r="AK2" s="77">
        <f>52.3*0.76</f>
        <v>39.747999999999998</v>
      </c>
      <c r="AL2" s="78">
        <f t="shared" ref="AL2:AL65" si="15">0.395*(AK2/0.76)^0.55</f>
        <v>3.4815531093211027</v>
      </c>
      <c r="AM2" s="57">
        <f t="shared" ref="AM2:AM65" si="16">IF(AK2&lt;=38,1,IF(AK2&gt;=60.8,0.94,(1-(AK2-38)*(1-0.94)/(60.8-38))))</f>
        <v>0.99539999999999995</v>
      </c>
      <c r="AN2" s="57">
        <f t="shared" ref="AN2:AN65" si="17">IF(AK2&lt;=38,0.8,IF(AK2&gt;=60.8,0.74,0.8-(AK2-38)*(0.8-0.74)/(60.8-38)))</f>
        <v>0.7954</v>
      </c>
      <c r="AO2" s="77">
        <v>750</v>
      </c>
      <c r="AP2" s="79">
        <v>140</v>
      </c>
      <c r="AQ2" s="57">
        <f>0.5*BS2</f>
        <v>68.559474353951856</v>
      </c>
      <c r="AR2" s="78">
        <f>AO2-2*AP2</f>
        <v>470</v>
      </c>
      <c r="AS2" s="57">
        <f t="shared" ref="AS2:AS65" si="18">AO2-AQ2</f>
        <v>681.44052564604817</v>
      </c>
      <c r="AT2" s="77">
        <v>70</v>
      </c>
      <c r="AU2" s="77">
        <v>825</v>
      </c>
      <c r="AV2" s="78">
        <f>IF(Q2="R",AY2,AR2*AT2)</f>
        <v>52500</v>
      </c>
      <c r="AW2" s="77">
        <v>0</v>
      </c>
      <c r="AX2" s="77">
        <f t="shared" ref="AX2:AX65" si="19">AO2*AT2</f>
        <v>52500</v>
      </c>
      <c r="AY2" s="77">
        <v>52500</v>
      </c>
      <c r="AZ2" s="77">
        <v>520</v>
      </c>
      <c r="BA2" s="77">
        <v>470</v>
      </c>
      <c r="BB2" s="77">
        <v>470</v>
      </c>
      <c r="BC2" s="77">
        <v>420</v>
      </c>
      <c r="BD2" s="77">
        <v>2.4E-2</v>
      </c>
      <c r="BE2" s="77">
        <v>1.0999999999999999E-2</v>
      </c>
      <c r="BF2" s="77">
        <v>3.1E-2</v>
      </c>
      <c r="BG2" s="77">
        <v>1.2E-2</v>
      </c>
      <c r="BH2" s="79">
        <v>80</v>
      </c>
      <c r="BI2" s="79">
        <f t="shared" ref="BI2:BI18" si="20">PI()*6.25*6.25/4</f>
        <v>30.679615757712824</v>
      </c>
      <c r="BJ2" s="79">
        <v>2</v>
      </c>
      <c r="BK2" s="57">
        <f t="shared" ref="BK2:BK33" si="21">BI2*BJ2</f>
        <v>61.359231515425648</v>
      </c>
      <c r="BL2" s="57"/>
      <c r="BM2" s="80">
        <f t="shared" ref="BM2:BM18" si="22">PI()*8*8/4</f>
        <v>50.26548245743669</v>
      </c>
      <c r="BN2" s="80">
        <v>6</v>
      </c>
      <c r="BO2" s="57">
        <f t="shared" ref="BO2:BO33" si="23">BM2*BN2</f>
        <v>301.59289474462014</v>
      </c>
      <c r="BP2" s="57">
        <f t="shared" ref="BP2:BP65" si="24">BR2/AU2</f>
        <v>225760.64206427734</v>
      </c>
      <c r="BQ2" s="77">
        <f t="shared" ref="BQ2:BQ65" si="25">AJ2-AM2*AT2*BS2*AK2+SUM(FA2:GN2)</f>
        <v>0</v>
      </c>
      <c r="BR2" s="57">
        <f t="shared" ref="BR2:BR33" si="26">-AM2*AT2*BS2*AK2*(BS2/2-0.5*AO2)+SUM(GO2:IB2)</f>
        <v>186252529.7030288</v>
      </c>
      <c r="BS2" s="57">
        <v>137.11894870790371</v>
      </c>
      <c r="BT2" s="57">
        <f>(AE2 + BD2*MAX(AW2/2,AT2*AP2) * BA2)/(0.85 * AK2  * AT2 * (1.05 - AK2/140))</f>
        <v>61.013447443074789</v>
      </c>
      <c r="BU2" s="57"/>
      <c r="BV2" s="57">
        <v>3.3E-3</v>
      </c>
      <c r="BW2" s="57">
        <v>30000</v>
      </c>
      <c r="BX2" s="57">
        <v>200000</v>
      </c>
      <c r="BY2" s="77">
        <f>20</f>
        <v>20</v>
      </c>
      <c r="BZ2" s="77">
        <f t="shared" ref="BZ2:BZ18" si="27">BY2+60</f>
        <v>80</v>
      </c>
      <c r="CA2" s="77">
        <f t="shared" ref="CA2:CA18" si="28">BY2+60*2</f>
        <v>140</v>
      </c>
      <c r="CB2" s="77">
        <f t="shared" ref="CB2:CB8" si="29">CA2+55</f>
        <v>195</v>
      </c>
      <c r="CC2" s="77">
        <f t="shared" ref="CC2:CC8" si="30">CB2+60*1</f>
        <v>255</v>
      </c>
      <c r="CD2" s="77">
        <f t="shared" ref="CD2:CD8" si="31">CB2+60*2</f>
        <v>315</v>
      </c>
      <c r="CE2" s="77">
        <f t="shared" ref="CE2:CE8" si="32">CB2+60*3</f>
        <v>375</v>
      </c>
      <c r="CF2" s="77">
        <f t="shared" ref="CF2:CF8" si="33">CB2+60*4</f>
        <v>435</v>
      </c>
      <c r="CG2" s="77">
        <f t="shared" ref="CG2:CG8" si="34">CB2+60*5</f>
        <v>495</v>
      </c>
      <c r="CH2" s="77">
        <f t="shared" ref="CH2:CH8" si="35">CB2+60*6</f>
        <v>555</v>
      </c>
      <c r="CI2" s="77">
        <f t="shared" ref="CI2:CI8" si="36">CH2+55</f>
        <v>610</v>
      </c>
      <c r="CJ2" s="77">
        <f t="shared" ref="CJ2:CK8" si="37">CI2+60</f>
        <v>670</v>
      </c>
      <c r="CK2" s="77">
        <f t="shared" si="37"/>
        <v>730</v>
      </c>
      <c r="DM2" s="77">
        <f t="shared" ref="DM2:DY8" si="38">PI()*8*8/4*2</f>
        <v>100.53096491487338</v>
      </c>
      <c r="DN2" s="77">
        <f t="shared" si="38"/>
        <v>100.53096491487338</v>
      </c>
      <c r="DO2" s="77">
        <f t="shared" si="38"/>
        <v>100.53096491487338</v>
      </c>
      <c r="DP2" s="77">
        <f t="shared" si="38"/>
        <v>100.53096491487338</v>
      </c>
      <c r="DQ2" s="77">
        <f t="shared" si="38"/>
        <v>100.53096491487338</v>
      </c>
      <c r="DR2" s="77">
        <f t="shared" si="38"/>
        <v>100.53096491487338</v>
      </c>
      <c r="DS2" s="77">
        <f t="shared" si="38"/>
        <v>100.53096491487338</v>
      </c>
      <c r="DT2" s="77">
        <f t="shared" si="38"/>
        <v>100.53096491487338</v>
      </c>
      <c r="DU2" s="77">
        <f t="shared" si="38"/>
        <v>100.53096491487338</v>
      </c>
      <c r="DV2" s="77">
        <f t="shared" si="38"/>
        <v>100.53096491487338</v>
      </c>
      <c r="DW2" s="77">
        <f t="shared" si="38"/>
        <v>100.53096491487338</v>
      </c>
      <c r="DX2" s="77">
        <f t="shared" si="38"/>
        <v>100.53096491487338</v>
      </c>
      <c r="DY2" s="77">
        <f t="shared" si="38"/>
        <v>100.53096491487338</v>
      </c>
      <c r="FA2" s="77">
        <f t="shared" ref="FA2:FA18" si="39">IF(ABS(-$BV2*($BS2-BY2)/$BS2*$BX2)&gt;$BB2,$BB2*SIGN(-($BS2-BY2)),-$BV2*($BS2-BY2)/$BS2*$BX2)*DM2</f>
        <v>-47249.553509990488</v>
      </c>
      <c r="FB2" s="77">
        <f t="shared" ref="FB2:FB18" si="40">IF(ABS(-$BV2*($BS2-BZ2)/$BS2*$BX2)&gt;$BB2,$BB2*SIGN(-($BS2-BZ2)),-$BV2*($BS2-BZ2)/$BS2*$BX2)*DN2</f>
        <v>-27639.26674279193</v>
      </c>
      <c r="FC2" s="77">
        <f t="shared" ref="FC2:FC18" si="41">IF(ABS(-$BV2*($BS2-CA2)/$BS2*$BX2)&gt;$BB2,$BB2*SIGN(-($BS2-CA2)),-$BV2*($BS2-CA2)/$BS2*$BX2)*DO2</f>
        <v>1394.1108329764477</v>
      </c>
      <c r="FD2" s="77">
        <f t="shared" ref="FD2:FJ8" si="42">IF(ABS(-$BV2*($BS2-CB2)/$BS2*$BX2)&gt;$BA2,$BA2*SIGN(-($BS2-CB2)),-$BV2*($BS2-CB2)/$BS2*$BX2)*DP2</f>
        <v>28008.040277430795</v>
      </c>
      <c r="FE2" s="77">
        <f t="shared" si="42"/>
        <v>47249.553509990488</v>
      </c>
      <c r="FF2" s="77">
        <f t="shared" si="42"/>
        <v>47249.553509990488</v>
      </c>
      <c r="FG2" s="77">
        <f t="shared" si="42"/>
        <v>47249.553509990488</v>
      </c>
      <c r="FH2" s="77">
        <f t="shared" si="42"/>
        <v>47249.553509990488</v>
      </c>
      <c r="FI2" s="77">
        <f t="shared" si="42"/>
        <v>47249.553509990488</v>
      </c>
      <c r="FJ2" s="77">
        <f t="shared" si="42"/>
        <v>47249.553509990488</v>
      </c>
      <c r="FK2" s="77">
        <f t="shared" ref="FK2:FM8" si="43">IF(ABS(-$BV2*($BS2-CI2)/$BS2*$BX2)&gt;$BB2,$BB2*SIGN(-($BS2-CI2)),-$BV2*($BS2-CI2)/$BS2*$BX2)*DW2</f>
        <v>47249.553509990488</v>
      </c>
      <c r="FL2" s="77">
        <f t="shared" si="43"/>
        <v>47249.553509990488</v>
      </c>
      <c r="FM2" s="77">
        <f t="shared" si="43"/>
        <v>47249.553509990488</v>
      </c>
      <c r="GO2" s="77">
        <f t="shared" ref="GO2:HA8" si="44">FA2*(BY2-0.5*$AO2)</f>
        <v>16773591.496046623</v>
      </c>
      <c r="GP2" s="77">
        <f t="shared" si="44"/>
        <v>8153583.6891236193</v>
      </c>
      <c r="GQ2" s="77">
        <f t="shared" si="44"/>
        <v>-327616.04574946518</v>
      </c>
      <c r="GR2" s="77">
        <f t="shared" si="44"/>
        <v>-5041447.2499375427</v>
      </c>
      <c r="GS2" s="77">
        <f t="shared" si="44"/>
        <v>-5669946.4211988589</v>
      </c>
      <c r="GT2" s="77">
        <f t="shared" si="44"/>
        <v>-2834973.2105994294</v>
      </c>
      <c r="GU2" s="77">
        <f t="shared" si="44"/>
        <v>0</v>
      </c>
      <c r="GV2" s="77">
        <f t="shared" si="44"/>
        <v>2834973.2105994294</v>
      </c>
      <c r="GW2" s="77">
        <f t="shared" si="44"/>
        <v>5669946.4211988589</v>
      </c>
      <c r="GX2" s="77">
        <f t="shared" si="44"/>
        <v>8504919.6317982879</v>
      </c>
      <c r="GY2" s="77">
        <f t="shared" si="44"/>
        <v>11103645.074847765</v>
      </c>
      <c r="GZ2" s="77">
        <f t="shared" si="44"/>
        <v>13938618.285447193</v>
      </c>
      <c r="HA2" s="77">
        <f t="shared" si="44"/>
        <v>16773591.496046623</v>
      </c>
      <c r="IC2" s="77">
        <v>1</v>
      </c>
    </row>
    <row r="3" spans="1:237" s="77" customFormat="1">
      <c r="A3" s="77">
        <v>2</v>
      </c>
      <c r="B3" s="69">
        <v>2</v>
      </c>
      <c r="C3" s="69" t="s">
        <v>2</v>
      </c>
      <c r="D3" s="70" t="s">
        <v>4</v>
      </c>
      <c r="E3" s="70">
        <v>1</v>
      </c>
      <c r="F3" s="70">
        <v>0.12082444918265814</v>
      </c>
      <c r="G3" s="70">
        <v>7.2727269999999997E-3</v>
      </c>
      <c r="H3" s="70">
        <v>1.0909090999999999E-2</v>
      </c>
      <c r="I3" s="70">
        <f>8.86/AU2</f>
        <v>1.0739393939393939E-2</v>
      </c>
      <c r="J3" s="71">
        <v>1.1000000000000001</v>
      </c>
      <c r="K3" s="72">
        <v>10.714285714285714</v>
      </c>
      <c r="L3" s="71">
        <v>0.26235759544904103</v>
      </c>
      <c r="M3" s="71">
        <v>0.13339552238805968</v>
      </c>
      <c r="N3" s="71">
        <v>0.33978544776119401</v>
      </c>
      <c r="O3" s="71">
        <v>0.1455223880597015</v>
      </c>
      <c r="P3" s="71">
        <v>0.10216773276474768</v>
      </c>
      <c r="Q3" s="73" t="s">
        <v>3</v>
      </c>
      <c r="R3" s="74">
        <v>0</v>
      </c>
      <c r="S3" s="75">
        <f t="shared" ref="S3:S66" si="45">Y3/AY3/SQRT(AK3)</f>
        <v>1.0146830896806172</v>
      </c>
      <c r="T3" s="59">
        <f t="shared" si="0"/>
        <v>0.95758679842911254</v>
      </c>
      <c r="U3" s="59">
        <f t="shared" si="1"/>
        <v>0.73826493575997021</v>
      </c>
      <c r="V3" s="59">
        <f t="shared" si="2"/>
        <v>0.83395709445509381</v>
      </c>
      <c r="W3" s="59">
        <f t="shared" si="3"/>
        <v>0.87089451924689343</v>
      </c>
      <c r="X3" s="59">
        <f t="shared" si="4"/>
        <v>1.1296176400367952</v>
      </c>
      <c r="Y3" s="76">
        <v>340000</v>
      </c>
      <c r="Z3" s="57">
        <f t="shared" si="5"/>
        <v>384069.9976125104</v>
      </c>
      <c r="AA3" s="57">
        <f t="shared" si="6"/>
        <v>296104.13654394378</v>
      </c>
      <c r="AB3" s="57">
        <f t="shared" si="7"/>
        <v>378331.62907418661</v>
      </c>
      <c r="AC3" s="57">
        <f t="shared" si="8"/>
        <v>0.25</v>
      </c>
      <c r="AD3" s="57">
        <f t="shared" si="9"/>
        <v>1.5</v>
      </c>
      <c r="AE3" s="57">
        <f t="shared" si="10"/>
        <v>218500</v>
      </c>
      <c r="AF3" s="57">
        <f t="shared" si="11"/>
        <v>86698.606983527658</v>
      </c>
      <c r="AG3" s="57">
        <f t="shared" si="12"/>
        <v>209405.52956041612</v>
      </c>
      <c r="AH3" s="57">
        <f t="shared" si="13"/>
        <v>232374732.58336797</v>
      </c>
      <c r="AI3" s="57">
        <f t="shared" si="14"/>
        <v>79748861.40283598</v>
      </c>
      <c r="AJ3" s="77">
        <v>230000</v>
      </c>
      <c r="AK3" s="77">
        <f>53.6*0.76</f>
        <v>40.736000000000004</v>
      </c>
      <c r="AL3" s="78">
        <f t="shared" si="15"/>
        <v>3.5288868220845058</v>
      </c>
      <c r="AM3" s="57">
        <f t="shared" si="16"/>
        <v>0.99280000000000002</v>
      </c>
      <c r="AN3" s="57">
        <f t="shared" si="17"/>
        <v>0.79280000000000006</v>
      </c>
      <c r="AO3" s="77">
        <v>750</v>
      </c>
      <c r="AP3" s="79">
        <v>140</v>
      </c>
      <c r="AQ3" s="57">
        <f t="shared" ref="AQ3:AQ65" si="46">0.5*BS3</f>
        <v>93.696243390695699</v>
      </c>
      <c r="AR3" s="78">
        <f t="shared" ref="AR3:AR33" si="47">AO3-2*AP3</f>
        <v>470</v>
      </c>
      <c r="AS3" s="57">
        <f t="shared" si="18"/>
        <v>656.30375660930429</v>
      </c>
      <c r="AT3" s="77">
        <v>70</v>
      </c>
      <c r="AU3" s="77">
        <v>825</v>
      </c>
      <c r="AV3" s="78">
        <f t="shared" ref="AV3:AV65" si="48">IF(Q3="R",AY3,AR3*AT3)</f>
        <v>52500</v>
      </c>
      <c r="AW3" s="77">
        <v>0</v>
      </c>
      <c r="AX3" s="77">
        <f t="shared" si="19"/>
        <v>52500</v>
      </c>
      <c r="AY3" s="77">
        <v>52500</v>
      </c>
      <c r="AZ3" s="77">
        <v>520</v>
      </c>
      <c r="BA3" s="77">
        <v>470</v>
      </c>
      <c r="BB3" s="77">
        <v>470</v>
      </c>
      <c r="BC3" s="77">
        <v>420</v>
      </c>
      <c r="BD3" s="77">
        <v>2.4E-2</v>
      </c>
      <c r="BE3" s="77">
        <v>1.0999999999999999E-2</v>
      </c>
      <c r="BF3" s="77">
        <v>3.1E-2</v>
      </c>
      <c r="BG3" s="77">
        <v>1.2E-2</v>
      </c>
      <c r="BH3" s="79">
        <v>80</v>
      </c>
      <c r="BI3" s="79">
        <f t="shared" si="20"/>
        <v>30.679615757712824</v>
      </c>
      <c r="BJ3" s="79">
        <v>2</v>
      </c>
      <c r="BK3" s="57">
        <f t="shared" si="21"/>
        <v>61.359231515425648</v>
      </c>
      <c r="BL3" s="57"/>
      <c r="BM3" s="80">
        <f t="shared" si="22"/>
        <v>50.26548245743669</v>
      </c>
      <c r="BN3" s="80">
        <v>6</v>
      </c>
      <c r="BO3" s="57">
        <f t="shared" si="23"/>
        <v>301.59289474462014</v>
      </c>
      <c r="BP3" s="57">
        <f t="shared" si="24"/>
        <v>283545.41211473191</v>
      </c>
      <c r="BQ3" s="77">
        <f t="shared" si="25"/>
        <v>0</v>
      </c>
      <c r="BR3" s="57">
        <f t="shared" si="26"/>
        <v>233924964.99465382</v>
      </c>
      <c r="BS3" s="57">
        <v>187.3924867813914</v>
      </c>
      <c r="BT3" s="57">
        <f t="shared" ref="BT3:BT66" si="49">(AE3 + BD3*MAX(AW3/2,AT3*AP3) * BA3)/(0.85 * AK3  * AT3 * (1.05 - AK3/140))</f>
        <v>178.85476061300113</v>
      </c>
      <c r="BU3" s="57"/>
      <c r="BV3" s="57">
        <v>3.3E-3</v>
      </c>
      <c r="BW3" s="57">
        <v>30000</v>
      </c>
      <c r="BX3" s="57">
        <v>200000</v>
      </c>
      <c r="BY3" s="77">
        <f>20</f>
        <v>20</v>
      </c>
      <c r="BZ3" s="77">
        <f t="shared" si="27"/>
        <v>80</v>
      </c>
      <c r="CA3" s="77">
        <f t="shared" si="28"/>
        <v>140</v>
      </c>
      <c r="CB3" s="77">
        <f t="shared" si="29"/>
        <v>195</v>
      </c>
      <c r="CC3" s="77">
        <f t="shared" si="30"/>
        <v>255</v>
      </c>
      <c r="CD3" s="77">
        <f t="shared" si="31"/>
        <v>315</v>
      </c>
      <c r="CE3" s="77">
        <f t="shared" si="32"/>
        <v>375</v>
      </c>
      <c r="CF3" s="77">
        <f t="shared" si="33"/>
        <v>435</v>
      </c>
      <c r="CG3" s="77">
        <f t="shared" si="34"/>
        <v>495</v>
      </c>
      <c r="CH3" s="77">
        <f t="shared" si="35"/>
        <v>555</v>
      </c>
      <c r="CI3" s="77">
        <f t="shared" si="36"/>
        <v>610</v>
      </c>
      <c r="CJ3" s="77">
        <f t="shared" si="37"/>
        <v>670</v>
      </c>
      <c r="CK3" s="77">
        <f t="shared" si="37"/>
        <v>730</v>
      </c>
      <c r="DM3" s="77">
        <f t="shared" si="38"/>
        <v>100.53096491487338</v>
      </c>
      <c r="DN3" s="77">
        <f t="shared" si="38"/>
        <v>100.53096491487338</v>
      </c>
      <c r="DO3" s="77">
        <f t="shared" si="38"/>
        <v>100.53096491487338</v>
      </c>
      <c r="DP3" s="77">
        <f t="shared" si="38"/>
        <v>100.53096491487338</v>
      </c>
      <c r="DQ3" s="77">
        <f t="shared" si="38"/>
        <v>100.53096491487338</v>
      </c>
      <c r="DR3" s="77">
        <f t="shared" si="38"/>
        <v>100.53096491487338</v>
      </c>
      <c r="DS3" s="77">
        <f t="shared" si="38"/>
        <v>100.53096491487338</v>
      </c>
      <c r="DT3" s="77">
        <f t="shared" si="38"/>
        <v>100.53096491487338</v>
      </c>
      <c r="DU3" s="77">
        <f t="shared" si="38"/>
        <v>100.53096491487338</v>
      </c>
      <c r="DV3" s="77">
        <f t="shared" si="38"/>
        <v>100.53096491487338</v>
      </c>
      <c r="DW3" s="77">
        <f t="shared" si="38"/>
        <v>100.53096491487338</v>
      </c>
      <c r="DX3" s="77">
        <f t="shared" si="38"/>
        <v>100.53096491487338</v>
      </c>
      <c r="DY3" s="77">
        <f t="shared" si="38"/>
        <v>100.53096491487338</v>
      </c>
      <c r="FA3" s="77">
        <f t="shared" si="39"/>
        <v>-47249.553509990488</v>
      </c>
      <c r="FB3" s="77">
        <f t="shared" si="40"/>
        <v>-38024.675023399534</v>
      </c>
      <c r="FC3" s="77">
        <f t="shared" si="41"/>
        <v>-16780.35365808686</v>
      </c>
      <c r="FD3" s="77">
        <f t="shared" si="42"/>
        <v>2693.6075934497553</v>
      </c>
      <c r="FE3" s="77">
        <f t="shared" si="42"/>
        <v>23937.92895876243</v>
      </c>
      <c r="FF3" s="77">
        <f t="shared" si="42"/>
        <v>45182.250324075103</v>
      </c>
      <c r="FG3" s="77">
        <f t="shared" si="42"/>
        <v>47249.553509990488</v>
      </c>
      <c r="FH3" s="77">
        <f t="shared" si="42"/>
        <v>47249.553509990488</v>
      </c>
      <c r="FI3" s="77">
        <f t="shared" si="42"/>
        <v>47249.553509990488</v>
      </c>
      <c r="FJ3" s="77">
        <f t="shared" si="42"/>
        <v>47249.553509990488</v>
      </c>
      <c r="FK3" s="77">
        <f t="shared" si="43"/>
        <v>47249.553509990488</v>
      </c>
      <c r="FL3" s="77">
        <f t="shared" si="43"/>
        <v>47249.553509990488</v>
      </c>
      <c r="FM3" s="77">
        <f t="shared" si="43"/>
        <v>47249.553509990488</v>
      </c>
      <c r="GO3" s="77">
        <f t="shared" si="44"/>
        <v>16773591.496046623</v>
      </c>
      <c r="GP3" s="77">
        <f t="shared" si="44"/>
        <v>11217279.131902862</v>
      </c>
      <c r="GQ3" s="77">
        <f t="shared" si="44"/>
        <v>3943383.1096504121</v>
      </c>
      <c r="GR3" s="77">
        <f t="shared" si="44"/>
        <v>-484849.36682095594</v>
      </c>
      <c r="GS3" s="77">
        <f t="shared" si="44"/>
        <v>-2872551.4750514915</v>
      </c>
      <c r="GT3" s="77">
        <f t="shared" si="44"/>
        <v>-2710935.0194445061</v>
      </c>
      <c r="GU3" s="77">
        <f t="shared" si="44"/>
        <v>0</v>
      </c>
      <c r="GV3" s="77">
        <f t="shared" si="44"/>
        <v>2834973.2105994294</v>
      </c>
      <c r="GW3" s="77">
        <f t="shared" si="44"/>
        <v>5669946.4211988589</v>
      </c>
      <c r="GX3" s="77">
        <f t="shared" si="44"/>
        <v>8504919.6317982879</v>
      </c>
      <c r="GY3" s="77">
        <f t="shared" si="44"/>
        <v>11103645.074847765</v>
      </c>
      <c r="GZ3" s="77">
        <f t="shared" si="44"/>
        <v>13938618.285447193</v>
      </c>
      <c r="HA3" s="77">
        <f t="shared" si="44"/>
        <v>16773591.496046623</v>
      </c>
      <c r="IC3" s="77">
        <v>2</v>
      </c>
    </row>
    <row r="4" spans="1:237" s="77" customFormat="1">
      <c r="A4" s="77">
        <v>3</v>
      </c>
      <c r="B4" s="69">
        <v>3</v>
      </c>
      <c r="C4" s="69" t="s">
        <v>2</v>
      </c>
      <c r="D4" s="70" t="s">
        <v>5</v>
      </c>
      <c r="E4" s="70">
        <v>1</v>
      </c>
      <c r="F4" s="70">
        <v>0.15482054890921884</v>
      </c>
      <c r="G4" s="70">
        <v>6.0606059999999996E-3</v>
      </c>
      <c r="H4" s="70">
        <v>1.2121211999999999E-2</v>
      </c>
      <c r="I4" s="70">
        <f>8.88/AU2</f>
        <v>1.0763636363636364E-2</v>
      </c>
      <c r="J4" s="71">
        <v>1.1000000000000001</v>
      </c>
      <c r="K4" s="72">
        <v>10.714285714285714</v>
      </c>
      <c r="L4" s="71">
        <v>0.34636372207065513</v>
      </c>
      <c r="M4" s="71">
        <v>0.17610837438423643</v>
      </c>
      <c r="N4" s="71">
        <v>0.44858374384236449</v>
      </c>
      <c r="O4" s="71">
        <v>0.19211822660098521</v>
      </c>
      <c r="P4" s="71">
        <v>0.20818672296504806</v>
      </c>
      <c r="Q4" s="73" t="s">
        <v>3</v>
      </c>
      <c r="R4" s="74">
        <v>0</v>
      </c>
      <c r="S4" s="75">
        <f t="shared" si="45"/>
        <v>1.1315788550800232</v>
      </c>
      <c r="T4" s="59">
        <f t="shared" si="0"/>
        <v>0.99788436465012642</v>
      </c>
      <c r="U4" s="59">
        <f t="shared" si="1"/>
        <v>0.75943281801877949</v>
      </c>
      <c r="V4" s="59">
        <f t="shared" si="2"/>
        <v>0.85886554717806385</v>
      </c>
      <c r="W4" s="59">
        <f t="shared" si="3"/>
        <v>0.86068644584805709</v>
      </c>
      <c r="X4" s="59">
        <f t="shared" si="4"/>
        <v>1.1309302505765897</v>
      </c>
      <c r="Y4" s="76">
        <v>330000</v>
      </c>
      <c r="Z4" s="57">
        <f t="shared" si="5"/>
        <v>373206.9826902746</v>
      </c>
      <c r="AA4" s="57">
        <f t="shared" si="6"/>
        <v>284026.52712985885</v>
      </c>
      <c r="AB4" s="57">
        <f t="shared" si="7"/>
        <v>287934.32875163923</v>
      </c>
      <c r="AC4" s="57">
        <f t="shared" si="8"/>
        <v>0.25</v>
      </c>
      <c r="AD4" s="57">
        <f t="shared" si="9"/>
        <v>1.5</v>
      </c>
      <c r="AE4" s="57">
        <f t="shared" si="10"/>
        <v>323988</v>
      </c>
      <c r="AF4" s="57">
        <f t="shared" si="11"/>
        <v>85237.641708073235</v>
      </c>
      <c r="AG4" s="57">
        <f t="shared" si="12"/>
        <v>198788.88542178558</v>
      </c>
      <c r="AH4" s="57">
        <f t="shared" si="13"/>
        <v>167230027.80072501</v>
      </c>
      <c r="AI4" s="57">
        <f t="shared" si="14"/>
        <v>70315793.419377342</v>
      </c>
      <c r="AJ4" s="77">
        <v>355000</v>
      </c>
      <c r="AK4" s="77">
        <f>40.6*0.76</f>
        <v>30.856000000000002</v>
      </c>
      <c r="AL4" s="78">
        <f t="shared" si="15"/>
        <v>3.0289103141768559</v>
      </c>
      <c r="AM4" s="57">
        <f t="shared" si="16"/>
        <v>1</v>
      </c>
      <c r="AN4" s="57">
        <f t="shared" si="17"/>
        <v>0.8</v>
      </c>
      <c r="AO4" s="77">
        <v>750</v>
      </c>
      <c r="AP4" s="79">
        <v>140</v>
      </c>
      <c r="AQ4" s="57">
        <f t="shared" si="46"/>
        <v>126.97016622068999</v>
      </c>
      <c r="AR4" s="78">
        <f t="shared" si="47"/>
        <v>470</v>
      </c>
      <c r="AS4" s="57">
        <f t="shared" si="18"/>
        <v>623.02983377931002</v>
      </c>
      <c r="AT4" s="77">
        <v>70</v>
      </c>
      <c r="AU4" s="77">
        <v>825</v>
      </c>
      <c r="AV4" s="78">
        <f t="shared" si="48"/>
        <v>52500</v>
      </c>
      <c r="AW4" s="77">
        <v>0</v>
      </c>
      <c r="AX4" s="77">
        <f t="shared" si="19"/>
        <v>52500</v>
      </c>
      <c r="AY4" s="77">
        <v>52500</v>
      </c>
      <c r="AZ4" s="77">
        <v>520</v>
      </c>
      <c r="BA4" s="77">
        <v>470</v>
      </c>
      <c r="BB4" s="77">
        <v>470</v>
      </c>
      <c r="BC4" s="77">
        <v>420</v>
      </c>
      <c r="BD4" s="77">
        <v>2.4E-2</v>
      </c>
      <c r="BE4" s="77">
        <v>1.0999999999999999E-2</v>
      </c>
      <c r="BF4" s="77">
        <v>3.1E-2</v>
      </c>
      <c r="BG4" s="77">
        <v>1.2E-2</v>
      </c>
      <c r="BH4" s="79">
        <v>80</v>
      </c>
      <c r="BI4" s="79">
        <f t="shared" si="20"/>
        <v>30.679615757712824</v>
      </c>
      <c r="BJ4" s="79">
        <v>2</v>
      </c>
      <c r="BK4" s="57">
        <f t="shared" si="21"/>
        <v>61.359231515425648</v>
      </c>
      <c r="BL4" s="57"/>
      <c r="BM4" s="80">
        <f t="shared" si="22"/>
        <v>50.26548245743669</v>
      </c>
      <c r="BN4" s="80">
        <v>6</v>
      </c>
      <c r="BO4" s="57">
        <f t="shared" si="23"/>
        <v>301.59289474462014</v>
      </c>
      <c r="BP4" s="57">
        <f t="shared" si="24"/>
        <v>283425.63056876109</v>
      </c>
      <c r="BQ4" s="77">
        <f t="shared" si="25"/>
        <v>-1.1350493878126144E-9</v>
      </c>
      <c r="BR4" s="57">
        <f t="shared" si="26"/>
        <v>233826145.21922788</v>
      </c>
      <c r="BS4" s="57">
        <v>253.94033244137998</v>
      </c>
      <c r="BT4" s="57">
        <f t="shared" si="49"/>
        <v>285.29649061380974</v>
      </c>
      <c r="BU4" s="57"/>
      <c r="BV4" s="57">
        <v>3.3E-3</v>
      </c>
      <c r="BW4" s="57">
        <v>30000</v>
      </c>
      <c r="BX4" s="57">
        <v>200000</v>
      </c>
      <c r="BY4" s="77">
        <f>20</f>
        <v>20</v>
      </c>
      <c r="BZ4" s="77">
        <f t="shared" si="27"/>
        <v>80</v>
      </c>
      <c r="CA4" s="77">
        <f t="shared" si="28"/>
        <v>140</v>
      </c>
      <c r="CB4" s="77">
        <f t="shared" si="29"/>
        <v>195</v>
      </c>
      <c r="CC4" s="77">
        <f t="shared" si="30"/>
        <v>255</v>
      </c>
      <c r="CD4" s="77">
        <f t="shared" si="31"/>
        <v>315</v>
      </c>
      <c r="CE4" s="77">
        <f t="shared" si="32"/>
        <v>375</v>
      </c>
      <c r="CF4" s="77">
        <f t="shared" si="33"/>
        <v>435</v>
      </c>
      <c r="CG4" s="77">
        <f t="shared" si="34"/>
        <v>495</v>
      </c>
      <c r="CH4" s="77">
        <f t="shared" si="35"/>
        <v>555</v>
      </c>
      <c r="CI4" s="77">
        <f t="shared" si="36"/>
        <v>610</v>
      </c>
      <c r="CJ4" s="77">
        <f t="shared" si="37"/>
        <v>670</v>
      </c>
      <c r="CK4" s="77">
        <f t="shared" si="37"/>
        <v>730</v>
      </c>
      <c r="DM4" s="77">
        <f t="shared" si="38"/>
        <v>100.53096491487338</v>
      </c>
      <c r="DN4" s="77">
        <f t="shared" si="38"/>
        <v>100.53096491487338</v>
      </c>
      <c r="DO4" s="77">
        <f t="shared" si="38"/>
        <v>100.53096491487338</v>
      </c>
      <c r="DP4" s="77">
        <f t="shared" si="38"/>
        <v>100.53096491487338</v>
      </c>
      <c r="DQ4" s="77">
        <f t="shared" si="38"/>
        <v>100.53096491487338</v>
      </c>
      <c r="DR4" s="77">
        <f t="shared" si="38"/>
        <v>100.53096491487338</v>
      </c>
      <c r="DS4" s="77">
        <f t="shared" si="38"/>
        <v>100.53096491487338</v>
      </c>
      <c r="DT4" s="77">
        <f t="shared" si="38"/>
        <v>100.53096491487338</v>
      </c>
      <c r="DU4" s="77">
        <f t="shared" si="38"/>
        <v>100.53096491487338</v>
      </c>
      <c r="DV4" s="77">
        <f t="shared" si="38"/>
        <v>100.53096491487338</v>
      </c>
      <c r="DW4" s="77">
        <f t="shared" si="38"/>
        <v>100.53096491487338</v>
      </c>
      <c r="DX4" s="77">
        <f t="shared" si="38"/>
        <v>100.53096491487338</v>
      </c>
      <c r="DY4" s="77">
        <f t="shared" si="38"/>
        <v>100.53096491487338</v>
      </c>
      <c r="FA4" s="77">
        <f t="shared" si="39"/>
        <v>-47249.553509990488</v>
      </c>
      <c r="FB4" s="77">
        <f t="shared" si="40"/>
        <v>-45447.751175596983</v>
      </c>
      <c r="FC4" s="77">
        <f t="shared" si="41"/>
        <v>-29770.736924432407</v>
      </c>
      <c r="FD4" s="77">
        <f t="shared" si="42"/>
        <v>-15400.140527531536</v>
      </c>
      <c r="FE4" s="77">
        <f t="shared" si="42"/>
        <v>276.8737236330474</v>
      </c>
      <c r="FF4" s="77">
        <f t="shared" si="42"/>
        <v>15953.88797479763</v>
      </c>
      <c r="FG4" s="77">
        <f t="shared" si="42"/>
        <v>31630.902225962211</v>
      </c>
      <c r="FH4" s="77">
        <f t="shared" si="42"/>
        <v>47249.553509990488</v>
      </c>
      <c r="FI4" s="77">
        <f t="shared" si="42"/>
        <v>47249.553509990488</v>
      </c>
      <c r="FJ4" s="77">
        <f t="shared" si="42"/>
        <v>47249.553509990488</v>
      </c>
      <c r="FK4" s="77">
        <f t="shared" si="43"/>
        <v>47249.553509990488</v>
      </c>
      <c r="FL4" s="77">
        <f t="shared" si="43"/>
        <v>47249.553509990488</v>
      </c>
      <c r="FM4" s="77">
        <f t="shared" si="43"/>
        <v>47249.553509990488</v>
      </c>
      <c r="GO4" s="77">
        <f t="shared" si="44"/>
        <v>16773591.496046623</v>
      </c>
      <c r="GP4" s="77">
        <f t="shared" si="44"/>
        <v>13407086.59680111</v>
      </c>
      <c r="GQ4" s="77">
        <f t="shared" si="44"/>
        <v>6996123.177241616</v>
      </c>
      <c r="GR4" s="77">
        <f t="shared" si="44"/>
        <v>2772025.2949556764</v>
      </c>
      <c r="GS4" s="77">
        <f t="shared" si="44"/>
        <v>-33224.846835965691</v>
      </c>
      <c r="GT4" s="77">
        <f t="shared" si="44"/>
        <v>-957233.27848785778</v>
      </c>
      <c r="GU4" s="77">
        <f t="shared" si="44"/>
        <v>0</v>
      </c>
      <c r="GV4" s="77">
        <f t="shared" si="44"/>
        <v>2834973.2105994294</v>
      </c>
      <c r="GW4" s="77">
        <f t="shared" si="44"/>
        <v>5669946.4211988589</v>
      </c>
      <c r="GX4" s="77">
        <f t="shared" si="44"/>
        <v>8504919.6317982879</v>
      </c>
      <c r="GY4" s="77">
        <f t="shared" si="44"/>
        <v>11103645.074847765</v>
      </c>
      <c r="GZ4" s="77">
        <f t="shared" si="44"/>
        <v>13938618.285447193</v>
      </c>
      <c r="HA4" s="77">
        <f t="shared" si="44"/>
        <v>16773591.496046623</v>
      </c>
      <c r="IC4" s="77">
        <v>3</v>
      </c>
    </row>
    <row r="5" spans="1:237" s="77" customFormat="1">
      <c r="A5" s="77">
        <v>4</v>
      </c>
      <c r="B5" s="69">
        <v>4</v>
      </c>
      <c r="C5" s="69" t="s">
        <v>2</v>
      </c>
      <c r="D5" s="70" t="s">
        <v>6</v>
      </c>
      <c r="E5" s="70">
        <v>1</v>
      </c>
      <c r="F5" s="70">
        <v>0.11989593937337405</v>
      </c>
      <c r="G5" s="70">
        <v>7.2727269999999997E-3</v>
      </c>
      <c r="H5" s="70">
        <v>1.2121211999999999E-2</v>
      </c>
      <c r="I5" s="70">
        <f>11.21/AU2</f>
        <v>1.3587878787878789E-2</v>
      </c>
      <c r="J5" s="71">
        <v>1.1000000000000001</v>
      </c>
      <c r="K5" s="72">
        <v>10.714285714285714</v>
      </c>
      <c r="L5" s="71">
        <v>0.33402297187811397</v>
      </c>
      <c r="M5" s="71">
        <v>0.169833729216152</v>
      </c>
      <c r="N5" s="71">
        <v>0.43260095011876487</v>
      </c>
      <c r="O5" s="71">
        <v>0.18527315914489312</v>
      </c>
      <c r="P5" s="71">
        <v>0</v>
      </c>
      <c r="Q5" s="73" t="s">
        <v>3</v>
      </c>
      <c r="R5" s="74">
        <v>0</v>
      </c>
      <c r="S5" s="75">
        <f t="shared" si="45"/>
        <v>0.89235718842172329</v>
      </c>
      <c r="T5" s="59">
        <f t="shared" si="0"/>
        <v>0.79982679577176563</v>
      </c>
      <c r="U5" s="59">
        <f t="shared" si="1"/>
        <v>0.58193726634156351</v>
      </c>
      <c r="V5" s="59">
        <f t="shared" si="2"/>
        <v>0.8224894273393546</v>
      </c>
      <c r="W5" s="59">
        <f t="shared" si="3"/>
        <v>1.0283344240120407</v>
      </c>
      <c r="X5" s="59">
        <f t="shared" si="4"/>
        <v>1.4133644207219425</v>
      </c>
      <c r="Y5" s="76">
        <v>265000</v>
      </c>
      <c r="Z5" s="57">
        <f t="shared" si="5"/>
        <v>374541.57149131474</v>
      </c>
      <c r="AA5" s="57">
        <f t="shared" si="6"/>
        <v>272508.62236319075</v>
      </c>
      <c r="AB5" s="57">
        <f t="shared" si="7"/>
        <v>330781.8885914876</v>
      </c>
      <c r="AC5" s="57">
        <f t="shared" si="8"/>
        <v>0.25</v>
      </c>
      <c r="AD5" s="57">
        <f t="shared" si="9"/>
        <v>1.5</v>
      </c>
      <c r="AE5" s="57">
        <f t="shared" si="10"/>
        <v>0</v>
      </c>
      <c r="AF5" s="57">
        <f t="shared" si="11"/>
        <v>58130.861031936489</v>
      </c>
      <c r="AG5" s="57">
        <f t="shared" si="12"/>
        <v>214377.76133125427</v>
      </c>
      <c r="AH5" s="57">
        <f t="shared" si="13"/>
        <v>188728284.61129087</v>
      </c>
      <c r="AI5" s="57">
        <f t="shared" si="14"/>
        <v>84166773.476686433</v>
      </c>
      <c r="AJ5" s="77">
        <v>0</v>
      </c>
      <c r="AK5" s="77">
        <f>42.1*0.76</f>
        <v>31.996000000000002</v>
      </c>
      <c r="AL5" s="78">
        <f t="shared" si="15"/>
        <v>3.0899556661967016</v>
      </c>
      <c r="AM5" s="57">
        <f t="shared" si="16"/>
        <v>1</v>
      </c>
      <c r="AN5" s="57">
        <f t="shared" si="17"/>
        <v>0.8</v>
      </c>
      <c r="AO5" s="77">
        <v>750</v>
      </c>
      <c r="AP5" s="79">
        <v>140</v>
      </c>
      <c r="AQ5" s="57">
        <f t="shared" si="46"/>
        <v>78.112632027693408</v>
      </c>
      <c r="AR5" s="78">
        <f t="shared" si="47"/>
        <v>470</v>
      </c>
      <c r="AS5" s="57">
        <f t="shared" si="18"/>
        <v>671.88736797230661</v>
      </c>
      <c r="AT5" s="77">
        <v>70</v>
      </c>
      <c r="AU5" s="77">
        <v>825</v>
      </c>
      <c r="AV5" s="78">
        <f t="shared" si="48"/>
        <v>52500</v>
      </c>
      <c r="AW5" s="77">
        <v>0</v>
      </c>
      <c r="AX5" s="77">
        <f t="shared" si="19"/>
        <v>52500</v>
      </c>
      <c r="AY5" s="77">
        <v>52500</v>
      </c>
      <c r="AZ5" s="77">
        <v>520</v>
      </c>
      <c r="BA5" s="77">
        <v>470</v>
      </c>
      <c r="BB5" s="77">
        <v>470</v>
      </c>
      <c r="BC5" s="77">
        <v>420</v>
      </c>
      <c r="BD5" s="77">
        <v>2.4E-2</v>
      </c>
      <c r="BE5" s="77">
        <v>1.0999999999999999E-2</v>
      </c>
      <c r="BF5" s="77">
        <v>3.1E-2</v>
      </c>
      <c r="BG5" s="77">
        <v>1.2E-2</v>
      </c>
      <c r="BH5" s="79">
        <v>80</v>
      </c>
      <c r="BI5" s="79">
        <f t="shared" si="20"/>
        <v>30.679615757712824</v>
      </c>
      <c r="BJ5" s="79">
        <v>2</v>
      </c>
      <c r="BK5" s="57">
        <f t="shared" si="21"/>
        <v>61.359231515425648</v>
      </c>
      <c r="BL5" s="57"/>
      <c r="BM5" s="80">
        <f t="shared" si="22"/>
        <v>50.26548245743669</v>
      </c>
      <c r="BN5" s="80">
        <v>6</v>
      </c>
      <c r="BO5" s="57">
        <f t="shared" si="23"/>
        <v>301.59289474462014</v>
      </c>
      <c r="BP5" s="57">
        <f t="shared" si="24"/>
        <v>217959.69824492896</v>
      </c>
      <c r="BQ5" s="77">
        <f t="shared" si="25"/>
        <v>1.4551915228366852E-9</v>
      </c>
      <c r="BR5" s="57">
        <f t="shared" si="26"/>
        <v>179816751.05206639</v>
      </c>
      <c r="BS5" s="57">
        <v>156.22526405538682</v>
      </c>
      <c r="BT5" s="57">
        <f t="shared" si="49"/>
        <v>70.686684380969069</v>
      </c>
      <c r="BU5" s="57"/>
      <c r="BV5" s="57">
        <v>3.3E-3</v>
      </c>
      <c r="BW5" s="57">
        <v>30000</v>
      </c>
      <c r="BX5" s="57">
        <v>200000</v>
      </c>
      <c r="BY5" s="77">
        <f>20</f>
        <v>20</v>
      </c>
      <c r="BZ5" s="77">
        <f t="shared" si="27"/>
        <v>80</v>
      </c>
      <c r="CA5" s="77">
        <f t="shared" si="28"/>
        <v>140</v>
      </c>
      <c r="CB5" s="77">
        <f t="shared" si="29"/>
        <v>195</v>
      </c>
      <c r="CC5" s="77">
        <f t="shared" si="30"/>
        <v>255</v>
      </c>
      <c r="CD5" s="77">
        <f t="shared" si="31"/>
        <v>315</v>
      </c>
      <c r="CE5" s="77">
        <f t="shared" si="32"/>
        <v>375</v>
      </c>
      <c r="CF5" s="77">
        <f t="shared" si="33"/>
        <v>435</v>
      </c>
      <c r="CG5" s="77">
        <f t="shared" si="34"/>
        <v>495</v>
      </c>
      <c r="CH5" s="77">
        <f t="shared" si="35"/>
        <v>555</v>
      </c>
      <c r="CI5" s="77">
        <f t="shared" si="36"/>
        <v>610</v>
      </c>
      <c r="CJ5" s="77">
        <f t="shared" si="37"/>
        <v>670</v>
      </c>
      <c r="CK5" s="77">
        <f t="shared" si="37"/>
        <v>730</v>
      </c>
      <c r="DM5" s="77">
        <f t="shared" si="38"/>
        <v>100.53096491487338</v>
      </c>
      <c r="DN5" s="77">
        <f t="shared" si="38"/>
        <v>100.53096491487338</v>
      </c>
      <c r="DO5" s="77">
        <f t="shared" si="38"/>
        <v>100.53096491487338</v>
      </c>
      <c r="DP5" s="77">
        <f t="shared" si="38"/>
        <v>100.53096491487338</v>
      </c>
      <c r="DQ5" s="77">
        <f t="shared" si="38"/>
        <v>100.53096491487338</v>
      </c>
      <c r="DR5" s="77">
        <f t="shared" si="38"/>
        <v>100.53096491487338</v>
      </c>
      <c r="DS5" s="77">
        <f t="shared" si="38"/>
        <v>100.53096491487338</v>
      </c>
      <c r="DT5" s="77">
        <f t="shared" si="38"/>
        <v>100.53096491487338</v>
      </c>
      <c r="DU5" s="77">
        <f t="shared" si="38"/>
        <v>100.53096491487338</v>
      </c>
      <c r="DV5" s="77">
        <f t="shared" si="38"/>
        <v>100.53096491487338</v>
      </c>
      <c r="DW5" s="77">
        <f t="shared" si="38"/>
        <v>100.53096491487338</v>
      </c>
      <c r="DX5" s="77">
        <f t="shared" si="38"/>
        <v>100.53096491487338</v>
      </c>
      <c r="DY5" s="77">
        <f t="shared" si="38"/>
        <v>100.53096491487338</v>
      </c>
      <c r="FA5" s="77">
        <f t="shared" si="39"/>
        <v>-47249.553509990488</v>
      </c>
      <c r="FB5" s="77">
        <f t="shared" si="40"/>
        <v>-32373.634310626618</v>
      </c>
      <c r="FC5" s="77">
        <f t="shared" si="41"/>
        <v>-6891.0324107342549</v>
      </c>
      <c r="FD5" s="77">
        <f t="shared" si="42"/>
        <v>16468.019330833744</v>
      </c>
      <c r="FE5" s="77">
        <f t="shared" si="42"/>
        <v>41950.621230726108</v>
      </c>
      <c r="FF5" s="77">
        <f t="shared" si="42"/>
        <v>47249.553509990488</v>
      </c>
      <c r="FG5" s="77">
        <f t="shared" si="42"/>
        <v>47249.553509990488</v>
      </c>
      <c r="FH5" s="77">
        <f t="shared" si="42"/>
        <v>47249.553509990488</v>
      </c>
      <c r="FI5" s="77">
        <f t="shared" si="42"/>
        <v>47249.553509990488</v>
      </c>
      <c r="FJ5" s="77">
        <f t="shared" si="42"/>
        <v>47249.553509990488</v>
      </c>
      <c r="FK5" s="77">
        <f t="shared" si="43"/>
        <v>47249.553509990488</v>
      </c>
      <c r="FL5" s="77">
        <f t="shared" si="43"/>
        <v>47249.553509990488</v>
      </c>
      <c r="FM5" s="77">
        <f t="shared" si="43"/>
        <v>47249.553509990488</v>
      </c>
      <c r="GO5" s="77">
        <f t="shared" si="44"/>
        <v>16773591.496046623</v>
      </c>
      <c r="GP5" s="77">
        <f t="shared" si="44"/>
        <v>9550222.1216348521</v>
      </c>
      <c r="GQ5" s="77">
        <f t="shared" si="44"/>
        <v>1619392.6165225499</v>
      </c>
      <c r="GR5" s="77">
        <f t="shared" si="44"/>
        <v>-2964243.4795500739</v>
      </c>
      <c r="GS5" s="77">
        <f t="shared" si="44"/>
        <v>-5034074.5476871328</v>
      </c>
      <c r="GT5" s="77">
        <f t="shared" si="44"/>
        <v>-2834973.2105994294</v>
      </c>
      <c r="GU5" s="77">
        <f t="shared" si="44"/>
        <v>0</v>
      </c>
      <c r="GV5" s="77">
        <f t="shared" si="44"/>
        <v>2834973.2105994294</v>
      </c>
      <c r="GW5" s="77">
        <f t="shared" si="44"/>
        <v>5669946.4211988589</v>
      </c>
      <c r="GX5" s="77">
        <f t="shared" si="44"/>
        <v>8504919.6317982879</v>
      </c>
      <c r="GY5" s="77">
        <f t="shared" si="44"/>
        <v>11103645.074847765</v>
      </c>
      <c r="GZ5" s="77">
        <f t="shared" si="44"/>
        <v>13938618.285447193</v>
      </c>
      <c r="HA5" s="77">
        <f t="shared" si="44"/>
        <v>16773591.496046623</v>
      </c>
      <c r="IC5" s="77">
        <v>4</v>
      </c>
    </row>
    <row r="6" spans="1:237" s="77" customFormat="1">
      <c r="A6" s="77">
        <v>5</v>
      </c>
      <c r="B6" s="69">
        <v>5</v>
      </c>
      <c r="C6" s="69" t="s">
        <v>2</v>
      </c>
      <c r="D6" s="70" t="s">
        <v>7</v>
      </c>
      <c r="E6" s="70">
        <v>1</v>
      </c>
      <c r="F6" s="70">
        <v>0.14076762344660729</v>
      </c>
      <c r="G6" s="70">
        <v>7.2727269999999997E-3</v>
      </c>
      <c r="H6" s="70">
        <v>1.0909090999999999E-2</v>
      </c>
      <c r="I6" s="70">
        <f>8.05/AU2</f>
        <v>9.7575757575757583E-3</v>
      </c>
      <c r="J6" s="71">
        <v>1.1000000000000001</v>
      </c>
      <c r="K6" s="72">
        <v>10.714285714285714</v>
      </c>
      <c r="L6" s="71">
        <v>0.3247659842048175</v>
      </c>
      <c r="M6" s="71">
        <v>0.1651270207852194</v>
      </c>
      <c r="N6" s="71">
        <v>0.42061200923787528</v>
      </c>
      <c r="O6" s="71">
        <v>0.18013856812933027</v>
      </c>
      <c r="P6" s="71">
        <v>0.10172660288133729</v>
      </c>
      <c r="Q6" s="73" t="s">
        <v>3</v>
      </c>
      <c r="R6" s="74">
        <v>0</v>
      </c>
      <c r="S6" s="75">
        <f t="shared" si="45"/>
        <v>1.0625268919246305</v>
      </c>
      <c r="T6" s="59">
        <f t="shared" si="0"/>
        <v>0.92430167843230215</v>
      </c>
      <c r="U6" s="59">
        <f t="shared" si="1"/>
        <v>0.69382405379992196</v>
      </c>
      <c r="V6" s="59">
        <f t="shared" si="2"/>
        <v>0.81435909719966715</v>
      </c>
      <c r="W6" s="59">
        <f t="shared" si="3"/>
        <v>0.88105335758006253</v>
      </c>
      <c r="X6" s="59">
        <f t="shared" si="4"/>
        <v>1.1737256624926755</v>
      </c>
      <c r="Y6" s="76">
        <v>320000</v>
      </c>
      <c r="Z6" s="57">
        <f t="shared" si="5"/>
        <v>375592.21199765615</v>
      </c>
      <c r="AA6" s="57">
        <f t="shared" si="6"/>
        <v>281937.07442562003</v>
      </c>
      <c r="AB6" s="57">
        <f t="shared" si="7"/>
        <v>320962.85035289539</v>
      </c>
      <c r="AC6" s="57">
        <f t="shared" si="8"/>
        <v>0.25</v>
      </c>
      <c r="AD6" s="57">
        <f t="shared" si="9"/>
        <v>1.5</v>
      </c>
      <c r="AE6" s="57">
        <f t="shared" si="10"/>
        <v>175750.00000000003</v>
      </c>
      <c r="AF6" s="57">
        <f t="shared" si="11"/>
        <v>74656.854619356658</v>
      </c>
      <c r="AG6" s="57">
        <f t="shared" si="12"/>
        <v>207280.21980626334</v>
      </c>
      <c r="AH6" s="57">
        <f t="shared" si="13"/>
        <v>186933863.82164794</v>
      </c>
      <c r="AI6" s="57">
        <f t="shared" si="14"/>
        <v>77860487.719490781</v>
      </c>
      <c r="AJ6" s="77">
        <v>185000</v>
      </c>
      <c r="AK6" s="77">
        <f>0.76*43.3</f>
        <v>32.908000000000001</v>
      </c>
      <c r="AL6" s="78">
        <f t="shared" si="15"/>
        <v>3.1380903156471045</v>
      </c>
      <c r="AM6" s="57">
        <f t="shared" si="16"/>
        <v>1</v>
      </c>
      <c r="AN6" s="57">
        <f t="shared" si="17"/>
        <v>0.8</v>
      </c>
      <c r="AO6" s="77">
        <v>750</v>
      </c>
      <c r="AP6" s="79">
        <v>140</v>
      </c>
      <c r="AQ6" s="57">
        <f t="shared" si="46"/>
        <v>100.35723643389251</v>
      </c>
      <c r="AR6" s="78">
        <f t="shared" si="47"/>
        <v>470</v>
      </c>
      <c r="AS6" s="57">
        <f t="shared" si="18"/>
        <v>649.64276356610753</v>
      </c>
      <c r="AT6" s="77">
        <v>70</v>
      </c>
      <c r="AU6" s="77">
        <v>825</v>
      </c>
      <c r="AV6" s="78">
        <f t="shared" si="48"/>
        <v>52500</v>
      </c>
      <c r="AW6" s="77">
        <v>0</v>
      </c>
      <c r="AX6" s="77">
        <f t="shared" si="19"/>
        <v>52500</v>
      </c>
      <c r="AY6" s="77">
        <v>52500</v>
      </c>
      <c r="AZ6" s="77">
        <v>520</v>
      </c>
      <c r="BA6" s="77">
        <v>470</v>
      </c>
      <c r="BB6" s="77">
        <v>470</v>
      </c>
      <c r="BC6" s="77">
        <v>420</v>
      </c>
      <c r="BD6" s="77">
        <v>2.4E-2</v>
      </c>
      <c r="BE6" s="77">
        <v>1.0999999999999999E-2</v>
      </c>
      <c r="BF6" s="77">
        <v>3.1E-2</v>
      </c>
      <c r="BG6" s="77">
        <v>1.2E-2</v>
      </c>
      <c r="BH6" s="79">
        <v>80</v>
      </c>
      <c r="BI6" s="79">
        <f t="shared" si="20"/>
        <v>30.679615757712824</v>
      </c>
      <c r="BJ6" s="79">
        <v>2</v>
      </c>
      <c r="BK6" s="57">
        <f t="shared" si="21"/>
        <v>61.359231515425648</v>
      </c>
      <c r="BL6" s="57"/>
      <c r="BM6" s="80">
        <f t="shared" si="22"/>
        <v>50.26548245743669</v>
      </c>
      <c r="BN6" s="80">
        <v>6</v>
      </c>
      <c r="BO6" s="57">
        <f t="shared" si="23"/>
        <v>301.59289474462014</v>
      </c>
      <c r="BP6" s="57">
        <f t="shared" si="24"/>
        <v>260594.91110389348</v>
      </c>
      <c r="BQ6" s="77">
        <f t="shared" si="25"/>
        <v>0</v>
      </c>
      <c r="BR6" s="57">
        <f t="shared" si="26"/>
        <v>214990801.66071212</v>
      </c>
      <c r="BS6" s="57">
        <v>200.71447286778502</v>
      </c>
      <c r="BT6" s="57">
        <f t="shared" si="49"/>
        <v>179.41825747669279</v>
      </c>
      <c r="BU6" s="57"/>
      <c r="BV6" s="57">
        <v>3.3E-3</v>
      </c>
      <c r="BW6" s="57">
        <v>30000</v>
      </c>
      <c r="BX6" s="57">
        <v>200000</v>
      </c>
      <c r="BY6" s="77">
        <f>20</f>
        <v>20</v>
      </c>
      <c r="BZ6" s="77">
        <f t="shared" si="27"/>
        <v>80</v>
      </c>
      <c r="CA6" s="77">
        <f t="shared" si="28"/>
        <v>140</v>
      </c>
      <c r="CB6" s="77">
        <f t="shared" si="29"/>
        <v>195</v>
      </c>
      <c r="CC6" s="77">
        <f t="shared" si="30"/>
        <v>255</v>
      </c>
      <c r="CD6" s="77">
        <f t="shared" si="31"/>
        <v>315</v>
      </c>
      <c r="CE6" s="77">
        <f t="shared" si="32"/>
        <v>375</v>
      </c>
      <c r="CF6" s="77">
        <f t="shared" si="33"/>
        <v>435</v>
      </c>
      <c r="CG6" s="77">
        <f t="shared" si="34"/>
        <v>495</v>
      </c>
      <c r="CH6" s="77">
        <f t="shared" si="35"/>
        <v>555</v>
      </c>
      <c r="CI6" s="77">
        <f t="shared" si="36"/>
        <v>610</v>
      </c>
      <c r="CJ6" s="77">
        <f t="shared" si="37"/>
        <v>670</v>
      </c>
      <c r="CK6" s="77">
        <f t="shared" si="37"/>
        <v>730</v>
      </c>
      <c r="DM6" s="77">
        <f t="shared" si="38"/>
        <v>100.53096491487338</v>
      </c>
      <c r="DN6" s="77">
        <f t="shared" si="38"/>
        <v>100.53096491487338</v>
      </c>
      <c r="DO6" s="77">
        <f t="shared" si="38"/>
        <v>100.53096491487338</v>
      </c>
      <c r="DP6" s="77">
        <f t="shared" si="38"/>
        <v>100.53096491487338</v>
      </c>
      <c r="DQ6" s="77">
        <f t="shared" si="38"/>
        <v>100.53096491487338</v>
      </c>
      <c r="DR6" s="77">
        <f t="shared" si="38"/>
        <v>100.53096491487338</v>
      </c>
      <c r="DS6" s="77">
        <f t="shared" si="38"/>
        <v>100.53096491487338</v>
      </c>
      <c r="DT6" s="77">
        <f t="shared" si="38"/>
        <v>100.53096491487338</v>
      </c>
      <c r="DU6" s="77">
        <f t="shared" si="38"/>
        <v>100.53096491487338</v>
      </c>
      <c r="DV6" s="77">
        <f t="shared" si="38"/>
        <v>100.53096491487338</v>
      </c>
      <c r="DW6" s="77">
        <f t="shared" si="38"/>
        <v>100.53096491487338</v>
      </c>
      <c r="DX6" s="77">
        <f t="shared" si="38"/>
        <v>100.53096491487338</v>
      </c>
      <c r="DY6" s="77">
        <f t="shared" si="38"/>
        <v>100.53096491487338</v>
      </c>
      <c r="FA6" s="77">
        <f t="shared" si="39"/>
        <v>-47249.553509990488</v>
      </c>
      <c r="FB6" s="77">
        <f t="shared" si="40"/>
        <v>-39904.735785667857</v>
      </c>
      <c r="FC6" s="77">
        <f t="shared" si="41"/>
        <v>-20070.459992056436</v>
      </c>
      <c r="FD6" s="77">
        <f t="shared" si="42"/>
        <v>-1889.0405145792949</v>
      </c>
      <c r="FE6" s="77">
        <f t="shared" si="42"/>
        <v>17945.235279032127</v>
      </c>
      <c r="FF6" s="77">
        <f t="shared" si="42"/>
        <v>37779.51107264356</v>
      </c>
      <c r="FG6" s="77">
        <f t="shared" si="42"/>
        <v>47249.553509990488</v>
      </c>
      <c r="FH6" s="77">
        <f t="shared" si="42"/>
        <v>47249.553509990488</v>
      </c>
      <c r="FI6" s="77">
        <f t="shared" si="42"/>
        <v>47249.553509990488</v>
      </c>
      <c r="FJ6" s="77">
        <f t="shared" si="42"/>
        <v>47249.553509990488</v>
      </c>
      <c r="FK6" s="77">
        <f t="shared" si="43"/>
        <v>47249.553509990488</v>
      </c>
      <c r="FL6" s="77">
        <f t="shared" si="43"/>
        <v>47249.553509990488</v>
      </c>
      <c r="FM6" s="77">
        <f t="shared" si="43"/>
        <v>47249.553509990488</v>
      </c>
      <c r="GO6" s="77">
        <f t="shared" si="44"/>
        <v>16773591.496046623</v>
      </c>
      <c r="GP6" s="77">
        <f t="shared" si="44"/>
        <v>11771897.056772018</v>
      </c>
      <c r="GQ6" s="77">
        <f t="shared" si="44"/>
        <v>4716558.0981332622</v>
      </c>
      <c r="GR6" s="77">
        <f t="shared" si="44"/>
        <v>340027.2926242731</v>
      </c>
      <c r="GS6" s="77">
        <f t="shared" si="44"/>
        <v>-2153428.2334838551</v>
      </c>
      <c r="GT6" s="77">
        <f t="shared" si="44"/>
        <v>-2266770.6643586135</v>
      </c>
      <c r="GU6" s="77">
        <f t="shared" si="44"/>
        <v>0</v>
      </c>
      <c r="GV6" s="77">
        <f t="shared" si="44"/>
        <v>2834973.2105994294</v>
      </c>
      <c r="GW6" s="77">
        <f t="shared" si="44"/>
        <v>5669946.4211988589</v>
      </c>
      <c r="GX6" s="77">
        <f t="shared" si="44"/>
        <v>8504919.6317982879</v>
      </c>
      <c r="GY6" s="77">
        <f t="shared" si="44"/>
        <v>11103645.074847765</v>
      </c>
      <c r="GZ6" s="77">
        <f t="shared" si="44"/>
        <v>13938618.285447193</v>
      </c>
      <c r="HA6" s="77">
        <f t="shared" si="44"/>
        <v>16773591.496046623</v>
      </c>
      <c r="IC6" s="77">
        <v>5</v>
      </c>
    </row>
    <row r="7" spans="1:237" s="77" customFormat="1">
      <c r="A7" s="77">
        <v>6</v>
      </c>
      <c r="B7" s="69">
        <v>6</v>
      </c>
      <c r="C7" s="69" t="s">
        <v>2</v>
      </c>
      <c r="D7" s="70" t="s">
        <v>8</v>
      </c>
      <c r="E7" s="70">
        <v>1</v>
      </c>
      <c r="F7" s="70">
        <v>0.13079119462098185</v>
      </c>
      <c r="G7" s="70">
        <v>4.8484849999999996E-3</v>
      </c>
      <c r="H7" s="70">
        <v>8.4848479999999997E-3</v>
      </c>
      <c r="I7" s="70">
        <f>5.78/AU2</f>
        <v>7.0060606060606059E-3</v>
      </c>
      <c r="J7" s="71">
        <v>1.1000000000000001</v>
      </c>
      <c r="K7" s="72">
        <v>10.714285714285714</v>
      </c>
      <c r="L7" s="71">
        <v>0.27199936394716823</v>
      </c>
      <c r="M7" s="71">
        <v>0.13829787234042551</v>
      </c>
      <c r="N7" s="71">
        <v>0.35227272727272724</v>
      </c>
      <c r="O7" s="71">
        <v>0.15087040618955511</v>
      </c>
      <c r="P7" s="71">
        <v>0.21184489269595647</v>
      </c>
      <c r="Q7" s="73" t="s">
        <v>3</v>
      </c>
      <c r="R7" s="74">
        <v>0</v>
      </c>
      <c r="S7" s="75">
        <f t="shared" si="45"/>
        <v>1.0787404946966903</v>
      </c>
      <c r="T7" s="59">
        <f t="shared" si="0"/>
        <v>1.0634047540763207</v>
      </c>
      <c r="U7" s="59">
        <f t="shared" si="1"/>
        <v>0.84085080683865954</v>
      </c>
      <c r="V7" s="59">
        <f t="shared" si="2"/>
        <v>0.90615737273864827</v>
      </c>
      <c r="W7" s="59">
        <f t="shared" si="3"/>
        <v>0.85212838222238496</v>
      </c>
      <c r="X7" s="59">
        <f t="shared" si="4"/>
        <v>1.0776672453291938</v>
      </c>
      <c r="Y7" s="76">
        <v>355000</v>
      </c>
      <c r="Z7" s="57">
        <f t="shared" si="5"/>
        <v>382571.87209186377</v>
      </c>
      <c r="AA7" s="57">
        <f t="shared" si="6"/>
        <v>302505.57568894664</v>
      </c>
      <c r="AB7" s="57">
        <f t="shared" si="7"/>
        <v>346576.85969463369</v>
      </c>
      <c r="AC7" s="57">
        <f t="shared" si="8"/>
        <v>0.25</v>
      </c>
      <c r="AD7" s="57">
        <f t="shared" si="9"/>
        <v>1.5</v>
      </c>
      <c r="AE7" s="57">
        <f t="shared" si="10"/>
        <v>412566</v>
      </c>
      <c r="AF7" s="57">
        <f t="shared" si="11"/>
        <v>102098.70991514114</v>
      </c>
      <c r="AG7" s="57">
        <f t="shared" si="12"/>
        <v>200406.86577380553</v>
      </c>
      <c r="AH7" s="57">
        <f t="shared" si="13"/>
        <v>214172512.90471977</v>
      </c>
      <c r="AI7" s="57">
        <f t="shared" si="14"/>
        <v>71753396.343353018</v>
      </c>
      <c r="AJ7" s="77">
        <v>460000</v>
      </c>
      <c r="AK7" s="77">
        <f>0.76*51.7</f>
        <v>39.292000000000002</v>
      </c>
      <c r="AL7" s="78">
        <f t="shared" si="15"/>
        <v>3.4595283534695707</v>
      </c>
      <c r="AM7" s="57">
        <f t="shared" si="16"/>
        <v>0.99660000000000004</v>
      </c>
      <c r="AN7" s="57">
        <f t="shared" si="17"/>
        <v>0.79660000000000009</v>
      </c>
      <c r="AO7" s="77">
        <v>750</v>
      </c>
      <c r="AP7" s="79">
        <v>140</v>
      </c>
      <c r="AQ7" s="57">
        <f t="shared" si="46"/>
        <v>121.8992085178067</v>
      </c>
      <c r="AR7" s="78">
        <f t="shared" si="47"/>
        <v>470</v>
      </c>
      <c r="AS7" s="57">
        <f t="shared" si="18"/>
        <v>628.10079148219324</v>
      </c>
      <c r="AT7" s="77">
        <v>70</v>
      </c>
      <c r="AU7" s="77">
        <v>825</v>
      </c>
      <c r="AV7" s="78">
        <f t="shared" si="48"/>
        <v>52500</v>
      </c>
      <c r="AW7" s="77">
        <v>0</v>
      </c>
      <c r="AX7" s="77">
        <f t="shared" si="19"/>
        <v>52500</v>
      </c>
      <c r="AY7" s="77">
        <v>52500</v>
      </c>
      <c r="AZ7" s="77">
        <v>520</v>
      </c>
      <c r="BA7" s="77">
        <v>470</v>
      </c>
      <c r="BB7" s="77">
        <v>470</v>
      </c>
      <c r="BC7" s="77">
        <v>420</v>
      </c>
      <c r="BD7" s="77">
        <v>2.4E-2</v>
      </c>
      <c r="BE7" s="77">
        <v>1.0999999999999999E-2</v>
      </c>
      <c r="BF7" s="77">
        <v>3.1E-2</v>
      </c>
      <c r="BG7" s="77">
        <v>1.2E-2</v>
      </c>
      <c r="BH7" s="79">
        <v>80</v>
      </c>
      <c r="BI7" s="79">
        <f t="shared" si="20"/>
        <v>30.679615757712824</v>
      </c>
      <c r="BJ7" s="79">
        <v>2</v>
      </c>
      <c r="BK7" s="57">
        <f t="shared" si="21"/>
        <v>61.359231515425648</v>
      </c>
      <c r="BL7" s="57"/>
      <c r="BM7" s="80">
        <f t="shared" si="22"/>
        <v>50.26548245743669</v>
      </c>
      <c r="BN7" s="80">
        <v>6</v>
      </c>
      <c r="BO7" s="57">
        <f t="shared" si="23"/>
        <v>301.59289474462014</v>
      </c>
      <c r="BP7" s="57">
        <f t="shared" si="24"/>
        <v>321685.86732222012</v>
      </c>
      <c r="BQ7" s="77">
        <f t="shared" si="25"/>
        <v>0</v>
      </c>
      <c r="BR7" s="57">
        <f t="shared" si="26"/>
        <v>265390840.5408316</v>
      </c>
      <c r="BS7" s="57">
        <v>243.7984170356134</v>
      </c>
      <c r="BT7" s="57">
        <f t="shared" si="49"/>
        <v>290.83856634575403</v>
      </c>
      <c r="BU7" s="57"/>
      <c r="BV7" s="57">
        <v>3.3E-3</v>
      </c>
      <c r="BW7" s="57">
        <v>30000</v>
      </c>
      <c r="BX7" s="57">
        <v>200000</v>
      </c>
      <c r="BY7" s="77">
        <f>20</f>
        <v>20</v>
      </c>
      <c r="BZ7" s="77">
        <f t="shared" si="27"/>
        <v>80</v>
      </c>
      <c r="CA7" s="77">
        <f t="shared" si="28"/>
        <v>140</v>
      </c>
      <c r="CB7" s="77">
        <f t="shared" si="29"/>
        <v>195</v>
      </c>
      <c r="CC7" s="77">
        <f t="shared" si="30"/>
        <v>255</v>
      </c>
      <c r="CD7" s="77">
        <f t="shared" si="31"/>
        <v>315</v>
      </c>
      <c r="CE7" s="77">
        <f t="shared" si="32"/>
        <v>375</v>
      </c>
      <c r="CF7" s="77">
        <f t="shared" si="33"/>
        <v>435</v>
      </c>
      <c r="CG7" s="77">
        <f t="shared" si="34"/>
        <v>495</v>
      </c>
      <c r="CH7" s="77">
        <f t="shared" si="35"/>
        <v>555</v>
      </c>
      <c r="CI7" s="77">
        <f t="shared" si="36"/>
        <v>610</v>
      </c>
      <c r="CJ7" s="77">
        <f t="shared" si="37"/>
        <v>670</v>
      </c>
      <c r="CK7" s="77">
        <f t="shared" si="37"/>
        <v>730</v>
      </c>
      <c r="DM7" s="77">
        <f t="shared" si="38"/>
        <v>100.53096491487338</v>
      </c>
      <c r="DN7" s="77">
        <f t="shared" si="38"/>
        <v>100.53096491487338</v>
      </c>
      <c r="DO7" s="77">
        <f t="shared" si="38"/>
        <v>100.53096491487338</v>
      </c>
      <c r="DP7" s="77">
        <f t="shared" si="38"/>
        <v>100.53096491487338</v>
      </c>
      <c r="DQ7" s="77">
        <f t="shared" si="38"/>
        <v>100.53096491487338</v>
      </c>
      <c r="DR7" s="77">
        <f t="shared" si="38"/>
        <v>100.53096491487338</v>
      </c>
      <c r="DS7" s="77">
        <f t="shared" si="38"/>
        <v>100.53096491487338</v>
      </c>
      <c r="DT7" s="77">
        <f t="shared" si="38"/>
        <v>100.53096491487338</v>
      </c>
      <c r="DU7" s="77">
        <f t="shared" si="38"/>
        <v>100.53096491487338</v>
      </c>
      <c r="DV7" s="77">
        <f t="shared" si="38"/>
        <v>100.53096491487338</v>
      </c>
      <c r="DW7" s="77">
        <f t="shared" si="38"/>
        <v>100.53096491487338</v>
      </c>
      <c r="DX7" s="77">
        <f t="shared" si="38"/>
        <v>100.53096491487338</v>
      </c>
      <c r="DY7" s="77">
        <f t="shared" si="38"/>
        <v>100.53096491487338</v>
      </c>
      <c r="FA7" s="77">
        <f t="shared" si="39"/>
        <v>-47249.553509990488</v>
      </c>
      <c r="FB7" s="77">
        <f t="shared" si="40"/>
        <v>-44578.207917777378</v>
      </c>
      <c r="FC7" s="77">
        <f t="shared" si="41"/>
        <v>-28249.036223248084</v>
      </c>
      <c r="FD7" s="77">
        <f t="shared" si="42"/>
        <v>-13280.628836596237</v>
      </c>
      <c r="FE7" s="77">
        <f t="shared" si="42"/>
        <v>3048.5428579330537</v>
      </c>
      <c r="FF7" s="77">
        <f t="shared" si="42"/>
        <v>19377.714552462341</v>
      </c>
      <c r="FG7" s="77">
        <f t="shared" si="42"/>
        <v>35706.886246991628</v>
      </c>
      <c r="FH7" s="77">
        <f t="shared" si="42"/>
        <v>47249.553509990488</v>
      </c>
      <c r="FI7" s="77">
        <f t="shared" si="42"/>
        <v>47249.553509990488</v>
      </c>
      <c r="FJ7" s="77">
        <f t="shared" si="42"/>
        <v>47249.553509990488</v>
      </c>
      <c r="FK7" s="77">
        <f t="shared" si="43"/>
        <v>47249.553509990488</v>
      </c>
      <c r="FL7" s="77">
        <f t="shared" si="43"/>
        <v>47249.553509990488</v>
      </c>
      <c r="FM7" s="77">
        <f t="shared" si="43"/>
        <v>47249.553509990488</v>
      </c>
      <c r="GO7" s="77">
        <f t="shared" si="44"/>
        <v>16773591.496046623</v>
      </c>
      <c r="GP7" s="77">
        <f t="shared" si="44"/>
        <v>13150571.335744327</v>
      </c>
      <c r="GQ7" s="77">
        <f t="shared" si="44"/>
        <v>6638523.5124632996</v>
      </c>
      <c r="GR7" s="77">
        <f t="shared" si="44"/>
        <v>2390513.1905873227</v>
      </c>
      <c r="GS7" s="77">
        <f t="shared" si="44"/>
        <v>-365825.14295196644</v>
      </c>
      <c r="GT7" s="77">
        <f t="shared" si="44"/>
        <v>-1162662.8731477405</v>
      </c>
      <c r="GU7" s="77">
        <f t="shared" si="44"/>
        <v>0</v>
      </c>
      <c r="GV7" s="77">
        <f t="shared" si="44"/>
        <v>2834973.2105994294</v>
      </c>
      <c r="GW7" s="77">
        <f t="shared" si="44"/>
        <v>5669946.4211988589</v>
      </c>
      <c r="GX7" s="77">
        <f t="shared" si="44"/>
        <v>8504919.6317982879</v>
      </c>
      <c r="GY7" s="77">
        <f t="shared" si="44"/>
        <v>11103645.074847765</v>
      </c>
      <c r="GZ7" s="77">
        <f t="shared" si="44"/>
        <v>13938618.285447193</v>
      </c>
      <c r="HA7" s="77">
        <f t="shared" si="44"/>
        <v>16773591.496046623</v>
      </c>
      <c r="IC7" s="77">
        <v>6</v>
      </c>
    </row>
    <row r="8" spans="1:237" s="77" customFormat="1">
      <c r="A8" s="77">
        <v>7</v>
      </c>
      <c r="B8" s="69">
        <v>7</v>
      </c>
      <c r="C8" s="69" t="s">
        <v>2</v>
      </c>
      <c r="D8" s="70" t="s">
        <v>9</v>
      </c>
      <c r="E8" s="70">
        <v>1</v>
      </c>
      <c r="F8" s="70">
        <v>9.7407078773538408E-2</v>
      </c>
      <c r="G8" s="70">
        <v>6.0606059999999996E-3</v>
      </c>
      <c r="H8" s="70">
        <v>1.3333332999999999E-2</v>
      </c>
      <c r="I8" s="70">
        <f>10.75/AU2</f>
        <v>1.3030303030303031E-2</v>
      </c>
      <c r="J8" s="71">
        <v>1.1000000000000001</v>
      </c>
      <c r="K8" s="72">
        <v>10.714285714285714</v>
      </c>
      <c r="L8" s="71">
        <v>0.29114631710286953</v>
      </c>
      <c r="M8" s="71">
        <v>4.9792960662525886E-2</v>
      </c>
      <c r="N8" s="71">
        <v>0.40139751552795033</v>
      </c>
      <c r="O8" s="71">
        <v>0.16149068322981366</v>
      </c>
      <c r="P8" s="71">
        <v>0</v>
      </c>
      <c r="Q8" s="73" t="s">
        <v>3</v>
      </c>
      <c r="R8" s="74">
        <v>0</v>
      </c>
      <c r="S8" s="75">
        <f t="shared" si="45"/>
        <v>0.77652830079233315</v>
      </c>
      <c r="T8" s="59">
        <f t="shared" si="0"/>
        <v>0.79835154674885211</v>
      </c>
      <c r="U8" s="59">
        <f t="shared" si="1"/>
        <v>1.2363913995469402</v>
      </c>
      <c r="V8" s="59">
        <f t="shared" si="2"/>
        <v>0.90366998758450501</v>
      </c>
      <c r="W8" s="59">
        <f t="shared" si="3"/>
        <v>1.1319198807399371</v>
      </c>
      <c r="X8" s="59">
        <f t="shared" si="4"/>
        <v>0.73089313619913843</v>
      </c>
      <c r="Y8" s="76">
        <v>247000</v>
      </c>
      <c r="Z8" s="57">
        <f t="shared" si="5"/>
        <v>180530.60464118718</v>
      </c>
      <c r="AA8" s="57">
        <f t="shared" si="6"/>
        <v>279584.21054276446</v>
      </c>
      <c r="AB8" s="57">
        <f t="shared" si="7"/>
        <v>369222.45405388606</v>
      </c>
      <c r="AC8" s="57">
        <f t="shared" si="8"/>
        <v>0.25</v>
      </c>
      <c r="AD8" s="57">
        <f t="shared" si="9"/>
        <v>1.5</v>
      </c>
      <c r="AE8" s="57">
        <f t="shared" si="10"/>
        <v>0</v>
      </c>
      <c r="AF8" s="57">
        <f t="shared" si="11"/>
        <v>63262.111346455502</v>
      </c>
      <c r="AG8" s="57">
        <f t="shared" si="12"/>
        <v>216322.09919630896</v>
      </c>
      <c r="AH8" s="57">
        <f t="shared" si="13"/>
        <v>218714174.02048928</v>
      </c>
      <c r="AI8" s="57">
        <f t="shared" si="14"/>
        <v>85894350.573966756</v>
      </c>
      <c r="AJ8" s="77">
        <v>0</v>
      </c>
      <c r="AK8" s="77">
        <f>0.76*48.3</f>
        <v>36.707999999999998</v>
      </c>
      <c r="AL8" s="78">
        <f t="shared" si="15"/>
        <v>3.332483574849296</v>
      </c>
      <c r="AM8" s="57">
        <f t="shared" si="16"/>
        <v>1</v>
      </c>
      <c r="AN8" s="57">
        <f t="shared" si="17"/>
        <v>0.8</v>
      </c>
      <c r="AO8" s="77">
        <v>750</v>
      </c>
      <c r="AP8" s="79">
        <v>140</v>
      </c>
      <c r="AQ8" s="57">
        <f t="shared" si="46"/>
        <v>72.018828069260096</v>
      </c>
      <c r="AR8" s="78">
        <f t="shared" si="47"/>
        <v>470</v>
      </c>
      <c r="AS8" s="57">
        <f t="shared" si="18"/>
        <v>677.98117193073995</v>
      </c>
      <c r="AT8" s="77">
        <v>70</v>
      </c>
      <c r="AU8" s="77">
        <v>825</v>
      </c>
      <c r="AV8" s="78">
        <f t="shared" si="48"/>
        <v>52500</v>
      </c>
      <c r="AW8" s="77">
        <v>0</v>
      </c>
      <c r="AX8" s="77">
        <f t="shared" si="19"/>
        <v>52500</v>
      </c>
      <c r="AY8" s="77">
        <v>52500</v>
      </c>
      <c r="AZ8" s="77">
        <v>520</v>
      </c>
      <c r="BA8" s="77">
        <v>470</v>
      </c>
      <c r="BB8" s="77">
        <v>470</v>
      </c>
      <c r="BC8" s="77">
        <v>420</v>
      </c>
      <c r="BD8" s="77">
        <v>2.4E-2</v>
      </c>
      <c r="BE8" s="77">
        <v>3.7000000000000002E-3</v>
      </c>
      <c r="BF8" s="77">
        <v>3.1E-2</v>
      </c>
      <c r="BG8" s="77">
        <v>1.2E-2</v>
      </c>
      <c r="BH8" s="79">
        <v>80</v>
      </c>
      <c r="BI8" s="79">
        <f t="shared" si="20"/>
        <v>30.679615757712824</v>
      </c>
      <c r="BJ8" s="79">
        <v>2</v>
      </c>
      <c r="BK8" s="57">
        <f t="shared" si="21"/>
        <v>61.359231515425648</v>
      </c>
      <c r="BL8" s="57"/>
      <c r="BM8" s="80">
        <f t="shared" si="22"/>
        <v>50.26548245743669</v>
      </c>
      <c r="BN8" s="80">
        <v>6</v>
      </c>
      <c r="BO8" s="57">
        <f t="shared" si="23"/>
        <v>301.59289474462014</v>
      </c>
      <c r="BP8" s="57">
        <f t="shared" si="24"/>
        <v>223206.48693337274</v>
      </c>
      <c r="BQ8" s="77">
        <f t="shared" si="25"/>
        <v>-5.8207660913467407E-10</v>
      </c>
      <c r="BR8" s="57">
        <f t="shared" si="26"/>
        <v>184145351.72003251</v>
      </c>
      <c r="BS8" s="57">
        <v>144.03765613852019</v>
      </c>
      <c r="BT8" s="57">
        <f t="shared" si="49"/>
        <v>64.245321992257018</v>
      </c>
      <c r="BU8" s="57"/>
      <c r="BV8" s="57">
        <v>3.3E-3</v>
      </c>
      <c r="BW8" s="57">
        <v>30000</v>
      </c>
      <c r="BX8" s="57">
        <v>200000</v>
      </c>
      <c r="BY8" s="77">
        <f>20</f>
        <v>20</v>
      </c>
      <c r="BZ8" s="77">
        <f t="shared" si="27"/>
        <v>80</v>
      </c>
      <c r="CA8" s="77">
        <f t="shared" si="28"/>
        <v>140</v>
      </c>
      <c r="CB8" s="77">
        <f t="shared" si="29"/>
        <v>195</v>
      </c>
      <c r="CC8" s="77">
        <f t="shared" si="30"/>
        <v>255</v>
      </c>
      <c r="CD8" s="77">
        <f t="shared" si="31"/>
        <v>315</v>
      </c>
      <c r="CE8" s="77">
        <f t="shared" si="32"/>
        <v>375</v>
      </c>
      <c r="CF8" s="77">
        <f t="shared" si="33"/>
        <v>435</v>
      </c>
      <c r="CG8" s="77">
        <f t="shared" si="34"/>
        <v>495</v>
      </c>
      <c r="CH8" s="77">
        <f t="shared" si="35"/>
        <v>555</v>
      </c>
      <c r="CI8" s="77">
        <f t="shared" si="36"/>
        <v>610</v>
      </c>
      <c r="CJ8" s="77">
        <f t="shared" si="37"/>
        <v>670</v>
      </c>
      <c r="CK8" s="77">
        <f t="shared" si="37"/>
        <v>730</v>
      </c>
      <c r="DM8" s="77">
        <f t="shared" si="38"/>
        <v>100.53096491487338</v>
      </c>
      <c r="DN8" s="77">
        <f t="shared" si="38"/>
        <v>100.53096491487338</v>
      </c>
      <c r="DO8" s="77">
        <f t="shared" si="38"/>
        <v>100.53096491487338</v>
      </c>
      <c r="DP8" s="77">
        <f t="shared" si="38"/>
        <v>100.53096491487338</v>
      </c>
      <c r="DQ8" s="77">
        <f t="shared" si="38"/>
        <v>100.53096491487338</v>
      </c>
      <c r="DR8" s="77">
        <f t="shared" si="38"/>
        <v>100.53096491487338</v>
      </c>
      <c r="DS8" s="77">
        <f t="shared" si="38"/>
        <v>100.53096491487338</v>
      </c>
      <c r="DT8" s="77">
        <f t="shared" si="38"/>
        <v>100.53096491487338</v>
      </c>
      <c r="DU8" s="77">
        <f t="shared" si="38"/>
        <v>100.53096491487338</v>
      </c>
      <c r="DV8" s="77">
        <f t="shared" si="38"/>
        <v>100.53096491487338</v>
      </c>
      <c r="DW8" s="77">
        <f t="shared" si="38"/>
        <v>100.53096491487338</v>
      </c>
      <c r="DX8" s="77">
        <f t="shared" si="38"/>
        <v>100.53096491487338</v>
      </c>
      <c r="DY8" s="77">
        <f t="shared" si="38"/>
        <v>100.53096491487338</v>
      </c>
      <c r="FA8" s="77">
        <f t="shared" si="39"/>
        <v>-47249.553509990488</v>
      </c>
      <c r="FB8" s="77">
        <f t="shared" si="40"/>
        <v>-29498.719801152198</v>
      </c>
      <c r="FC8" s="77">
        <f t="shared" si="41"/>
        <v>-1859.9320191540296</v>
      </c>
      <c r="FD8" s="77">
        <f t="shared" si="42"/>
        <v>23475.623447677626</v>
      </c>
      <c r="FE8" s="77">
        <f t="shared" si="42"/>
        <v>47249.553509990488</v>
      </c>
      <c r="FF8" s="77">
        <f t="shared" si="42"/>
        <v>47249.553509990488</v>
      </c>
      <c r="FG8" s="77">
        <f t="shared" si="42"/>
        <v>47249.553509990488</v>
      </c>
      <c r="FH8" s="77">
        <f t="shared" si="42"/>
        <v>47249.553509990488</v>
      </c>
      <c r="FI8" s="77">
        <f t="shared" si="42"/>
        <v>47249.553509990488</v>
      </c>
      <c r="FJ8" s="77">
        <f t="shared" si="42"/>
        <v>47249.553509990488</v>
      </c>
      <c r="FK8" s="77">
        <f t="shared" si="43"/>
        <v>47249.553509990488</v>
      </c>
      <c r="FL8" s="77">
        <f t="shared" si="43"/>
        <v>47249.553509990488</v>
      </c>
      <c r="FM8" s="77">
        <f t="shared" si="43"/>
        <v>47249.553509990488</v>
      </c>
      <c r="GO8" s="77">
        <f t="shared" si="44"/>
        <v>16773591.496046623</v>
      </c>
      <c r="GP8" s="77">
        <f t="shared" si="44"/>
        <v>8702122.3413398992</v>
      </c>
      <c r="GQ8" s="77">
        <f t="shared" si="44"/>
        <v>437084.02450119698</v>
      </c>
      <c r="GR8" s="77">
        <f t="shared" si="44"/>
        <v>-4225612.220581973</v>
      </c>
      <c r="GS8" s="77">
        <f t="shared" si="44"/>
        <v>-5669946.4211988589</v>
      </c>
      <c r="GT8" s="77">
        <f t="shared" si="44"/>
        <v>-2834973.2105994294</v>
      </c>
      <c r="GU8" s="77">
        <f t="shared" si="44"/>
        <v>0</v>
      </c>
      <c r="GV8" s="77">
        <f t="shared" si="44"/>
        <v>2834973.2105994294</v>
      </c>
      <c r="GW8" s="77">
        <f t="shared" si="44"/>
        <v>5669946.4211988589</v>
      </c>
      <c r="GX8" s="77">
        <f t="shared" si="44"/>
        <v>8504919.6317982879</v>
      </c>
      <c r="GY8" s="77">
        <f t="shared" si="44"/>
        <v>11103645.074847765</v>
      </c>
      <c r="GZ8" s="77">
        <f t="shared" si="44"/>
        <v>13938618.285447193</v>
      </c>
      <c r="HA8" s="77">
        <f t="shared" si="44"/>
        <v>16773591.496046623</v>
      </c>
      <c r="IC8" s="77">
        <v>7</v>
      </c>
    </row>
    <row r="9" spans="1:237" s="77" customFormat="1">
      <c r="A9" s="77">
        <v>8</v>
      </c>
      <c r="B9" s="69">
        <v>8</v>
      </c>
      <c r="C9" s="69" t="s">
        <v>2</v>
      </c>
      <c r="D9" s="70" t="s">
        <v>10</v>
      </c>
      <c r="E9" s="70">
        <v>1</v>
      </c>
      <c r="F9" s="70">
        <v>7.0231709340264334E-2</v>
      </c>
      <c r="G9" s="70">
        <v>8.0000000000000002E-3</v>
      </c>
      <c r="H9" s="70">
        <v>1.6E-2</v>
      </c>
      <c r="I9" s="70">
        <f>20.61/AU2</f>
        <v>2.4981818181818181E-2</v>
      </c>
      <c r="J9" s="71">
        <v>2.1153846153846154</v>
      </c>
      <c r="K9" s="72">
        <v>10</v>
      </c>
      <c r="L9" s="71">
        <v>0.34241982959282086</v>
      </c>
      <c r="M9" s="71">
        <v>0.12149532710280374</v>
      </c>
      <c r="N9" s="71">
        <v>0.45297897196261683</v>
      </c>
      <c r="O9" s="71">
        <v>0.13668224299065418</v>
      </c>
      <c r="P9" s="71">
        <v>0</v>
      </c>
      <c r="Q9" s="73" t="s">
        <v>3</v>
      </c>
      <c r="R9" s="74">
        <v>0</v>
      </c>
      <c r="S9" s="75">
        <f t="shared" si="45"/>
        <v>0.52704576384914514</v>
      </c>
      <c r="T9" s="59">
        <f t="shared" si="0"/>
        <v>0.60510109815570523</v>
      </c>
      <c r="U9" s="59">
        <f t="shared" si="1"/>
        <v>0.44198822596437648</v>
      </c>
      <c r="V9" s="59">
        <f t="shared" si="2"/>
        <v>0.75424832996841451</v>
      </c>
      <c r="W9" s="59">
        <f t="shared" si="3"/>
        <v>1.2464831616853729</v>
      </c>
      <c r="X9" s="59">
        <f t="shared" si="4"/>
        <v>1.7064896430729939</v>
      </c>
      <c r="Y9" s="76">
        <v>127000</v>
      </c>
      <c r="Z9" s="57">
        <f t="shared" si="5"/>
        <v>216724.18467027022</v>
      </c>
      <c r="AA9" s="57">
        <f t="shared" si="6"/>
        <v>158303.36153404234</v>
      </c>
      <c r="AB9" s="57">
        <f t="shared" si="7"/>
        <v>163076.13100718937</v>
      </c>
      <c r="AC9" s="57">
        <f t="shared" si="8"/>
        <v>0.17</v>
      </c>
      <c r="AD9" s="57">
        <f t="shared" si="9"/>
        <v>2.1153846153846154</v>
      </c>
      <c r="AE9" s="57">
        <f t="shared" si="10"/>
        <v>0</v>
      </c>
      <c r="AF9" s="57">
        <f t="shared" si="11"/>
        <v>29192.75560360997</v>
      </c>
      <c r="AG9" s="57">
        <f t="shared" si="12"/>
        <v>129110.60593043236</v>
      </c>
      <c r="AH9" s="57">
        <f t="shared" si="13"/>
        <v>151460681.89737856</v>
      </c>
      <c r="AI9" s="57">
        <f t="shared" si="14"/>
        <v>72768998.237506822</v>
      </c>
      <c r="AJ9" s="77">
        <v>0</v>
      </c>
      <c r="AK9" s="77">
        <f>0.76*42.8</f>
        <v>32.527999999999999</v>
      </c>
      <c r="AL9" s="78">
        <f t="shared" si="15"/>
        <v>3.1181081082555151</v>
      </c>
      <c r="AM9" s="57">
        <f t="shared" si="16"/>
        <v>1</v>
      </c>
      <c r="AN9" s="57">
        <f t="shared" si="17"/>
        <v>0.8</v>
      </c>
      <c r="AO9" s="77">
        <v>650</v>
      </c>
      <c r="AP9" s="79">
        <v>140</v>
      </c>
      <c r="AQ9" s="57">
        <f t="shared" si="46"/>
        <v>68.316804668780435</v>
      </c>
      <c r="AR9" s="78">
        <f t="shared" si="47"/>
        <v>370</v>
      </c>
      <c r="AS9" s="57">
        <f t="shared" si="18"/>
        <v>581.68319533121962</v>
      </c>
      <c r="AT9" s="77">
        <v>65</v>
      </c>
      <c r="AU9" s="77">
        <v>1375</v>
      </c>
      <c r="AV9" s="78">
        <f t="shared" si="48"/>
        <v>42250</v>
      </c>
      <c r="AW9" s="77">
        <v>0</v>
      </c>
      <c r="AX9" s="77">
        <f t="shared" si="19"/>
        <v>42250</v>
      </c>
      <c r="AY9" s="77">
        <v>42250</v>
      </c>
      <c r="AZ9" s="77">
        <v>520</v>
      </c>
      <c r="BA9" s="77">
        <v>470</v>
      </c>
      <c r="BB9" s="77">
        <v>470</v>
      </c>
      <c r="BC9" s="77">
        <v>420</v>
      </c>
      <c r="BD9" s="77">
        <v>2.5000000000000001E-2</v>
      </c>
      <c r="BE9" s="77">
        <v>8.0000000000000002E-3</v>
      </c>
      <c r="BF9" s="77">
        <v>3.3000000000000002E-2</v>
      </c>
      <c r="BG9" s="77">
        <v>8.9999999999999993E-3</v>
      </c>
      <c r="BH9" s="79">
        <v>115</v>
      </c>
      <c r="BI9" s="79">
        <f t="shared" si="20"/>
        <v>30.679615757712824</v>
      </c>
      <c r="BJ9" s="79">
        <v>2</v>
      </c>
      <c r="BK9" s="57">
        <f t="shared" si="21"/>
        <v>61.359231515425648</v>
      </c>
      <c r="BL9" s="57"/>
      <c r="BM9" s="80">
        <f t="shared" si="22"/>
        <v>50.26548245743669</v>
      </c>
      <c r="BN9" s="80">
        <v>6</v>
      </c>
      <c r="BO9" s="57">
        <f t="shared" si="23"/>
        <v>301.59289474462014</v>
      </c>
      <c r="BP9" s="57">
        <f t="shared" si="24"/>
        <v>95789.537905988647</v>
      </c>
      <c r="BQ9" s="77">
        <f t="shared" si="25"/>
        <v>3.0850060284137726E-9</v>
      </c>
      <c r="BR9" s="57">
        <f t="shared" si="26"/>
        <v>131710614.62073439</v>
      </c>
      <c r="BS9" s="57">
        <v>136.63360933756087</v>
      </c>
      <c r="BT9" s="57">
        <f t="shared" si="49"/>
        <v>72.764304111672772</v>
      </c>
      <c r="BU9" s="57"/>
      <c r="BV9" s="57">
        <v>3.3E-3</v>
      </c>
      <c r="BW9" s="57">
        <v>30000</v>
      </c>
      <c r="BX9" s="57">
        <v>200000</v>
      </c>
      <c r="BY9" s="77">
        <f>20</f>
        <v>20</v>
      </c>
      <c r="BZ9" s="77">
        <f t="shared" si="27"/>
        <v>80</v>
      </c>
      <c r="CA9" s="77">
        <f t="shared" si="28"/>
        <v>140</v>
      </c>
      <c r="CB9" s="77">
        <f t="shared" ref="CB9:CB14" si="50">CA9+61</f>
        <v>201</v>
      </c>
      <c r="CC9" s="77">
        <f t="shared" ref="CC9:CC14" si="51">CB9+62*1</f>
        <v>263</v>
      </c>
      <c r="CD9" s="77">
        <f t="shared" ref="CD9:CD14" si="52">CB9+62*2</f>
        <v>325</v>
      </c>
      <c r="CE9" s="77">
        <f t="shared" ref="CE9:CE14" si="53">CB9+62*3</f>
        <v>387</v>
      </c>
      <c r="CF9" s="77">
        <f t="shared" ref="CF9:CF14" si="54">CB9+62*4</f>
        <v>449</v>
      </c>
      <c r="CG9" s="77">
        <f t="shared" ref="CG9:CG14" si="55">CF9+61</f>
        <v>510</v>
      </c>
      <c r="CH9" s="77">
        <f t="shared" ref="CH9:CI14" si="56">CG9+60</f>
        <v>570</v>
      </c>
      <c r="CI9" s="77">
        <f t="shared" si="56"/>
        <v>630</v>
      </c>
      <c r="DM9" s="77">
        <f t="shared" ref="DM9:DW14" si="57">PI()*8*8/4*2</f>
        <v>100.53096491487338</v>
      </c>
      <c r="DN9" s="77">
        <f t="shared" si="57"/>
        <v>100.53096491487338</v>
      </c>
      <c r="DO9" s="77">
        <f t="shared" si="57"/>
        <v>100.53096491487338</v>
      </c>
      <c r="DP9" s="77">
        <f t="shared" si="57"/>
        <v>100.53096491487338</v>
      </c>
      <c r="DQ9" s="77">
        <f t="shared" si="57"/>
        <v>100.53096491487338</v>
      </c>
      <c r="DR9" s="77">
        <f t="shared" si="57"/>
        <v>100.53096491487338</v>
      </c>
      <c r="DS9" s="77">
        <f t="shared" si="57"/>
        <v>100.53096491487338</v>
      </c>
      <c r="DT9" s="77">
        <f t="shared" si="57"/>
        <v>100.53096491487338</v>
      </c>
      <c r="DU9" s="77">
        <f t="shared" si="57"/>
        <v>100.53096491487338</v>
      </c>
      <c r="DV9" s="77">
        <f t="shared" si="57"/>
        <v>100.53096491487338</v>
      </c>
      <c r="DW9" s="77">
        <f t="shared" si="57"/>
        <v>100.53096491487338</v>
      </c>
      <c r="FA9" s="77">
        <f t="shared" si="39"/>
        <v>-47249.553509990488</v>
      </c>
      <c r="FB9" s="77">
        <f t="shared" si="40"/>
        <v>-27501.759909640441</v>
      </c>
      <c r="FC9" s="77">
        <f t="shared" si="41"/>
        <v>1634.7477909915558</v>
      </c>
      <c r="FD9" s="77">
        <f t="shared" ref="FD9:FH14" si="58">IF(ABS(-$BV9*($BS9-CB9)/$BS9*$BX9)&gt;$BA9,$BA9*SIGN(-($BS9-CB9)),-$BV9*($BS9-CB9)/$BS9*$BX9)*DP9</f>
        <v>31256.863953300748</v>
      </c>
      <c r="FE9" s="77">
        <f t="shared" si="58"/>
        <v>47249.553509990488</v>
      </c>
      <c r="FF9" s="77">
        <f t="shared" si="58"/>
        <v>47249.553509990488</v>
      </c>
      <c r="FG9" s="77">
        <f t="shared" si="58"/>
        <v>47249.553509990488</v>
      </c>
      <c r="FH9" s="77">
        <f t="shared" si="58"/>
        <v>47249.553509990488</v>
      </c>
      <c r="FI9" s="77">
        <f t="shared" ref="FI9:FK14" si="59">IF(ABS(-$BV9*($BS9-CG9)/$BS9*$BX9)&gt;$BB9,$BB9*SIGN(-($BS9-CG9)),-$BV9*($BS9-CG9)/$BS9*$BX9)*DU9</f>
        <v>47249.553509990488</v>
      </c>
      <c r="FJ9" s="77">
        <f t="shared" si="59"/>
        <v>47249.553509990488</v>
      </c>
      <c r="FK9" s="77">
        <f t="shared" si="59"/>
        <v>47249.553509990488</v>
      </c>
      <c r="GO9" s="77">
        <f t="shared" ref="GO9:GY14" si="60">FA9*(BY9-0.5*$AO9)</f>
        <v>14411113.820547098</v>
      </c>
      <c r="GP9" s="77">
        <f t="shared" si="60"/>
        <v>6737931.1778619085</v>
      </c>
      <c r="GQ9" s="77">
        <f t="shared" si="60"/>
        <v>-302428.34133343783</v>
      </c>
      <c r="GR9" s="77">
        <f t="shared" si="60"/>
        <v>-3875851.1302092928</v>
      </c>
      <c r="GS9" s="77">
        <f t="shared" si="60"/>
        <v>-2929472.3176194103</v>
      </c>
      <c r="GT9" s="77">
        <f t="shared" si="60"/>
        <v>0</v>
      </c>
      <c r="GU9" s="77">
        <f t="shared" si="60"/>
        <v>2929472.3176194103</v>
      </c>
      <c r="GV9" s="77">
        <f t="shared" si="60"/>
        <v>5858944.6352388207</v>
      </c>
      <c r="GW9" s="77">
        <f t="shared" si="60"/>
        <v>8741167.3993482403</v>
      </c>
      <c r="GX9" s="77">
        <f t="shared" si="60"/>
        <v>11576140.60994767</v>
      </c>
      <c r="GY9" s="77">
        <f t="shared" si="60"/>
        <v>14411113.820547098</v>
      </c>
      <c r="IC9" s="77">
        <v>8</v>
      </c>
    </row>
    <row r="10" spans="1:237" s="77" customFormat="1">
      <c r="A10" s="77">
        <v>9</v>
      </c>
      <c r="B10" s="69">
        <v>9</v>
      </c>
      <c r="C10" s="69" t="s">
        <v>2</v>
      </c>
      <c r="D10" s="70" t="s">
        <v>11</v>
      </c>
      <c r="E10" s="70">
        <v>1</v>
      </c>
      <c r="F10" s="70">
        <v>7.0163949762611963E-2</v>
      </c>
      <c r="G10" s="70">
        <v>5.0909090000000002E-3</v>
      </c>
      <c r="H10" s="70">
        <v>1.0181818E-2</v>
      </c>
      <c r="I10" s="70">
        <f>15.3/AU2</f>
        <v>1.8545454545454546E-2</v>
      </c>
      <c r="J10" s="71">
        <v>2.1153846153846154</v>
      </c>
      <c r="K10" s="72">
        <v>10</v>
      </c>
      <c r="L10" s="71">
        <v>0.29026679841897229</v>
      </c>
      <c r="M10" s="71">
        <v>0.10276679841897232</v>
      </c>
      <c r="N10" s="71">
        <v>0.38315217391304346</v>
      </c>
      <c r="O10" s="71">
        <v>0.11561264822134386</v>
      </c>
      <c r="P10" s="71">
        <v>0.10641532380662815</v>
      </c>
      <c r="Q10" s="73" t="s">
        <v>3</v>
      </c>
      <c r="R10" s="74">
        <v>0</v>
      </c>
      <c r="S10" s="75">
        <f t="shared" si="45"/>
        <v>0.57250922794480952</v>
      </c>
      <c r="T10" s="59">
        <f t="shared" si="0"/>
        <v>0.72200124204187666</v>
      </c>
      <c r="U10" s="59">
        <f t="shared" si="1"/>
        <v>0.54849029367413815</v>
      </c>
      <c r="V10" s="59">
        <f t="shared" si="2"/>
        <v>0.80555221511044284</v>
      </c>
      <c r="W10" s="59">
        <f t="shared" si="3"/>
        <v>1.1157213702739313</v>
      </c>
      <c r="X10" s="59">
        <f t="shared" si="4"/>
        <v>1.4686717785183394</v>
      </c>
      <c r="Y10" s="76">
        <v>150000</v>
      </c>
      <c r="Z10" s="57">
        <f t="shared" si="5"/>
        <v>220300.76677775092</v>
      </c>
      <c r="AA10" s="57">
        <f t="shared" si="6"/>
        <v>167358.20554108967</v>
      </c>
      <c r="AB10" s="57">
        <f t="shared" si="7"/>
        <v>175574.65694955131</v>
      </c>
      <c r="AC10" s="57">
        <f t="shared" si="8"/>
        <v>0.17</v>
      </c>
      <c r="AD10" s="57">
        <f t="shared" si="9"/>
        <v>2.1153846153846154</v>
      </c>
      <c r="AE10" s="57">
        <f t="shared" si="10"/>
        <v>172900</v>
      </c>
      <c r="AF10" s="57">
        <f t="shared" si="11"/>
        <v>41824.865367805796</v>
      </c>
      <c r="AG10" s="57">
        <f t="shared" si="12"/>
        <v>125533.34017328388</v>
      </c>
      <c r="AH10" s="57">
        <f t="shared" si="13"/>
        <v>173215192.99075809</v>
      </c>
      <c r="AI10" s="57">
        <f t="shared" si="14"/>
        <v>68199960.314874947</v>
      </c>
      <c r="AJ10" s="77">
        <v>182000</v>
      </c>
      <c r="AK10" s="77">
        <f>0.76*50.6</f>
        <v>38.456000000000003</v>
      </c>
      <c r="AL10" s="78">
        <f t="shared" si="15"/>
        <v>3.4188486860095613</v>
      </c>
      <c r="AM10" s="57">
        <f t="shared" si="16"/>
        <v>0.99880000000000002</v>
      </c>
      <c r="AN10" s="57">
        <f t="shared" si="17"/>
        <v>0.79880000000000007</v>
      </c>
      <c r="AO10" s="77">
        <v>650</v>
      </c>
      <c r="AP10" s="79">
        <v>140</v>
      </c>
      <c r="AQ10" s="57">
        <f t="shared" si="46"/>
        <v>84.433492846111633</v>
      </c>
      <c r="AR10" s="78">
        <f t="shared" si="47"/>
        <v>370</v>
      </c>
      <c r="AS10" s="57">
        <f t="shared" si="18"/>
        <v>565.56650715388832</v>
      </c>
      <c r="AT10" s="77">
        <v>65</v>
      </c>
      <c r="AU10" s="77">
        <v>1375</v>
      </c>
      <c r="AV10" s="78">
        <f t="shared" si="48"/>
        <v>42250</v>
      </c>
      <c r="AW10" s="77">
        <v>0</v>
      </c>
      <c r="AX10" s="77">
        <f t="shared" si="19"/>
        <v>42250</v>
      </c>
      <c r="AY10" s="77">
        <v>42250</v>
      </c>
      <c r="AZ10" s="77">
        <v>520</v>
      </c>
      <c r="BA10" s="77">
        <v>470</v>
      </c>
      <c r="BB10" s="77">
        <v>470</v>
      </c>
      <c r="BC10" s="77">
        <v>420</v>
      </c>
      <c r="BD10" s="77">
        <v>2.5000000000000001E-2</v>
      </c>
      <c r="BE10" s="77">
        <v>8.0000000000000002E-3</v>
      </c>
      <c r="BF10" s="77">
        <v>3.3000000000000002E-2</v>
      </c>
      <c r="BG10" s="77">
        <v>8.9999999999999993E-3</v>
      </c>
      <c r="BH10" s="79">
        <v>115</v>
      </c>
      <c r="BI10" s="79">
        <f t="shared" si="20"/>
        <v>30.679615757712824</v>
      </c>
      <c r="BJ10" s="79">
        <v>2</v>
      </c>
      <c r="BK10" s="57">
        <f t="shared" si="21"/>
        <v>61.359231515425648</v>
      </c>
      <c r="BL10" s="57"/>
      <c r="BM10" s="80">
        <f t="shared" si="22"/>
        <v>50.26548245743669</v>
      </c>
      <c r="BN10" s="80">
        <v>6</v>
      </c>
      <c r="BO10" s="57">
        <f t="shared" si="23"/>
        <v>301.59289474462014</v>
      </c>
      <c r="BP10" s="57">
        <f t="shared" si="24"/>
        <v>120832.83226656643</v>
      </c>
      <c r="BQ10" s="77">
        <f t="shared" si="25"/>
        <v>0</v>
      </c>
      <c r="BR10" s="57">
        <f t="shared" si="26"/>
        <v>166145144.36652884</v>
      </c>
      <c r="BS10" s="57">
        <v>168.86698569222327</v>
      </c>
      <c r="BT10" s="57">
        <f t="shared" si="49"/>
        <v>169.8682977440871</v>
      </c>
      <c r="BU10" s="57"/>
      <c r="BV10" s="57">
        <v>3.3E-3</v>
      </c>
      <c r="BW10" s="57">
        <v>30000</v>
      </c>
      <c r="BX10" s="57">
        <v>200000</v>
      </c>
      <c r="BY10" s="77">
        <f>20</f>
        <v>20</v>
      </c>
      <c r="BZ10" s="77">
        <f t="shared" si="27"/>
        <v>80</v>
      </c>
      <c r="CA10" s="77">
        <f t="shared" si="28"/>
        <v>140</v>
      </c>
      <c r="CB10" s="77">
        <f t="shared" si="50"/>
        <v>201</v>
      </c>
      <c r="CC10" s="77">
        <f t="shared" si="51"/>
        <v>263</v>
      </c>
      <c r="CD10" s="77">
        <f t="shared" si="52"/>
        <v>325</v>
      </c>
      <c r="CE10" s="77">
        <f t="shared" si="53"/>
        <v>387</v>
      </c>
      <c r="CF10" s="77">
        <f t="shared" si="54"/>
        <v>449</v>
      </c>
      <c r="CG10" s="77">
        <f t="shared" si="55"/>
        <v>510</v>
      </c>
      <c r="CH10" s="77">
        <f t="shared" si="56"/>
        <v>570</v>
      </c>
      <c r="CI10" s="77">
        <f t="shared" si="56"/>
        <v>630</v>
      </c>
      <c r="DM10" s="77">
        <f t="shared" si="57"/>
        <v>100.53096491487338</v>
      </c>
      <c r="DN10" s="77">
        <f t="shared" si="57"/>
        <v>100.53096491487338</v>
      </c>
      <c r="DO10" s="77">
        <f t="shared" si="57"/>
        <v>100.53096491487338</v>
      </c>
      <c r="DP10" s="77">
        <f t="shared" si="57"/>
        <v>100.53096491487338</v>
      </c>
      <c r="DQ10" s="77">
        <f t="shared" si="57"/>
        <v>100.53096491487338</v>
      </c>
      <c r="DR10" s="77">
        <f t="shared" si="57"/>
        <v>100.53096491487338</v>
      </c>
      <c r="DS10" s="77">
        <f t="shared" si="57"/>
        <v>100.53096491487338</v>
      </c>
      <c r="DT10" s="77">
        <f t="shared" si="57"/>
        <v>100.53096491487338</v>
      </c>
      <c r="DU10" s="77">
        <f t="shared" si="57"/>
        <v>100.53096491487338</v>
      </c>
      <c r="DV10" s="77">
        <f t="shared" si="57"/>
        <v>100.53096491487338</v>
      </c>
      <c r="DW10" s="77">
        <f t="shared" si="57"/>
        <v>100.53096491487338</v>
      </c>
      <c r="FA10" s="77">
        <f t="shared" si="39"/>
        <v>-47249.553509990488</v>
      </c>
      <c r="FB10" s="77">
        <f t="shared" si="40"/>
        <v>-34917.205974286189</v>
      </c>
      <c r="FC10" s="77">
        <f t="shared" si="41"/>
        <v>-11342.282822138504</v>
      </c>
      <c r="FD10" s="77">
        <f t="shared" si="58"/>
        <v>12625.555715878309</v>
      </c>
      <c r="FE10" s="77">
        <f t="shared" si="58"/>
        <v>36986.309639764244</v>
      </c>
      <c r="FF10" s="77">
        <f t="shared" si="58"/>
        <v>47249.553509990488</v>
      </c>
      <c r="FG10" s="77">
        <f t="shared" si="58"/>
        <v>47249.553509990488</v>
      </c>
      <c r="FH10" s="77">
        <f t="shared" si="58"/>
        <v>47249.553509990488</v>
      </c>
      <c r="FI10" s="77">
        <f t="shared" si="59"/>
        <v>47249.553509990488</v>
      </c>
      <c r="FJ10" s="77">
        <f t="shared" si="59"/>
        <v>47249.553509990488</v>
      </c>
      <c r="FK10" s="77">
        <f t="shared" si="59"/>
        <v>47249.553509990488</v>
      </c>
      <c r="GO10" s="77">
        <f t="shared" si="60"/>
        <v>14411113.820547098</v>
      </c>
      <c r="GP10" s="77">
        <f t="shared" si="60"/>
        <v>8554715.4637001157</v>
      </c>
      <c r="GQ10" s="77">
        <f t="shared" si="60"/>
        <v>2098322.3220956232</v>
      </c>
      <c r="GR10" s="77">
        <f t="shared" si="60"/>
        <v>-1565568.9087689102</v>
      </c>
      <c r="GS10" s="77">
        <f t="shared" si="60"/>
        <v>-2293151.1976653831</v>
      </c>
      <c r="GT10" s="77">
        <f t="shared" si="60"/>
        <v>0</v>
      </c>
      <c r="GU10" s="77">
        <f t="shared" si="60"/>
        <v>2929472.3176194103</v>
      </c>
      <c r="GV10" s="77">
        <f t="shared" si="60"/>
        <v>5858944.6352388207</v>
      </c>
      <c r="GW10" s="77">
        <f t="shared" si="60"/>
        <v>8741167.3993482403</v>
      </c>
      <c r="GX10" s="77">
        <f t="shared" si="60"/>
        <v>11576140.60994767</v>
      </c>
      <c r="GY10" s="77">
        <f t="shared" si="60"/>
        <v>14411113.820547098</v>
      </c>
      <c r="IC10" s="77">
        <v>9</v>
      </c>
    </row>
    <row r="11" spans="1:237" s="77" customFormat="1">
      <c r="A11" s="77">
        <v>10</v>
      </c>
      <c r="B11" s="69">
        <v>10</v>
      </c>
      <c r="C11" s="69" t="s">
        <v>2</v>
      </c>
      <c r="D11" s="70" t="s">
        <v>12</v>
      </c>
      <c r="E11" s="70">
        <v>1</v>
      </c>
      <c r="F11" s="70">
        <v>8.9128766309326354E-2</v>
      </c>
      <c r="G11" s="70">
        <v>6.5454550000000004E-3</v>
      </c>
      <c r="H11" s="70">
        <v>1.1636364E-2</v>
      </c>
      <c r="I11" s="70">
        <f>13.19/AU2</f>
        <v>1.5987878787878787E-2</v>
      </c>
      <c r="J11" s="71">
        <v>2.1153846153846154</v>
      </c>
      <c r="K11" s="72">
        <v>10</v>
      </c>
      <c r="L11" s="71">
        <v>0.30726987447698745</v>
      </c>
      <c r="M11" s="71">
        <v>0.10878661087866108</v>
      </c>
      <c r="N11" s="71">
        <v>0.40559623430962344</v>
      </c>
      <c r="O11" s="71">
        <v>0.12238493723849371</v>
      </c>
      <c r="P11" s="71">
        <v>0.21229976975068704</v>
      </c>
      <c r="Q11" s="73" t="s">
        <v>3</v>
      </c>
      <c r="R11" s="74">
        <v>0</v>
      </c>
      <c r="S11" s="75">
        <f t="shared" si="45"/>
        <v>0.70684639497403112</v>
      </c>
      <c r="T11" s="59">
        <f t="shared" si="0"/>
        <v>0.79060095315851386</v>
      </c>
      <c r="U11" s="59">
        <f t="shared" si="1"/>
        <v>0.60709003295872377</v>
      </c>
      <c r="V11" s="59">
        <f t="shared" si="2"/>
        <v>0.7387977991289999</v>
      </c>
      <c r="W11" s="59">
        <f t="shared" si="3"/>
        <v>0.93447623124844947</v>
      </c>
      <c r="X11" s="59">
        <f t="shared" si="4"/>
        <v>1.2169493139730578</v>
      </c>
      <c r="Y11" s="76">
        <v>180000</v>
      </c>
      <c r="Z11" s="57">
        <f t="shared" si="5"/>
        <v>219050.87651515039</v>
      </c>
      <c r="AA11" s="57">
        <f t="shared" si="6"/>
        <v>168205.7216247209</v>
      </c>
      <c r="AB11" s="57">
        <f t="shared" si="7"/>
        <v>158213.33849820477</v>
      </c>
      <c r="AC11" s="57">
        <f t="shared" si="8"/>
        <v>0.17</v>
      </c>
      <c r="AD11" s="57">
        <f t="shared" si="9"/>
        <v>2.1153846153846154</v>
      </c>
      <c r="AE11" s="57">
        <f t="shared" si="10"/>
        <v>306971.59999999998</v>
      </c>
      <c r="AF11" s="57">
        <f t="shared" si="11"/>
        <v>47907.405853076016</v>
      </c>
      <c r="AG11" s="57">
        <f t="shared" si="12"/>
        <v>120298.31577164488</v>
      </c>
      <c r="AH11" s="57">
        <f t="shared" si="13"/>
        <v>156029778.79467341</v>
      </c>
      <c r="AI11" s="57">
        <f t="shared" si="14"/>
        <v>61513561.64035815</v>
      </c>
      <c r="AJ11" s="77">
        <v>343000</v>
      </c>
      <c r="AK11" s="77">
        <f>0.76*47.8</f>
        <v>36.327999999999996</v>
      </c>
      <c r="AL11" s="78">
        <f t="shared" si="15"/>
        <v>3.313465390992719</v>
      </c>
      <c r="AM11" s="57">
        <f t="shared" si="16"/>
        <v>1</v>
      </c>
      <c r="AN11" s="57">
        <f t="shared" si="17"/>
        <v>0.8</v>
      </c>
      <c r="AO11" s="77">
        <v>650</v>
      </c>
      <c r="AP11" s="79">
        <v>140</v>
      </c>
      <c r="AQ11" s="57">
        <f t="shared" si="46"/>
        <v>108.01889622670664</v>
      </c>
      <c r="AR11" s="78">
        <f t="shared" si="47"/>
        <v>370</v>
      </c>
      <c r="AS11" s="57">
        <f t="shared" si="18"/>
        <v>541.9811037732934</v>
      </c>
      <c r="AT11" s="77">
        <v>65</v>
      </c>
      <c r="AU11" s="77">
        <v>1375</v>
      </c>
      <c r="AV11" s="78">
        <f t="shared" si="48"/>
        <v>42250</v>
      </c>
      <c r="AW11" s="77">
        <v>0</v>
      </c>
      <c r="AX11" s="77">
        <f t="shared" si="19"/>
        <v>42250</v>
      </c>
      <c r="AY11" s="77">
        <v>42250</v>
      </c>
      <c r="AZ11" s="77">
        <v>520</v>
      </c>
      <c r="BA11" s="77">
        <v>470</v>
      </c>
      <c r="BB11" s="77">
        <v>470</v>
      </c>
      <c r="BC11" s="77">
        <v>420</v>
      </c>
      <c r="BD11" s="77">
        <v>2.5000000000000001E-2</v>
      </c>
      <c r="BE11" s="77">
        <v>8.0000000000000002E-3</v>
      </c>
      <c r="BF11" s="77">
        <v>3.3000000000000002E-2</v>
      </c>
      <c r="BG11" s="77">
        <v>8.9999999999999993E-3</v>
      </c>
      <c r="BH11" s="79">
        <v>115</v>
      </c>
      <c r="BI11" s="79">
        <f t="shared" si="20"/>
        <v>30.679615757712824</v>
      </c>
      <c r="BJ11" s="79">
        <v>2</v>
      </c>
      <c r="BK11" s="57">
        <f t="shared" si="21"/>
        <v>61.359231515425648</v>
      </c>
      <c r="BL11" s="57"/>
      <c r="BM11" s="80">
        <f t="shared" si="22"/>
        <v>50.26548245743669</v>
      </c>
      <c r="BN11" s="80">
        <v>6</v>
      </c>
      <c r="BO11" s="57">
        <f t="shared" si="23"/>
        <v>301.59289474462014</v>
      </c>
      <c r="BP11" s="57">
        <f t="shared" si="24"/>
        <v>132983.60384321999</v>
      </c>
      <c r="BQ11" s="77">
        <f t="shared" si="25"/>
        <v>2.6193447411060333E-10</v>
      </c>
      <c r="BR11" s="57">
        <f t="shared" si="26"/>
        <v>182852455.28442746</v>
      </c>
      <c r="BS11" s="57">
        <v>216.03779245341329</v>
      </c>
      <c r="BT11" s="57">
        <f t="shared" si="49"/>
        <v>260.86052557445799</v>
      </c>
      <c r="BU11" s="57"/>
      <c r="BV11" s="57">
        <v>3.3E-3</v>
      </c>
      <c r="BW11" s="57">
        <v>30000</v>
      </c>
      <c r="BX11" s="57">
        <v>200000</v>
      </c>
      <c r="BY11" s="77">
        <f>20</f>
        <v>20</v>
      </c>
      <c r="BZ11" s="77">
        <f t="shared" si="27"/>
        <v>80</v>
      </c>
      <c r="CA11" s="77">
        <f t="shared" si="28"/>
        <v>140</v>
      </c>
      <c r="CB11" s="77">
        <f t="shared" si="50"/>
        <v>201</v>
      </c>
      <c r="CC11" s="77">
        <f t="shared" si="51"/>
        <v>263</v>
      </c>
      <c r="CD11" s="77">
        <f t="shared" si="52"/>
        <v>325</v>
      </c>
      <c r="CE11" s="77">
        <f t="shared" si="53"/>
        <v>387</v>
      </c>
      <c r="CF11" s="77">
        <f t="shared" si="54"/>
        <v>449</v>
      </c>
      <c r="CG11" s="77">
        <f t="shared" si="55"/>
        <v>510</v>
      </c>
      <c r="CH11" s="77">
        <f t="shared" si="56"/>
        <v>570</v>
      </c>
      <c r="CI11" s="77">
        <f t="shared" si="56"/>
        <v>630</v>
      </c>
      <c r="DM11" s="77">
        <f t="shared" si="57"/>
        <v>100.53096491487338</v>
      </c>
      <c r="DN11" s="77">
        <f t="shared" si="57"/>
        <v>100.53096491487338</v>
      </c>
      <c r="DO11" s="77">
        <f t="shared" si="57"/>
        <v>100.53096491487338</v>
      </c>
      <c r="DP11" s="77">
        <f t="shared" si="57"/>
        <v>100.53096491487338</v>
      </c>
      <c r="DQ11" s="77">
        <f t="shared" si="57"/>
        <v>100.53096491487338</v>
      </c>
      <c r="DR11" s="77">
        <f t="shared" si="57"/>
        <v>100.53096491487338</v>
      </c>
      <c r="DS11" s="77">
        <f t="shared" si="57"/>
        <v>100.53096491487338</v>
      </c>
      <c r="DT11" s="77">
        <f t="shared" si="57"/>
        <v>100.53096491487338</v>
      </c>
      <c r="DU11" s="77">
        <f t="shared" si="57"/>
        <v>100.53096491487338</v>
      </c>
      <c r="DV11" s="77">
        <f t="shared" si="57"/>
        <v>100.53096491487338</v>
      </c>
      <c r="DW11" s="77">
        <f t="shared" si="57"/>
        <v>100.53096491487338</v>
      </c>
      <c r="FA11" s="77">
        <f t="shared" si="39"/>
        <v>-47249.553509990488</v>
      </c>
      <c r="FB11" s="77">
        <f t="shared" si="40"/>
        <v>-41780.499856287053</v>
      </c>
      <c r="FC11" s="77">
        <f t="shared" si="41"/>
        <v>-23353.04711564002</v>
      </c>
      <c r="FD11" s="77">
        <f t="shared" si="58"/>
        <v>-4618.4701626488659</v>
      </c>
      <c r="FE11" s="77">
        <f t="shared" si="58"/>
        <v>14423.231002686403</v>
      </c>
      <c r="FF11" s="77">
        <f t="shared" si="58"/>
        <v>33464.932168021667</v>
      </c>
      <c r="FG11" s="77">
        <f t="shared" si="58"/>
        <v>47249.553509990488</v>
      </c>
      <c r="FH11" s="77">
        <f t="shared" si="58"/>
        <v>47249.553509990488</v>
      </c>
      <c r="FI11" s="77">
        <f t="shared" si="59"/>
        <v>47249.553509990488</v>
      </c>
      <c r="FJ11" s="77">
        <f t="shared" si="59"/>
        <v>47249.553509990488</v>
      </c>
      <c r="FK11" s="77">
        <f t="shared" si="59"/>
        <v>47249.553509990488</v>
      </c>
      <c r="GO11" s="77">
        <f t="shared" si="60"/>
        <v>14411113.820547098</v>
      </c>
      <c r="GP11" s="77">
        <f t="shared" si="60"/>
        <v>10236222.464790327</v>
      </c>
      <c r="GQ11" s="77">
        <f t="shared" si="60"/>
        <v>4320313.7163934037</v>
      </c>
      <c r="GR11" s="77">
        <f t="shared" si="60"/>
        <v>572690.30016845942</v>
      </c>
      <c r="GS11" s="77">
        <f t="shared" si="60"/>
        <v>-894240.32216655696</v>
      </c>
      <c r="GT11" s="77">
        <f t="shared" si="60"/>
        <v>0</v>
      </c>
      <c r="GU11" s="77">
        <f t="shared" si="60"/>
        <v>2929472.3176194103</v>
      </c>
      <c r="GV11" s="77">
        <f t="shared" si="60"/>
        <v>5858944.6352388207</v>
      </c>
      <c r="GW11" s="77">
        <f t="shared" si="60"/>
        <v>8741167.3993482403</v>
      </c>
      <c r="GX11" s="77">
        <f t="shared" si="60"/>
        <v>11576140.60994767</v>
      </c>
      <c r="GY11" s="77">
        <f t="shared" si="60"/>
        <v>14411113.820547098</v>
      </c>
      <c r="IC11" s="77">
        <v>10</v>
      </c>
    </row>
    <row r="12" spans="1:237" s="77" customFormat="1">
      <c r="A12" s="77">
        <v>11</v>
      </c>
      <c r="B12" s="69">
        <v>11</v>
      </c>
      <c r="C12" s="69" t="s">
        <v>2</v>
      </c>
      <c r="D12" s="70" t="s">
        <v>13</v>
      </c>
      <c r="E12" s="70">
        <v>1</v>
      </c>
      <c r="F12" s="70">
        <v>5.8804072181998603E-2</v>
      </c>
      <c r="G12" s="70">
        <v>8.0000000000000002E-3</v>
      </c>
      <c r="H12" s="70">
        <v>1.6E-2</v>
      </c>
      <c r="I12" s="70">
        <f>18.13/AU2</f>
        <v>2.1975757575757576E-2</v>
      </c>
      <c r="J12" s="71">
        <v>2.1153846153846154</v>
      </c>
      <c r="K12" s="72">
        <v>10</v>
      </c>
      <c r="L12" s="71">
        <v>0.30408902691511386</v>
      </c>
      <c r="M12" s="71">
        <v>0.10766045548654245</v>
      </c>
      <c r="N12" s="71">
        <v>0.40139751552795033</v>
      </c>
      <c r="O12" s="71">
        <v>0.12111801242236024</v>
      </c>
      <c r="P12" s="71">
        <v>0</v>
      </c>
      <c r="Q12" s="73" t="s">
        <v>3</v>
      </c>
      <c r="R12" s="74">
        <v>0</v>
      </c>
      <c r="S12" s="75">
        <f t="shared" si="45"/>
        <v>0.46878550128085655</v>
      </c>
      <c r="T12" s="59">
        <f t="shared" si="0"/>
        <v>0.60515359212513886</v>
      </c>
      <c r="U12" s="59">
        <f t="shared" si="1"/>
        <v>0.44595699274172185</v>
      </c>
      <c r="V12" s="59">
        <f t="shared" si="2"/>
        <v>0.81489982992078758</v>
      </c>
      <c r="W12" s="59">
        <f t="shared" si="3"/>
        <v>1.3466000045692128</v>
      </c>
      <c r="X12" s="59">
        <f t="shared" si="4"/>
        <v>1.8273058684668742</v>
      </c>
      <c r="Y12" s="76">
        <v>120000</v>
      </c>
      <c r="Z12" s="57">
        <f t="shared" si="5"/>
        <v>219276.7042160249</v>
      </c>
      <c r="AA12" s="57">
        <f t="shared" si="6"/>
        <v>161592.00054830554</v>
      </c>
      <c r="AB12" s="57">
        <f t="shared" si="7"/>
        <v>179319.83627275741</v>
      </c>
      <c r="AC12" s="57">
        <f t="shared" si="8"/>
        <v>0.17</v>
      </c>
      <c r="AD12" s="57">
        <f t="shared" si="9"/>
        <v>2.1153846153846154</v>
      </c>
      <c r="AE12" s="57">
        <f t="shared" si="10"/>
        <v>0</v>
      </c>
      <c r="AF12" s="57">
        <f t="shared" si="11"/>
        <v>31449.233055647335</v>
      </c>
      <c r="AG12" s="57">
        <f t="shared" si="12"/>
        <v>130142.76749265821</v>
      </c>
      <c r="AH12" s="57">
        <f t="shared" si="13"/>
        <v>172477455.42791554</v>
      </c>
      <c r="AI12" s="57">
        <f t="shared" si="14"/>
        <v>74087319.447125897</v>
      </c>
      <c r="AJ12" s="77">
        <v>0</v>
      </c>
      <c r="AK12" s="77">
        <f>0.76*48.3</f>
        <v>36.707999999999998</v>
      </c>
      <c r="AL12" s="78">
        <f t="shared" si="15"/>
        <v>3.332483574849296</v>
      </c>
      <c r="AM12" s="57">
        <f t="shared" si="16"/>
        <v>1</v>
      </c>
      <c r="AN12" s="57">
        <f t="shared" si="17"/>
        <v>0.8</v>
      </c>
      <c r="AO12" s="77">
        <v>650</v>
      </c>
      <c r="AP12" s="79">
        <v>140</v>
      </c>
      <c r="AQ12" s="57">
        <f t="shared" si="46"/>
        <v>63.666597729645524</v>
      </c>
      <c r="AR12" s="78">
        <f t="shared" si="47"/>
        <v>370</v>
      </c>
      <c r="AS12" s="57">
        <f t="shared" si="18"/>
        <v>586.33340227035444</v>
      </c>
      <c r="AT12" s="77">
        <v>65</v>
      </c>
      <c r="AU12" s="77">
        <v>1375</v>
      </c>
      <c r="AV12" s="78">
        <f t="shared" si="48"/>
        <v>42250</v>
      </c>
      <c r="AW12" s="77">
        <v>0</v>
      </c>
      <c r="AX12" s="77">
        <f t="shared" si="19"/>
        <v>42250</v>
      </c>
      <c r="AY12" s="77">
        <v>42250</v>
      </c>
      <c r="AZ12" s="77">
        <v>520</v>
      </c>
      <c r="BA12" s="77">
        <v>470</v>
      </c>
      <c r="BB12" s="77">
        <v>470</v>
      </c>
      <c r="BC12" s="77">
        <v>420</v>
      </c>
      <c r="BD12" s="77">
        <v>2.5000000000000001E-2</v>
      </c>
      <c r="BE12" s="77">
        <v>8.0000000000000002E-3</v>
      </c>
      <c r="BF12" s="77">
        <v>3.3000000000000002E-2</v>
      </c>
      <c r="BG12" s="77">
        <v>8.9999999999999993E-3</v>
      </c>
      <c r="BH12" s="79">
        <v>115</v>
      </c>
      <c r="BI12" s="79">
        <f t="shared" si="20"/>
        <v>30.679615757712824</v>
      </c>
      <c r="BJ12" s="79">
        <v>2</v>
      </c>
      <c r="BK12" s="57">
        <f t="shared" si="21"/>
        <v>61.359231515425648</v>
      </c>
      <c r="BL12" s="57"/>
      <c r="BM12" s="80">
        <f t="shared" si="22"/>
        <v>50.26548245743669</v>
      </c>
      <c r="BN12" s="80">
        <v>6</v>
      </c>
      <c r="BO12" s="57">
        <f t="shared" si="23"/>
        <v>301.59289474462014</v>
      </c>
      <c r="BP12" s="57">
        <f t="shared" si="24"/>
        <v>97787.979590494506</v>
      </c>
      <c r="BQ12" s="77">
        <f t="shared" si="25"/>
        <v>0</v>
      </c>
      <c r="BR12" s="57">
        <f t="shared" si="26"/>
        <v>134458471.93692994</v>
      </c>
      <c r="BS12" s="57">
        <v>127.33319545929105</v>
      </c>
      <c r="BT12" s="57">
        <f t="shared" si="49"/>
        <v>66.922210408601032</v>
      </c>
      <c r="BU12" s="57"/>
      <c r="BV12" s="57">
        <v>3.3E-3</v>
      </c>
      <c r="BW12" s="57">
        <v>30000</v>
      </c>
      <c r="BX12" s="57">
        <v>200000</v>
      </c>
      <c r="BY12" s="77">
        <f>20</f>
        <v>20</v>
      </c>
      <c r="BZ12" s="77">
        <f t="shared" si="27"/>
        <v>80</v>
      </c>
      <c r="CA12" s="77">
        <f t="shared" si="28"/>
        <v>140</v>
      </c>
      <c r="CB12" s="77">
        <f t="shared" si="50"/>
        <v>201</v>
      </c>
      <c r="CC12" s="77">
        <f t="shared" si="51"/>
        <v>263</v>
      </c>
      <c r="CD12" s="77">
        <f t="shared" si="52"/>
        <v>325</v>
      </c>
      <c r="CE12" s="77">
        <f t="shared" si="53"/>
        <v>387</v>
      </c>
      <c r="CF12" s="77">
        <f t="shared" si="54"/>
        <v>449</v>
      </c>
      <c r="CG12" s="77">
        <f t="shared" si="55"/>
        <v>510</v>
      </c>
      <c r="CH12" s="77">
        <f t="shared" si="56"/>
        <v>570</v>
      </c>
      <c r="CI12" s="77">
        <f t="shared" si="56"/>
        <v>630</v>
      </c>
      <c r="DM12" s="77">
        <f t="shared" si="57"/>
        <v>100.53096491487338</v>
      </c>
      <c r="DN12" s="77">
        <f t="shared" si="57"/>
        <v>100.53096491487338</v>
      </c>
      <c r="DO12" s="77">
        <f t="shared" si="57"/>
        <v>100.53096491487338</v>
      </c>
      <c r="DP12" s="77">
        <f t="shared" si="57"/>
        <v>100.53096491487338</v>
      </c>
      <c r="DQ12" s="77">
        <f t="shared" si="57"/>
        <v>100.53096491487338</v>
      </c>
      <c r="DR12" s="77">
        <f t="shared" si="57"/>
        <v>100.53096491487338</v>
      </c>
      <c r="DS12" s="77">
        <f t="shared" si="57"/>
        <v>100.53096491487338</v>
      </c>
      <c r="DT12" s="77">
        <f t="shared" si="57"/>
        <v>100.53096491487338</v>
      </c>
      <c r="DU12" s="77">
        <f t="shared" si="57"/>
        <v>100.53096491487338</v>
      </c>
      <c r="DV12" s="77">
        <f t="shared" si="57"/>
        <v>100.53096491487338</v>
      </c>
      <c r="DW12" s="77">
        <f t="shared" si="57"/>
        <v>100.53096491487338</v>
      </c>
      <c r="FA12" s="77">
        <f t="shared" si="39"/>
        <v>-47249.553509990488</v>
      </c>
      <c r="FB12" s="77">
        <f t="shared" si="40"/>
        <v>-24664.253375638917</v>
      </c>
      <c r="FC12" s="77">
        <f t="shared" si="41"/>
        <v>6600.3842254942174</v>
      </c>
      <c r="FD12" s="77">
        <f t="shared" si="58"/>
        <v>38386.099119979568</v>
      </c>
      <c r="FE12" s="77">
        <f t="shared" si="58"/>
        <v>47249.553509990488</v>
      </c>
      <c r="FF12" s="77">
        <f t="shared" si="58"/>
        <v>47249.553509990488</v>
      </c>
      <c r="FG12" s="77">
        <f t="shared" si="58"/>
        <v>47249.553509990488</v>
      </c>
      <c r="FH12" s="77">
        <f t="shared" si="58"/>
        <v>47249.553509990488</v>
      </c>
      <c r="FI12" s="77">
        <f t="shared" si="59"/>
        <v>47249.553509990488</v>
      </c>
      <c r="FJ12" s="77">
        <f t="shared" si="59"/>
        <v>47249.553509990488</v>
      </c>
      <c r="FK12" s="77">
        <f t="shared" si="59"/>
        <v>47249.553509990488</v>
      </c>
      <c r="GO12" s="77">
        <f t="shared" si="60"/>
        <v>14411113.820547098</v>
      </c>
      <c r="GP12" s="77">
        <f t="shared" si="60"/>
        <v>6042742.0770315342</v>
      </c>
      <c r="GQ12" s="77">
        <f t="shared" si="60"/>
        <v>-1221071.0817164301</v>
      </c>
      <c r="GR12" s="77">
        <f t="shared" si="60"/>
        <v>-4759876.2908774661</v>
      </c>
      <c r="GS12" s="77">
        <f t="shared" si="60"/>
        <v>-2929472.3176194103</v>
      </c>
      <c r="GT12" s="77">
        <f t="shared" si="60"/>
        <v>0</v>
      </c>
      <c r="GU12" s="77">
        <f t="shared" si="60"/>
        <v>2929472.3176194103</v>
      </c>
      <c r="GV12" s="77">
        <f t="shared" si="60"/>
        <v>5858944.6352388207</v>
      </c>
      <c r="GW12" s="77">
        <f t="shared" si="60"/>
        <v>8741167.3993482403</v>
      </c>
      <c r="GX12" s="77">
        <f t="shared" si="60"/>
        <v>11576140.60994767</v>
      </c>
      <c r="GY12" s="77">
        <f t="shared" si="60"/>
        <v>14411113.820547098</v>
      </c>
      <c r="IC12" s="77">
        <v>11</v>
      </c>
    </row>
    <row r="13" spans="1:237" s="77" customFormat="1">
      <c r="A13" s="77">
        <v>12</v>
      </c>
      <c r="B13" s="69">
        <v>12</v>
      </c>
      <c r="C13" s="69" t="s">
        <v>2</v>
      </c>
      <c r="D13" s="70" t="s">
        <v>14</v>
      </c>
      <c r="E13" s="70">
        <v>1</v>
      </c>
      <c r="F13" s="70">
        <v>7.8895463510848127E-2</v>
      </c>
      <c r="G13" s="70">
        <v>8.0000000000000002E-3</v>
      </c>
      <c r="H13" s="70">
        <v>7.2727269999999997E-3</v>
      </c>
      <c r="I13" s="70">
        <f>9.47/AU2</f>
        <v>1.147878787878788E-2</v>
      </c>
      <c r="J13" s="71">
        <v>2.1153846153846154</v>
      </c>
      <c r="K13" s="72">
        <v>10</v>
      </c>
      <c r="L13" s="71">
        <v>0.3263888888888889</v>
      </c>
      <c r="M13" s="71">
        <v>0.11555555555555556</v>
      </c>
      <c r="N13" s="71">
        <v>0.4308333333333334</v>
      </c>
      <c r="O13" s="71">
        <v>0.13</v>
      </c>
      <c r="P13" s="71">
        <v>0.21367521367521367</v>
      </c>
      <c r="Q13" s="73" t="s">
        <v>3</v>
      </c>
      <c r="R13" s="74">
        <v>0</v>
      </c>
      <c r="S13" s="75">
        <f t="shared" si="45"/>
        <v>0.6070877822989077</v>
      </c>
      <c r="T13" s="59">
        <f t="shared" si="0"/>
        <v>0.77925411058580241</v>
      </c>
      <c r="U13" s="59">
        <f t="shared" si="1"/>
        <v>0.59295326314722552</v>
      </c>
      <c r="V13" s="59">
        <f t="shared" si="2"/>
        <v>0.86082507913754391</v>
      </c>
      <c r="W13" s="59">
        <f t="shared" si="3"/>
        <v>1.1046782653355793</v>
      </c>
      <c r="X13" s="59">
        <f t="shared" si="4"/>
        <v>1.451758734859695</v>
      </c>
      <c r="Y13" s="76">
        <v>150000</v>
      </c>
      <c r="Z13" s="57">
        <f t="shared" si="5"/>
        <v>217763.81022895424</v>
      </c>
      <c r="AA13" s="57">
        <f t="shared" si="6"/>
        <v>165701.73980033689</v>
      </c>
      <c r="AB13" s="57">
        <f t="shared" si="7"/>
        <v>150859.47073283969</v>
      </c>
      <c r="AC13" s="57">
        <f t="shared" si="8"/>
        <v>0.17</v>
      </c>
      <c r="AD13" s="57">
        <f t="shared" si="9"/>
        <v>2.1153846153846154</v>
      </c>
      <c r="AE13" s="57">
        <f t="shared" si="10"/>
        <v>288990</v>
      </c>
      <c r="AF13" s="57">
        <f t="shared" si="11"/>
        <v>45766.099925002403</v>
      </c>
      <c r="AG13" s="57">
        <f t="shared" si="12"/>
        <v>119935.63987533447</v>
      </c>
      <c r="AH13" s="57">
        <f t="shared" si="13"/>
        <v>146381435.89502576</v>
      </c>
      <c r="AI13" s="57">
        <f t="shared" si="14"/>
        <v>61050336.36262881</v>
      </c>
      <c r="AJ13" s="77">
        <v>325000</v>
      </c>
      <c r="AK13" s="77">
        <f>0.76*45</f>
        <v>34.200000000000003</v>
      </c>
      <c r="AL13" s="78">
        <f t="shared" si="15"/>
        <v>3.2052652725461677</v>
      </c>
      <c r="AM13" s="57">
        <f t="shared" si="16"/>
        <v>1</v>
      </c>
      <c r="AN13" s="57">
        <f t="shared" si="17"/>
        <v>0.8</v>
      </c>
      <c r="AO13" s="77">
        <v>650</v>
      </c>
      <c r="AP13" s="79">
        <v>140</v>
      </c>
      <c r="AQ13" s="57">
        <f t="shared" si="46"/>
        <v>109.65286326384626</v>
      </c>
      <c r="AR13" s="78">
        <f t="shared" si="47"/>
        <v>370</v>
      </c>
      <c r="AS13" s="57">
        <f t="shared" si="18"/>
        <v>540.34713673615374</v>
      </c>
      <c r="AT13" s="77">
        <v>65</v>
      </c>
      <c r="AU13" s="77">
        <v>1375</v>
      </c>
      <c r="AV13" s="78">
        <f t="shared" si="48"/>
        <v>42250</v>
      </c>
      <c r="AW13" s="77">
        <v>0</v>
      </c>
      <c r="AX13" s="77">
        <f t="shared" si="19"/>
        <v>42250</v>
      </c>
      <c r="AY13" s="77">
        <v>42250</v>
      </c>
      <c r="AZ13" s="77">
        <v>520</v>
      </c>
      <c r="BA13" s="77">
        <v>470</v>
      </c>
      <c r="BB13" s="77">
        <v>470</v>
      </c>
      <c r="BC13" s="77">
        <v>420</v>
      </c>
      <c r="BD13" s="77">
        <v>2.5000000000000001E-2</v>
      </c>
      <c r="BE13" s="77">
        <v>8.0000000000000002E-3</v>
      </c>
      <c r="BF13" s="77">
        <v>3.3000000000000002E-2</v>
      </c>
      <c r="BG13" s="77">
        <v>8.9999999999999993E-3</v>
      </c>
      <c r="BH13" s="79">
        <v>115</v>
      </c>
      <c r="BI13" s="79">
        <f t="shared" si="20"/>
        <v>30.679615757712824</v>
      </c>
      <c r="BJ13" s="79">
        <v>2</v>
      </c>
      <c r="BK13" s="57">
        <f t="shared" si="21"/>
        <v>61.359231515425648</v>
      </c>
      <c r="BL13" s="57"/>
      <c r="BM13" s="80">
        <f t="shared" si="22"/>
        <v>50.26548245743669</v>
      </c>
      <c r="BN13" s="80">
        <v>6</v>
      </c>
      <c r="BO13" s="57">
        <f t="shared" si="23"/>
        <v>301.59289474462014</v>
      </c>
      <c r="BP13" s="57">
        <f t="shared" si="24"/>
        <v>129123.76187063158</v>
      </c>
      <c r="BQ13" s="77">
        <f t="shared" si="25"/>
        <v>4.9476511776447296E-10</v>
      </c>
      <c r="BR13" s="57">
        <f t="shared" si="26"/>
        <v>177545172.57211843</v>
      </c>
      <c r="BS13" s="57">
        <v>219.30572652769251</v>
      </c>
      <c r="BT13" s="57">
        <f t="shared" si="49"/>
        <v>260.05338056586328</v>
      </c>
      <c r="BU13" s="57"/>
      <c r="BV13" s="57">
        <v>3.3E-3</v>
      </c>
      <c r="BW13" s="57">
        <v>30000</v>
      </c>
      <c r="BX13" s="57">
        <v>200000</v>
      </c>
      <c r="BY13" s="77">
        <f>20</f>
        <v>20</v>
      </c>
      <c r="BZ13" s="77">
        <f t="shared" si="27"/>
        <v>80</v>
      </c>
      <c r="CA13" s="77">
        <f t="shared" si="28"/>
        <v>140</v>
      </c>
      <c r="CB13" s="77">
        <f t="shared" si="50"/>
        <v>201</v>
      </c>
      <c r="CC13" s="77">
        <f t="shared" si="51"/>
        <v>263</v>
      </c>
      <c r="CD13" s="77">
        <f t="shared" si="52"/>
        <v>325</v>
      </c>
      <c r="CE13" s="77">
        <f t="shared" si="53"/>
        <v>387</v>
      </c>
      <c r="CF13" s="77">
        <f t="shared" si="54"/>
        <v>449</v>
      </c>
      <c r="CG13" s="77">
        <f t="shared" si="55"/>
        <v>510</v>
      </c>
      <c r="CH13" s="77">
        <f t="shared" si="56"/>
        <v>570</v>
      </c>
      <c r="CI13" s="77">
        <f t="shared" si="56"/>
        <v>630</v>
      </c>
      <c r="DM13" s="77">
        <f t="shared" si="57"/>
        <v>100.53096491487338</v>
      </c>
      <c r="DN13" s="77">
        <f t="shared" si="57"/>
        <v>100.53096491487338</v>
      </c>
      <c r="DO13" s="77">
        <f t="shared" si="57"/>
        <v>100.53096491487338</v>
      </c>
      <c r="DP13" s="77">
        <f t="shared" si="57"/>
        <v>100.53096491487338</v>
      </c>
      <c r="DQ13" s="77">
        <f t="shared" si="57"/>
        <v>100.53096491487338</v>
      </c>
      <c r="DR13" s="77">
        <f t="shared" si="57"/>
        <v>100.53096491487338</v>
      </c>
      <c r="DS13" s="77">
        <f t="shared" si="57"/>
        <v>100.53096491487338</v>
      </c>
      <c r="DT13" s="77">
        <f t="shared" si="57"/>
        <v>100.53096491487338</v>
      </c>
      <c r="DU13" s="77">
        <f t="shared" si="57"/>
        <v>100.53096491487338</v>
      </c>
      <c r="DV13" s="77">
        <f t="shared" si="57"/>
        <v>100.53096491487338</v>
      </c>
      <c r="DW13" s="77">
        <f t="shared" si="57"/>
        <v>100.53096491487338</v>
      </c>
      <c r="FA13" s="77">
        <f t="shared" si="39"/>
        <v>-47249.553509990488</v>
      </c>
      <c r="FB13" s="77">
        <f t="shared" si="40"/>
        <v>-42146.623147072627</v>
      </c>
      <c r="FC13" s="77">
        <f t="shared" si="41"/>
        <v>-23993.762874514774</v>
      </c>
      <c r="FD13" s="77">
        <f t="shared" si="58"/>
        <v>-5538.3549307476305</v>
      </c>
      <c r="FE13" s="77">
        <f t="shared" si="58"/>
        <v>13219.600684228815</v>
      </c>
      <c r="FF13" s="77">
        <f t="shared" si="58"/>
        <v>31977.556299205269</v>
      </c>
      <c r="FG13" s="77">
        <f t="shared" si="58"/>
        <v>47249.553509990488</v>
      </c>
      <c r="FH13" s="77">
        <f t="shared" si="58"/>
        <v>47249.553509990488</v>
      </c>
      <c r="FI13" s="77">
        <f t="shared" si="59"/>
        <v>47249.553509990488</v>
      </c>
      <c r="FJ13" s="77">
        <f t="shared" si="59"/>
        <v>47249.553509990488</v>
      </c>
      <c r="FK13" s="77">
        <f t="shared" si="59"/>
        <v>47249.553509990488</v>
      </c>
      <c r="GO13" s="77">
        <f t="shared" si="60"/>
        <v>14411113.820547098</v>
      </c>
      <c r="GP13" s="77">
        <f t="shared" si="60"/>
        <v>10325922.671032794</v>
      </c>
      <c r="GQ13" s="77">
        <f t="shared" si="60"/>
        <v>4438846.1317852335</v>
      </c>
      <c r="GR13" s="77">
        <f t="shared" si="60"/>
        <v>686756.01141270623</v>
      </c>
      <c r="GS13" s="77">
        <f t="shared" si="60"/>
        <v>-819615.24242218654</v>
      </c>
      <c r="GT13" s="77">
        <f t="shared" si="60"/>
        <v>0</v>
      </c>
      <c r="GU13" s="77">
        <f t="shared" si="60"/>
        <v>2929472.3176194103</v>
      </c>
      <c r="GV13" s="77">
        <f t="shared" si="60"/>
        <v>5858944.6352388207</v>
      </c>
      <c r="GW13" s="77">
        <f t="shared" si="60"/>
        <v>8741167.3993482403</v>
      </c>
      <c r="GX13" s="77">
        <f t="shared" si="60"/>
        <v>11576140.60994767</v>
      </c>
      <c r="GY13" s="77">
        <f t="shared" si="60"/>
        <v>14411113.820547098</v>
      </c>
      <c r="IC13" s="77">
        <v>12</v>
      </c>
    </row>
    <row r="14" spans="1:237" s="77" customFormat="1">
      <c r="A14" s="77">
        <v>13</v>
      </c>
      <c r="B14" s="69">
        <v>13</v>
      </c>
      <c r="C14" s="69" t="s">
        <v>2</v>
      </c>
      <c r="D14" s="70" t="s">
        <v>15</v>
      </c>
      <c r="E14" s="70">
        <v>1</v>
      </c>
      <c r="F14" s="70">
        <v>9.6719023373763979E-2</v>
      </c>
      <c r="G14" s="70">
        <v>8.0000000000000002E-3</v>
      </c>
      <c r="H14" s="70">
        <v>1.6E-2</v>
      </c>
      <c r="I14" s="70">
        <f>20.94/AU2</f>
        <v>2.5381818181818182E-2</v>
      </c>
      <c r="J14" s="71">
        <v>2.1153846153846154</v>
      </c>
      <c r="K14" s="72">
        <v>10</v>
      </c>
      <c r="L14" s="71">
        <v>0.4879568106312292</v>
      </c>
      <c r="M14" s="71">
        <v>8.6378737541528236E-2</v>
      </c>
      <c r="N14" s="71">
        <v>0.64410299003322258</v>
      </c>
      <c r="O14" s="71">
        <v>0.19435215946843851</v>
      </c>
      <c r="P14" s="71">
        <v>0</v>
      </c>
      <c r="Q14" s="73" t="s">
        <v>3</v>
      </c>
      <c r="R14" s="74">
        <v>0</v>
      </c>
      <c r="S14" s="75">
        <f t="shared" si="45"/>
        <v>0.60867905013911994</v>
      </c>
      <c r="T14" s="59">
        <f t="shared" si="0"/>
        <v>0.60115732626463336</v>
      </c>
      <c r="U14" s="59">
        <f t="shared" si="1"/>
        <v>0.73480275285521424</v>
      </c>
      <c r="V14" s="59">
        <f t="shared" si="2"/>
        <v>0.73022116706276308</v>
      </c>
      <c r="W14" s="59">
        <f t="shared" si="3"/>
        <v>1.2146922862939793</v>
      </c>
      <c r="X14" s="59">
        <f t="shared" si="4"/>
        <v>0.99376487666295676</v>
      </c>
      <c r="Y14" s="76">
        <v>123000</v>
      </c>
      <c r="Z14" s="57">
        <f t="shared" si="5"/>
        <v>122233.07982954368</v>
      </c>
      <c r="AA14" s="57">
        <f t="shared" si="6"/>
        <v>149407.15121415944</v>
      </c>
      <c r="AB14" s="57">
        <f t="shared" si="7"/>
        <v>125287.4860438675</v>
      </c>
      <c r="AC14" s="57">
        <f t="shared" si="8"/>
        <v>0.17</v>
      </c>
      <c r="AD14" s="57">
        <f t="shared" si="9"/>
        <v>2.1153846153846154</v>
      </c>
      <c r="AE14" s="57">
        <f t="shared" si="10"/>
        <v>0</v>
      </c>
      <c r="AF14" s="57">
        <f t="shared" si="11"/>
        <v>23464.144705470677</v>
      </c>
      <c r="AG14" s="57">
        <f t="shared" si="12"/>
        <v>125943.00650868878</v>
      </c>
      <c r="AH14" s="57">
        <f t="shared" si="13"/>
        <v>103547089.50469854</v>
      </c>
      <c r="AI14" s="57">
        <f t="shared" si="14"/>
        <v>68723203.805619285</v>
      </c>
      <c r="AJ14" s="77">
        <v>0</v>
      </c>
      <c r="AK14" s="77">
        <f>0.76*30.1</f>
        <v>22.876000000000001</v>
      </c>
      <c r="AL14" s="78">
        <f t="shared" si="15"/>
        <v>2.5692636244119953</v>
      </c>
      <c r="AM14" s="57">
        <f t="shared" si="16"/>
        <v>1</v>
      </c>
      <c r="AN14" s="57">
        <f t="shared" si="17"/>
        <v>0.8</v>
      </c>
      <c r="AO14" s="77">
        <v>650</v>
      </c>
      <c r="AP14" s="79">
        <v>140</v>
      </c>
      <c r="AQ14" s="57">
        <f t="shared" si="46"/>
        <v>82.587819353367365</v>
      </c>
      <c r="AR14" s="78">
        <f t="shared" si="47"/>
        <v>370</v>
      </c>
      <c r="AS14" s="57">
        <f t="shared" si="18"/>
        <v>567.41218064663258</v>
      </c>
      <c r="AT14" s="77">
        <v>65</v>
      </c>
      <c r="AU14" s="77">
        <v>1375</v>
      </c>
      <c r="AV14" s="78">
        <f t="shared" si="48"/>
        <v>42250</v>
      </c>
      <c r="AW14" s="77">
        <v>0</v>
      </c>
      <c r="AX14" s="77">
        <f t="shared" si="19"/>
        <v>42250</v>
      </c>
      <c r="AY14" s="77">
        <v>42250</v>
      </c>
      <c r="AZ14" s="77">
        <v>520</v>
      </c>
      <c r="BA14" s="77">
        <v>470</v>
      </c>
      <c r="BB14" s="77">
        <v>470</v>
      </c>
      <c r="BC14" s="77">
        <v>420</v>
      </c>
      <c r="BD14" s="77">
        <v>2.5000000000000001E-2</v>
      </c>
      <c r="BE14" s="77">
        <v>4.0000000000000001E-3</v>
      </c>
      <c r="BF14" s="77">
        <v>3.3000000000000002E-2</v>
      </c>
      <c r="BG14" s="77">
        <v>8.9999999999999993E-3</v>
      </c>
      <c r="BH14" s="79">
        <v>115</v>
      </c>
      <c r="BI14" s="79">
        <f t="shared" si="20"/>
        <v>30.679615757712824</v>
      </c>
      <c r="BJ14" s="79">
        <v>2</v>
      </c>
      <c r="BK14" s="57">
        <f t="shared" si="21"/>
        <v>61.359231515425648</v>
      </c>
      <c r="BL14" s="57"/>
      <c r="BM14" s="80">
        <f t="shared" si="22"/>
        <v>50.26548245743669</v>
      </c>
      <c r="BN14" s="80">
        <v>6</v>
      </c>
      <c r="BO14" s="57">
        <f t="shared" si="23"/>
        <v>301.59289474462014</v>
      </c>
      <c r="BP14" s="57">
        <f t="shared" si="24"/>
        <v>89817.203548719859</v>
      </c>
      <c r="BQ14" s="77">
        <f t="shared" si="25"/>
        <v>2.9103830456733704E-10</v>
      </c>
      <c r="BR14" s="57">
        <f t="shared" si="26"/>
        <v>123498654.87948981</v>
      </c>
      <c r="BS14" s="57">
        <v>165.17563870673473</v>
      </c>
      <c r="BT14" s="57">
        <f t="shared" si="49"/>
        <v>95.419944964374395</v>
      </c>
      <c r="BU14" s="57"/>
      <c r="BV14" s="57">
        <v>3.3E-3</v>
      </c>
      <c r="BW14" s="57">
        <v>30000</v>
      </c>
      <c r="BX14" s="57">
        <v>200000</v>
      </c>
      <c r="BY14" s="77">
        <f>20</f>
        <v>20</v>
      </c>
      <c r="BZ14" s="77">
        <f t="shared" si="27"/>
        <v>80</v>
      </c>
      <c r="CA14" s="77">
        <f t="shared" si="28"/>
        <v>140</v>
      </c>
      <c r="CB14" s="77">
        <f t="shared" si="50"/>
        <v>201</v>
      </c>
      <c r="CC14" s="77">
        <f t="shared" si="51"/>
        <v>263</v>
      </c>
      <c r="CD14" s="77">
        <f t="shared" si="52"/>
        <v>325</v>
      </c>
      <c r="CE14" s="77">
        <f t="shared" si="53"/>
        <v>387</v>
      </c>
      <c r="CF14" s="77">
        <f t="shared" si="54"/>
        <v>449</v>
      </c>
      <c r="CG14" s="77">
        <f t="shared" si="55"/>
        <v>510</v>
      </c>
      <c r="CH14" s="77">
        <f t="shared" si="56"/>
        <v>570</v>
      </c>
      <c r="CI14" s="77">
        <f t="shared" si="56"/>
        <v>630</v>
      </c>
      <c r="DM14" s="77">
        <f t="shared" si="57"/>
        <v>100.53096491487338</v>
      </c>
      <c r="DN14" s="77">
        <f t="shared" si="57"/>
        <v>100.53096491487338</v>
      </c>
      <c r="DO14" s="77">
        <f t="shared" si="57"/>
        <v>100.53096491487338</v>
      </c>
      <c r="DP14" s="77">
        <f t="shared" si="57"/>
        <v>100.53096491487338</v>
      </c>
      <c r="DQ14" s="77">
        <f t="shared" si="57"/>
        <v>100.53096491487338</v>
      </c>
      <c r="DR14" s="77">
        <f t="shared" si="57"/>
        <v>100.53096491487338</v>
      </c>
      <c r="DS14" s="77">
        <f t="shared" si="57"/>
        <v>100.53096491487338</v>
      </c>
      <c r="DT14" s="77">
        <f t="shared" si="57"/>
        <v>100.53096491487338</v>
      </c>
      <c r="DU14" s="77">
        <f t="shared" si="57"/>
        <v>100.53096491487338</v>
      </c>
      <c r="DV14" s="77">
        <f t="shared" si="57"/>
        <v>100.53096491487338</v>
      </c>
      <c r="DW14" s="77">
        <f t="shared" si="57"/>
        <v>100.53096491487338</v>
      </c>
      <c r="FA14" s="77">
        <f t="shared" si="39"/>
        <v>-47249.553509990488</v>
      </c>
      <c r="FB14" s="77">
        <f t="shared" si="40"/>
        <v>-34214.735786049678</v>
      </c>
      <c r="FC14" s="77">
        <f t="shared" si="41"/>
        <v>-10112.959992724613</v>
      </c>
      <c r="FD14" s="77">
        <f t="shared" si="58"/>
        <v>14390.512063822538</v>
      </c>
      <c r="FE14" s="77">
        <f t="shared" si="58"/>
        <v>39295.680383591767</v>
      </c>
      <c r="FF14" s="77">
        <f t="shared" si="58"/>
        <v>47249.553509990488</v>
      </c>
      <c r="FG14" s="77">
        <f t="shared" si="58"/>
        <v>47249.553509990488</v>
      </c>
      <c r="FH14" s="77">
        <f t="shared" si="58"/>
        <v>47249.553509990488</v>
      </c>
      <c r="FI14" s="77">
        <f t="shared" si="59"/>
        <v>47249.553509990488</v>
      </c>
      <c r="FJ14" s="77">
        <f t="shared" si="59"/>
        <v>47249.553509990488</v>
      </c>
      <c r="FK14" s="77">
        <f t="shared" si="59"/>
        <v>47249.553509990488</v>
      </c>
      <c r="GO14" s="77">
        <f t="shared" si="60"/>
        <v>14411113.820547098</v>
      </c>
      <c r="GP14" s="77">
        <f t="shared" si="60"/>
        <v>8382610.2675821707</v>
      </c>
      <c r="GQ14" s="77">
        <f t="shared" si="60"/>
        <v>1870897.5986540534</v>
      </c>
      <c r="GR14" s="77">
        <f t="shared" si="60"/>
        <v>-1784423.4959139947</v>
      </c>
      <c r="GS14" s="77">
        <f t="shared" si="60"/>
        <v>-2436332.1837826897</v>
      </c>
      <c r="GT14" s="77">
        <f t="shared" si="60"/>
        <v>0</v>
      </c>
      <c r="GU14" s="77">
        <f t="shared" si="60"/>
        <v>2929472.3176194103</v>
      </c>
      <c r="GV14" s="77">
        <f t="shared" si="60"/>
        <v>5858944.6352388207</v>
      </c>
      <c r="GW14" s="77">
        <f t="shared" si="60"/>
        <v>8741167.3993482403</v>
      </c>
      <c r="GX14" s="77">
        <f t="shared" si="60"/>
        <v>11576140.60994767</v>
      </c>
      <c r="GY14" s="77">
        <f t="shared" si="60"/>
        <v>14411113.820547098</v>
      </c>
      <c r="IC14" s="77">
        <v>13</v>
      </c>
    </row>
    <row r="15" spans="1:237" s="77" customFormat="1">
      <c r="A15" s="77">
        <v>14</v>
      </c>
      <c r="B15" s="69">
        <v>14</v>
      </c>
      <c r="C15" s="69" t="s">
        <v>17</v>
      </c>
      <c r="D15" s="70" t="s">
        <v>16</v>
      </c>
      <c r="E15" s="70">
        <v>1</v>
      </c>
      <c r="F15" s="70">
        <v>9.2551455699935115E-2</v>
      </c>
      <c r="G15" s="70">
        <v>8.7272730000000007E-3</v>
      </c>
      <c r="H15" s="70">
        <v>1.4545455000000001E-2</v>
      </c>
      <c r="I15" s="70">
        <f>20.9/AU2</f>
        <v>2.5333333333333333E-2</v>
      </c>
      <c r="J15" s="71">
        <v>2.1153846153846154</v>
      </c>
      <c r="K15" s="72">
        <v>10</v>
      </c>
      <c r="L15" s="71">
        <v>0.23421926910299001</v>
      </c>
      <c r="M15" s="71">
        <v>6.0465116279069767E-2</v>
      </c>
      <c r="N15" s="71">
        <v>0.51528239202657811</v>
      </c>
      <c r="O15" s="71">
        <v>0.15548172757475082</v>
      </c>
      <c r="P15" s="71">
        <v>0</v>
      </c>
      <c r="Q15" s="73" t="s">
        <v>3</v>
      </c>
      <c r="R15" s="74">
        <v>0</v>
      </c>
      <c r="S15" s="75">
        <f t="shared" si="45"/>
        <v>0.50776937260977972</v>
      </c>
      <c r="T15" s="59">
        <f t="shared" si="0"/>
        <v>0.94761755591648111</v>
      </c>
      <c r="U15" s="59">
        <f t="shared" si="1"/>
        <v>0.7050495454975223</v>
      </c>
      <c r="V15" s="59">
        <f t="shared" si="2"/>
        <v>0.69666733364597511</v>
      </c>
      <c r="W15" s="59">
        <f t="shared" si="3"/>
        <v>0.73517774053077622</v>
      </c>
      <c r="X15" s="59">
        <f t="shared" si="4"/>
        <v>0.98811117331388076</v>
      </c>
      <c r="Y15" s="76">
        <v>117700</v>
      </c>
      <c r="Z15" s="57">
        <f t="shared" si="5"/>
        <v>116300.68509904377</v>
      </c>
      <c r="AA15" s="57">
        <f t="shared" si="6"/>
        <v>86530.420060472359</v>
      </c>
      <c r="AB15" s="57">
        <f t="shared" si="7"/>
        <v>158873.87710789667</v>
      </c>
      <c r="AC15" s="57">
        <f t="shared" si="8"/>
        <v>0.17</v>
      </c>
      <c r="AD15" s="57">
        <f t="shared" si="9"/>
        <v>2.1153846153846154</v>
      </c>
      <c r="AE15" s="57">
        <f t="shared" si="10"/>
        <v>0</v>
      </c>
      <c r="AF15" s="57">
        <f t="shared" si="11"/>
        <v>28450.271806220451</v>
      </c>
      <c r="AG15" s="57">
        <f t="shared" si="12"/>
        <v>58080.148254251908</v>
      </c>
      <c r="AH15" s="57">
        <f t="shared" si="13"/>
        <v>142871327.85700125</v>
      </c>
      <c r="AI15" s="57">
        <f t="shared" si="14"/>
        <v>75580253.166356683</v>
      </c>
      <c r="AJ15" s="77">
        <v>0</v>
      </c>
      <c r="AK15" s="77">
        <v>30.1</v>
      </c>
      <c r="AL15" s="78">
        <f t="shared" si="15"/>
        <v>2.9878665237909519</v>
      </c>
      <c r="AM15" s="57">
        <f t="shared" si="16"/>
        <v>1</v>
      </c>
      <c r="AN15" s="57">
        <f t="shared" si="17"/>
        <v>0.8</v>
      </c>
      <c r="AO15" s="77">
        <v>650</v>
      </c>
      <c r="AP15" s="79">
        <v>140</v>
      </c>
      <c r="AQ15" s="57">
        <f t="shared" si="46"/>
        <v>58.400467828844448</v>
      </c>
      <c r="AR15" s="78">
        <f t="shared" si="47"/>
        <v>370</v>
      </c>
      <c r="AS15" s="57">
        <f t="shared" si="18"/>
        <v>591.5995321711556</v>
      </c>
      <c r="AT15" s="77">
        <v>65</v>
      </c>
      <c r="AU15" s="77">
        <v>1375</v>
      </c>
      <c r="AV15" s="78">
        <f t="shared" si="48"/>
        <v>42250</v>
      </c>
      <c r="AW15" s="77">
        <v>0</v>
      </c>
      <c r="AX15" s="77">
        <f t="shared" si="19"/>
        <v>42250</v>
      </c>
      <c r="AY15" s="77">
        <v>42250</v>
      </c>
      <c r="AZ15" s="77">
        <v>520</v>
      </c>
      <c r="BA15" s="77">
        <v>470</v>
      </c>
      <c r="BB15" s="77">
        <v>470</v>
      </c>
      <c r="BC15" s="77">
        <v>420</v>
      </c>
      <c r="BD15" s="77">
        <v>1.4999999999999999E-2</v>
      </c>
      <c r="BE15" s="77">
        <v>3.5000000000000001E-3</v>
      </c>
      <c r="BF15" s="77">
        <v>3.3000000000000002E-2</v>
      </c>
      <c r="BG15" s="77">
        <v>8.9999999999999993E-3</v>
      </c>
      <c r="BH15" s="79">
        <v>260</v>
      </c>
      <c r="BI15" s="79">
        <f t="shared" si="20"/>
        <v>30.679615757712824</v>
      </c>
      <c r="BJ15" s="79">
        <v>2</v>
      </c>
      <c r="BK15" s="57">
        <f t="shared" si="21"/>
        <v>61.359231515425648</v>
      </c>
      <c r="BL15" s="57"/>
      <c r="BM15" s="80">
        <f t="shared" si="22"/>
        <v>50.26548245743669</v>
      </c>
      <c r="BN15" s="80">
        <v>6</v>
      </c>
      <c r="BO15" s="57">
        <f t="shared" si="23"/>
        <v>301.59289474462014</v>
      </c>
      <c r="BP15" s="57">
        <f t="shared" si="24"/>
        <v>81997.745170131268</v>
      </c>
      <c r="BQ15" s="77">
        <f t="shared" si="25"/>
        <v>2.9103830456733704E-10</v>
      </c>
      <c r="BR15" s="57">
        <f t="shared" si="26"/>
        <v>112746899.6089305</v>
      </c>
      <c r="BS15" s="57">
        <v>116.8009356576889</v>
      </c>
      <c r="BT15" s="57">
        <f t="shared" si="49"/>
        <v>46.200348960082565</v>
      </c>
      <c r="BU15" s="57"/>
      <c r="BV15" s="57">
        <v>3.3E-3</v>
      </c>
      <c r="BW15" s="57">
        <v>30000</v>
      </c>
      <c r="BX15" s="57">
        <v>200000</v>
      </c>
      <c r="BY15" s="77">
        <f>20</f>
        <v>20</v>
      </c>
      <c r="BZ15" s="77">
        <f t="shared" si="27"/>
        <v>80</v>
      </c>
      <c r="CA15" s="77">
        <f t="shared" si="28"/>
        <v>140</v>
      </c>
      <c r="CB15" s="77">
        <f>CA15+85</f>
        <v>225</v>
      </c>
      <c r="CC15" s="77">
        <f>CB15+100</f>
        <v>325</v>
      </c>
      <c r="CD15" s="77">
        <f>CB15+100*2</f>
        <v>425</v>
      </c>
      <c r="CE15" s="77">
        <f>CD15+85</f>
        <v>510</v>
      </c>
      <c r="CF15" s="77">
        <f t="shared" ref="CF15:CG18" si="61">CE15+60</f>
        <v>570</v>
      </c>
      <c r="CG15" s="77">
        <f t="shared" si="61"/>
        <v>630</v>
      </c>
      <c r="DM15" s="77">
        <f t="shared" ref="DM15:DU18" si="62">PI()*8*8/4*2</f>
        <v>100.53096491487338</v>
      </c>
      <c r="DN15" s="77">
        <f t="shared" si="62"/>
        <v>100.53096491487338</v>
      </c>
      <c r="DO15" s="77">
        <f t="shared" si="62"/>
        <v>100.53096491487338</v>
      </c>
      <c r="DP15" s="77">
        <f t="shared" si="62"/>
        <v>100.53096491487338</v>
      </c>
      <c r="DQ15" s="77">
        <f t="shared" si="62"/>
        <v>100.53096491487338</v>
      </c>
      <c r="DR15" s="77">
        <f t="shared" si="62"/>
        <v>100.53096491487338</v>
      </c>
      <c r="DS15" s="77">
        <f t="shared" si="62"/>
        <v>100.53096491487338</v>
      </c>
      <c r="DT15" s="77">
        <f t="shared" si="62"/>
        <v>100.53096491487338</v>
      </c>
      <c r="DU15" s="77">
        <f t="shared" si="62"/>
        <v>100.53096491487338</v>
      </c>
      <c r="FA15" s="77">
        <f t="shared" si="39"/>
        <v>-47249.553509990488</v>
      </c>
      <c r="FB15" s="77">
        <f t="shared" si="40"/>
        <v>-20905.296206744049</v>
      </c>
      <c r="FC15" s="77">
        <f t="shared" si="41"/>
        <v>13178.55927106024</v>
      </c>
      <c r="FD15" s="77">
        <f t="shared" ref="FD15:FF18" si="63">IF(ABS(-$BV15*($BS15-CB15)/$BS15*$BX15)&gt;$BA15,$BA15*SIGN(-($BS15-CB15)),-$BV15*($BS15-CB15)/$BS15*$BX15)*DP15</f>
        <v>47249.553509990488</v>
      </c>
      <c r="FE15" s="77">
        <f t="shared" si="63"/>
        <v>47249.553509990488</v>
      </c>
      <c r="FF15" s="77">
        <f t="shared" si="63"/>
        <v>47249.553509990488</v>
      </c>
      <c r="FG15" s="77">
        <f t="shared" ref="FG15:FI18" si="64">IF(ABS(-$BV15*($BS15-CE15)/$BS15*$BX15)&gt;$BB15,$BB15*SIGN(-($BS15-CE15)),-$BV15*($BS15-CE15)/$BS15*$BX15)*DS15</f>
        <v>47249.553509990488</v>
      </c>
      <c r="FH15" s="77">
        <f t="shared" si="64"/>
        <v>47249.553509990488</v>
      </c>
      <c r="FI15" s="77">
        <f t="shared" si="64"/>
        <v>47249.553509990488</v>
      </c>
      <c r="GO15" s="77">
        <f t="shared" ref="GO15:GW18" si="65">FA15*(BY15-0.5*$AO15)</f>
        <v>14411113.820547098</v>
      </c>
      <c r="GP15" s="77">
        <f t="shared" si="65"/>
        <v>5121797.5706522921</v>
      </c>
      <c r="GQ15" s="77">
        <f t="shared" si="65"/>
        <v>-2438033.4651461444</v>
      </c>
      <c r="GR15" s="77">
        <f t="shared" si="65"/>
        <v>-4724955.3509990489</v>
      </c>
      <c r="GS15" s="77">
        <f t="shared" si="65"/>
        <v>0</v>
      </c>
      <c r="GT15" s="77">
        <f t="shared" si="65"/>
        <v>4724955.3509990489</v>
      </c>
      <c r="GU15" s="77">
        <f t="shared" si="65"/>
        <v>8741167.3993482403</v>
      </c>
      <c r="GV15" s="77">
        <f t="shared" si="65"/>
        <v>11576140.60994767</v>
      </c>
      <c r="GW15" s="77">
        <f t="shared" si="65"/>
        <v>14411113.820547098</v>
      </c>
      <c r="IC15" s="77">
        <v>14</v>
      </c>
    </row>
    <row r="16" spans="1:237" s="77" customFormat="1">
      <c r="A16" s="77">
        <v>15</v>
      </c>
      <c r="B16" s="69">
        <v>15</v>
      </c>
      <c r="C16" s="69" t="s">
        <v>17</v>
      </c>
      <c r="D16" s="70" t="s">
        <v>18</v>
      </c>
      <c r="E16" s="70">
        <v>1</v>
      </c>
      <c r="F16" s="70">
        <v>7.7864443249058626E-2</v>
      </c>
      <c r="G16" s="70">
        <v>6.5454550000000004E-3</v>
      </c>
      <c r="H16" s="70">
        <v>1.6E-2</v>
      </c>
      <c r="I16" s="70">
        <f>22.2/AU2</f>
        <v>2.6909090909090907E-2</v>
      </c>
      <c r="J16" s="71">
        <v>2.1153846153846154</v>
      </c>
      <c r="K16" s="72">
        <v>10</v>
      </c>
      <c r="L16" s="71">
        <v>0.20028409090909088</v>
      </c>
      <c r="M16" s="71">
        <v>5.1704545454545454E-2</v>
      </c>
      <c r="N16" s="71">
        <v>0.44062499999999999</v>
      </c>
      <c r="O16" s="71">
        <v>0.13295454545454544</v>
      </c>
      <c r="P16" s="71">
        <v>0</v>
      </c>
      <c r="Q16" s="73" t="s">
        <v>3</v>
      </c>
      <c r="R16" s="74">
        <v>0</v>
      </c>
      <c r="S16" s="75">
        <f t="shared" si="45"/>
        <v>0.46196653297777179</v>
      </c>
      <c r="T16" s="59">
        <f t="shared" si="0"/>
        <v>0.9290983577354841</v>
      </c>
      <c r="U16" s="59">
        <f t="shared" si="1"/>
        <v>0.69913032284969212</v>
      </c>
      <c r="V16" s="59">
        <f t="shared" si="2"/>
        <v>0.72151985978851518</v>
      </c>
      <c r="W16" s="59">
        <f t="shared" si="3"/>
        <v>0.77658070728603423</v>
      </c>
      <c r="X16" s="59">
        <f t="shared" si="4"/>
        <v>1.0320248403009644</v>
      </c>
      <c r="Y16" s="76">
        <v>115800</v>
      </c>
      <c r="Z16" s="57">
        <f t="shared" si="5"/>
        <v>119508.47650685169</v>
      </c>
      <c r="AA16" s="57">
        <f t="shared" si="6"/>
        <v>89928.04590372277</v>
      </c>
      <c r="AB16" s="57">
        <f t="shared" si="7"/>
        <v>178928.64960387052</v>
      </c>
      <c r="AC16" s="57">
        <f t="shared" si="8"/>
        <v>0.17</v>
      </c>
      <c r="AD16" s="57">
        <f t="shared" si="9"/>
        <v>2.1153846153846154</v>
      </c>
      <c r="AE16" s="57">
        <f t="shared" si="10"/>
        <v>0</v>
      </c>
      <c r="AF16" s="57">
        <f t="shared" si="11"/>
        <v>31300.31375692592</v>
      </c>
      <c r="AG16" s="57">
        <f t="shared" si="12"/>
        <v>58627.73214679685</v>
      </c>
      <c r="AH16" s="57">
        <f t="shared" si="13"/>
        <v>168865392.98414111</v>
      </c>
      <c r="AI16" s="57">
        <f t="shared" si="14"/>
        <v>77161500.221180871</v>
      </c>
      <c r="AJ16" s="77">
        <v>0</v>
      </c>
      <c r="AK16" s="77">
        <v>35.200000000000003</v>
      </c>
      <c r="AL16" s="78">
        <f t="shared" si="15"/>
        <v>3.2564775220305178</v>
      </c>
      <c r="AM16" s="57">
        <f t="shared" si="16"/>
        <v>1</v>
      </c>
      <c r="AN16" s="57">
        <f t="shared" si="17"/>
        <v>0.8</v>
      </c>
      <c r="AO16" s="77">
        <v>650</v>
      </c>
      <c r="AP16" s="79">
        <v>140</v>
      </c>
      <c r="AQ16" s="57">
        <f t="shared" si="46"/>
        <v>52.822824100458497</v>
      </c>
      <c r="AR16" s="78">
        <f t="shared" si="47"/>
        <v>370</v>
      </c>
      <c r="AS16" s="57">
        <f t="shared" si="18"/>
        <v>597.17717589954145</v>
      </c>
      <c r="AT16" s="77">
        <v>65</v>
      </c>
      <c r="AU16" s="77">
        <v>1375</v>
      </c>
      <c r="AV16" s="78">
        <f t="shared" si="48"/>
        <v>42250</v>
      </c>
      <c r="AW16" s="77">
        <v>0</v>
      </c>
      <c r="AX16" s="77">
        <f t="shared" si="19"/>
        <v>42250</v>
      </c>
      <c r="AY16" s="77">
        <v>42250</v>
      </c>
      <c r="AZ16" s="77">
        <v>520</v>
      </c>
      <c r="BA16" s="77">
        <v>470</v>
      </c>
      <c r="BB16" s="77">
        <v>470</v>
      </c>
      <c r="BC16" s="77">
        <v>420</v>
      </c>
      <c r="BD16" s="77">
        <v>1.4999999999999999E-2</v>
      </c>
      <c r="BE16" s="77">
        <v>3.5000000000000001E-3</v>
      </c>
      <c r="BF16" s="77">
        <v>3.3000000000000002E-2</v>
      </c>
      <c r="BG16" s="77">
        <v>8.9999999999999993E-3</v>
      </c>
      <c r="BH16" s="79">
        <v>260</v>
      </c>
      <c r="BI16" s="79">
        <f t="shared" si="20"/>
        <v>30.679615757712824</v>
      </c>
      <c r="BJ16" s="79">
        <v>2</v>
      </c>
      <c r="BK16" s="57">
        <f t="shared" si="21"/>
        <v>61.359231515425648</v>
      </c>
      <c r="BL16" s="57"/>
      <c r="BM16" s="80">
        <f t="shared" si="22"/>
        <v>50.26548245743669</v>
      </c>
      <c r="BN16" s="80">
        <v>6</v>
      </c>
      <c r="BO16" s="57">
        <f t="shared" si="23"/>
        <v>301.59289474462014</v>
      </c>
      <c r="BP16" s="57">
        <f t="shared" si="24"/>
        <v>83551.999763510059</v>
      </c>
      <c r="BQ16" s="77">
        <f t="shared" si="25"/>
        <v>0</v>
      </c>
      <c r="BR16" s="57">
        <f t="shared" si="26"/>
        <v>114883999.67482634</v>
      </c>
      <c r="BS16" s="57">
        <v>105.64564820091699</v>
      </c>
      <c r="BT16" s="57">
        <f t="shared" si="49"/>
        <v>41.308725474252142</v>
      </c>
      <c r="BU16" s="57"/>
      <c r="BV16" s="57">
        <v>3.3E-3</v>
      </c>
      <c r="BW16" s="57">
        <v>30000</v>
      </c>
      <c r="BX16" s="57">
        <v>200000</v>
      </c>
      <c r="BY16" s="77">
        <f>20</f>
        <v>20</v>
      </c>
      <c r="BZ16" s="77">
        <f t="shared" si="27"/>
        <v>80</v>
      </c>
      <c r="CA16" s="77">
        <f t="shared" si="28"/>
        <v>140</v>
      </c>
      <c r="CB16" s="77">
        <f>CA16+85</f>
        <v>225</v>
      </c>
      <c r="CC16" s="77">
        <f>CB16+100</f>
        <v>325</v>
      </c>
      <c r="CD16" s="77">
        <f>CB16+100*2</f>
        <v>425</v>
      </c>
      <c r="CE16" s="77">
        <f>CD16+85</f>
        <v>510</v>
      </c>
      <c r="CF16" s="77">
        <f t="shared" si="61"/>
        <v>570</v>
      </c>
      <c r="CG16" s="77">
        <f t="shared" si="61"/>
        <v>630</v>
      </c>
      <c r="DM16" s="77">
        <f t="shared" si="62"/>
        <v>100.53096491487338</v>
      </c>
      <c r="DN16" s="77">
        <f t="shared" si="62"/>
        <v>100.53096491487338</v>
      </c>
      <c r="DO16" s="77">
        <f t="shared" si="62"/>
        <v>100.53096491487338</v>
      </c>
      <c r="DP16" s="77">
        <f t="shared" si="62"/>
        <v>100.53096491487338</v>
      </c>
      <c r="DQ16" s="77">
        <f t="shared" si="62"/>
        <v>100.53096491487338</v>
      </c>
      <c r="DR16" s="77">
        <f t="shared" si="62"/>
        <v>100.53096491487338</v>
      </c>
      <c r="DS16" s="77">
        <f t="shared" si="62"/>
        <v>100.53096491487338</v>
      </c>
      <c r="DT16" s="77">
        <f t="shared" si="62"/>
        <v>100.53096491487338</v>
      </c>
      <c r="DU16" s="77">
        <f t="shared" si="62"/>
        <v>100.53096491487338</v>
      </c>
      <c r="FA16" s="77">
        <f t="shared" si="39"/>
        <v>-47249.553509990488</v>
      </c>
      <c r="FB16" s="77">
        <f t="shared" si="40"/>
        <v>-16106.673490587829</v>
      </c>
      <c r="FC16" s="77">
        <f t="shared" si="41"/>
        <v>21576.149024333623</v>
      </c>
      <c r="FD16" s="77">
        <f t="shared" si="63"/>
        <v>47249.553509990488</v>
      </c>
      <c r="FE16" s="77">
        <f t="shared" si="63"/>
        <v>47249.553509990488</v>
      </c>
      <c r="FF16" s="77">
        <f t="shared" si="63"/>
        <v>47249.553509990488</v>
      </c>
      <c r="FG16" s="77">
        <f t="shared" si="64"/>
        <v>47249.553509990488</v>
      </c>
      <c r="FH16" s="77">
        <f t="shared" si="64"/>
        <v>47249.553509990488</v>
      </c>
      <c r="FI16" s="77">
        <f t="shared" si="64"/>
        <v>47249.553509990488</v>
      </c>
      <c r="GO16" s="77">
        <f t="shared" si="65"/>
        <v>14411113.820547098</v>
      </c>
      <c r="GP16" s="77">
        <f t="shared" si="65"/>
        <v>3946135.0051940181</v>
      </c>
      <c r="GQ16" s="77">
        <f t="shared" si="65"/>
        <v>-3991587.5695017204</v>
      </c>
      <c r="GR16" s="77">
        <f t="shared" si="65"/>
        <v>-4724955.3509990489</v>
      </c>
      <c r="GS16" s="77">
        <f t="shared" si="65"/>
        <v>0</v>
      </c>
      <c r="GT16" s="77">
        <f t="shared" si="65"/>
        <v>4724955.3509990489</v>
      </c>
      <c r="GU16" s="77">
        <f t="shared" si="65"/>
        <v>8741167.3993482403</v>
      </c>
      <c r="GV16" s="77">
        <f t="shared" si="65"/>
        <v>11576140.60994767</v>
      </c>
      <c r="GW16" s="77">
        <f t="shared" si="65"/>
        <v>14411113.820547098</v>
      </c>
      <c r="IC16" s="77">
        <v>15</v>
      </c>
    </row>
    <row r="17" spans="1:237" s="77" customFormat="1" ht="14.1" customHeight="1">
      <c r="A17" s="77">
        <v>16</v>
      </c>
      <c r="B17" s="69">
        <v>17</v>
      </c>
      <c r="C17" s="69" t="s">
        <v>17</v>
      </c>
      <c r="D17" s="70" t="s">
        <v>19</v>
      </c>
      <c r="E17" s="70">
        <v>1</v>
      </c>
      <c r="F17" s="70">
        <v>4.9015278636403779E-2</v>
      </c>
      <c r="G17" s="70">
        <v>5.0909090000000002E-3</v>
      </c>
      <c r="H17" s="70">
        <v>1.7454544999999998E-2</v>
      </c>
      <c r="I17" s="70">
        <f>24.5/AU2</f>
        <v>2.9696969696969697E-2</v>
      </c>
      <c r="J17" s="71">
        <v>2.1153846153846154</v>
      </c>
      <c r="K17" s="72">
        <v>10</v>
      </c>
      <c r="L17" s="71">
        <v>0.13152985074626866</v>
      </c>
      <c r="M17" s="71">
        <v>3.3955223880597019E-2</v>
      </c>
      <c r="N17" s="71">
        <v>0.28936567164179106</v>
      </c>
      <c r="O17" s="71">
        <v>8.7313432835820881E-2</v>
      </c>
      <c r="P17" s="71">
        <v>0</v>
      </c>
      <c r="Q17" s="73" t="s">
        <v>3</v>
      </c>
      <c r="R17" s="74">
        <v>0</v>
      </c>
      <c r="S17" s="75">
        <f t="shared" si="45"/>
        <v>0.3588507602521005</v>
      </c>
      <c r="T17" s="59">
        <f t="shared" si="0"/>
        <v>0.87647316643750073</v>
      </c>
      <c r="U17" s="59">
        <f t="shared" si="1"/>
        <v>0.67624523159598093</v>
      </c>
      <c r="V17" s="59">
        <f t="shared" si="2"/>
        <v>0.78882808513835945</v>
      </c>
      <c r="W17" s="59">
        <f t="shared" si="3"/>
        <v>0.90000255038567567</v>
      </c>
      <c r="X17" s="59">
        <f t="shared" si="4"/>
        <v>1.1664822882028698</v>
      </c>
      <c r="Y17" s="76">
        <v>111000</v>
      </c>
      <c r="Z17" s="57">
        <f t="shared" si="5"/>
        <v>129479.53399051855</v>
      </c>
      <c r="AA17" s="57">
        <f t="shared" si="6"/>
        <v>99900.283092810001</v>
      </c>
      <c r="AB17" s="57">
        <f t="shared" si="7"/>
        <v>241528.48357522167</v>
      </c>
      <c r="AC17" s="57">
        <f t="shared" si="8"/>
        <v>0.17</v>
      </c>
      <c r="AD17" s="57">
        <f t="shared" si="9"/>
        <v>2.1153846153846154</v>
      </c>
      <c r="AE17" s="57">
        <f t="shared" si="10"/>
        <v>0</v>
      </c>
      <c r="AF17" s="57">
        <f t="shared" si="11"/>
        <v>40179.98289406189</v>
      </c>
      <c r="AG17" s="57">
        <f t="shared" si="12"/>
        <v>59720.300198748111</v>
      </c>
      <c r="AH17" s="57">
        <f t="shared" si="13"/>
        <v>251785177.78249034</v>
      </c>
      <c r="AI17" s="57">
        <f t="shared" si="14"/>
        <v>80316487.133439481</v>
      </c>
      <c r="AJ17" s="77">
        <v>0</v>
      </c>
      <c r="AK17" s="77">
        <v>53.6</v>
      </c>
      <c r="AL17" s="78">
        <f t="shared" si="15"/>
        <v>4.1038384312806393</v>
      </c>
      <c r="AM17" s="57">
        <f t="shared" si="16"/>
        <v>0.95894736842105255</v>
      </c>
      <c r="AN17" s="57">
        <f t="shared" si="17"/>
        <v>0.75894736842105259</v>
      </c>
      <c r="AO17" s="77">
        <v>650</v>
      </c>
      <c r="AP17" s="79">
        <v>140</v>
      </c>
      <c r="AQ17" s="57">
        <f t="shared" si="46"/>
        <v>41.694017307989704</v>
      </c>
      <c r="AR17" s="78">
        <f t="shared" si="47"/>
        <v>370</v>
      </c>
      <c r="AS17" s="57">
        <f t="shared" si="18"/>
        <v>608.30598269201028</v>
      </c>
      <c r="AT17" s="77">
        <v>65</v>
      </c>
      <c r="AU17" s="77">
        <v>1375</v>
      </c>
      <c r="AV17" s="78">
        <f t="shared" si="48"/>
        <v>42250</v>
      </c>
      <c r="AW17" s="77">
        <v>0</v>
      </c>
      <c r="AX17" s="77">
        <f t="shared" si="19"/>
        <v>42250</v>
      </c>
      <c r="AY17" s="77">
        <v>42250</v>
      </c>
      <c r="AZ17" s="77">
        <v>520</v>
      </c>
      <c r="BA17" s="77">
        <v>470</v>
      </c>
      <c r="BB17" s="77">
        <v>470</v>
      </c>
      <c r="BC17" s="77">
        <v>420</v>
      </c>
      <c r="BD17" s="77">
        <v>1.4999999999999999E-2</v>
      </c>
      <c r="BE17" s="77">
        <v>3.5000000000000001E-3</v>
      </c>
      <c r="BF17" s="77">
        <v>3.3000000000000002E-2</v>
      </c>
      <c r="BG17" s="77">
        <v>8.9999999999999993E-3</v>
      </c>
      <c r="BH17" s="79">
        <v>260</v>
      </c>
      <c r="BI17" s="79">
        <f t="shared" si="20"/>
        <v>30.679615757712824</v>
      </c>
      <c r="BJ17" s="79">
        <v>2</v>
      </c>
      <c r="BK17" s="57">
        <f t="shared" si="21"/>
        <v>61.359231515425648</v>
      </c>
      <c r="BL17" s="57"/>
      <c r="BM17" s="80">
        <f t="shared" si="22"/>
        <v>50.26548245743669</v>
      </c>
      <c r="BN17" s="80">
        <v>6</v>
      </c>
      <c r="BO17" s="57">
        <f t="shared" si="23"/>
        <v>301.59289474462014</v>
      </c>
      <c r="BP17" s="57">
        <f t="shared" si="24"/>
        <v>87559.917450357898</v>
      </c>
      <c r="BQ17" s="77">
        <f t="shared" si="25"/>
        <v>1.1641532182693481E-9</v>
      </c>
      <c r="BR17" s="57">
        <f t="shared" si="26"/>
        <v>120394886.4942421</v>
      </c>
      <c r="BS17" s="57">
        <v>83.388034615979407</v>
      </c>
      <c r="BT17" s="57">
        <f t="shared" si="49"/>
        <v>32.47241560179954</v>
      </c>
      <c r="BU17" s="57"/>
      <c r="BV17" s="57">
        <v>3.3E-3</v>
      </c>
      <c r="BW17" s="57">
        <v>30000</v>
      </c>
      <c r="BX17" s="57">
        <v>200000</v>
      </c>
      <c r="BY17" s="77">
        <f>20</f>
        <v>20</v>
      </c>
      <c r="BZ17" s="77">
        <f t="shared" si="27"/>
        <v>80</v>
      </c>
      <c r="CA17" s="77">
        <f t="shared" si="28"/>
        <v>140</v>
      </c>
      <c r="CB17" s="77">
        <f>CA17+85</f>
        <v>225</v>
      </c>
      <c r="CC17" s="77">
        <f>CB17+100</f>
        <v>325</v>
      </c>
      <c r="CD17" s="77">
        <f>CB17+100*2</f>
        <v>425</v>
      </c>
      <c r="CE17" s="77">
        <f>CD17+85</f>
        <v>510</v>
      </c>
      <c r="CF17" s="77">
        <f t="shared" si="61"/>
        <v>570</v>
      </c>
      <c r="CG17" s="77">
        <f t="shared" si="61"/>
        <v>630</v>
      </c>
      <c r="DM17" s="77">
        <f t="shared" si="62"/>
        <v>100.53096491487338</v>
      </c>
      <c r="DN17" s="77">
        <f t="shared" si="62"/>
        <v>100.53096491487338</v>
      </c>
      <c r="DO17" s="77">
        <f t="shared" si="62"/>
        <v>100.53096491487338</v>
      </c>
      <c r="DP17" s="77">
        <f t="shared" si="62"/>
        <v>100.53096491487338</v>
      </c>
      <c r="DQ17" s="77">
        <f t="shared" si="62"/>
        <v>100.53096491487338</v>
      </c>
      <c r="DR17" s="77">
        <f t="shared" si="62"/>
        <v>100.53096491487338</v>
      </c>
      <c r="DS17" s="77">
        <f t="shared" si="62"/>
        <v>100.53096491487338</v>
      </c>
      <c r="DT17" s="77">
        <f t="shared" si="62"/>
        <v>100.53096491487338</v>
      </c>
      <c r="DU17" s="77">
        <f t="shared" si="62"/>
        <v>100.53096491487338</v>
      </c>
      <c r="FA17" s="77">
        <f t="shared" si="39"/>
        <v>-47249.553509990488</v>
      </c>
      <c r="FB17" s="77">
        <f t="shared" si="40"/>
        <v>-2695.8013562431202</v>
      </c>
      <c r="FC17" s="77">
        <f t="shared" si="41"/>
        <v>45045.175259436859</v>
      </c>
      <c r="FD17" s="77">
        <f t="shared" si="63"/>
        <v>47249.553509990488</v>
      </c>
      <c r="FE17" s="77">
        <f t="shared" si="63"/>
        <v>47249.553509990488</v>
      </c>
      <c r="FF17" s="77">
        <f t="shared" si="63"/>
        <v>47249.553509990488</v>
      </c>
      <c r="FG17" s="77">
        <f t="shared" si="64"/>
        <v>47249.553509990488</v>
      </c>
      <c r="FH17" s="77">
        <f t="shared" si="64"/>
        <v>47249.553509990488</v>
      </c>
      <c r="FI17" s="77">
        <f t="shared" si="64"/>
        <v>47249.553509990488</v>
      </c>
      <c r="GO17" s="77">
        <f t="shared" si="65"/>
        <v>14411113.820547098</v>
      </c>
      <c r="GP17" s="77">
        <f t="shared" si="65"/>
        <v>660471.33227956446</v>
      </c>
      <c r="GQ17" s="77">
        <f t="shared" si="65"/>
        <v>-8333357.4229958188</v>
      </c>
      <c r="GR17" s="77">
        <f t="shared" si="65"/>
        <v>-4724955.3509990489</v>
      </c>
      <c r="GS17" s="77">
        <f t="shared" si="65"/>
        <v>0</v>
      </c>
      <c r="GT17" s="77">
        <f t="shared" si="65"/>
        <v>4724955.3509990489</v>
      </c>
      <c r="GU17" s="77">
        <f t="shared" si="65"/>
        <v>8741167.3993482403</v>
      </c>
      <c r="GV17" s="77">
        <f t="shared" si="65"/>
        <v>11576140.60994767</v>
      </c>
      <c r="GW17" s="77">
        <f t="shared" si="65"/>
        <v>14411113.820547098</v>
      </c>
      <c r="IC17" s="77">
        <v>16</v>
      </c>
    </row>
    <row r="18" spans="1:237" s="77" customFormat="1">
      <c r="A18" s="77">
        <v>17</v>
      </c>
      <c r="B18" s="69">
        <v>19</v>
      </c>
      <c r="C18" s="69" t="s">
        <v>17</v>
      </c>
      <c r="D18" s="70" t="s">
        <v>20</v>
      </c>
      <c r="E18" s="70">
        <v>1</v>
      </c>
      <c r="F18" s="70">
        <v>5.3639293789387602E-2</v>
      </c>
      <c r="G18" s="70">
        <v>7.2727269999999997E-3</v>
      </c>
      <c r="H18" s="81">
        <v>1.8181817999999999E-2</v>
      </c>
      <c r="I18" s="70">
        <f>25/AU2</f>
        <v>3.0303030303030304E-2</v>
      </c>
      <c r="J18" s="71">
        <v>2.1153846153846154</v>
      </c>
      <c r="K18" s="72">
        <v>10</v>
      </c>
      <c r="L18" s="71">
        <v>0.14329268292682926</v>
      </c>
      <c r="M18" s="71">
        <v>3.6991869918699183E-2</v>
      </c>
      <c r="N18" s="71">
        <v>0.31524390243902439</v>
      </c>
      <c r="O18" s="71">
        <v>9.5121951219512182E-2</v>
      </c>
      <c r="P18" s="71">
        <v>0</v>
      </c>
      <c r="Q18" s="73" t="s">
        <v>3</v>
      </c>
      <c r="R18" s="74">
        <v>0</v>
      </c>
      <c r="S18" s="75">
        <f t="shared" si="45"/>
        <v>0.37624055182905569</v>
      </c>
      <c r="T18" s="59">
        <f t="shared" si="0"/>
        <v>0.88753093984151066</v>
      </c>
      <c r="U18" s="59">
        <f t="shared" si="1"/>
        <v>0.6815684568718311</v>
      </c>
      <c r="V18" s="59">
        <f t="shared" si="2"/>
        <v>0.77799665612382163</v>
      </c>
      <c r="W18" s="59">
        <f t="shared" si="3"/>
        <v>0.87658539122337642</v>
      </c>
      <c r="X18" s="59">
        <f t="shared" si="4"/>
        <v>1.1414798444378771</v>
      </c>
      <c r="Y18" s="76">
        <v>111500</v>
      </c>
      <c r="Z18" s="57">
        <f t="shared" si="5"/>
        <v>127275.00265482329</v>
      </c>
      <c r="AA18" s="57">
        <f t="shared" si="6"/>
        <v>97739.271121406477</v>
      </c>
      <c r="AB18" s="57">
        <f t="shared" si="7"/>
        <v>227515.28169397978</v>
      </c>
      <c r="AC18" s="57">
        <f t="shared" si="8"/>
        <v>0.17</v>
      </c>
      <c r="AD18" s="57">
        <f t="shared" si="9"/>
        <v>2.1153846153846154</v>
      </c>
      <c r="AE18" s="57">
        <f t="shared" si="10"/>
        <v>0</v>
      </c>
      <c r="AF18" s="57">
        <f t="shared" si="11"/>
        <v>38209.006778463998</v>
      </c>
      <c r="AG18" s="57">
        <f t="shared" si="12"/>
        <v>59530.264342942479</v>
      </c>
      <c r="AH18" s="57">
        <f t="shared" si="13"/>
        <v>233065787.93587556</v>
      </c>
      <c r="AI18" s="57">
        <f t="shared" si="14"/>
        <v>79767724.393346667</v>
      </c>
      <c r="AJ18" s="77">
        <v>0</v>
      </c>
      <c r="AK18" s="77">
        <v>49.2</v>
      </c>
      <c r="AL18" s="78">
        <f t="shared" si="15"/>
        <v>3.9149879204279814</v>
      </c>
      <c r="AM18" s="57">
        <f t="shared" si="16"/>
        <v>0.97052631578947368</v>
      </c>
      <c r="AN18" s="57">
        <f t="shared" si="17"/>
        <v>0.77052631578947373</v>
      </c>
      <c r="AO18" s="77">
        <v>650</v>
      </c>
      <c r="AP18" s="79">
        <v>140</v>
      </c>
      <c r="AQ18" s="57">
        <f t="shared" si="46"/>
        <v>43.629706640224313</v>
      </c>
      <c r="AR18" s="78">
        <f t="shared" si="47"/>
        <v>370</v>
      </c>
      <c r="AS18" s="57">
        <f t="shared" si="18"/>
        <v>606.3702933597757</v>
      </c>
      <c r="AT18" s="77">
        <v>65</v>
      </c>
      <c r="AU18" s="77">
        <v>1375</v>
      </c>
      <c r="AV18" s="78">
        <f t="shared" si="48"/>
        <v>42250</v>
      </c>
      <c r="AW18" s="77">
        <v>0</v>
      </c>
      <c r="AX18" s="77">
        <f t="shared" si="19"/>
        <v>42250</v>
      </c>
      <c r="AY18" s="77">
        <v>42250</v>
      </c>
      <c r="AZ18" s="77">
        <v>520</v>
      </c>
      <c r="BA18" s="77">
        <v>470</v>
      </c>
      <c r="BB18" s="77">
        <v>470</v>
      </c>
      <c r="BC18" s="77">
        <v>420</v>
      </c>
      <c r="BD18" s="77">
        <v>1.4999999999999999E-2</v>
      </c>
      <c r="BE18" s="77">
        <v>3.5000000000000001E-3</v>
      </c>
      <c r="BF18" s="77">
        <v>3.3000000000000002E-2</v>
      </c>
      <c r="BG18" s="77">
        <v>8.9999999999999993E-3</v>
      </c>
      <c r="BH18" s="79">
        <v>260</v>
      </c>
      <c r="BI18" s="79">
        <f t="shared" si="20"/>
        <v>30.679615757712824</v>
      </c>
      <c r="BJ18" s="79">
        <v>2</v>
      </c>
      <c r="BK18" s="57">
        <f t="shared" si="21"/>
        <v>61.359231515425648</v>
      </c>
      <c r="BL18" s="57"/>
      <c r="BM18" s="80">
        <f t="shared" si="22"/>
        <v>50.26548245743669</v>
      </c>
      <c r="BN18" s="80">
        <v>6</v>
      </c>
      <c r="BO18" s="57">
        <f t="shared" si="23"/>
        <v>301.59289474462014</v>
      </c>
      <c r="BP18" s="57">
        <f t="shared" si="24"/>
        <v>86746.627157806113</v>
      </c>
      <c r="BQ18" s="77">
        <f t="shared" si="25"/>
        <v>1.4551915228366852E-9</v>
      </c>
      <c r="BR18" s="57">
        <f t="shared" si="26"/>
        <v>119276612.34198341</v>
      </c>
      <c r="BS18" s="57">
        <v>87.259413280448626</v>
      </c>
      <c r="BT18" s="57">
        <f t="shared" si="49"/>
        <v>33.784874117236299</v>
      </c>
      <c r="BU18" s="57"/>
      <c r="BV18" s="57">
        <v>3.3E-3</v>
      </c>
      <c r="BW18" s="57">
        <v>30000</v>
      </c>
      <c r="BX18" s="57">
        <v>200000</v>
      </c>
      <c r="BY18" s="77">
        <f>20</f>
        <v>20</v>
      </c>
      <c r="BZ18" s="77">
        <f t="shared" si="27"/>
        <v>80</v>
      </c>
      <c r="CA18" s="77">
        <f t="shared" si="28"/>
        <v>140</v>
      </c>
      <c r="CB18" s="77">
        <f>CA18+85</f>
        <v>225</v>
      </c>
      <c r="CC18" s="77">
        <f>CB18+100</f>
        <v>325</v>
      </c>
      <c r="CD18" s="77">
        <f>CB18+100*2</f>
        <v>425</v>
      </c>
      <c r="CE18" s="77">
        <f>CD18+85</f>
        <v>510</v>
      </c>
      <c r="CF18" s="77">
        <f t="shared" si="61"/>
        <v>570</v>
      </c>
      <c r="CG18" s="77">
        <f t="shared" si="61"/>
        <v>630</v>
      </c>
      <c r="DM18" s="77">
        <f t="shared" si="62"/>
        <v>100.53096491487338</v>
      </c>
      <c r="DN18" s="77">
        <f t="shared" si="62"/>
        <v>100.53096491487338</v>
      </c>
      <c r="DO18" s="77">
        <f t="shared" si="62"/>
        <v>100.53096491487338</v>
      </c>
      <c r="DP18" s="77">
        <f t="shared" si="62"/>
        <v>100.53096491487338</v>
      </c>
      <c r="DQ18" s="77">
        <f t="shared" si="62"/>
        <v>100.53096491487338</v>
      </c>
      <c r="DR18" s="77">
        <f t="shared" si="62"/>
        <v>100.53096491487338</v>
      </c>
      <c r="DS18" s="77">
        <f t="shared" si="62"/>
        <v>100.53096491487338</v>
      </c>
      <c r="DT18" s="77">
        <f t="shared" si="62"/>
        <v>100.53096491487338</v>
      </c>
      <c r="DU18" s="77">
        <f t="shared" si="62"/>
        <v>100.53096491487338</v>
      </c>
      <c r="FA18" s="77">
        <f t="shared" si="39"/>
        <v>-47249.553509990488</v>
      </c>
      <c r="FB18" s="77">
        <f t="shared" si="40"/>
        <v>-5519.9230006224543</v>
      </c>
      <c r="FC18" s="77">
        <f t="shared" si="41"/>
        <v>40102.962381773024</v>
      </c>
      <c r="FD18" s="77">
        <f t="shared" si="63"/>
        <v>47249.553509990488</v>
      </c>
      <c r="FE18" s="77">
        <f t="shared" si="63"/>
        <v>47249.553509990488</v>
      </c>
      <c r="FF18" s="77">
        <f t="shared" si="63"/>
        <v>47249.553509990488</v>
      </c>
      <c r="FG18" s="77">
        <f t="shared" si="64"/>
        <v>47249.553509990488</v>
      </c>
      <c r="FH18" s="77">
        <f t="shared" si="64"/>
        <v>47249.553509990488</v>
      </c>
      <c r="FI18" s="77">
        <f t="shared" si="64"/>
        <v>47249.553509990488</v>
      </c>
      <c r="GO18" s="77">
        <f t="shared" si="65"/>
        <v>14411113.820547098</v>
      </c>
      <c r="GP18" s="77">
        <f t="shared" si="65"/>
        <v>1352381.1351525013</v>
      </c>
      <c r="GQ18" s="77">
        <f t="shared" si="65"/>
        <v>-7419048.0406280095</v>
      </c>
      <c r="GR18" s="77">
        <f t="shared" si="65"/>
        <v>-4724955.3509990489</v>
      </c>
      <c r="GS18" s="77">
        <f t="shared" si="65"/>
        <v>0</v>
      </c>
      <c r="GT18" s="77">
        <f t="shared" si="65"/>
        <v>4724955.3509990489</v>
      </c>
      <c r="GU18" s="77">
        <f t="shared" si="65"/>
        <v>8741167.3993482403</v>
      </c>
      <c r="GV18" s="77">
        <f t="shared" si="65"/>
        <v>11576140.60994767</v>
      </c>
      <c r="GW18" s="77">
        <f t="shared" si="65"/>
        <v>14411113.820547098</v>
      </c>
      <c r="IC18" s="77">
        <v>17</v>
      </c>
    </row>
    <row r="19" spans="1:237" s="77" customFormat="1">
      <c r="A19" s="77">
        <v>18</v>
      </c>
      <c r="B19" s="69">
        <v>39</v>
      </c>
      <c r="C19" s="69" t="s">
        <v>22</v>
      </c>
      <c r="D19" s="70" t="s">
        <v>21</v>
      </c>
      <c r="E19" s="70">
        <v>1</v>
      </c>
      <c r="F19" s="70">
        <v>7.8289671785606751E-2</v>
      </c>
      <c r="G19" s="70">
        <v>6.6666670000000003E-3</v>
      </c>
      <c r="H19" s="70">
        <v>8.3333330000000001E-3</v>
      </c>
      <c r="I19" s="70">
        <v>1.8333333E-2</v>
      </c>
      <c r="J19" s="71">
        <v>2</v>
      </c>
      <c r="K19" s="72">
        <v>10</v>
      </c>
      <c r="L19" s="71">
        <v>4.6205962059620596E-2</v>
      </c>
      <c r="M19" s="71">
        <v>5.8130081300813014E-2</v>
      </c>
      <c r="N19" s="71">
        <v>0.38346883468834686</v>
      </c>
      <c r="O19" s="71">
        <v>0.11626016260162603</v>
      </c>
      <c r="P19" s="71">
        <v>0</v>
      </c>
      <c r="Q19" s="73" t="s">
        <v>3</v>
      </c>
      <c r="R19" s="74">
        <v>0</v>
      </c>
      <c r="S19" s="75">
        <f t="shared" si="45"/>
        <v>0.47557350949795058</v>
      </c>
      <c r="T19" s="59">
        <f t="shared" si="0"/>
        <v>1.0031779901437154</v>
      </c>
      <c r="U19" s="59">
        <f t="shared" si="1"/>
        <v>0.75572034986255043</v>
      </c>
      <c r="V19" s="59">
        <f t="shared" si="2"/>
        <v>0.83126452898724301</v>
      </c>
      <c r="W19" s="59">
        <f t="shared" si="3"/>
        <v>0.82863114736813148</v>
      </c>
      <c r="X19" s="59">
        <f t="shared" si="4"/>
        <v>1.0999631399874736</v>
      </c>
      <c r="Y19" s="76">
        <v>104000</v>
      </c>
      <c r="Z19" s="57">
        <f t="shared" si="5"/>
        <v>114396.16655869725</v>
      </c>
      <c r="AA19" s="57">
        <f t="shared" si="6"/>
        <v>86177.639326285673</v>
      </c>
      <c r="AB19" s="57">
        <f t="shared" si="7"/>
        <v>155021.28153914216</v>
      </c>
      <c r="AC19" s="57">
        <f t="shared" si="8"/>
        <v>0.17</v>
      </c>
      <c r="AD19" s="57">
        <f t="shared" si="9"/>
        <v>2</v>
      </c>
      <c r="AE19" s="57">
        <f t="shared" si="10"/>
        <v>0</v>
      </c>
      <c r="AF19" s="57">
        <f t="shared" si="11"/>
        <v>29324.238343427151</v>
      </c>
      <c r="AG19" s="57">
        <f t="shared" si="12"/>
        <v>56853.400982858526</v>
      </c>
      <c r="AH19" s="57">
        <f t="shared" si="13"/>
        <v>120161157.01859151</v>
      </c>
      <c r="AI19" s="57">
        <f t="shared" si="14"/>
        <v>112370765.29012175</v>
      </c>
      <c r="AJ19" s="77">
        <v>0</v>
      </c>
      <c r="AK19" s="77">
        <v>36.9</v>
      </c>
      <c r="AL19" s="78">
        <f t="shared" si="15"/>
        <v>3.3420590668873214</v>
      </c>
      <c r="AM19" s="57">
        <f t="shared" si="16"/>
        <v>1</v>
      </c>
      <c r="AN19" s="57">
        <f t="shared" si="17"/>
        <v>0.8</v>
      </c>
      <c r="AO19" s="77">
        <v>600</v>
      </c>
      <c r="AP19" s="79">
        <v>110</v>
      </c>
      <c r="AQ19" s="57">
        <f t="shared" si="46"/>
        <v>51.606072848027054</v>
      </c>
      <c r="AR19" s="57">
        <f t="shared" si="47"/>
        <v>380</v>
      </c>
      <c r="AS19" s="57">
        <f t="shared" si="18"/>
        <v>548.393927151973</v>
      </c>
      <c r="AT19" s="77">
        <v>60</v>
      </c>
      <c r="AU19" s="77">
        <v>1500</v>
      </c>
      <c r="AV19" s="78">
        <f t="shared" si="48"/>
        <v>36000</v>
      </c>
      <c r="AW19" s="77">
        <v>0</v>
      </c>
      <c r="AX19" s="77">
        <f t="shared" si="19"/>
        <v>36000</v>
      </c>
      <c r="AY19" s="77">
        <v>36000</v>
      </c>
      <c r="AZ19" s="77">
        <v>550</v>
      </c>
      <c r="BA19" s="77">
        <v>550</v>
      </c>
      <c r="BB19" s="77">
        <v>500</v>
      </c>
      <c r="BC19" s="77">
        <v>550</v>
      </c>
      <c r="BD19" s="77">
        <v>3.0999999999999999E-3</v>
      </c>
      <c r="BE19" s="77">
        <v>3.8999999999999998E-3</v>
      </c>
      <c r="BF19" s="77">
        <v>2.8299999999999999E-2</v>
      </c>
      <c r="BG19" s="77">
        <v>7.7999999999999996E-3</v>
      </c>
      <c r="BH19" s="79">
        <v>240</v>
      </c>
      <c r="BI19" s="79">
        <f>PI()*6*6/4</f>
        <v>28.274333882308138</v>
      </c>
      <c r="BJ19" s="79">
        <v>2</v>
      </c>
      <c r="BK19" s="57">
        <f t="shared" si="21"/>
        <v>56.548667764616276</v>
      </c>
      <c r="BL19" s="57"/>
      <c r="BM19" s="80">
        <f>PI()*12*12/4</f>
        <v>113.09733552923255</v>
      </c>
      <c r="BN19" s="80">
        <v>4</v>
      </c>
      <c r="BO19" s="57">
        <f t="shared" si="23"/>
        <v>452.38934211693021</v>
      </c>
      <c r="BP19" s="57">
        <f t="shared" si="24"/>
        <v>86451.511014673277</v>
      </c>
      <c r="BQ19" s="77">
        <f t="shared" si="25"/>
        <v>0</v>
      </c>
      <c r="BR19" s="57">
        <f t="shared" si="26"/>
        <v>129677266.52200991</v>
      </c>
      <c r="BS19" s="57">
        <v>103.21214569605411</v>
      </c>
      <c r="BT19" s="57">
        <f t="shared" si="49"/>
        <v>7.6034814950917049</v>
      </c>
      <c r="BU19" s="57"/>
      <c r="BV19" s="57">
        <v>3.3E-3</v>
      </c>
      <c r="BW19" s="57">
        <v>30000</v>
      </c>
      <c r="BX19" s="57">
        <v>200000</v>
      </c>
      <c r="BY19" s="77">
        <f>20</f>
        <v>20</v>
      </c>
      <c r="BZ19" s="77">
        <f>BY19+120</f>
        <v>140</v>
      </c>
      <c r="CA19" s="77">
        <f>BZ19+100</f>
        <v>240</v>
      </c>
      <c r="CB19" s="77">
        <f>CA19+120</f>
        <v>360</v>
      </c>
      <c r="CC19" s="77">
        <f>CB19+100</f>
        <v>460</v>
      </c>
      <c r="CD19" s="77">
        <f>CC19+120</f>
        <v>580</v>
      </c>
      <c r="DM19" s="77">
        <f>PI()*12*12/4*2</f>
        <v>226.1946710584651</v>
      </c>
      <c r="DN19" s="77">
        <f>PI()*12*12/4*2</f>
        <v>226.1946710584651</v>
      </c>
      <c r="DO19" s="77">
        <f t="shared" ref="DO19:DP22" si="66">PI()*6*6/4*2</f>
        <v>56.548667764616276</v>
      </c>
      <c r="DP19" s="77">
        <f t="shared" si="66"/>
        <v>56.548667764616276</v>
      </c>
      <c r="DQ19" s="77">
        <f>PI()*12*12/4*2</f>
        <v>226.1946710584651</v>
      </c>
      <c r="DR19" s="77">
        <f>PI()*12*12/4*2</f>
        <v>226.1946710584651</v>
      </c>
      <c r="FA19" s="77">
        <f>IF(ABS(-$BV19*($BS19-BY19)/$BS19*$BX19)&gt;$BB19,$BB19*SIGN(-($BS19-BY19)),-$BV19*($BS19-BY19)/$BS19*$BX19)*DM19</f>
        <v>-113097.33552923256</v>
      </c>
      <c r="FB19" s="77">
        <f>IF(ABS(-$BV19*($BS19-BZ19)/$BS19*$BX19)&gt;$BB19,$BB19*SIGN(-($BS19-BZ19)),-$BV19*($BS19-BZ19)/$BS19*$BX19)*DN19</f>
        <v>53210.820500753325</v>
      </c>
      <c r="FC19" s="77">
        <f t="shared" ref="FC19:FD22" si="67">IF(ABS(-$BV19*($BS19-CA19)/$BS19*$BX19)&gt;$BA19,$BA19*SIGN(-($BS19-CA19)),-$BV19*($BS19-CA19)/$BS19*$BX19)*DO19</f>
        <v>31101.767270538952</v>
      </c>
      <c r="FD19" s="77">
        <f t="shared" si="67"/>
        <v>31101.767270538952</v>
      </c>
      <c r="FE19" s="77">
        <f>IF(ABS(-$BV19*($BS19-CC19)/$BS19*$BX19)&gt;$BB19,$BB19*SIGN(-($BS19-CC19)),-$BV19*($BS19-CC19)/$BS19*$BX19)*DQ19</f>
        <v>113097.33552923256</v>
      </c>
      <c r="FF19" s="77">
        <f>IF(ABS(-$BV19*($BS19-CD19)/$BS19*$BX19)&gt;$BB19,$BB19*SIGN(-($BS19-CD19)),-$BV19*($BS19-CD19)/$BS19*$BX19)*DR19</f>
        <v>113097.33552923256</v>
      </c>
      <c r="GO19" s="77">
        <f t="shared" ref="GO19:GO50" si="68">FA19*(BY19-0.5*$AO19)</f>
        <v>31667253.948185116</v>
      </c>
      <c r="GP19" s="77">
        <f t="shared" ref="GP19:GP50" si="69">FB19*(BZ19-0.5*$AO19)</f>
        <v>-8513731.280120533</v>
      </c>
      <c r="GQ19" s="77">
        <f t="shared" ref="GQ19:GQ50" si="70">FC19*(CA19-0.5*$AO19)</f>
        <v>-1866106.0362323371</v>
      </c>
      <c r="GR19" s="77">
        <f t="shared" ref="GR19:GR50" si="71">FD19*(CB19-0.5*$AO19)</f>
        <v>1866106.0362323371</v>
      </c>
      <c r="GS19" s="77">
        <f t="shared" ref="GS19:GS50" si="72">FE19*(CC19-0.5*$AO19)</f>
        <v>18095573.68467721</v>
      </c>
      <c r="GT19" s="77">
        <f t="shared" ref="GT19:GT50" si="73">FF19*(CD19-0.5*$AO19)</f>
        <v>31667253.948185116</v>
      </c>
      <c r="IC19" s="82">
        <v>18</v>
      </c>
    </row>
    <row r="20" spans="1:237" s="77" customFormat="1">
      <c r="A20" s="77">
        <v>19</v>
      </c>
      <c r="B20" s="69">
        <v>40</v>
      </c>
      <c r="C20" s="69" t="s">
        <v>22</v>
      </c>
      <c r="D20" s="70" t="s">
        <v>23</v>
      </c>
      <c r="E20" s="70">
        <v>3</v>
      </c>
      <c r="F20" s="70">
        <v>0.10246331236897274</v>
      </c>
      <c r="G20" s="70">
        <v>6.6666670000000003E-3</v>
      </c>
      <c r="H20" s="70">
        <v>8.3333330000000001E-3</v>
      </c>
      <c r="I20" s="70">
        <v>0.01</v>
      </c>
      <c r="J20" s="71">
        <v>2</v>
      </c>
      <c r="K20" s="72">
        <v>10</v>
      </c>
      <c r="L20" s="71">
        <v>8.1289308176100625E-2</v>
      </c>
      <c r="M20" s="71">
        <v>3.8993710691823898E-2</v>
      </c>
      <c r="N20" s="71">
        <v>0.51283018867924524</v>
      </c>
      <c r="O20" s="71">
        <v>2.1383647798742137E-2</v>
      </c>
      <c r="P20" s="71">
        <v>0</v>
      </c>
      <c r="Q20" s="73" t="s">
        <v>3</v>
      </c>
      <c r="R20" s="74">
        <v>0</v>
      </c>
      <c r="S20" s="75">
        <f t="shared" si="45"/>
        <v>0.57780587236161729</v>
      </c>
      <c r="T20" s="59">
        <f t="shared" si="0"/>
        <v>1.6531602906613463</v>
      </c>
      <c r="U20" s="59">
        <f t="shared" si="1"/>
        <v>1.3668621200357425</v>
      </c>
      <c r="V20" s="59">
        <f t="shared" si="2"/>
        <v>0.92233002225171534</v>
      </c>
      <c r="W20" s="59">
        <f t="shared" si="3"/>
        <v>0.55791929401034523</v>
      </c>
      <c r="X20" s="59">
        <f t="shared" si="4"/>
        <v>0.67477912273082608</v>
      </c>
      <c r="Y20" s="76">
        <v>117300</v>
      </c>
      <c r="Z20" s="57">
        <f t="shared" si="5"/>
        <v>79151.591096325894</v>
      </c>
      <c r="AA20" s="57">
        <f t="shared" si="6"/>
        <v>65443.933187413495</v>
      </c>
      <c r="AB20" s="57">
        <f t="shared" si="7"/>
        <v>128234.49111706833</v>
      </c>
      <c r="AC20" s="57">
        <f t="shared" si="8"/>
        <v>0.17</v>
      </c>
      <c r="AD20" s="57">
        <f t="shared" si="9"/>
        <v>2</v>
      </c>
      <c r="AE20" s="57">
        <f t="shared" si="10"/>
        <v>0</v>
      </c>
      <c r="AF20" s="57">
        <f t="shared" si="11"/>
        <v>27728.082381192788</v>
      </c>
      <c r="AG20" s="57">
        <f t="shared" si="12"/>
        <v>37715.850806220704</v>
      </c>
      <c r="AH20" s="57">
        <f t="shared" si="13"/>
        <v>60989192.332256861</v>
      </c>
      <c r="AI20" s="57">
        <f t="shared" si="14"/>
        <v>131362544.34334563</v>
      </c>
      <c r="AJ20" s="77">
        <v>0</v>
      </c>
      <c r="AK20" s="77">
        <v>31.8</v>
      </c>
      <c r="AL20" s="78">
        <f t="shared" si="15"/>
        <v>3.0795306851912141</v>
      </c>
      <c r="AM20" s="57">
        <f t="shared" si="16"/>
        <v>1</v>
      </c>
      <c r="AN20" s="57">
        <f t="shared" si="17"/>
        <v>0.8</v>
      </c>
      <c r="AO20" s="77">
        <v>600</v>
      </c>
      <c r="AP20" s="79">
        <v>60</v>
      </c>
      <c r="AQ20" s="57">
        <f t="shared" si="46"/>
        <v>37.250241681893293</v>
      </c>
      <c r="AR20" s="57">
        <f t="shared" si="47"/>
        <v>480</v>
      </c>
      <c r="AS20" s="57">
        <f t="shared" si="18"/>
        <v>562.74975831810673</v>
      </c>
      <c r="AT20" s="77">
        <v>60</v>
      </c>
      <c r="AU20" s="77">
        <v>1500</v>
      </c>
      <c r="AV20" s="78">
        <f t="shared" si="48"/>
        <v>36000</v>
      </c>
      <c r="AW20" s="77">
        <v>0</v>
      </c>
      <c r="AX20" s="77">
        <f t="shared" si="19"/>
        <v>36000</v>
      </c>
      <c r="AY20" s="77">
        <v>36000</v>
      </c>
      <c r="AZ20" s="77">
        <v>400</v>
      </c>
      <c r="BA20" s="77">
        <v>550</v>
      </c>
      <c r="BB20" s="77">
        <f>(540+550)/2</f>
        <v>545</v>
      </c>
      <c r="BC20" s="77">
        <v>400</v>
      </c>
      <c r="BD20" s="77">
        <v>4.7000000000000002E-3</v>
      </c>
      <c r="BE20" s="77">
        <v>3.0999999999999999E-3</v>
      </c>
      <c r="BF20" s="77">
        <v>3.0200000000000001E-2</v>
      </c>
      <c r="BG20" s="77">
        <v>1.6999999999999999E-3</v>
      </c>
      <c r="BH20" s="79">
        <v>120</v>
      </c>
      <c r="BI20" s="79">
        <f>PI()*4*4/4</f>
        <v>12.566370614359172</v>
      </c>
      <c r="BJ20" s="79">
        <v>2</v>
      </c>
      <c r="BK20" s="57">
        <f t="shared" si="21"/>
        <v>25.132741228718345</v>
      </c>
      <c r="BL20" s="57"/>
      <c r="BM20" s="80">
        <f>PI()*16*16/4+PI()*6*6/4</f>
        <v>229.33626371205489</v>
      </c>
      <c r="BN20" s="80">
        <v>2</v>
      </c>
      <c r="BO20" s="57">
        <f t="shared" si="23"/>
        <v>458.67252742410977</v>
      </c>
      <c r="BP20" s="57">
        <f t="shared" si="24"/>
        <v>108189.31161012621</v>
      </c>
      <c r="BQ20" s="77">
        <f t="shared" si="25"/>
        <v>0</v>
      </c>
      <c r="BR20" s="57">
        <f t="shared" si="26"/>
        <v>162283967.41518933</v>
      </c>
      <c r="BS20" s="57">
        <v>74.500483363786586</v>
      </c>
      <c r="BT20" s="57">
        <f t="shared" si="49"/>
        <v>6.9733475151066715</v>
      </c>
      <c r="BU20" s="57"/>
      <c r="BV20" s="57">
        <v>3.3E-3</v>
      </c>
      <c r="BW20" s="57">
        <v>30000</v>
      </c>
      <c r="BX20" s="57">
        <v>200000</v>
      </c>
      <c r="BY20" s="77">
        <f>20</f>
        <v>20</v>
      </c>
      <c r="BZ20" s="77">
        <f>BY20+40</f>
        <v>60</v>
      </c>
      <c r="CA20" s="77">
        <f>BZ20+120*1</f>
        <v>180</v>
      </c>
      <c r="CB20" s="77">
        <f>BZ20+120*2</f>
        <v>300</v>
      </c>
      <c r="CC20" s="77">
        <f>BZ20+120*3</f>
        <v>420</v>
      </c>
      <c r="CD20" s="77">
        <f>BZ20+120*4</f>
        <v>540</v>
      </c>
      <c r="CE20" s="77">
        <f>CD20+40</f>
        <v>580</v>
      </c>
      <c r="DM20" s="77">
        <f>PI()*16*16/4*2</f>
        <v>402.12385965949352</v>
      </c>
      <c r="DN20" s="77">
        <f>PI()*6*6/4*2</f>
        <v>56.548667764616276</v>
      </c>
      <c r="DO20" s="77">
        <f t="shared" si="66"/>
        <v>56.548667764616276</v>
      </c>
      <c r="DP20" s="77">
        <f t="shared" si="66"/>
        <v>56.548667764616276</v>
      </c>
      <c r="DQ20" s="77">
        <f>PI()*6*6/4*2</f>
        <v>56.548667764616276</v>
      </c>
      <c r="DR20" s="77">
        <f>PI()*6*6/4*2</f>
        <v>56.548667764616276</v>
      </c>
      <c r="DS20" s="77">
        <f>PI()*16*16/4*2</f>
        <v>402.12385965949352</v>
      </c>
      <c r="FA20" s="77">
        <f t="shared" ref="FA20:FA51" si="74">IF(ABS(-$BV20*($BS20-BY20)/$BS20*$BX20)&gt;$BB20,$BB20*SIGN(-($BS20-BY20)),-$BV20*($BS20-BY20)/$BS20*$BX20)*DM20</f>
        <v>-194153.41840018876</v>
      </c>
      <c r="FB20" s="77">
        <f>IF(ABS(-$BV20*($BS20-BZ20)/$BS20*$BX20)&gt;$BA20,$BA20*SIGN(-($BS20-BZ20)),-$BV20*($BS20-BZ20)/$BS20*$BX20)*DN20</f>
        <v>-7264.2319382861515</v>
      </c>
      <c r="FC20" s="77">
        <f t="shared" si="67"/>
        <v>31101.767270538952</v>
      </c>
      <c r="FD20" s="77">
        <f t="shared" si="67"/>
        <v>31101.767270538952</v>
      </c>
      <c r="FE20" s="77">
        <f>IF(ABS(-$BV20*($BS20-CC20)/$BS20*$BX20)&gt;$BA20,$BA20*SIGN(-($BS20-CC20)),-$BV20*($BS20-CC20)/$BS20*$BX20)*DQ20</f>
        <v>31101.767270538952</v>
      </c>
      <c r="FF20" s="77">
        <f>IF(ABS(-$BV20*($BS20-CD20)/$BS20*$BX20)&gt;$BA20,$BA20*SIGN(-($BS20-CD20)),-$BV20*($BS20-CD20)/$BS20*$BX20)*DR20</f>
        <v>31101.767270538952</v>
      </c>
      <c r="FG20" s="77">
        <f>IF(ABS(-$BV20*($BS20-CE20)/$BS20*$BX20)&gt;$BB20,$BB20*SIGN(-($BS20-CE20)),-$BV20*($BS20-CE20)/$BS20*$BX20)*DS20</f>
        <v>219157.50351442397</v>
      </c>
      <c r="GO20" s="77">
        <f t="shared" si="68"/>
        <v>54362957.152052857</v>
      </c>
      <c r="GP20" s="77">
        <f t="shared" si="69"/>
        <v>1743415.6651886764</v>
      </c>
      <c r="GQ20" s="77">
        <f t="shared" si="70"/>
        <v>-3732212.0724646742</v>
      </c>
      <c r="GR20" s="77">
        <f t="shared" si="71"/>
        <v>0</v>
      </c>
      <c r="GS20" s="77">
        <f t="shared" si="72"/>
        <v>3732212.0724646742</v>
      </c>
      <c r="GT20" s="77">
        <f t="shared" si="73"/>
        <v>7464424.1449293485</v>
      </c>
      <c r="GU20" s="77">
        <f>FG20*(CE20-0.5*$AO20)</f>
        <v>61364100.984038711</v>
      </c>
      <c r="IC20" s="82">
        <v>19</v>
      </c>
    </row>
    <row r="21" spans="1:237" s="77" customFormat="1">
      <c r="A21" s="77">
        <v>20</v>
      </c>
      <c r="B21" s="69">
        <v>41</v>
      </c>
      <c r="C21" s="69" t="s">
        <v>22</v>
      </c>
      <c r="D21" s="70" t="s">
        <v>24</v>
      </c>
      <c r="E21" s="70">
        <v>2</v>
      </c>
      <c r="F21" s="70">
        <v>7.7576280944156584E-2</v>
      </c>
      <c r="G21" s="70">
        <v>7.4999999999999997E-3</v>
      </c>
      <c r="H21" s="70">
        <v>1.4999999999999999E-2</v>
      </c>
      <c r="I21" s="70">
        <v>1.8333333E-2</v>
      </c>
      <c r="J21" s="71">
        <v>2</v>
      </c>
      <c r="K21" s="72">
        <v>10</v>
      </c>
      <c r="L21" s="71">
        <v>4.4170984455958545E-2</v>
      </c>
      <c r="M21" s="71">
        <v>3.2124352331606217E-2</v>
      </c>
      <c r="N21" s="71">
        <v>0.36658031088082899</v>
      </c>
      <c r="O21" s="71">
        <v>1.7616580310880828E-2</v>
      </c>
      <c r="P21" s="71">
        <v>0</v>
      </c>
      <c r="Q21" s="73" t="s">
        <v>3</v>
      </c>
      <c r="R21" s="74">
        <v>0</v>
      </c>
      <c r="S21" s="75">
        <f t="shared" si="45"/>
        <v>0.48197288667921051</v>
      </c>
      <c r="T21" s="59">
        <f t="shared" si="0"/>
        <v>1.298037415084256</v>
      </c>
      <c r="U21" s="59">
        <f t="shared" si="1"/>
        <v>1.051404792572121</v>
      </c>
      <c r="V21" s="59">
        <f t="shared" si="2"/>
        <v>0.80623519698439527</v>
      </c>
      <c r="W21" s="59">
        <f t="shared" si="3"/>
        <v>0.62111861154022452</v>
      </c>
      <c r="X21" s="59">
        <f t="shared" si="4"/>
        <v>0.76681712189274764</v>
      </c>
      <c r="Y21" s="76">
        <v>107800</v>
      </c>
      <c r="Z21" s="57">
        <f t="shared" si="5"/>
        <v>82662.885740038197</v>
      </c>
      <c r="AA21" s="57">
        <f t="shared" si="6"/>
        <v>66956.586324036209</v>
      </c>
      <c r="AB21" s="57">
        <f t="shared" si="7"/>
        <v>159133.07391276036</v>
      </c>
      <c r="AC21" s="57">
        <f t="shared" si="8"/>
        <v>0.17</v>
      </c>
      <c r="AD21" s="57">
        <f t="shared" si="9"/>
        <v>2</v>
      </c>
      <c r="AE21" s="57">
        <f t="shared" si="10"/>
        <v>0</v>
      </c>
      <c r="AF21" s="57">
        <f t="shared" si="11"/>
        <v>30124.137537971663</v>
      </c>
      <c r="AG21" s="57">
        <f t="shared" si="12"/>
        <v>36832.448786064553</v>
      </c>
      <c r="AH21" s="57">
        <f t="shared" si="13"/>
        <v>125797384.19828385</v>
      </c>
      <c r="AI21" s="57">
        <f t="shared" si="14"/>
        <v>112902226.67085668</v>
      </c>
      <c r="AJ21" s="77">
        <v>0</v>
      </c>
      <c r="AK21" s="77">
        <v>38.6</v>
      </c>
      <c r="AL21" s="78">
        <f t="shared" si="15"/>
        <v>3.4258838715723661</v>
      </c>
      <c r="AM21" s="57">
        <f t="shared" si="16"/>
        <v>0.99842105263157899</v>
      </c>
      <c r="AN21" s="57">
        <f t="shared" si="17"/>
        <v>0.79842105263157903</v>
      </c>
      <c r="AO21" s="77">
        <v>600</v>
      </c>
      <c r="AP21" s="79">
        <v>110</v>
      </c>
      <c r="AQ21" s="57">
        <f t="shared" si="46"/>
        <v>50.431285267382485</v>
      </c>
      <c r="AR21" s="57">
        <f t="shared" si="47"/>
        <v>380</v>
      </c>
      <c r="AS21" s="57">
        <f t="shared" si="18"/>
        <v>549.56871473261754</v>
      </c>
      <c r="AT21" s="77">
        <v>60</v>
      </c>
      <c r="AU21" s="77">
        <v>1500</v>
      </c>
      <c r="AV21" s="78">
        <f t="shared" si="48"/>
        <v>36000</v>
      </c>
      <c r="AW21" s="77">
        <v>0</v>
      </c>
      <c r="AX21" s="77">
        <f t="shared" si="19"/>
        <v>36000</v>
      </c>
      <c r="AY21" s="77">
        <v>36000</v>
      </c>
      <c r="AZ21" s="77">
        <v>400</v>
      </c>
      <c r="BA21" s="77">
        <v>550</v>
      </c>
      <c r="BB21" s="77">
        <v>500</v>
      </c>
      <c r="BC21" s="77">
        <v>400</v>
      </c>
      <c r="BD21" s="77">
        <v>3.0999999999999999E-3</v>
      </c>
      <c r="BE21" s="77">
        <v>3.0999999999999999E-3</v>
      </c>
      <c r="BF21" s="77">
        <v>2.8299999999999999E-2</v>
      </c>
      <c r="BG21" s="77">
        <v>1.6999999999999999E-3</v>
      </c>
      <c r="BH21" s="79">
        <v>120</v>
      </c>
      <c r="BI21" s="79">
        <f>PI()*4*4/4</f>
        <v>12.566370614359172</v>
      </c>
      <c r="BJ21" s="79">
        <v>2</v>
      </c>
      <c r="BK21" s="57">
        <f t="shared" si="21"/>
        <v>25.132741228718345</v>
      </c>
      <c r="BL21" s="57"/>
      <c r="BM21" s="80">
        <f>PI()*12*12/4</f>
        <v>113.09733552923255</v>
      </c>
      <c r="BN21" s="80">
        <v>4</v>
      </c>
      <c r="BO21" s="57">
        <f t="shared" si="23"/>
        <v>452.38934211693021</v>
      </c>
      <c r="BP21" s="57">
        <f t="shared" si="24"/>
        <v>86912.154234917805</v>
      </c>
      <c r="BQ21" s="77">
        <f t="shared" si="25"/>
        <v>0</v>
      </c>
      <c r="BR21" s="57">
        <f t="shared" si="26"/>
        <v>130368231.35237671</v>
      </c>
      <c r="BS21" s="57">
        <v>100.86257053476497</v>
      </c>
      <c r="BT21" s="57">
        <f t="shared" si="49"/>
        <v>7.3826043045556942</v>
      </c>
      <c r="BU21" s="57"/>
      <c r="BV21" s="57">
        <v>3.3E-3</v>
      </c>
      <c r="BW21" s="57">
        <v>30000</v>
      </c>
      <c r="BX21" s="57">
        <v>200000</v>
      </c>
      <c r="BY21" s="77">
        <f>20</f>
        <v>20</v>
      </c>
      <c r="BZ21" s="77">
        <f>BY21+120</f>
        <v>140</v>
      </c>
      <c r="CA21" s="77">
        <f>BZ21+100</f>
        <v>240</v>
      </c>
      <c r="CB21" s="77">
        <f>CA21+120</f>
        <v>360</v>
      </c>
      <c r="CC21" s="77">
        <f>CB21+100</f>
        <v>460</v>
      </c>
      <c r="CD21" s="77">
        <f>CC21+120</f>
        <v>580</v>
      </c>
      <c r="DM21" s="77">
        <f>PI()*12*12/4*2</f>
        <v>226.1946710584651</v>
      </c>
      <c r="DN21" s="77">
        <f>PI()*12*12/4*2</f>
        <v>226.1946710584651</v>
      </c>
      <c r="DO21" s="77">
        <f t="shared" si="66"/>
        <v>56.548667764616276</v>
      </c>
      <c r="DP21" s="77">
        <f t="shared" si="66"/>
        <v>56.548667764616276</v>
      </c>
      <c r="DQ21" s="77">
        <f>PI()*12*12/4*2</f>
        <v>226.1946710584651</v>
      </c>
      <c r="DR21" s="77">
        <f>PI()*12*12/4*2</f>
        <v>226.1946710584651</v>
      </c>
      <c r="FA21" s="77">
        <f t="shared" si="74"/>
        <v>-113097.33552923256</v>
      </c>
      <c r="FB21" s="77">
        <f>IF(ABS(-$BV21*($BS21-BZ21)/$BS21*$BX21)&gt;$BB21,$BB21*SIGN(-($BS21-BZ21)),-$BV21*($BS21-BZ21)/$BS21*$BX21)*DN21</f>
        <v>57928.004793428583</v>
      </c>
      <c r="FC21" s="77">
        <f t="shared" si="67"/>
        <v>31101.767270538952</v>
      </c>
      <c r="FD21" s="77">
        <f t="shared" si="67"/>
        <v>31101.767270538952</v>
      </c>
      <c r="FE21" s="77">
        <f>IF(ABS(-$BV21*($BS21-CC21)/$BS21*$BX21)&gt;$BB21,$BB21*SIGN(-($BS21-CC21)),-$BV21*($BS21-CC21)/$BS21*$BX21)*DQ21</f>
        <v>113097.33552923256</v>
      </c>
      <c r="FF21" s="77">
        <f>IF(ABS(-$BV21*($BS21-CD21)/$BS21*$BX21)&gt;$BB21,$BB21*SIGN(-($BS21-CD21)),-$BV21*($BS21-CD21)/$BS21*$BX21)*DR21</f>
        <v>113097.33552923256</v>
      </c>
      <c r="GO21" s="77">
        <f t="shared" si="68"/>
        <v>31667253.948185116</v>
      </c>
      <c r="GP21" s="77">
        <f t="shared" si="69"/>
        <v>-9268480.7669485733</v>
      </c>
      <c r="GQ21" s="77">
        <f t="shared" si="70"/>
        <v>-1866106.0362323371</v>
      </c>
      <c r="GR21" s="77">
        <f t="shared" si="71"/>
        <v>1866106.0362323371</v>
      </c>
      <c r="GS21" s="77">
        <f t="shared" si="72"/>
        <v>18095573.68467721</v>
      </c>
      <c r="GT21" s="77">
        <f t="shared" si="73"/>
        <v>31667253.948185116</v>
      </c>
      <c r="IC21" s="82">
        <v>20</v>
      </c>
    </row>
    <row r="22" spans="1:237" s="77" customFormat="1">
      <c r="A22" s="77">
        <v>21</v>
      </c>
      <c r="B22" s="69">
        <v>42</v>
      </c>
      <c r="C22" s="69" t="s">
        <v>22</v>
      </c>
      <c r="D22" s="70" t="s">
        <v>25</v>
      </c>
      <c r="E22" s="70">
        <v>2</v>
      </c>
      <c r="F22" s="70">
        <v>0.11050347222222222</v>
      </c>
      <c r="G22" s="70">
        <v>7.4999999999999997E-3</v>
      </c>
      <c r="H22" s="70">
        <v>1.4999999999999999E-2</v>
      </c>
      <c r="I22" s="70">
        <v>1.8333333E-2</v>
      </c>
      <c r="J22" s="71">
        <v>2</v>
      </c>
      <c r="K22" s="72">
        <v>10</v>
      </c>
      <c r="L22" s="71">
        <v>8.0781249999999999E-2</v>
      </c>
      <c r="M22" s="71">
        <v>6.7031250000000001E-2</v>
      </c>
      <c r="N22" s="71">
        <v>0.50962499999999999</v>
      </c>
      <c r="O22" s="71">
        <v>0.1340625</v>
      </c>
      <c r="P22" s="71">
        <v>0</v>
      </c>
      <c r="Q22" s="73" t="s">
        <v>3</v>
      </c>
      <c r="R22" s="74">
        <v>0</v>
      </c>
      <c r="S22" s="75">
        <f t="shared" si="45"/>
        <v>0.62510203642394091</v>
      </c>
      <c r="T22" s="59">
        <f t="shared" si="0"/>
        <v>1.2554289569169717</v>
      </c>
      <c r="U22" s="59">
        <f t="shared" si="1"/>
        <v>0.96746207649896243</v>
      </c>
      <c r="V22" s="59">
        <f t="shared" si="2"/>
        <v>0.84996785808550723</v>
      </c>
      <c r="W22" s="59">
        <f t="shared" si="3"/>
        <v>0.67703381653138028</v>
      </c>
      <c r="X22" s="59">
        <f t="shared" si="4"/>
        <v>0.87855418701408783</v>
      </c>
      <c r="Y22" s="76">
        <v>127300</v>
      </c>
      <c r="Z22" s="57">
        <f t="shared" si="5"/>
        <v>111839.94800689338</v>
      </c>
      <c r="AA22" s="57">
        <f t="shared" si="6"/>
        <v>86186.404844444711</v>
      </c>
      <c r="AB22" s="57">
        <f t="shared" si="7"/>
        <v>128546.01873488184</v>
      </c>
      <c r="AC22" s="57">
        <f t="shared" si="8"/>
        <v>0.17</v>
      </c>
      <c r="AD22" s="57">
        <f t="shared" si="9"/>
        <v>2</v>
      </c>
      <c r="AE22" s="57">
        <f t="shared" si="10"/>
        <v>0</v>
      </c>
      <c r="AF22" s="57">
        <f t="shared" si="11"/>
        <v>27830.590101834743</v>
      </c>
      <c r="AG22" s="57">
        <f t="shared" si="12"/>
        <v>58355.814742609968</v>
      </c>
      <c r="AH22" s="57">
        <f t="shared" si="13"/>
        <v>61388448.86882636</v>
      </c>
      <c r="AI22" s="57">
        <f t="shared" si="14"/>
        <v>131430579.23349638</v>
      </c>
      <c r="AJ22" s="77">
        <v>0</v>
      </c>
      <c r="AK22" s="77">
        <v>32</v>
      </c>
      <c r="AL22" s="78">
        <f t="shared" si="15"/>
        <v>3.0901681212305276</v>
      </c>
      <c r="AM22" s="57">
        <f t="shared" si="16"/>
        <v>1</v>
      </c>
      <c r="AN22" s="57">
        <f t="shared" si="17"/>
        <v>0.8</v>
      </c>
      <c r="AO22" s="77">
        <v>600</v>
      </c>
      <c r="AP22" s="79">
        <v>60</v>
      </c>
      <c r="AQ22" s="57">
        <f t="shared" si="46"/>
        <v>37.11415912477117</v>
      </c>
      <c r="AR22" s="57">
        <f t="shared" si="47"/>
        <v>480</v>
      </c>
      <c r="AS22" s="57">
        <f t="shared" si="18"/>
        <v>562.88584087522884</v>
      </c>
      <c r="AT22" s="77">
        <v>60</v>
      </c>
      <c r="AU22" s="77">
        <v>1500</v>
      </c>
      <c r="AV22" s="78">
        <f t="shared" si="48"/>
        <v>36000</v>
      </c>
      <c r="AW22" s="77">
        <v>0</v>
      </c>
      <c r="AX22" s="77">
        <f t="shared" si="19"/>
        <v>36000</v>
      </c>
      <c r="AY22" s="77">
        <v>36000</v>
      </c>
      <c r="AZ22" s="77">
        <v>550</v>
      </c>
      <c r="BA22" s="77">
        <v>550</v>
      </c>
      <c r="BB22" s="77">
        <f>(540+550)/2</f>
        <v>545</v>
      </c>
      <c r="BC22" s="77">
        <v>550</v>
      </c>
      <c r="BD22" s="77">
        <v>4.7000000000000002E-3</v>
      </c>
      <c r="BE22" s="77">
        <v>3.8999999999999998E-3</v>
      </c>
      <c r="BF22" s="77">
        <v>3.0200000000000001E-2</v>
      </c>
      <c r="BG22" s="77">
        <v>7.7999999999999996E-3</v>
      </c>
      <c r="BH22" s="79">
        <v>240</v>
      </c>
      <c r="BI22" s="79">
        <f>PI()*6*6/4</f>
        <v>28.274333882308138</v>
      </c>
      <c r="BJ22" s="79">
        <v>2</v>
      </c>
      <c r="BK22" s="57">
        <f t="shared" si="21"/>
        <v>56.548667764616276</v>
      </c>
      <c r="BL22" s="57"/>
      <c r="BM22" s="80">
        <f>PI()*16*16/4+PI()*6*6/4</f>
        <v>229.33626371205489</v>
      </c>
      <c r="BN22" s="80">
        <v>2</v>
      </c>
      <c r="BO22" s="57">
        <f t="shared" si="23"/>
        <v>458.67252742410977</v>
      </c>
      <c r="BP22" s="57">
        <f t="shared" si="24"/>
        <v>108200.90833428506</v>
      </c>
      <c r="BQ22" s="77">
        <f t="shared" si="25"/>
        <v>0</v>
      </c>
      <c r="BR22" s="57">
        <f t="shared" si="26"/>
        <v>162301362.50142759</v>
      </c>
      <c r="BS22" s="57">
        <v>74.22831824954234</v>
      </c>
      <c r="BT22" s="57">
        <f t="shared" si="49"/>
        <v>6.9418158567774944</v>
      </c>
      <c r="BU22" s="57"/>
      <c r="BV22" s="57">
        <v>3.3E-3</v>
      </c>
      <c r="BW22" s="57">
        <v>30000</v>
      </c>
      <c r="BX22" s="57">
        <v>200000</v>
      </c>
      <c r="BY22" s="77">
        <f>20</f>
        <v>20</v>
      </c>
      <c r="BZ22" s="77">
        <f>BY22+40</f>
        <v>60</v>
      </c>
      <c r="CA22" s="77">
        <f>BZ22+120*1</f>
        <v>180</v>
      </c>
      <c r="CB22" s="77">
        <f>BZ22+120*2</f>
        <v>300</v>
      </c>
      <c r="CC22" s="77">
        <f>BZ22+120*3</f>
        <v>420</v>
      </c>
      <c r="CD22" s="77">
        <f>BZ22+120*4</f>
        <v>540</v>
      </c>
      <c r="CE22" s="77">
        <f>CD22+40</f>
        <v>580</v>
      </c>
      <c r="DM22" s="77">
        <f>PI()*16*16/4*2</f>
        <v>402.12385965949352</v>
      </c>
      <c r="DN22" s="77">
        <f>PI()*6*6/4*2</f>
        <v>56.548667764616276</v>
      </c>
      <c r="DO22" s="77">
        <f t="shared" si="66"/>
        <v>56.548667764616276</v>
      </c>
      <c r="DP22" s="77">
        <f t="shared" si="66"/>
        <v>56.548667764616276</v>
      </c>
      <c r="DQ22" s="77">
        <f>PI()*6*6/4*2</f>
        <v>56.548667764616276</v>
      </c>
      <c r="DR22" s="77">
        <f>PI()*6*6/4*2</f>
        <v>56.548667764616276</v>
      </c>
      <c r="DS22" s="77">
        <f>PI()*16*16/4*2</f>
        <v>402.12385965949352</v>
      </c>
      <c r="FA22" s="77">
        <f t="shared" si="74"/>
        <v>-193892.1796970563</v>
      </c>
      <c r="FB22" s="77">
        <f>IF(ABS(-$BV22*($BS22-BZ22)/$BS22*$BX22)&gt;$BA22,$BA22*SIGN(-($BS22-BZ22)),-$BV22*($BS22-BZ22)/$BS22*$BX22)*DN22</f>
        <v>-7154.0218604021475</v>
      </c>
      <c r="FC22" s="77">
        <f t="shared" si="67"/>
        <v>31101.767270538952</v>
      </c>
      <c r="FD22" s="77">
        <f t="shared" si="67"/>
        <v>31101.767270538952</v>
      </c>
      <c r="FE22" s="77">
        <f>IF(ABS(-$BV22*($BS22-CC22)/$BS22*$BX22)&gt;$BA22,$BA22*SIGN(-($BS22-CC22)),-$BV22*($BS22-CC22)/$BS22*$BX22)*DQ22</f>
        <v>31101.767270538952</v>
      </c>
      <c r="FF22" s="77">
        <f>IF(ABS(-$BV22*($BS22-CD22)/$BS22*$BX22)&gt;$BA22,$BA22*SIGN(-($BS22-CD22)),-$BV22*($BS22-CD22)/$BS22*$BX22)*DR22</f>
        <v>31101.767270538952</v>
      </c>
      <c r="FG22" s="77">
        <f>IF(ABS(-$BV22*($BS22-CE22)/$BS22*$BX22)&gt;$BB22,$BB22*SIGN(-($BS22-CE22)),-$BV22*($BS22-CE22)/$BS22*$BX22)*DS22</f>
        <v>219157.50351442397</v>
      </c>
      <c r="GO22" s="77">
        <f t="shared" si="68"/>
        <v>54289810.315175764</v>
      </c>
      <c r="GP22" s="77">
        <f t="shared" si="69"/>
        <v>1716965.2464965153</v>
      </c>
      <c r="GQ22" s="77">
        <f t="shared" si="70"/>
        <v>-3732212.0724646742</v>
      </c>
      <c r="GR22" s="77">
        <f t="shared" si="71"/>
        <v>0</v>
      </c>
      <c r="GS22" s="77">
        <f t="shared" si="72"/>
        <v>3732212.0724646742</v>
      </c>
      <c r="GT22" s="77">
        <f t="shared" si="73"/>
        <v>7464424.1449293485</v>
      </c>
      <c r="GU22" s="77">
        <f t="shared" ref="GU22:GU34" si="75">FG22*(CE22-0.5*$AO22)</f>
        <v>61364100.984038711</v>
      </c>
      <c r="IC22" s="82">
        <v>21</v>
      </c>
    </row>
    <row r="23" spans="1:237" s="77" customFormat="1">
      <c r="A23" s="77">
        <v>22</v>
      </c>
      <c r="B23" s="69">
        <v>43</v>
      </c>
      <c r="C23" s="69" t="s">
        <v>22</v>
      </c>
      <c r="D23" s="70" t="s">
        <v>26</v>
      </c>
      <c r="E23" s="70">
        <v>1</v>
      </c>
      <c r="F23" s="70">
        <v>5.7799611838913148E-2</v>
      </c>
      <c r="G23" s="70">
        <v>6.6666670000000003E-3</v>
      </c>
      <c r="H23" s="70">
        <v>1.8333333E-2</v>
      </c>
      <c r="I23" s="70">
        <v>0.02</v>
      </c>
      <c r="J23" s="71">
        <v>2</v>
      </c>
      <c r="K23" s="72">
        <v>10</v>
      </c>
      <c r="L23" s="71">
        <v>3.7227074235807858E-2</v>
      </c>
      <c r="M23" s="71">
        <v>2.7074235807860263E-2</v>
      </c>
      <c r="N23" s="71">
        <v>0.3454585152838428</v>
      </c>
      <c r="O23" s="71">
        <v>3.5807860262008738E-2</v>
      </c>
      <c r="P23" s="71">
        <v>0</v>
      </c>
      <c r="Q23" s="73" t="s">
        <v>3</v>
      </c>
      <c r="R23" s="74">
        <v>0</v>
      </c>
      <c r="S23" s="75">
        <f t="shared" si="45"/>
        <v>0.39116290327150083</v>
      </c>
      <c r="T23" s="59">
        <f t="shared" si="0"/>
        <v>1.2019742999903391</v>
      </c>
      <c r="U23" s="59">
        <f t="shared" si="1"/>
        <v>1.0793169628293966</v>
      </c>
      <c r="V23" s="59">
        <f t="shared" si="2"/>
        <v>0.97464164085232941</v>
      </c>
      <c r="W23" s="59">
        <f t="shared" si="3"/>
        <v>0.81086728797792351</v>
      </c>
      <c r="X23" s="59">
        <f t="shared" si="4"/>
        <v>0.90301706951527572</v>
      </c>
      <c r="Y23" s="76">
        <v>95300</v>
      </c>
      <c r="Z23" s="57">
        <f t="shared" si="5"/>
        <v>86057.526724805779</v>
      </c>
      <c r="AA23" s="57">
        <f t="shared" si="6"/>
        <v>77275.652544296114</v>
      </c>
      <c r="AB23" s="57">
        <f t="shared" si="7"/>
        <v>182225.09504649893</v>
      </c>
      <c r="AC23" s="57">
        <f t="shared" si="8"/>
        <v>0.17</v>
      </c>
      <c r="AD23" s="57">
        <f t="shared" si="9"/>
        <v>2</v>
      </c>
      <c r="AE23" s="57">
        <f t="shared" si="10"/>
        <v>0</v>
      </c>
      <c r="AF23" s="57">
        <f t="shared" si="11"/>
        <v>33087.398392419032</v>
      </c>
      <c r="AG23" s="57">
        <f t="shared" si="12"/>
        <v>44188.254151877081</v>
      </c>
      <c r="AH23" s="57">
        <f t="shared" si="13"/>
        <v>146390249.72936517</v>
      </c>
      <c r="AI23" s="57">
        <f t="shared" si="14"/>
        <v>126947392.8403832</v>
      </c>
      <c r="AJ23" s="77">
        <v>0</v>
      </c>
      <c r="AK23" s="77">
        <v>45.8</v>
      </c>
      <c r="AL23" s="78">
        <f t="shared" si="15"/>
        <v>3.763792155580576</v>
      </c>
      <c r="AM23" s="57">
        <f t="shared" si="16"/>
        <v>0.97947368421052627</v>
      </c>
      <c r="AN23" s="57">
        <f t="shared" si="17"/>
        <v>0.77947368421052632</v>
      </c>
      <c r="AO23" s="77">
        <v>600</v>
      </c>
      <c r="AP23" s="79">
        <v>110</v>
      </c>
      <c r="AQ23" s="57">
        <f t="shared" si="46"/>
        <v>50.564134775609027</v>
      </c>
      <c r="AR23" s="57">
        <f t="shared" si="47"/>
        <v>380</v>
      </c>
      <c r="AS23" s="57">
        <f t="shared" si="18"/>
        <v>549.43586522439102</v>
      </c>
      <c r="AT23" s="77">
        <v>60</v>
      </c>
      <c r="AU23" s="77">
        <v>1500</v>
      </c>
      <c r="AV23" s="78">
        <f t="shared" si="48"/>
        <v>36000</v>
      </c>
      <c r="AW23" s="77">
        <v>0</v>
      </c>
      <c r="AX23" s="77">
        <f t="shared" si="19"/>
        <v>36000</v>
      </c>
      <c r="AY23" s="77">
        <v>36000</v>
      </c>
      <c r="AZ23" s="77">
        <v>400</v>
      </c>
      <c r="BA23" s="77">
        <v>550</v>
      </c>
      <c r="BB23" s="77">
        <v>540</v>
      </c>
      <c r="BC23" s="77">
        <v>400</v>
      </c>
      <c r="BD23" s="77">
        <v>3.0999999999999999E-3</v>
      </c>
      <c r="BE23" s="77">
        <v>3.0999999999999999E-3</v>
      </c>
      <c r="BF23" s="77">
        <v>2.93E-2</v>
      </c>
      <c r="BG23" s="77">
        <v>4.1000000000000003E-3</v>
      </c>
      <c r="BH23" s="79">
        <v>100</v>
      </c>
      <c r="BI23" s="79">
        <f>PI()*4*4/4</f>
        <v>12.566370614359172</v>
      </c>
      <c r="BJ23" s="79">
        <v>2</v>
      </c>
      <c r="BK23" s="57">
        <f t="shared" si="21"/>
        <v>25.132741228718345</v>
      </c>
      <c r="BL23" s="57"/>
      <c r="BM23" s="80">
        <f>PI()*10*10/4</f>
        <v>78.539816339744831</v>
      </c>
      <c r="BN23" s="80">
        <v>6</v>
      </c>
      <c r="BO23" s="57">
        <f t="shared" si="23"/>
        <v>471.23889803846896</v>
      </c>
      <c r="BP23" s="57">
        <f t="shared" si="24"/>
        <v>92883.348373226996</v>
      </c>
      <c r="BQ23" s="77">
        <f t="shared" si="25"/>
        <v>0</v>
      </c>
      <c r="BR23" s="57">
        <f t="shared" si="26"/>
        <v>139325022.5598405</v>
      </c>
      <c r="BS23" s="57">
        <v>101.12826955121805</v>
      </c>
      <c r="BT23" s="57">
        <f t="shared" si="49"/>
        <v>6.6646935972034527</v>
      </c>
      <c r="BU23" s="57"/>
      <c r="BV23" s="57">
        <v>3.3E-3</v>
      </c>
      <c r="BW23" s="57">
        <v>30000</v>
      </c>
      <c r="BX23" s="57">
        <v>200000</v>
      </c>
      <c r="BY23" s="77">
        <f>20</f>
        <v>20</v>
      </c>
      <c r="BZ23" s="77">
        <f>BY23+80</f>
        <v>100</v>
      </c>
      <c r="CA23" s="77">
        <f>BZ23+40</f>
        <v>140</v>
      </c>
      <c r="CB23" s="77">
        <f>CA23+100</f>
        <v>240</v>
      </c>
      <c r="CC23" s="77">
        <f>CB23+120</f>
        <v>360</v>
      </c>
      <c r="CD23" s="77">
        <f>CC23+100</f>
        <v>460</v>
      </c>
      <c r="CE23" s="77">
        <f>CD23+40</f>
        <v>500</v>
      </c>
      <c r="CF23" s="77">
        <f>CE23+80</f>
        <v>580</v>
      </c>
      <c r="DM23" s="77">
        <f t="shared" ref="DM23:DO24" si="76">PI()*10*10/4*2</f>
        <v>157.07963267948966</v>
      </c>
      <c r="DN23" s="77">
        <f t="shared" si="76"/>
        <v>157.07963267948966</v>
      </c>
      <c r="DO23" s="77">
        <f t="shared" si="76"/>
        <v>157.07963267948966</v>
      </c>
      <c r="DP23" s="77">
        <f>PI()*6*6/4*2</f>
        <v>56.548667764616276</v>
      </c>
      <c r="DQ23" s="77">
        <f>PI()*6*6/4*2</f>
        <v>56.548667764616276</v>
      </c>
      <c r="DR23" s="77">
        <f t="shared" ref="DR23:DT24" si="77">PI()*10*10/4*2</f>
        <v>157.07963267948966</v>
      </c>
      <c r="DS23" s="77">
        <f t="shared" si="77"/>
        <v>157.07963267948966</v>
      </c>
      <c r="DT23" s="77">
        <f t="shared" si="77"/>
        <v>157.07963267948966</v>
      </c>
      <c r="FA23" s="77">
        <f t="shared" si="74"/>
        <v>-83169.377195944995</v>
      </c>
      <c r="FB23" s="77">
        <f t="shared" ref="FB23:FB33" si="78">IF(ABS(-$BV23*($BS23-BZ23)/$BS23*$BX23)&gt;$BB23,$BB23*SIGN(-($BS23-BZ23)),-$BV23*($BS23-BZ23)/$BS23*$BX23)*DN23</f>
        <v>-1156.6557058721958</v>
      </c>
      <c r="FC23" s="77">
        <f t="shared" ref="FC23:FC33" si="79">IF(ABS(-$BV23*($BS23-CA23)/$BS23*$BX23)&gt;$BB23,$BB23*SIGN(-($BS23-CA23)),-$BV23*($BS23-CA23)/$BS23*$BX23)*DO23</f>
        <v>39849.70503916419</v>
      </c>
      <c r="FD23" s="77">
        <f>IF(ABS(-$BV23*($BS23-CB23)/$BS23*$BX23)&gt;$BA23,$BA23*SIGN(-($BS23-CB23)),-$BV23*($BS23-CB23)/$BS23*$BX23)*DP23</f>
        <v>31101.767270538952</v>
      </c>
      <c r="FE23" s="77">
        <f>IF(ABS(-$BV23*($BS23-CC23)/$BS23*$BX23)&gt;$BA23,$BA23*SIGN(-($BS23-CC23)),-$BV23*($BS23-CC23)/$BS23*$BX23)*DQ23</f>
        <v>31101.767270538952</v>
      </c>
      <c r="FF23" s="77">
        <f>IF(ABS(-$BV23*($BS23-CD23)/$BS23*$BX23)&gt;$BB23,$BB23*SIGN(-($BS23-CD23)),-$BV23*($BS23-CD23)/$BS23*$BX23)*DR23</f>
        <v>84823.001646924415</v>
      </c>
      <c r="FG23" s="77">
        <f>IF(ABS(-$BV23*($BS23-CE23)/$BS23*$BX23)&gt;$BB23,$BB23*SIGN(-($BS23-CE23)),-$BV23*($BS23-CE23)/$BS23*$BX23)*DS23</f>
        <v>84823.001646924415</v>
      </c>
      <c r="FH23" s="77">
        <f>IF(ABS(-$BV23*($BS23-CF23)/$BS23*$BX23)&gt;$BB23,$BB23*SIGN(-($BS23-CF23)),-$BV23*($BS23-CF23)/$BS23*$BX23)*DT23</f>
        <v>84823.001646924415</v>
      </c>
      <c r="GO23" s="77">
        <f t="shared" si="68"/>
        <v>23287425.614864599</v>
      </c>
      <c r="GP23" s="77">
        <f t="shared" si="69"/>
        <v>231331.14117443917</v>
      </c>
      <c r="GQ23" s="77">
        <f t="shared" si="70"/>
        <v>-6375952.8062662706</v>
      </c>
      <c r="GR23" s="77">
        <f t="shared" si="71"/>
        <v>-1866106.0362323371</v>
      </c>
      <c r="GS23" s="77">
        <f t="shared" si="72"/>
        <v>1866106.0362323371</v>
      </c>
      <c r="GT23" s="77">
        <f t="shared" si="73"/>
        <v>13571680.263507906</v>
      </c>
      <c r="GU23" s="77">
        <f t="shared" si="75"/>
        <v>16964600.329384882</v>
      </c>
      <c r="GV23" s="77">
        <f t="shared" ref="GV23:GV33" si="80">FH23*(CF23-0.5*$AO23)</f>
        <v>23750440.461138837</v>
      </c>
      <c r="IC23" s="82">
        <v>22</v>
      </c>
    </row>
    <row r="24" spans="1:237" s="77" customFormat="1">
      <c r="A24" s="77">
        <v>23</v>
      </c>
      <c r="B24" s="69">
        <v>44</v>
      </c>
      <c r="C24" s="69" t="s">
        <v>22</v>
      </c>
      <c r="D24" s="70" t="s">
        <v>27</v>
      </c>
      <c r="E24" s="70">
        <v>1</v>
      </c>
      <c r="F24" s="70">
        <v>6.955155669808627E-2</v>
      </c>
      <c r="G24" s="70">
        <v>5.8333329999999996E-3</v>
      </c>
      <c r="H24" s="70">
        <v>1.8333333E-2</v>
      </c>
      <c r="I24" s="70">
        <v>2.1666667000000001E-2</v>
      </c>
      <c r="J24" s="71">
        <v>2</v>
      </c>
      <c r="K24" s="72">
        <v>10</v>
      </c>
      <c r="L24" s="71">
        <v>4.3830334190231357E-2</v>
      </c>
      <c r="M24" s="71">
        <v>3.1876606683804626E-2</v>
      </c>
      <c r="N24" s="71">
        <v>0.40673521850899741</v>
      </c>
      <c r="O24" s="71">
        <v>4.6272493573264781E-2</v>
      </c>
      <c r="P24" s="71">
        <v>0</v>
      </c>
      <c r="Q24" s="73" t="s">
        <v>3</v>
      </c>
      <c r="R24" s="74">
        <v>0</v>
      </c>
      <c r="S24" s="75">
        <f t="shared" si="45"/>
        <v>0.43379211682791624</v>
      </c>
      <c r="T24" s="59">
        <f t="shared" si="0"/>
        <v>0.99942105388824765</v>
      </c>
      <c r="U24" s="59">
        <f t="shared" si="1"/>
        <v>1.1233274054266082</v>
      </c>
      <c r="V24" s="59">
        <f t="shared" si="2"/>
        <v>0.95506307563446424</v>
      </c>
      <c r="W24" s="59">
        <f t="shared" si="3"/>
        <v>0.95561632599072366</v>
      </c>
      <c r="X24" s="59">
        <f t="shared" si="4"/>
        <v>0.850209004979949</v>
      </c>
      <c r="Y24" s="76">
        <v>97400</v>
      </c>
      <c r="Z24" s="57">
        <f t="shared" si="5"/>
        <v>82810.357085047028</v>
      </c>
      <c r="AA24" s="57">
        <f t="shared" si="6"/>
        <v>93077.030151496481</v>
      </c>
      <c r="AB24" s="57">
        <f t="shared" si="7"/>
        <v>168175.16553132841</v>
      </c>
      <c r="AC24" s="57">
        <f t="shared" si="8"/>
        <v>0.17</v>
      </c>
      <c r="AD24" s="57">
        <f t="shared" si="9"/>
        <v>2</v>
      </c>
      <c r="AE24" s="57">
        <f t="shared" si="10"/>
        <v>0</v>
      </c>
      <c r="AF24" s="57">
        <f t="shared" si="11"/>
        <v>30150.000208474914</v>
      </c>
      <c r="AG24" s="57">
        <f t="shared" si="12"/>
        <v>62927.029943021567</v>
      </c>
      <c r="AH24" s="57">
        <f t="shared" si="13"/>
        <v>126197073.31072821</v>
      </c>
      <c r="AI24" s="57">
        <f t="shared" si="14"/>
        <v>126065674.98626442</v>
      </c>
      <c r="AJ24" s="77">
        <v>0</v>
      </c>
      <c r="AK24" s="77">
        <v>38.9</v>
      </c>
      <c r="AL24" s="78">
        <f t="shared" si="15"/>
        <v>3.4405026809693005</v>
      </c>
      <c r="AM24" s="57">
        <f t="shared" si="16"/>
        <v>0.99763157894736842</v>
      </c>
      <c r="AN24" s="57">
        <f t="shared" si="17"/>
        <v>0.79763157894736847</v>
      </c>
      <c r="AO24" s="77">
        <v>600</v>
      </c>
      <c r="AP24" s="79">
        <v>110</v>
      </c>
      <c r="AQ24" s="57">
        <f t="shared" si="46"/>
        <v>52.296600885428525</v>
      </c>
      <c r="AR24" s="57">
        <f t="shared" si="47"/>
        <v>380</v>
      </c>
      <c r="AS24" s="57">
        <f t="shared" si="18"/>
        <v>547.70339911457143</v>
      </c>
      <c r="AT24" s="77">
        <v>60</v>
      </c>
      <c r="AU24" s="77">
        <v>1500</v>
      </c>
      <c r="AV24" s="78">
        <f t="shared" si="48"/>
        <v>36000</v>
      </c>
      <c r="AW24" s="77">
        <v>0</v>
      </c>
      <c r="AX24" s="77">
        <f t="shared" si="19"/>
        <v>36000</v>
      </c>
      <c r="AY24" s="77">
        <v>36000</v>
      </c>
      <c r="AZ24" s="77">
        <v>400</v>
      </c>
      <c r="BA24" s="77">
        <v>550</v>
      </c>
      <c r="BB24" s="77">
        <v>540</v>
      </c>
      <c r="BC24" s="77">
        <v>400</v>
      </c>
      <c r="BD24" s="77">
        <v>3.0999999999999999E-3</v>
      </c>
      <c r="BE24" s="77">
        <v>3.0999999999999999E-3</v>
      </c>
      <c r="BF24" s="77">
        <v>2.93E-2</v>
      </c>
      <c r="BG24" s="77">
        <v>4.4999999999999997E-3</v>
      </c>
      <c r="BH24" s="79">
        <v>70</v>
      </c>
      <c r="BI24" s="79">
        <f>PI()*4*4/4</f>
        <v>12.566370614359172</v>
      </c>
      <c r="BJ24" s="79">
        <v>2</v>
      </c>
      <c r="BK24" s="57">
        <f t="shared" si="21"/>
        <v>25.132741228718345</v>
      </c>
      <c r="BL24" s="57"/>
      <c r="BM24" s="80">
        <f>PI()*10*10/4</f>
        <v>78.539816339744831</v>
      </c>
      <c r="BN24" s="80">
        <v>6</v>
      </c>
      <c r="BO24" s="57">
        <f t="shared" si="23"/>
        <v>471.23889803846896</v>
      </c>
      <c r="BP24" s="57">
        <f t="shared" si="24"/>
        <v>93023.143566796818</v>
      </c>
      <c r="BQ24" s="77">
        <f t="shared" si="25"/>
        <v>0</v>
      </c>
      <c r="BR24" s="57">
        <f t="shared" si="26"/>
        <v>139534715.35019523</v>
      </c>
      <c r="BS24" s="57">
        <v>104.59320177085705</v>
      </c>
      <c r="BT24" s="57">
        <f t="shared" si="49"/>
        <v>7.3459993092404963</v>
      </c>
      <c r="BU24" s="57"/>
      <c r="BV24" s="57">
        <v>3.3E-3</v>
      </c>
      <c r="BW24" s="57">
        <v>30000</v>
      </c>
      <c r="BX24" s="57">
        <v>200000</v>
      </c>
      <c r="BY24" s="77">
        <f>20</f>
        <v>20</v>
      </c>
      <c r="BZ24" s="77">
        <f>BY24+60</f>
        <v>80</v>
      </c>
      <c r="CA24" s="77">
        <f>BZ24+60</f>
        <v>140</v>
      </c>
      <c r="CB24" s="77">
        <f>CA24+100</f>
        <v>240</v>
      </c>
      <c r="CC24" s="77">
        <f>CB24+120</f>
        <v>360</v>
      </c>
      <c r="CD24" s="77">
        <f>CC24+100</f>
        <v>460</v>
      </c>
      <c r="CE24" s="77">
        <f>CD24+60</f>
        <v>520</v>
      </c>
      <c r="CF24" s="77">
        <f>CE24+60</f>
        <v>580</v>
      </c>
      <c r="DM24" s="77">
        <f t="shared" si="76"/>
        <v>157.07963267948966</v>
      </c>
      <c r="DN24" s="77">
        <f t="shared" si="76"/>
        <v>157.07963267948966</v>
      </c>
      <c r="DO24" s="77">
        <f t="shared" si="76"/>
        <v>157.07963267948966</v>
      </c>
      <c r="DP24" s="77">
        <f>PI()*6*6/4*2</f>
        <v>56.548667764616276</v>
      </c>
      <c r="DQ24" s="77">
        <f>PI()*6*6/4*2</f>
        <v>56.548667764616276</v>
      </c>
      <c r="DR24" s="77">
        <f t="shared" si="77"/>
        <v>157.07963267948966</v>
      </c>
      <c r="DS24" s="77">
        <f t="shared" si="77"/>
        <v>157.07963267948966</v>
      </c>
      <c r="DT24" s="77">
        <f t="shared" si="77"/>
        <v>157.07963267948966</v>
      </c>
      <c r="FA24" s="77">
        <f t="shared" si="74"/>
        <v>-83848.600406201498</v>
      </c>
      <c r="FB24" s="77">
        <f t="shared" si="78"/>
        <v>-24376.728919416422</v>
      </c>
      <c r="FC24" s="77">
        <f t="shared" si="79"/>
        <v>35095.142567368646</v>
      </c>
      <c r="FD24" s="77">
        <f>IF(ABS(-$BV24*($BS24-CB24)/$BS24*$BX24)&gt;$BA24,$BA24*SIGN(-($BS24-CB24)),-$BV24*($BS24-CB24)/$BS24*$BX24)*DP24</f>
        <v>31101.767270538952</v>
      </c>
      <c r="FE24" s="77">
        <f>IF(ABS(-$BV24*($BS24-CC24)/$BS24*$BX24)&gt;$BA24,$BA24*SIGN(-($BS24-CC24)),-$BV24*($BS24-CC24)/$BS24*$BX24)*DQ24</f>
        <v>31101.767270538952</v>
      </c>
      <c r="FF24" s="77">
        <f>IF(ABS(-$BV24*($BS24-CD24)/$BS24*$BX24)&gt;$BB24,$BB24*SIGN(-($BS24-CD24)),-$BV24*($BS24-CD24)/$BS24*$BX24)*DR24</f>
        <v>84823.001646924415</v>
      </c>
      <c r="FG24" s="77">
        <f>IF(ABS(-$BV24*($BS24-CE24)/$BS24*$BX24)&gt;$BB24,$BB24*SIGN(-($BS24-CE24)),-$BV24*($BS24-CE24)/$BS24*$BX24)*DS24</f>
        <v>84823.001646924415</v>
      </c>
      <c r="FH24" s="77">
        <f>IF(ABS(-$BV24*($BS24-CF24)/$BS24*$BX24)&gt;$BB24,$BB24*SIGN(-($BS24-CF24)),-$BV24*($BS24-CF24)/$BS24*$BX24)*DT24</f>
        <v>84823.001646924415</v>
      </c>
      <c r="GO24" s="77">
        <f t="shared" si="68"/>
        <v>23477608.113736421</v>
      </c>
      <c r="GP24" s="77">
        <f t="shared" si="69"/>
        <v>5362880.3622716125</v>
      </c>
      <c r="GQ24" s="77">
        <f t="shared" si="70"/>
        <v>-5615222.8107789829</v>
      </c>
      <c r="GR24" s="77">
        <f t="shared" si="71"/>
        <v>-1866106.0362323371</v>
      </c>
      <c r="GS24" s="77">
        <f t="shared" si="72"/>
        <v>1866106.0362323371</v>
      </c>
      <c r="GT24" s="77">
        <f t="shared" si="73"/>
        <v>13571680.263507906</v>
      </c>
      <c r="GU24" s="77">
        <f t="shared" si="75"/>
        <v>18661060.36232337</v>
      </c>
      <c r="GV24" s="77">
        <f t="shared" si="80"/>
        <v>23750440.461138837</v>
      </c>
      <c r="IC24" s="82">
        <v>23</v>
      </c>
    </row>
    <row r="25" spans="1:237" s="77" customFormat="1">
      <c r="A25" s="77">
        <v>24</v>
      </c>
      <c r="B25" s="69">
        <v>45</v>
      </c>
      <c r="C25" s="69" t="s">
        <v>30</v>
      </c>
      <c r="D25" s="70" t="s">
        <v>29</v>
      </c>
      <c r="E25" s="70">
        <v>4</v>
      </c>
      <c r="F25" s="70">
        <v>9.8348348348348338E-2</v>
      </c>
      <c r="G25" s="70">
        <v>2.5000000000000001E-3</v>
      </c>
      <c r="H25" s="70">
        <v>5.0000000000000001E-3</v>
      </c>
      <c r="I25" s="70">
        <v>8.3333330000000001E-3</v>
      </c>
      <c r="J25" s="71">
        <v>1</v>
      </c>
      <c r="K25" s="72">
        <v>12</v>
      </c>
      <c r="L25" s="71">
        <v>0.15662162162162163</v>
      </c>
      <c r="M25" s="71">
        <v>0.15662162162162163</v>
      </c>
      <c r="N25" s="71">
        <v>0.447972972972973</v>
      </c>
      <c r="O25" s="71">
        <v>0.46711711711711718</v>
      </c>
      <c r="P25" s="71">
        <v>0</v>
      </c>
      <c r="Q25" s="73" t="s">
        <v>3</v>
      </c>
      <c r="R25" s="74">
        <v>0</v>
      </c>
      <c r="S25" s="75">
        <f t="shared" si="45"/>
        <v>0.463386692975993</v>
      </c>
      <c r="T25" s="59">
        <f t="shared" si="0"/>
        <v>0.87412464814760227</v>
      </c>
      <c r="U25" s="59">
        <f t="shared" si="1"/>
        <v>0.4163056497301752</v>
      </c>
      <c r="V25" s="59">
        <f t="shared" si="2"/>
        <v>0.88757417660198967</v>
      </c>
      <c r="W25" s="59">
        <f t="shared" si="3"/>
        <v>1.0153862821313744</v>
      </c>
      <c r="X25" s="59">
        <f t="shared" si="4"/>
        <v>2.1320252972239579</v>
      </c>
      <c r="Y25" s="76">
        <v>262000</v>
      </c>
      <c r="Z25" s="57">
        <f t="shared" si="5"/>
        <v>558590.62787267694</v>
      </c>
      <c r="AA25" s="57">
        <f t="shared" si="6"/>
        <v>266031.20591842011</v>
      </c>
      <c r="AB25" s="57">
        <f t="shared" si="7"/>
        <v>608185.95089653914</v>
      </c>
      <c r="AC25" s="57">
        <f t="shared" si="8"/>
        <v>0.25</v>
      </c>
      <c r="AD25" s="57">
        <f t="shared" si="9"/>
        <v>1.5</v>
      </c>
      <c r="AE25" s="57">
        <f t="shared" si="10"/>
        <v>0</v>
      </c>
      <c r="AF25" s="57">
        <f t="shared" si="11"/>
        <v>113804.03245728725</v>
      </c>
      <c r="AG25" s="57">
        <f t="shared" si="12"/>
        <v>152227.17346113286</v>
      </c>
      <c r="AH25" s="57">
        <f t="shared" si="13"/>
        <v>555433439.12549293</v>
      </c>
      <c r="AI25" s="57">
        <f t="shared" si="14"/>
        <v>247372016.05793875</v>
      </c>
      <c r="AJ25" s="77">
        <v>0</v>
      </c>
      <c r="AK25" s="77">
        <v>22.2</v>
      </c>
      <c r="AL25" s="78">
        <f t="shared" si="15"/>
        <v>2.5272241081681543</v>
      </c>
      <c r="AM25" s="57">
        <f t="shared" si="16"/>
        <v>1</v>
      </c>
      <c r="AN25" s="57">
        <f t="shared" si="17"/>
        <v>0.8</v>
      </c>
      <c r="AO25" s="77">
        <v>1200</v>
      </c>
      <c r="AP25" s="79">
        <v>250</v>
      </c>
      <c r="AQ25" s="57">
        <f t="shared" si="46"/>
        <v>74.219028602715568</v>
      </c>
      <c r="AR25" s="57">
        <f t="shared" si="47"/>
        <v>700</v>
      </c>
      <c r="AS25" s="57">
        <f t="shared" si="18"/>
        <v>1125.7809713972845</v>
      </c>
      <c r="AT25" s="77">
        <v>100</v>
      </c>
      <c r="AU25" s="77">
        <v>1320</v>
      </c>
      <c r="AV25" s="78">
        <f t="shared" si="48"/>
        <v>120000</v>
      </c>
      <c r="AW25" s="77">
        <v>0</v>
      </c>
      <c r="AX25" s="77">
        <f t="shared" si="19"/>
        <v>120000</v>
      </c>
      <c r="AY25" s="77">
        <v>120000</v>
      </c>
      <c r="AZ25" s="77">
        <v>610</v>
      </c>
      <c r="BA25" s="77">
        <v>610</v>
      </c>
      <c r="BB25" s="77">
        <v>585</v>
      </c>
      <c r="BC25" s="77">
        <v>610</v>
      </c>
      <c r="BD25" s="77">
        <v>5.7000000000000002E-3</v>
      </c>
      <c r="BE25" s="77">
        <v>5.7000000000000002E-3</v>
      </c>
      <c r="BF25" s="77">
        <v>1.7000000000000001E-2</v>
      </c>
      <c r="BG25" s="77">
        <v>1.7000000000000001E-2</v>
      </c>
      <c r="BH25" s="79">
        <v>100</v>
      </c>
      <c r="BI25" s="79">
        <f t="shared" ref="BI25:BI30" si="81">PI()*4.2*4.2/4</f>
        <v>13.854423602330987</v>
      </c>
      <c r="BJ25" s="79">
        <v>2</v>
      </c>
      <c r="BK25" s="57">
        <f t="shared" si="21"/>
        <v>27.708847204661975</v>
      </c>
      <c r="BL25" s="57"/>
      <c r="BM25" s="80">
        <f t="shared" ref="BM25:BM30" si="82">PI()*8*8/4</f>
        <v>50.26548245743669</v>
      </c>
      <c r="BN25" s="80">
        <v>8</v>
      </c>
      <c r="BO25" s="57">
        <f t="shared" si="23"/>
        <v>402.12385965949352</v>
      </c>
      <c r="BP25" s="57">
        <f t="shared" si="24"/>
        <v>232544.4342697213</v>
      </c>
      <c r="BQ25" s="77">
        <f t="shared" si="25"/>
        <v>1.6880221664905548E-9</v>
      </c>
      <c r="BR25" s="57">
        <f t="shared" si="26"/>
        <v>306958653.23603213</v>
      </c>
      <c r="BS25" s="57">
        <v>148.43805720543114</v>
      </c>
      <c r="BT25" s="57">
        <f t="shared" si="49"/>
        <v>51.675685866862345</v>
      </c>
      <c r="BU25" s="57"/>
      <c r="BV25" s="57">
        <v>3.3E-3</v>
      </c>
      <c r="BW25" s="57">
        <v>30000</v>
      </c>
      <c r="BX25" s="57">
        <v>200000</v>
      </c>
      <c r="BY25" s="77">
        <f>20</f>
        <v>20</v>
      </c>
      <c r="BZ25" s="77">
        <f>BY25+230/3*1</f>
        <v>96.666666666666671</v>
      </c>
      <c r="CA25" s="77">
        <f>BY25+230/3*2</f>
        <v>173.33333333333334</v>
      </c>
      <c r="CB25" s="77">
        <f>BY25+230/3*3</f>
        <v>250</v>
      </c>
      <c r="CC25" s="77">
        <f>CB25+50</f>
        <v>300</v>
      </c>
      <c r="CD25" s="77">
        <f>CC25+100*1</f>
        <v>400</v>
      </c>
      <c r="CE25" s="77">
        <f>CC25+100*2</f>
        <v>500</v>
      </c>
      <c r="CF25" s="77">
        <f>CC25+100*3</f>
        <v>600</v>
      </c>
      <c r="CG25" s="77">
        <f>CC25+100*4</f>
        <v>700</v>
      </c>
      <c r="CH25" s="77">
        <f>CC25+100*5</f>
        <v>800</v>
      </c>
      <c r="CI25" s="77">
        <f>CC25+100*6</f>
        <v>900</v>
      </c>
      <c r="CJ25" s="77">
        <f>CI25+50</f>
        <v>950</v>
      </c>
      <c r="CK25" s="77">
        <f>CJ25+230/3*1</f>
        <v>1026.6666666666667</v>
      </c>
      <c r="CL25" s="77">
        <f>CJ25+230/3*2</f>
        <v>1103.3333333333333</v>
      </c>
      <c r="CM25" s="77">
        <f>CJ25+230/3*3</f>
        <v>1180</v>
      </c>
      <c r="DM25" s="77">
        <f>PI()*8*8/4*2</f>
        <v>100.53096491487338</v>
      </c>
      <c r="DN25" s="77">
        <f>PI()*8*8/4*2</f>
        <v>100.53096491487338</v>
      </c>
      <c r="DO25" s="77">
        <f>PI()*8*8/4*2</f>
        <v>100.53096491487338</v>
      </c>
      <c r="DP25" s="77">
        <f>PI()*8*8/4*2</f>
        <v>100.53096491487338</v>
      </c>
      <c r="DQ25" s="77">
        <f t="shared" ref="DQ25:DW25" si="83">PI()*4.2*4.2/4*2</f>
        <v>27.708847204661975</v>
      </c>
      <c r="DR25" s="77">
        <f t="shared" si="83"/>
        <v>27.708847204661975</v>
      </c>
      <c r="DS25" s="77">
        <f t="shared" si="83"/>
        <v>27.708847204661975</v>
      </c>
      <c r="DT25" s="77">
        <f t="shared" si="83"/>
        <v>27.708847204661975</v>
      </c>
      <c r="DU25" s="77">
        <f t="shared" si="83"/>
        <v>27.708847204661975</v>
      </c>
      <c r="DV25" s="77">
        <f t="shared" si="83"/>
        <v>27.708847204661975</v>
      </c>
      <c r="DW25" s="77">
        <f t="shared" si="83"/>
        <v>27.708847204661975</v>
      </c>
      <c r="DX25" s="77">
        <f>PI()*8*8/4*2</f>
        <v>100.53096491487338</v>
      </c>
      <c r="DY25" s="77">
        <f>PI()*8*8/4*2</f>
        <v>100.53096491487338</v>
      </c>
      <c r="DZ25" s="77">
        <f>PI()*8*8/4*2</f>
        <v>100.53096491487338</v>
      </c>
      <c r="EA25" s="77">
        <f>PI()*8*8/4*2</f>
        <v>100.53096491487338</v>
      </c>
      <c r="FA25" s="77">
        <f t="shared" si="74"/>
        <v>-57410.622069497382</v>
      </c>
      <c r="FB25" s="77">
        <f t="shared" si="78"/>
        <v>-23141.33210127438</v>
      </c>
      <c r="FC25" s="77">
        <f t="shared" si="79"/>
        <v>11127.957866948615</v>
      </c>
      <c r="FD25" s="77">
        <f>IF(ABS(-$BV25*($BS25-CB25)/$BS25*$BX25)&gt;$BB25,$BB25*SIGN(-($BS25-CB25)),-$BV25*($BS25-CB25)/$BS25*$BX25)*DP25</f>
        <v>45397.247835171605</v>
      </c>
      <c r="FE25" s="77">
        <f t="shared" ref="FE25:FK25" si="84">IF(ABS(-$BV25*($BS25-CC25)/$BS25*$BX25)&gt;$BA25,$BA25*SIGN(-($BS25-CC25)),-$BV25*($BS25-CC25)/$BS25*$BX25)*DQ25</f>
        <v>16902.396794843804</v>
      </c>
      <c r="FF25" s="77">
        <f t="shared" si="84"/>
        <v>16902.396794843804</v>
      </c>
      <c r="FG25" s="77">
        <f t="shared" si="84"/>
        <v>16902.396794843804</v>
      </c>
      <c r="FH25" s="77">
        <f t="shared" si="84"/>
        <v>16902.396794843804</v>
      </c>
      <c r="FI25" s="77">
        <f t="shared" si="84"/>
        <v>16902.396794843804</v>
      </c>
      <c r="FJ25" s="77">
        <f t="shared" si="84"/>
        <v>16902.396794843804</v>
      </c>
      <c r="FK25" s="77">
        <f t="shared" si="84"/>
        <v>16902.396794843804</v>
      </c>
      <c r="FL25" s="77">
        <f>IF(ABS(-$BV25*($BS25-CJ25)/$BS25*$BX25)&gt;$BB25,$BB25*SIGN(-($BS25-CJ25)),-$BV25*($BS25-CJ25)/$BS25*$BX25)*DX25</f>
        <v>58810.614475200928</v>
      </c>
      <c r="FM25" s="77">
        <f>IF(ABS(-$BV25*($BS25-CK25)/$BS25*$BX25)&gt;$BB25,$BB25*SIGN(-($BS25-CK25)),-$BV25*($BS25-CK25)/$BS25*$BX25)*DY25</f>
        <v>58810.614475200928</v>
      </c>
      <c r="FN25" s="77">
        <f>IF(ABS(-$BV25*($BS25-CL25)/$BS25*$BX25)&gt;$BB25,$BB25*SIGN(-($BS25-CL25)),-$BV25*($BS25-CL25)/$BS25*$BX25)*DZ25</f>
        <v>58810.614475200928</v>
      </c>
      <c r="FO25" s="77">
        <f>IF(ABS(-$BV25*($BS25-CM25)/$BS25*$BX25)&gt;$BB25,$BB25*SIGN(-($BS25-CM25)),-$BV25*($BS25-CM25)/$BS25*$BX25)*EA25</f>
        <v>58810.614475200928</v>
      </c>
      <c r="GO25" s="77">
        <f t="shared" si="68"/>
        <v>33298160.800308481</v>
      </c>
      <c r="GP25" s="77">
        <f t="shared" si="69"/>
        <v>11647803.824308105</v>
      </c>
      <c r="GQ25" s="77">
        <f t="shared" si="70"/>
        <v>-4747928.6898980755</v>
      </c>
      <c r="GR25" s="77">
        <f t="shared" si="71"/>
        <v>-15889036.742310062</v>
      </c>
      <c r="GS25" s="77">
        <f t="shared" si="72"/>
        <v>-5070719.0384531412</v>
      </c>
      <c r="GT25" s="77">
        <f t="shared" si="73"/>
        <v>-3380479.3589687608</v>
      </c>
      <c r="GU25" s="77">
        <f t="shared" si="75"/>
        <v>-1690239.6794843804</v>
      </c>
      <c r="GV25" s="77">
        <f t="shared" si="80"/>
        <v>0</v>
      </c>
      <c r="GW25" s="77">
        <f t="shared" ref="GW25:HC25" si="85">FI25*(CG25-0.5*$AO25)</f>
        <v>1690239.6794843804</v>
      </c>
      <c r="GX25" s="77">
        <f t="shared" si="85"/>
        <v>3380479.3589687608</v>
      </c>
      <c r="GY25" s="77">
        <f t="shared" si="85"/>
        <v>5070719.0384531412</v>
      </c>
      <c r="GZ25" s="77">
        <f t="shared" si="85"/>
        <v>20583715.066320326</v>
      </c>
      <c r="HA25" s="77">
        <f t="shared" si="85"/>
        <v>25092528.842752401</v>
      </c>
      <c r="HB25" s="77">
        <f t="shared" si="85"/>
        <v>29601342.619184464</v>
      </c>
      <c r="HC25" s="77">
        <f t="shared" si="85"/>
        <v>34110156.395616539</v>
      </c>
      <c r="IC25" s="82">
        <v>24</v>
      </c>
    </row>
    <row r="26" spans="1:237" s="77" customFormat="1">
      <c r="A26" s="77">
        <v>25</v>
      </c>
      <c r="B26" s="69">
        <v>46</v>
      </c>
      <c r="C26" s="69" t="s">
        <v>30</v>
      </c>
      <c r="D26" s="70" t="s">
        <v>31</v>
      </c>
      <c r="E26" s="70">
        <v>4</v>
      </c>
      <c r="F26" s="70">
        <v>7.3688271604938266E-2</v>
      </c>
      <c r="G26" s="70">
        <v>2.5000000000000001E-3</v>
      </c>
      <c r="H26" s="70">
        <v>3.333333E-3</v>
      </c>
      <c r="I26" s="70">
        <v>6.6666670000000003E-3</v>
      </c>
      <c r="J26" s="71">
        <v>1</v>
      </c>
      <c r="K26" s="72">
        <v>12</v>
      </c>
      <c r="L26" s="71">
        <v>7.9074074074074061E-2</v>
      </c>
      <c r="M26" s="71">
        <v>7.9074074074074061E-2</v>
      </c>
      <c r="N26" s="71">
        <v>0.3520833333333333</v>
      </c>
      <c r="O26" s="71">
        <v>0.48009259259259263</v>
      </c>
      <c r="P26" s="71">
        <v>0</v>
      </c>
      <c r="Q26" s="73" t="s">
        <v>3</v>
      </c>
      <c r="R26" s="74">
        <v>0</v>
      </c>
      <c r="S26" s="75">
        <f t="shared" si="45"/>
        <v>0.34247213848408176</v>
      </c>
      <c r="T26" s="59">
        <f t="shared" si="0"/>
        <v>0.71736919141107447</v>
      </c>
      <c r="U26" s="59">
        <f t="shared" si="1"/>
        <v>0.55367916025580344</v>
      </c>
      <c r="V26" s="59">
        <f t="shared" si="2"/>
        <v>0.99832527063503407</v>
      </c>
      <c r="W26" s="59">
        <f t="shared" si="3"/>
        <v>1.3916478189860864</v>
      </c>
      <c r="X26" s="59">
        <f t="shared" si="4"/>
        <v>1.8030753950966858</v>
      </c>
      <c r="Y26" s="76">
        <v>191000</v>
      </c>
      <c r="Z26" s="57">
        <f t="shared" si="5"/>
        <v>344387.400463467</v>
      </c>
      <c r="AA26" s="57">
        <f t="shared" si="6"/>
        <v>265804.73342634249</v>
      </c>
      <c r="AB26" s="57">
        <f t="shared" si="7"/>
        <v>554213.75168670493</v>
      </c>
      <c r="AC26" s="57">
        <f t="shared" si="8"/>
        <v>0.25</v>
      </c>
      <c r="AD26" s="57">
        <f t="shared" si="9"/>
        <v>1.5</v>
      </c>
      <c r="AE26" s="57">
        <f t="shared" si="10"/>
        <v>0</v>
      </c>
      <c r="AF26" s="57">
        <f t="shared" si="11"/>
        <v>112727.74268689651</v>
      </c>
      <c r="AG26" s="57">
        <f t="shared" si="12"/>
        <v>153076.99073944599</v>
      </c>
      <c r="AH26" s="57">
        <f t="shared" si="13"/>
        <v>543815483.85283828</v>
      </c>
      <c r="AI26" s="57">
        <f t="shared" si="14"/>
        <v>187746668.37361211</v>
      </c>
      <c r="AJ26" s="77">
        <v>0</v>
      </c>
      <c r="AK26" s="77">
        <v>21.6</v>
      </c>
      <c r="AL26" s="78">
        <f t="shared" si="15"/>
        <v>2.4894257817285239</v>
      </c>
      <c r="AM26" s="57">
        <f t="shared" si="16"/>
        <v>1</v>
      </c>
      <c r="AN26" s="57">
        <f t="shared" si="17"/>
        <v>0.8</v>
      </c>
      <c r="AO26" s="77">
        <v>1200</v>
      </c>
      <c r="AP26" s="79">
        <v>250</v>
      </c>
      <c r="AQ26" s="57">
        <f t="shared" si="46"/>
        <v>67.934289161410675</v>
      </c>
      <c r="AR26" s="57">
        <f t="shared" si="47"/>
        <v>700</v>
      </c>
      <c r="AS26" s="57">
        <f t="shared" si="18"/>
        <v>1132.0657108385894</v>
      </c>
      <c r="AT26" s="77">
        <v>100</v>
      </c>
      <c r="AU26" s="77">
        <v>1320</v>
      </c>
      <c r="AV26" s="78">
        <f t="shared" si="48"/>
        <v>120000</v>
      </c>
      <c r="AW26" s="77">
        <v>0</v>
      </c>
      <c r="AX26" s="77">
        <f t="shared" si="19"/>
        <v>120000</v>
      </c>
      <c r="AY26" s="77">
        <v>120000</v>
      </c>
      <c r="AZ26" s="77">
        <v>610</v>
      </c>
      <c r="BA26" s="77">
        <v>610</v>
      </c>
      <c r="BB26" s="77">
        <v>585</v>
      </c>
      <c r="BC26" s="77">
        <v>610</v>
      </c>
      <c r="BD26" s="77">
        <v>2.8E-3</v>
      </c>
      <c r="BE26" s="77">
        <v>2.8E-3</v>
      </c>
      <c r="BF26" s="77">
        <v>1.2999999999999999E-2</v>
      </c>
      <c r="BG26" s="77">
        <v>1.7000000000000001E-2</v>
      </c>
      <c r="BH26" s="79">
        <v>100</v>
      </c>
      <c r="BI26" s="79">
        <f t="shared" si="81"/>
        <v>13.854423602330987</v>
      </c>
      <c r="BJ26" s="79">
        <v>2</v>
      </c>
      <c r="BK26" s="57">
        <f t="shared" si="21"/>
        <v>27.708847204661975</v>
      </c>
      <c r="BL26" s="57"/>
      <c r="BM26" s="80">
        <f t="shared" si="82"/>
        <v>50.26548245743669</v>
      </c>
      <c r="BN26" s="80">
        <v>6</v>
      </c>
      <c r="BO26" s="57">
        <f t="shared" si="23"/>
        <v>301.59289474462014</v>
      </c>
      <c r="BP26" s="57">
        <f t="shared" si="24"/>
        <v>190680.12669129152</v>
      </c>
      <c r="BQ26" s="77">
        <f t="shared" si="25"/>
        <v>-2.7008354663848877E-8</v>
      </c>
      <c r="BR26" s="57">
        <f t="shared" si="26"/>
        <v>251697767.23250479</v>
      </c>
      <c r="BS26" s="57">
        <v>135.86857832282135</v>
      </c>
      <c r="BT26" s="57">
        <f t="shared" si="49"/>
        <v>25.964842786308218</v>
      </c>
      <c r="BU26" s="57"/>
      <c r="BV26" s="57">
        <v>3.3E-3</v>
      </c>
      <c r="BW26" s="57">
        <v>30000</v>
      </c>
      <c r="BX26" s="57">
        <v>200000</v>
      </c>
      <c r="BY26" s="77">
        <f>20</f>
        <v>20</v>
      </c>
      <c r="BZ26" s="77">
        <f>BY26+230/2*1</f>
        <v>135</v>
      </c>
      <c r="CA26" s="77">
        <f>BY26+230/2*2</f>
        <v>250</v>
      </c>
      <c r="CB26" s="77">
        <f>CA26+50</f>
        <v>300</v>
      </c>
      <c r="CC26" s="77">
        <f>CB26+100*1</f>
        <v>400</v>
      </c>
      <c r="CD26" s="77">
        <f>CB26+100*2</f>
        <v>500</v>
      </c>
      <c r="CE26" s="77">
        <f>CB26+100*3</f>
        <v>600</v>
      </c>
      <c r="CF26" s="77">
        <f>CB26+100*4</f>
        <v>700</v>
      </c>
      <c r="CG26" s="77">
        <f>CB26+100*5</f>
        <v>800</v>
      </c>
      <c r="CH26" s="77">
        <f>CB26+100*6</f>
        <v>900</v>
      </c>
      <c r="CI26" s="77">
        <f>CH26+50</f>
        <v>950</v>
      </c>
      <c r="CJ26" s="77">
        <f>CI26+230/2*1</f>
        <v>1065</v>
      </c>
      <c r="CK26" s="77">
        <f>CI26+230/2*2</f>
        <v>1180</v>
      </c>
      <c r="DM26" s="77">
        <f t="shared" ref="DM26:DO30" si="86">PI()*8*8/4*2</f>
        <v>100.53096491487338</v>
      </c>
      <c r="DN26" s="77">
        <f t="shared" si="86"/>
        <v>100.53096491487338</v>
      </c>
      <c r="DO26" s="77">
        <f t="shared" si="86"/>
        <v>100.53096491487338</v>
      </c>
      <c r="DP26" s="77">
        <f t="shared" ref="DP26:DV27" si="87">PI()*4.2*4.2/4*2</f>
        <v>27.708847204661975</v>
      </c>
      <c r="DQ26" s="77">
        <f t="shared" si="87"/>
        <v>27.708847204661975</v>
      </c>
      <c r="DR26" s="77">
        <f t="shared" si="87"/>
        <v>27.708847204661975</v>
      </c>
      <c r="DS26" s="77">
        <f t="shared" si="87"/>
        <v>27.708847204661975</v>
      </c>
      <c r="DT26" s="77">
        <f t="shared" si="87"/>
        <v>27.708847204661975</v>
      </c>
      <c r="DU26" s="77">
        <f t="shared" si="87"/>
        <v>27.708847204661975</v>
      </c>
      <c r="DV26" s="77">
        <f t="shared" si="87"/>
        <v>27.708847204661975</v>
      </c>
      <c r="DW26" s="77">
        <f t="shared" ref="DW26:DY27" si="88">PI()*8*8/4*2</f>
        <v>100.53096491487338</v>
      </c>
      <c r="DX26" s="77">
        <f t="shared" si="88"/>
        <v>100.53096491487338</v>
      </c>
      <c r="DY26" s="77">
        <f t="shared" si="88"/>
        <v>100.53096491487338</v>
      </c>
      <c r="FA26" s="77">
        <f t="shared" si="74"/>
        <v>-56583.581598423494</v>
      </c>
      <c r="FB26" s="77">
        <f t="shared" si="78"/>
        <v>-424.1639374141148</v>
      </c>
      <c r="FC26" s="77">
        <f t="shared" si="79"/>
        <v>55735.25372359527</v>
      </c>
      <c r="FD26" s="77">
        <f t="shared" ref="FD26:FJ27" si="89">IF(ABS(-$BV26*($BS26-CB26)/$BS26*$BX26)&gt;$BA26,$BA26*SIGN(-($BS26-CB26)),-$BV26*($BS26-CB26)/$BS26*$BX26)*DP26</f>
        <v>16902.396794843804</v>
      </c>
      <c r="FE26" s="77">
        <f t="shared" si="89"/>
        <v>16902.396794843804</v>
      </c>
      <c r="FF26" s="77">
        <f t="shared" si="89"/>
        <v>16902.396794843804</v>
      </c>
      <c r="FG26" s="77">
        <f t="shared" si="89"/>
        <v>16902.396794843804</v>
      </c>
      <c r="FH26" s="77">
        <f t="shared" si="89"/>
        <v>16902.396794843804</v>
      </c>
      <c r="FI26" s="77">
        <f t="shared" si="89"/>
        <v>16902.396794843804</v>
      </c>
      <c r="FJ26" s="77">
        <f t="shared" si="89"/>
        <v>16902.396794843804</v>
      </c>
      <c r="FK26" s="77">
        <f t="shared" ref="FK26:FM27" si="90">IF(ABS(-$BV26*($BS26-CI26)/$BS26*$BX26)&gt;$BB26,$BB26*SIGN(-($BS26-CI26)),-$BV26*($BS26-CI26)/$BS26*$BX26)*DW26</f>
        <v>58810.614475200928</v>
      </c>
      <c r="FL26" s="77">
        <f t="shared" si="90"/>
        <v>58810.614475200928</v>
      </c>
      <c r="FM26" s="77">
        <f t="shared" si="90"/>
        <v>58810.614475200928</v>
      </c>
      <c r="GO26" s="77">
        <f t="shared" si="68"/>
        <v>32818477.327085625</v>
      </c>
      <c r="GP26" s="77">
        <f t="shared" si="69"/>
        <v>197236.23089756339</v>
      </c>
      <c r="GQ26" s="77">
        <f t="shared" si="70"/>
        <v>-19507338.803258345</v>
      </c>
      <c r="GR26" s="77">
        <f t="shared" si="71"/>
        <v>-5070719.0384531412</v>
      </c>
      <c r="GS26" s="77">
        <f t="shared" si="72"/>
        <v>-3380479.3589687608</v>
      </c>
      <c r="GT26" s="77">
        <f t="shared" si="73"/>
        <v>-1690239.6794843804</v>
      </c>
      <c r="GU26" s="77">
        <f t="shared" si="75"/>
        <v>0</v>
      </c>
      <c r="GV26" s="77">
        <f t="shared" si="80"/>
        <v>1690239.6794843804</v>
      </c>
      <c r="GW26" s="77">
        <f t="shared" ref="GW26:HA30" si="91">FI26*(CG26-0.5*$AO26)</f>
        <v>3380479.3589687608</v>
      </c>
      <c r="GX26" s="77">
        <f t="shared" si="91"/>
        <v>5070719.0384531412</v>
      </c>
      <c r="GY26" s="77">
        <f t="shared" si="91"/>
        <v>20583715.066320326</v>
      </c>
      <c r="GZ26" s="77">
        <f t="shared" si="91"/>
        <v>27346935.730968431</v>
      </c>
      <c r="HA26" s="77">
        <f t="shared" si="91"/>
        <v>34110156.395616539</v>
      </c>
      <c r="IC26" s="82">
        <v>25</v>
      </c>
    </row>
    <row r="27" spans="1:237" s="77" customFormat="1">
      <c r="A27" s="77">
        <v>26</v>
      </c>
      <c r="B27" s="69">
        <v>47</v>
      </c>
      <c r="C27" s="69" t="s">
        <v>30</v>
      </c>
      <c r="D27" s="70" t="s">
        <v>32</v>
      </c>
      <c r="E27" s="70">
        <v>4</v>
      </c>
      <c r="F27" s="70">
        <v>9.3444909344490942E-2</v>
      </c>
      <c r="G27" s="70">
        <v>2.5000000000000001E-3</v>
      </c>
      <c r="H27" s="70">
        <v>4.1666669999999998E-3</v>
      </c>
      <c r="I27" s="70">
        <v>8.3333330000000001E-3</v>
      </c>
      <c r="J27" s="71">
        <v>1</v>
      </c>
      <c r="K27" s="72">
        <v>12</v>
      </c>
      <c r="L27" s="71">
        <v>7.1464435146443517E-2</v>
      </c>
      <c r="M27" s="71">
        <v>7.1464435146443517E-2</v>
      </c>
      <c r="N27" s="71">
        <v>0.31820083682008365</v>
      </c>
      <c r="O27" s="71">
        <v>0.4338912133891214</v>
      </c>
      <c r="P27" s="71">
        <v>7.0000000000000007E-2</v>
      </c>
      <c r="Q27" s="73" t="s">
        <v>3</v>
      </c>
      <c r="R27" s="74">
        <v>0</v>
      </c>
      <c r="S27" s="75">
        <f t="shared" si="45"/>
        <v>0.45682998026548471</v>
      </c>
      <c r="T27" s="59">
        <f t="shared" si="0"/>
        <v>0.89894388904113687</v>
      </c>
      <c r="U27" s="59">
        <f t="shared" si="1"/>
        <v>0.73278113955582236</v>
      </c>
      <c r="V27" s="59">
        <f t="shared" si="2"/>
        <v>0.96142766334416652</v>
      </c>
      <c r="W27" s="59">
        <f t="shared" si="3"/>
        <v>1.0695079804921732</v>
      </c>
      <c r="X27" s="59">
        <f t="shared" si="4"/>
        <v>1.3120256669364321</v>
      </c>
      <c r="Y27" s="76">
        <v>268000</v>
      </c>
      <c r="Z27" s="57">
        <f t="shared" si="5"/>
        <v>351622.8787389638</v>
      </c>
      <c r="AA27" s="57">
        <f t="shared" si="6"/>
        <v>286628.13877190242</v>
      </c>
      <c r="AB27" s="57">
        <f t="shared" si="7"/>
        <v>581006.1650680732</v>
      </c>
      <c r="AC27" s="57">
        <f t="shared" si="8"/>
        <v>0.25</v>
      </c>
      <c r="AD27" s="57">
        <f t="shared" si="9"/>
        <v>1.5</v>
      </c>
      <c r="AE27" s="57">
        <f t="shared" si="10"/>
        <v>200760</v>
      </c>
      <c r="AF27" s="57">
        <f t="shared" si="11"/>
        <v>136758.21477142646</v>
      </c>
      <c r="AG27" s="57">
        <f t="shared" si="12"/>
        <v>149869.92400047596</v>
      </c>
      <c r="AH27" s="57">
        <f t="shared" si="13"/>
        <v>587550529.5911746</v>
      </c>
      <c r="AI27" s="57">
        <f t="shared" si="14"/>
        <v>179377608.29868194</v>
      </c>
      <c r="AJ27" s="77">
        <v>200760</v>
      </c>
      <c r="AK27" s="77">
        <v>23.9</v>
      </c>
      <c r="AL27" s="78">
        <f t="shared" si="15"/>
        <v>2.6318944326168765</v>
      </c>
      <c r="AM27" s="57">
        <f t="shared" si="16"/>
        <v>1</v>
      </c>
      <c r="AN27" s="57">
        <f t="shared" si="17"/>
        <v>0.8</v>
      </c>
      <c r="AO27" s="77">
        <v>1200</v>
      </c>
      <c r="AP27" s="79">
        <v>250</v>
      </c>
      <c r="AQ27" s="57">
        <f t="shared" si="46"/>
        <v>91.651833320209761</v>
      </c>
      <c r="AR27" s="57">
        <f t="shared" si="47"/>
        <v>700</v>
      </c>
      <c r="AS27" s="57">
        <f t="shared" si="18"/>
        <v>1108.3481666797902</v>
      </c>
      <c r="AT27" s="77">
        <v>100</v>
      </c>
      <c r="AU27" s="77">
        <v>1320</v>
      </c>
      <c r="AV27" s="78">
        <f t="shared" si="48"/>
        <v>120000</v>
      </c>
      <c r="AW27" s="77">
        <v>0</v>
      </c>
      <c r="AX27" s="77">
        <f t="shared" si="19"/>
        <v>120000</v>
      </c>
      <c r="AY27" s="77">
        <v>120000</v>
      </c>
      <c r="AZ27" s="77">
        <v>610</v>
      </c>
      <c r="BA27" s="77">
        <v>610</v>
      </c>
      <c r="BB27" s="77">
        <v>585</v>
      </c>
      <c r="BC27" s="77">
        <v>610</v>
      </c>
      <c r="BD27" s="77">
        <v>2.8E-3</v>
      </c>
      <c r="BE27" s="77">
        <v>2.8E-3</v>
      </c>
      <c r="BF27" s="77">
        <v>1.2999999999999999E-2</v>
      </c>
      <c r="BG27" s="77">
        <v>1.7000000000000001E-2</v>
      </c>
      <c r="BH27" s="79">
        <v>100</v>
      </c>
      <c r="BI27" s="79">
        <f t="shared" si="81"/>
        <v>13.854423602330987</v>
      </c>
      <c r="BJ27" s="79">
        <v>2</v>
      </c>
      <c r="BK27" s="57">
        <f t="shared" si="21"/>
        <v>27.708847204661975</v>
      </c>
      <c r="BL27" s="57"/>
      <c r="BM27" s="80">
        <f t="shared" si="82"/>
        <v>50.26548245743669</v>
      </c>
      <c r="BN27" s="80">
        <v>6</v>
      </c>
      <c r="BO27" s="57">
        <f t="shared" si="23"/>
        <v>301.59289474462014</v>
      </c>
      <c r="BP27" s="57">
        <f t="shared" si="24"/>
        <v>257662.61377623663</v>
      </c>
      <c r="BQ27" s="77">
        <f t="shared" si="25"/>
        <v>0</v>
      </c>
      <c r="BR27" s="57">
        <f t="shared" si="26"/>
        <v>340114650.18463236</v>
      </c>
      <c r="BS27" s="57">
        <v>183.30366664041952</v>
      </c>
      <c r="BT27" s="57">
        <f t="shared" si="49"/>
        <v>136.29526669016605</v>
      </c>
      <c r="BU27" s="57"/>
      <c r="BV27" s="57">
        <v>3.3E-3</v>
      </c>
      <c r="BW27" s="57">
        <v>30000</v>
      </c>
      <c r="BX27" s="57">
        <v>200000</v>
      </c>
      <c r="BY27" s="77">
        <f>20</f>
        <v>20</v>
      </c>
      <c r="BZ27" s="77">
        <f>BY27+230/2*1</f>
        <v>135</v>
      </c>
      <c r="CA27" s="77">
        <f>BY27+230/2*2</f>
        <v>250</v>
      </c>
      <c r="CB27" s="77">
        <f>CA27+50</f>
        <v>300</v>
      </c>
      <c r="CC27" s="77">
        <f>CB27+100*1</f>
        <v>400</v>
      </c>
      <c r="CD27" s="77">
        <f>CB27+100*2</f>
        <v>500</v>
      </c>
      <c r="CE27" s="77">
        <f>CB27+100*3</f>
        <v>600</v>
      </c>
      <c r="CF27" s="77">
        <f>CB27+100*4</f>
        <v>700</v>
      </c>
      <c r="CG27" s="77">
        <f>CB27+100*5</f>
        <v>800</v>
      </c>
      <c r="CH27" s="77">
        <f>CB27+100*6</f>
        <v>900</v>
      </c>
      <c r="CI27" s="77">
        <f>CH27+50</f>
        <v>950</v>
      </c>
      <c r="CJ27" s="77">
        <f>CI27+230/2*1</f>
        <v>1065</v>
      </c>
      <c r="CK27" s="77">
        <f>CI27+230/2*2</f>
        <v>1180</v>
      </c>
      <c r="DM27" s="77">
        <f t="shared" si="86"/>
        <v>100.53096491487338</v>
      </c>
      <c r="DN27" s="77">
        <f t="shared" si="86"/>
        <v>100.53096491487338</v>
      </c>
      <c r="DO27" s="77">
        <f t="shared" si="86"/>
        <v>100.53096491487338</v>
      </c>
      <c r="DP27" s="77">
        <f t="shared" si="87"/>
        <v>27.708847204661975</v>
      </c>
      <c r="DQ27" s="77">
        <f t="shared" si="87"/>
        <v>27.708847204661975</v>
      </c>
      <c r="DR27" s="77">
        <f t="shared" si="87"/>
        <v>27.708847204661975</v>
      </c>
      <c r="DS27" s="77">
        <f t="shared" si="87"/>
        <v>27.708847204661975</v>
      </c>
      <c r="DT27" s="77">
        <f t="shared" si="87"/>
        <v>27.708847204661975</v>
      </c>
      <c r="DU27" s="77">
        <f t="shared" si="87"/>
        <v>27.708847204661975</v>
      </c>
      <c r="DV27" s="77">
        <f t="shared" si="87"/>
        <v>27.708847204661975</v>
      </c>
      <c r="DW27" s="77">
        <f t="shared" si="88"/>
        <v>100.53096491487338</v>
      </c>
      <c r="DX27" s="77">
        <f t="shared" si="88"/>
        <v>100.53096491487338</v>
      </c>
      <c r="DY27" s="77">
        <f t="shared" si="88"/>
        <v>100.53096491487338</v>
      </c>
      <c r="FA27" s="77">
        <f t="shared" si="74"/>
        <v>-58810.614475200928</v>
      </c>
      <c r="FB27" s="77">
        <f t="shared" si="78"/>
        <v>-17484.480487981706</v>
      </c>
      <c r="FC27" s="77">
        <f t="shared" si="79"/>
        <v>24142.074926247878</v>
      </c>
      <c r="FD27" s="77">
        <f t="shared" si="89"/>
        <v>11642.559112871868</v>
      </c>
      <c r="FE27" s="77">
        <f t="shared" si="89"/>
        <v>16902.396794843804</v>
      </c>
      <c r="FF27" s="77">
        <f t="shared" si="89"/>
        <v>16902.396794843804</v>
      </c>
      <c r="FG27" s="77">
        <f t="shared" si="89"/>
        <v>16902.396794843804</v>
      </c>
      <c r="FH27" s="77">
        <f t="shared" si="89"/>
        <v>16902.396794843804</v>
      </c>
      <c r="FI27" s="77">
        <f t="shared" si="89"/>
        <v>16902.396794843804</v>
      </c>
      <c r="FJ27" s="77">
        <f t="shared" si="89"/>
        <v>16902.396794843804</v>
      </c>
      <c r="FK27" s="77">
        <f t="shared" si="90"/>
        <v>58810.614475200928</v>
      </c>
      <c r="FL27" s="77">
        <f t="shared" si="90"/>
        <v>58810.614475200928</v>
      </c>
      <c r="FM27" s="77">
        <f t="shared" si="90"/>
        <v>58810.614475200928</v>
      </c>
      <c r="GO27" s="77">
        <f t="shared" si="68"/>
        <v>34110156.395616539</v>
      </c>
      <c r="GP27" s="77">
        <f t="shared" si="69"/>
        <v>8130283.4269114928</v>
      </c>
      <c r="GQ27" s="77">
        <f t="shared" si="70"/>
        <v>-8449726.2241867576</v>
      </c>
      <c r="GR27" s="77">
        <f t="shared" si="71"/>
        <v>-3492767.7338615605</v>
      </c>
      <c r="GS27" s="77">
        <f t="shared" si="72"/>
        <v>-3380479.3589687608</v>
      </c>
      <c r="GT27" s="77">
        <f t="shared" si="73"/>
        <v>-1690239.6794843804</v>
      </c>
      <c r="GU27" s="77">
        <f t="shared" si="75"/>
        <v>0</v>
      </c>
      <c r="GV27" s="77">
        <f t="shared" si="80"/>
        <v>1690239.6794843804</v>
      </c>
      <c r="GW27" s="77">
        <f t="shared" si="91"/>
        <v>3380479.3589687608</v>
      </c>
      <c r="GX27" s="77">
        <f t="shared" si="91"/>
        <v>5070719.0384531412</v>
      </c>
      <c r="GY27" s="77">
        <f t="shared" si="91"/>
        <v>20583715.066320326</v>
      </c>
      <c r="GZ27" s="77">
        <f t="shared" si="91"/>
        <v>27346935.730968431</v>
      </c>
      <c r="HA27" s="77">
        <f t="shared" si="91"/>
        <v>34110156.395616539</v>
      </c>
      <c r="IC27" s="82">
        <v>26</v>
      </c>
    </row>
    <row r="28" spans="1:237" s="77" customFormat="1">
      <c r="A28" s="77">
        <v>27</v>
      </c>
      <c r="B28" s="69">
        <v>50</v>
      </c>
      <c r="C28" s="69" t="s">
        <v>30</v>
      </c>
      <c r="D28" s="70" t="s">
        <v>33</v>
      </c>
      <c r="E28" s="70">
        <v>1</v>
      </c>
      <c r="F28" s="70">
        <v>6.2899106002554273E-2</v>
      </c>
      <c r="G28" s="70">
        <v>3.888889E-3</v>
      </c>
      <c r="H28" s="70">
        <v>6.6666670000000003E-3</v>
      </c>
      <c r="I28" s="70">
        <v>1.0555556000000001E-2</v>
      </c>
      <c r="J28" s="71">
        <v>1.5</v>
      </c>
      <c r="K28" s="72">
        <v>12</v>
      </c>
      <c r="L28" s="71">
        <v>0.13321839080459771</v>
      </c>
      <c r="M28" s="71">
        <v>0.13321839080459771</v>
      </c>
      <c r="N28" s="71">
        <v>0.38103448275862067</v>
      </c>
      <c r="O28" s="71">
        <v>0.25708812260536396</v>
      </c>
      <c r="P28" s="71">
        <v>0</v>
      </c>
      <c r="Q28" s="73" t="s">
        <v>3</v>
      </c>
      <c r="R28" s="74">
        <v>0</v>
      </c>
      <c r="S28" s="75">
        <f t="shared" si="45"/>
        <v>0.32133995345665717</v>
      </c>
      <c r="T28" s="59">
        <f t="shared" si="0"/>
        <v>0.58400455470920276</v>
      </c>
      <c r="U28" s="59">
        <f t="shared" si="1"/>
        <v>0.28482856755110586</v>
      </c>
      <c r="V28" s="59">
        <f t="shared" si="2"/>
        <v>0.82485265507083139</v>
      </c>
      <c r="W28" s="59">
        <f t="shared" si="3"/>
        <v>1.4124079143210719</v>
      </c>
      <c r="X28" s="59">
        <f t="shared" si="4"/>
        <v>2.8959618136717649</v>
      </c>
      <c r="Y28" s="76">
        <v>197000</v>
      </c>
      <c r="Z28" s="57">
        <f t="shared" si="5"/>
        <v>570504.4772933377</v>
      </c>
      <c r="AA28" s="57">
        <f t="shared" si="6"/>
        <v>278244.35912125115</v>
      </c>
      <c r="AB28" s="57">
        <f t="shared" si="7"/>
        <v>472801.28290621884</v>
      </c>
      <c r="AC28" s="57">
        <f t="shared" si="8"/>
        <v>0.25</v>
      </c>
      <c r="AD28" s="57">
        <f t="shared" si="9"/>
        <v>1.5</v>
      </c>
      <c r="AE28" s="57">
        <f t="shared" si="10"/>
        <v>0</v>
      </c>
      <c r="AF28" s="57">
        <f t="shared" si="11"/>
        <v>125126.52565907521</v>
      </c>
      <c r="AG28" s="57">
        <f t="shared" si="12"/>
        <v>153117.83346217594</v>
      </c>
      <c r="AH28" s="57">
        <f t="shared" si="13"/>
        <v>657307462.84269464</v>
      </c>
      <c r="AI28" s="57">
        <f t="shared" si="14"/>
        <v>250471000.33724552</v>
      </c>
      <c r="AJ28" s="77">
        <v>0</v>
      </c>
      <c r="AK28" s="77">
        <v>26.1</v>
      </c>
      <c r="AL28" s="78">
        <f t="shared" si="15"/>
        <v>2.7624975333423047</v>
      </c>
      <c r="AM28" s="57">
        <f t="shared" si="16"/>
        <v>1</v>
      </c>
      <c r="AN28" s="57">
        <f t="shared" si="17"/>
        <v>0.8</v>
      </c>
      <c r="AO28" s="77">
        <v>1200</v>
      </c>
      <c r="AP28" s="79">
        <v>250</v>
      </c>
      <c r="AQ28" s="57">
        <f t="shared" si="46"/>
        <v>67.632240854107806</v>
      </c>
      <c r="AR28" s="57">
        <f t="shared" si="47"/>
        <v>700</v>
      </c>
      <c r="AS28" s="57">
        <f t="shared" si="18"/>
        <v>1132.3677591458923</v>
      </c>
      <c r="AT28" s="77">
        <v>100</v>
      </c>
      <c r="AU28" s="77">
        <v>1920</v>
      </c>
      <c r="AV28" s="78">
        <f t="shared" si="48"/>
        <v>120000</v>
      </c>
      <c r="AW28" s="77">
        <v>0</v>
      </c>
      <c r="AX28" s="77">
        <f t="shared" si="19"/>
        <v>120000</v>
      </c>
      <c r="AY28" s="77">
        <v>120000</v>
      </c>
      <c r="AZ28" s="77">
        <v>610</v>
      </c>
      <c r="BA28" s="77">
        <v>610</v>
      </c>
      <c r="BB28" s="77">
        <v>585</v>
      </c>
      <c r="BC28" s="77">
        <v>610</v>
      </c>
      <c r="BD28" s="77">
        <v>5.7000000000000002E-3</v>
      </c>
      <c r="BE28" s="77">
        <v>5.7000000000000002E-3</v>
      </c>
      <c r="BF28" s="77">
        <v>1.7000000000000001E-2</v>
      </c>
      <c r="BG28" s="77">
        <v>1.0999999999999999E-2</v>
      </c>
      <c r="BH28" s="79">
        <v>100</v>
      </c>
      <c r="BI28" s="79">
        <f t="shared" si="81"/>
        <v>13.854423602330987</v>
      </c>
      <c r="BJ28" s="79">
        <v>2</v>
      </c>
      <c r="BK28" s="57">
        <f t="shared" si="21"/>
        <v>27.708847204661975</v>
      </c>
      <c r="BL28" s="57"/>
      <c r="BM28" s="80">
        <f t="shared" si="82"/>
        <v>50.26548245743669</v>
      </c>
      <c r="BN28" s="80">
        <v>8</v>
      </c>
      <c r="BO28" s="57">
        <f t="shared" si="23"/>
        <v>402.12385965949352</v>
      </c>
      <c r="BP28" s="57">
        <f t="shared" si="24"/>
        <v>162495.97304895378</v>
      </c>
      <c r="BQ28" s="77">
        <f t="shared" si="25"/>
        <v>1.2223608791828156E-9</v>
      </c>
      <c r="BR28" s="57">
        <f t="shared" si="26"/>
        <v>311992268.25399125</v>
      </c>
      <c r="BS28" s="57">
        <v>135.26448170821561</v>
      </c>
      <c r="BT28" s="57">
        <f t="shared" si="49"/>
        <v>45.371903645802746</v>
      </c>
      <c r="BU28" s="57"/>
      <c r="BV28" s="57">
        <v>3.3E-3</v>
      </c>
      <c r="BW28" s="57">
        <v>30000</v>
      </c>
      <c r="BX28" s="57">
        <v>200000</v>
      </c>
      <c r="BY28" s="77">
        <f>20</f>
        <v>20</v>
      </c>
      <c r="BZ28" s="77">
        <f>BY28+230/3*1</f>
        <v>96.666666666666671</v>
      </c>
      <c r="CA28" s="77">
        <f>BY28+230/3*2</f>
        <v>173.33333333333334</v>
      </c>
      <c r="CB28" s="77">
        <f>BY28+230/3*3</f>
        <v>250</v>
      </c>
      <c r="CC28" s="77">
        <f>CB28+50</f>
        <v>300</v>
      </c>
      <c r="CD28" s="77">
        <f>CC28+100*1</f>
        <v>400</v>
      </c>
      <c r="CE28" s="77">
        <f>CC28+100*2</f>
        <v>500</v>
      </c>
      <c r="CF28" s="77">
        <f>CC28+100*3</f>
        <v>600</v>
      </c>
      <c r="CG28" s="77">
        <f>CC28+100*4</f>
        <v>700</v>
      </c>
      <c r="CH28" s="77">
        <f>CC28+100*5</f>
        <v>800</v>
      </c>
      <c r="CI28" s="77">
        <f>CC28+100*6</f>
        <v>900</v>
      </c>
      <c r="CJ28" s="77">
        <f>CI28+50</f>
        <v>950</v>
      </c>
      <c r="CK28" s="77">
        <f>CJ28+230/3*1</f>
        <v>1026.6666666666667</v>
      </c>
      <c r="CL28" s="77">
        <f>CJ28+230/3*2</f>
        <v>1103.3333333333333</v>
      </c>
      <c r="CM28" s="77">
        <f>CJ28+230/3*3</f>
        <v>1180</v>
      </c>
      <c r="DM28" s="77">
        <f t="shared" si="86"/>
        <v>100.53096491487338</v>
      </c>
      <c r="DN28" s="77">
        <f t="shared" si="86"/>
        <v>100.53096491487338</v>
      </c>
      <c r="DO28" s="77">
        <f t="shared" si="86"/>
        <v>100.53096491487338</v>
      </c>
      <c r="DP28" s="77">
        <f>PI()*8*8/4*2</f>
        <v>100.53096491487338</v>
      </c>
      <c r="DQ28" s="77">
        <f t="shared" ref="DQ28:DW28" si="92">PI()*4.2*4.2/4*2</f>
        <v>27.708847204661975</v>
      </c>
      <c r="DR28" s="77">
        <f t="shared" si="92"/>
        <v>27.708847204661975</v>
      </c>
      <c r="DS28" s="77">
        <f t="shared" si="92"/>
        <v>27.708847204661975</v>
      </c>
      <c r="DT28" s="77">
        <f t="shared" si="92"/>
        <v>27.708847204661975</v>
      </c>
      <c r="DU28" s="77">
        <f t="shared" si="92"/>
        <v>27.708847204661975</v>
      </c>
      <c r="DV28" s="77">
        <f t="shared" si="92"/>
        <v>27.708847204661975</v>
      </c>
      <c r="DW28" s="77">
        <f t="shared" si="92"/>
        <v>27.708847204661975</v>
      </c>
      <c r="DX28" s="77">
        <f>PI()*8*8/4*2</f>
        <v>100.53096491487338</v>
      </c>
      <c r="DY28" s="77">
        <f>PI()*8*8/4*2</f>
        <v>100.53096491487338</v>
      </c>
      <c r="DZ28" s="77">
        <f>PI()*8*8/4*2</f>
        <v>100.53096491487338</v>
      </c>
      <c r="EA28" s="77">
        <f>PI()*8*8/4*2</f>
        <v>100.53096491487338</v>
      </c>
      <c r="FA28" s="77">
        <f t="shared" si="74"/>
        <v>-56539.96243014979</v>
      </c>
      <c r="FB28" s="77">
        <f t="shared" si="78"/>
        <v>-18933.143844427665</v>
      </c>
      <c r="FC28" s="77">
        <f t="shared" si="79"/>
        <v>18673.674741294464</v>
      </c>
      <c r="FD28" s="77">
        <f>IF(ABS(-$BV28*($BS28-CB28)/$BS28*$BX28)&gt;$BB28,$BB28*SIGN(-($BS28-CB28)),-$BV28*($BS28-CB28)/$BS28*$BX28)*DP28</f>
        <v>56280.493327016578</v>
      </c>
      <c r="FE28" s="77">
        <f t="shared" ref="FE28:FK28" si="93">IF(ABS(-$BV28*($BS28-CC28)/$BS28*$BX28)&gt;$BA28,$BA28*SIGN(-($BS28-CC28)),-$BV28*($BS28-CC28)/$BS28*$BX28)*DQ28</f>
        <v>16902.396794843804</v>
      </c>
      <c r="FF28" s="77">
        <f t="shared" si="93"/>
        <v>16902.396794843804</v>
      </c>
      <c r="FG28" s="77">
        <f t="shared" si="93"/>
        <v>16902.396794843804</v>
      </c>
      <c r="FH28" s="77">
        <f t="shared" si="93"/>
        <v>16902.396794843804</v>
      </c>
      <c r="FI28" s="77">
        <f t="shared" si="93"/>
        <v>16902.396794843804</v>
      </c>
      <c r="FJ28" s="77">
        <f t="shared" si="93"/>
        <v>16902.396794843804</v>
      </c>
      <c r="FK28" s="77">
        <f t="shared" si="93"/>
        <v>16902.396794843804</v>
      </c>
      <c r="FL28" s="77">
        <f>IF(ABS(-$BV28*($BS28-CJ28)/$BS28*$BX28)&gt;$BB28,$BB28*SIGN(-($BS28-CJ28)),-$BV28*($BS28-CJ28)/$BS28*$BX28)*DX28</f>
        <v>58810.614475200928</v>
      </c>
      <c r="FM28" s="77">
        <f>IF(ABS(-$BV28*($BS28-CK28)/$BS28*$BX28)&gt;$BB28,$BB28*SIGN(-($BS28-CK28)),-$BV28*($BS28-CK28)/$BS28*$BX28)*DY28</f>
        <v>58810.614475200928</v>
      </c>
      <c r="FN28" s="77">
        <f>IF(ABS(-$BV28*($BS28-CL28)/$BS28*$BX28)&gt;$BB28,$BB28*SIGN(-($BS28-CL28)),-$BV28*($BS28-CL28)/$BS28*$BX28)*DZ28</f>
        <v>58810.614475200928</v>
      </c>
      <c r="FO28" s="77">
        <f>IF(ABS(-$BV28*($BS28-CM28)/$BS28*$BX28)&gt;$BB28,$BB28*SIGN(-($BS28-CM28)),-$BV28*($BS28-CM28)/$BS28*$BX28)*EA28</f>
        <v>58810.614475200928</v>
      </c>
      <c r="GO28" s="77">
        <f t="shared" si="68"/>
        <v>32793178.209486879</v>
      </c>
      <c r="GP28" s="77">
        <f t="shared" si="69"/>
        <v>9529682.4016952571</v>
      </c>
      <c r="GQ28" s="77">
        <f t="shared" si="70"/>
        <v>-7967434.5562856374</v>
      </c>
      <c r="GR28" s="77">
        <f t="shared" si="71"/>
        <v>-19698172.664455801</v>
      </c>
      <c r="GS28" s="77">
        <f t="shared" si="72"/>
        <v>-5070719.0384531412</v>
      </c>
      <c r="GT28" s="77">
        <f t="shared" si="73"/>
        <v>-3380479.3589687608</v>
      </c>
      <c r="GU28" s="77">
        <f t="shared" si="75"/>
        <v>-1690239.6794843804</v>
      </c>
      <c r="GV28" s="77">
        <f t="shared" si="80"/>
        <v>0</v>
      </c>
      <c r="GW28" s="77">
        <f t="shared" si="91"/>
        <v>1690239.6794843804</v>
      </c>
      <c r="GX28" s="77">
        <f t="shared" si="91"/>
        <v>3380479.3589687608</v>
      </c>
      <c r="GY28" s="77">
        <f t="shared" si="91"/>
        <v>5070719.0384531412</v>
      </c>
      <c r="GZ28" s="77">
        <f t="shared" si="91"/>
        <v>20583715.066320326</v>
      </c>
      <c r="HA28" s="77">
        <f t="shared" si="91"/>
        <v>25092528.842752401</v>
      </c>
      <c r="HB28" s="77">
        <f>FN28*(CL28-0.5*$AO28)</f>
        <v>29601342.619184464</v>
      </c>
      <c r="HC28" s="77">
        <f>FO28*(CM28-0.5*$AO28)</f>
        <v>34110156.395616539</v>
      </c>
      <c r="IC28" s="82">
        <v>27</v>
      </c>
    </row>
    <row r="29" spans="1:237" s="77" customFormat="1">
      <c r="A29" s="77">
        <v>28</v>
      </c>
      <c r="B29" s="69">
        <v>51</v>
      </c>
      <c r="C29" s="69" t="s">
        <v>30</v>
      </c>
      <c r="D29" s="70" t="s">
        <v>34</v>
      </c>
      <c r="E29" s="70">
        <v>1</v>
      </c>
      <c r="F29" s="70">
        <v>3.9440203562340972E-2</v>
      </c>
      <c r="G29" s="70">
        <v>6.6666670000000003E-3</v>
      </c>
      <c r="H29" s="70">
        <v>9.4444439999999998E-3</v>
      </c>
      <c r="I29" s="70">
        <v>1.7222221999999999E-2</v>
      </c>
      <c r="J29" s="71">
        <v>1.5</v>
      </c>
      <c r="K29" s="72">
        <v>12</v>
      </c>
      <c r="L29" s="71">
        <v>6.5190839694656486E-2</v>
      </c>
      <c r="M29" s="71">
        <v>6.5190839694656486E-2</v>
      </c>
      <c r="N29" s="71">
        <v>0.29026717557251908</v>
      </c>
      <c r="O29" s="71">
        <v>0.25610687022900763</v>
      </c>
      <c r="P29" s="71">
        <v>0</v>
      </c>
      <c r="Q29" s="73" t="s">
        <v>3</v>
      </c>
      <c r="R29" s="74">
        <v>0</v>
      </c>
      <c r="S29" s="75">
        <f t="shared" si="45"/>
        <v>0.20187837183417892</v>
      </c>
      <c r="T29" s="59">
        <f t="shared" si="0"/>
        <v>0.47444807266368005</v>
      </c>
      <c r="U29" s="59">
        <f t="shared" si="1"/>
        <v>0.37143121170217563</v>
      </c>
      <c r="V29" s="59">
        <f t="shared" si="2"/>
        <v>1.0739088980740636</v>
      </c>
      <c r="W29" s="59">
        <f t="shared" si="3"/>
        <v>2.2634909064860316</v>
      </c>
      <c r="X29" s="59">
        <f t="shared" si="4"/>
        <v>2.891272634716425</v>
      </c>
      <c r="Y29" s="76">
        <v>124000</v>
      </c>
      <c r="Z29" s="57">
        <f t="shared" si="5"/>
        <v>358517.80670483672</v>
      </c>
      <c r="AA29" s="57">
        <f t="shared" si="6"/>
        <v>280672.8724042679</v>
      </c>
      <c r="AB29" s="57">
        <f t="shared" si="7"/>
        <v>446120.39256423619</v>
      </c>
      <c r="AC29" s="57">
        <f t="shared" si="8"/>
        <v>0.25</v>
      </c>
      <c r="AD29" s="57">
        <f t="shared" si="9"/>
        <v>1.5</v>
      </c>
      <c r="AE29" s="57">
        <f t="shared" si="10"/>
        <v>0</v>
      </c>
      <c r="AF29" s="57">
        <f t="shared" si="11"/>
        <v>126364.73175944081</v>
      </c>
      <c r="AG29" s="57">
        <f t="shared" si="12"/>
        <v>154308.14064482707</v>
      </c>
      <c r="AH29" s="57">
        <f t="shared" si="13"/>
        <v>665591715.43939269</v>
      </c>
      <c r="AI29" s="57">
        <f t="shared" si="14"/>
        <v>190959438.28394082</v>
      </c>
      <c r="AJ29" s="77">
        <v>0</v>
      </c>
      <c r="AK29" s="77">
        <v>26.2</v>
      </c>
      <c r="AL29" s="78">
        <f t="shared" si="15"/>
        <v>2.7683138791597783</v>
      </c>
      <c r="AM29" s="57">
        <f t="shared" si="16"/>
        <v>1</v>
      </c>
      <c r="AN29" s="57">
        <f t="shared" si="17"/>
        <v>0.8</v>
      </c>
      <c r="AO29" s="77">
        <v>1200</v>
      </c>
      <c r="AP29" s="79">
        <v>250</v>
      </c>
      <c r="AQ29" s="57">
        <f t="shared" si="46"/>
        <v>58.829442077263103</v>
      </c>
      <c r="AR29" s="57">
        <f t="shared" si="47"/>
        <v>700</v>
      </c>
      <c r="AS29" s="57">
        <f t="shared" si="18"/>
        <v>1141.1705579227369</v>
      </c>
      <c r="AT29" s="77">
        <v>100</v>
      </c>
      <c r="AU29" s="77">
        <v>1920</v>
      </c>
      <c r="AV29" s="78">
        <f t="shared" si="48"/>
        <v>120000</v>
      </c>
      <c r="AW29" s="77">
        <v>0</v>
      </c>
      <c r="AX29" s="77">
        <f t="shared" si="19"/>
        <v>120000</v>
      </c>
      <c r="AY29" s="77">
        <v>120000</v>
      </c>
      <c r="AZ29" s="77">
        <v>610</v>
      </c>
      <c r="BA29" s="77">
        <v>610</v>
      </c>
      <c r="BB29" s="77">
        <v>585</v>
      </c>
      <c r="BC29" s="77">
        <v>610</v>
      </c>
      <c r="BD29" s="77">
        <v>2.8E-3</v>
      </c>
      <c r="BE29" s="77">
        <v>2.8E-3</v>
      </c>
      <c r="BF29" s="77">
        <v>1.2999999999999999E-2</v>
      </c>
      <c r="BG29" s="77">
        <v>1.0999999999999999E-2</v>
      </c>
      <c r="BH29" s="79">
        <v>100</v>
      </c>
      <c r="BI29" s="79">
        <f t="shared" si="81"/>
        <v>13.854423602330987</v>
      </c>
      <c r="BJ29" s="79">
        <v>2</v>
      </c>
      <c r="BK29" s="57">
        <f t="shared" si="21"/>
        <v>27.708847204661975</v>
      </c>
      <c r="BL29" s="57"/>
      <c r="BM29" s="80">
        <f t="shared" si="82"/>
        <v>50.26548245743669</v>
      </c>
      <c r="BN29" s="80">
        <v>6</v>
      </c>
      <c r="BO29" s="57">
        <f t="shared" si="23"/>
        <v>301.59289474462014</v>
      </c>
      <c r="BP29" s="57">
        <f t="shared" si="24"/>
        <v>133164.7033611839</v>
      </c>
      <c r="BQ29" s="77">
        <f t="shared" si="25"/>
        <v>0</v>
      </c>
      <c r="BR29" s="57">
        <f t="shared" si="26"/>
        <v>255676230.45347306</v>
      </c>
      <c r="BS29" s="57">
        <v>117.65888415452621</v>
      </c>
      <c r="BT29" s="57">
        <f t="shared" si="49"/>
        <v>22.221264017461795</v>
      </c>
      <c r="BU29" s="57"/>
      <c r="BV29" s="57">
        <v>3.3E-3</v>
      </c>
      <c r="BW29" s="57">
        <v>30000</v>
      </c>
      <c r="BX29" s="57">
        <v>200000</v>
      </c>
      <c r="BY29" s="77">
        <f>20</f>
        <v>20</v>
      </c>
      <c r="BZ29" s="77">
        <f>BY29+230/2*1</f>
        <v>135</v>
      </c>
      <c r="CA29" s="77">
        <f>BY29+230/2*2</f>
        <v>250</v>
      </c>
      <c r="CB29" s="77">
        <f>CA29+50</f>
        <v>300</v>
      </c>
      <c r="CC29" s="77">
        <f>CB29+100*1</f>
        <v>400</v>
      </c>
      <c r="CD29" s="77">
        <f>CB29+100*2</f>
        <v>500</v>
      </c>
      <c r="CE29" s="77">
        <f>CB29+100*3</f>
        <v>600</v>
      </c>
      <c r="CF29" s="77">
        <f>CB29+100*4</f>
        <v>700</v>
      </c>
      <c r="CG29" s="77">
        <f>CB29+100*5</f>
        <v>800</v>
      </c>
      <c r="CH29" s="77">
        <f>CB29+100*6</f>
        <v>900</v>
      </c>
      <c r="CI29" s="77">
        <f>CH29+50</f>
        <v>950</v>
      </c>
      <c r="CJ29" s="77">
        <f>CI29+230/2*1</f>
        <v>1065</v>
      </c>
      <c r="CK29" s="77">
        <f>CI29+230/2*2</f>
        <v>1180</v>
      </c>
      <c r="DM29" s="77">
        <f t="shared" si="86"/>
        <v>100.53096491487338</v>
      </c>
      <c r="DN29" s="77">
        <f t="shared" si="86"/>
        <v>100.53096491487338</v>
      </c>
      <c r="DO29" s="77">
        <f t="shared" si="86"/>
        <v>100.53096491487338</v>
      </c>
      <c r="DP29" s="77">
        <f t="shared" ref="DP29:DV30" si="94">PI()*4.2*4.2/4*2</f>
        <v>27.708847204661975</v>
      </c>
      <c r="DQ29" s="77">
        <f t="shared" si="94"/>
        <v>27.708847204661975</v>
      </c>
      <c r="DR29" s="77">
        <f t="shared" si="94"/>
        <v>27.708847204661975</v>
      </c>
      <c r="DS29" s="77">
        <f t="shared" si="94"/>
        <v>27.708847204661975</v>
      </c>
      <c r="DT29" s="77">
        <f t="shared" si="94"/>
        <v>27.708847204661975</v>
      </c>
      <c r="DU29" s="77">
        <f t="shared" si="94"/>
        <v>27.708847204661975</v>
      </c>
      <c r="DV29" s="77">
        <f t="shared" si="94"/>
        <v>27.708847204661975</v>
      </c>
      <c r="DW29" s="77">
        <f t="shared" ref="DW29:DY30" si="95">PI()*8*8/4*2</f>
        <v>100.53096491487338</v>
      </c>
      <c r="DX29" s="77">
        <f t="shared" si="95"/>
        <v>100.53096491487338</v>
      </c>
      <c r="DY29" s="77">
        <f t="shared" si="95"/>
        <v>100.53096491487338</v>
      </c>
      <c r="FA29" s="77">
        <f t="shared" si="74"/>
        <v>-55071.99623636077</v>
      </c>
      <c r="FB29" s="77">
        <f t="shared" si="78"/>
        <v>9779.0372565092148</v>
      </c>
      <c r="FC29" s="77">
        <f t="shared" si="79"/>
        <v>58810.614475200928</v>
      </c>
      <c r="FD29" s="77">
        <f t="shared" ref="FD29:FJ30" si="96">IF(ABS(-$BV29*($BS29-CB29)/$BS29*$BX29)&gt;$BA29,$BA29*SIGN(-($BS29-CB29)),-$BV29*($BS29-CB29)/$BS29*$BX29)*DP29</f>
        <v>16902.396794843804</v>
      </c>
      <c r="FE29" s="77">
        <f t="shared" si="96"/>
        <v>16902.396794843804</v>
      </c>
      <c r="FF29" s="77">
        <f t="shared" si="96"/>
        <v>16902.396794843804</v>
      </c>
      <c r="FG29" s="77">
        <f t="shared" si="96"/>
        <v>16902.396794843804</v>
      </c>
      <c r="FH29" s="77">
        <f t="shared" si="96"/>
        <v>16902.396794843804</v>
      </c>
      <c r="FI29" s="77">
        <f t="shared" si="96"/>
        <v>16902.396794843804</v>
      </c>
      <c r="FJ29" s="77">
        <f t="shared" si="96"/>
        <v>16902.396794843804</v>
      </c>
      <c r="FK29" s="77">
        <f t="shared" ref="FK29:FM30" si="97">IF(ABS(-$BV29*($BS29-CI29)/$BS29*$BX29)&gt;$BB29,$BB29*SIGN(-($BS29-CI29)),-$BV29*($BS29-CI29)/$BS29*$BX29)*DW29</f>
        <v>58810.614475200928</v>
      </c>
      <c r="FL29" s="77">
        <f t="shared" si="97"/>
        <v>58810.614475200928</v>
      </c>
      <c r="FM29" s="77">
        <f t="shared" si="97"/>
        <v>58810.614475200928</v>
      </c>
      <c r="GO29" s="77">
        <f t="shared" si="68"/>
        <v>31941757.817089248</v>
      </c>
      <c r="GP29" s="77">
        <f t="shared" si="69"/>
        <v>-4547252.3242767844</v>
      </c>
      <c r="GQ29" s="77">
        <f t="shared" si="70"/>
        <v>-20583715.066320326</v>
      </c>
      <c r="GR29" s="77">
        <f t="shared" si="71"/>
        <v>-5070719.0384531412</v>
      </c>
      <c r="GS29" s="77">
        <f t="shared" si="72"/>
        <v>-3380479.3589687608</v>
      </c>
      <c r="GT29" s="77">
        <f t="shared" si="73"/>
        <v>-1690239.6794843804</v>
      </c>
      <c r="GU29" s="77">
        <f t="shared" si="75"/>
        <v>0</v>
      </c>
      <c r="GV29" s="77">
        <f t="shared" si="80"/>
        <v>1690239.6794843804</v>
      </c>
      <c r="GW29" s="77">
        <f t="shared" si="91"/>
        <v>3380479.3589687608</v>
      </c>
      <c r="GX29" s="77">
        <f t="shared" si="91"/>
        <v>5070719.0384531412</v>
      </c>
      <c r="GY29" s="77">
        <f t="shared" si="91"/>
        <v>20583715.066320326</v>
      </c>
      <c r="GZ29" s="77">
        <f t="shared" si="91"/>
        <v>27346935.730968431</v>
      </c>
      <c r="HA29" s="77">
        <f t="shared" si="91"/>
        <v>34110156.395616539</v>
      </c>
      <c r="IC29" s="82">
        <v>28</v>
      </c>
    </row>
    <row r="30" spans="1:237" s="77" customFormat="1">
      <c r="A30" s="77">
        <v>29</v>
      </c>
      <c r="B30" s="69">
        <v>52</v>
      </c>
      <c r="C30" s="69" t="s">
        <v>30</v>
      </c>
      <c r="D30" s="70" t="s">
        <v>35</v>
      </c>
      <c r="E30" s="70">
        <v>1</v>
      </c>
      <c r="F30" s="70">
        <v>6.0857538035961264E-2</v>
      </c>
      <c r="G30" s="70">
        <v>2.7777779999999998E-3</v>
      </c>
      <c r="H30" s="70">
        <v>5.0000000000000001E-3</v>
      </c>
      <c r="I30" s="70">
        <v>1.2222222E-2</v>
      </c>
      <c r="J30" s="71">
        <v>1.5</v>
      </c>
      <c r="K30" s="72">
        <v>12</v>
      </c>
      <c r="L30" s="71">
        <v>7.0871369294605802E-2</v>
      </c>
      <c r="M30" s="71">
        <v>7.0871369294605802E-2</v>
      </c>
      <c r="N30" s="71">
        <v>0.31556016597510372</v>
      </c>
      <c r="O30" s="71">
        <v>0.27842323651452278</v>
      </c>
      <c r="P30" s="71">
        <v>7.0000000000000007E-2</v>
      </c>
      <c r="Q30" s="73" t="s">
        <v>3</v>
      </c>
      <c r="R30" s="74">
        <v>0</v>
      </c>
      <c r="S30" s="75">
        <f t="shared" si="45"/>
        <v>0.29876030936646047</v>
      </c>
      <c r="T30" s="59">
        <f t="shared" si="0"/>
        <v>0.61827486624428996</v>
      </c>
      <c r="U30" s="59">
        <f t="shared" si="1"/>
        <v>0.50447704056566622</v>
      </c>
      <c r="V30" s="59">
        <f t="shared" si="2"/>
        <v>1.0096283963972601</v>
      </c>
      <c r="W30" s="59">
        <f t="shared" si="3"/>
        <v>1.6329766120532228</v>
      </c>
      <c r="X30" s="59">
        <f t="shared" si="4"/>
        <v>2.0013366619522897</v>
      </c>
      <c r="Y30" s="76">
        <v>176000</v>
      </c>
      <c r="Z30" s="57">
        <f t="shared" si="5"/>
        <v>352235.25250360294</v>
      </c>
      <c r="AA30" s="57">
        <f t="shared" si="6"/>
        <v>287403.88372136722</v>
      </c>
      <c r="AB30" s="57">
        <f t="shared" si="7"/>
        <v>402150.63411978009</v>
      </c>
      <c r="AC30" s="57">
        <f t="shared" si="8"/>
        <v>0.25</v>
      </c>
      <c r="AD30" s="57">
        <f t="shared" si="9"/>
        <v>1.5</v>
      </c>
      <c r="AE30" s="57">
        <f t="shared" si="10"/>
        <v>202440</v>
      </c>
      <c r="AF30" s="57">
        <f t="shared" si="11"/>
        <v>137493.71530244837</v>
      </c>
      <c r="AG30" s="57">
        <f t="shared" si="12"/>
        <v>149910.16841891882</v>
      </c>
      <c r="AH30" s="57">
        <f t="shared" si="13"/>
        <v>592646588.64794552</v>
      </c>
      <c r="AI30" s="57">
        <f t="shared" si="14"/>
        <v>179482628.86203235</v>
      </c>
      <c r="AJ30" s="77">
        <v>202440</v>
      </c>
      <c r="AK30" s="77">
        <v>24.1</v>
      </c>
      <c r="AL30" s="78">
        <f t="shared" si="15"/>
        <v>2.6439850385417172</v>
      </c>
      <c r="AM30" s="57">
        <f t="shared" si="16"/>
        <v>1</v>
      </c>
      <c r="AN30" s="57">
        <f t="shared" si="17"/>
        <v>0.8</v>
      </c>
      <c r="AO30" s="77">
        <v>1200</v>
      </c>
      <c r="AP30" s="79">
        <v>250</v>
      </c>
      <c r="AQ30" s="57">
        <f t="shared" si="46"/>
        <v>91.354209712953406</v>
      </c>
      <c r="AR30" s="57">
        <f t="shared" si="47"/>
        <v>700</v>
      </c>
      <c r="AS30" s="57">
        <f t="shared" si="18"/>
        <v>1108.6457902870466</v>
      </c>
      <c r="AT30" s="77">
        <v>100</v>
      </c>
      <c r="AU30" s="77">
        <v>1920</v>
      </c>
      <c r="AV30" s="78">
        <f t="shared" si="48"/>
        <v>120000</v>
      </c>
      <c r="AW30" s="77">
        <v>0</v>
      </c>
      <c r="AX30" s="77">
        <f t="shared" si="19"/>
        <v>120000</v>
      </c>
      <c r="AY30" s="77">
        <v>120000</v>
      </c>
      <c r="AZ30" s="77">
        <v>610</v>
      </c>
      <c r="BA30" s="77">
        <v>610</v>
      </c>
      <c r="BB30" s="77">
        <v>585</v>
      </c>
      <c r="BC30" s="77">
        <v>610</v>
      </c>
      <c r="BD30" s="77">
        <v>2.8E-3</v>
      </c>
      <c r="BE30" s="77">
        <v>2.8E-3</v>
      </c>
      <c r="BF30" s="77">
        <v>1.2999999999999999E-2</v>
      </c>
      <c r="BG30" s="77">
        <v>1.0999999999999999E-2</v>
      </c>
      <c r="BH30" s="79">
        <v>100</v>
      </c>
      <c r="BI30" s="79">
        <f t="shared" si="81"/>
        <v>13.854423602330987</v>
      </c>
      <c r="BJ30" s="79">
        <v>2</v>
      </c>
      <c r="BK30" s="57">
        <f t="shared" si="21"/>
        <v>27.708847204661975</v>
      </c>
      <c r="BL30" s="57"/>
      <c r="BM30" s="80">
        <f t="shared" si="82"/>
        <v>50.26548245743669</v>
      </c>
      <c r="BN30" s="80">
        <v>6</v>
      </c>
      <c r="BO30" s="57">
        <f t="shared" si="23"/>
        <v>301.59289474462014</v>
      </c>
      <c r="BP30" s="57">
        <f t="shared" si="24"/>
        <v>177694.59776591777</v>
      </c>
      <c r="BQ30" s="77">
        <f t="shared" si="25"/>
        <v>0</v>
      </c>
      <c r="BR30" s="57">
        <f t="shared" si="26"/>
        <v>341173627.71056211</v>
      </c>
      <c r="BS30" s="57">
        <v>182.70841942590681</v>
      </c>
      <c r="BT30" s="57">
        <f t="shared" si="49"/>
        <v>136.31836428766766</v>
      </c>
      <c r="BU30" s="57"/>
      <c r="BV30" s="57">
        <v>3.3E-3</v>
      </c>
      <c r="BW30" s="57">
        <v>30000</v>
      </c>
      <c r="BX30" s="57">
        <v>200000</v>
      </c>
      <c r="BY30" s="77">
        <f>20</f>
        <v>20</v>
      </c>
      <c r="BZ30" s="77">
        <f>BY30+230/2*1</f>
        <v>135</v>
      </c>
      <c r="CA30" s="77">
        <f>BY30+230/2*2</f>
        <v>250</v>
      </c>
      <c r="CB30" s="77">
        <f>CA30+50</f>
        <v>300</v>
      </c>
      <c r="CC30" s="77">
        <f>CB30+100*1</f>
        <v>400</v>
      </c>
      <c r="CD30" s="77">
        <f>CB30+100*2</f>
        <v>500</v>
      </c>
      <c r="CE30" s="77">
        <f>CB30+100*3</f>
        <v>600</v>
      </c>
      <c r="CF30" s="77">
        <f>CB30+100*4</f>
        <v>700</v>
      </c>
      <c r="CG30" s="77">
        <f>CB30+100*5</f>
        <v>800</v>
      </c>
      <c r="CH30" s="77">
        <f>CB30+100*6</f>
        <v>900</v>
      </c>
      <c r="CI30" s="77">
        <f>CH30+50</f>
        <v>950</v>
      </c>
      <c r="CJ30" s="77">
        <f>CI30+230/2*1</f>
        <v>1065</v>
      </c>
      <c r="CK30" s="77">
        <f>CI30+230/2*2</f>
        <v>1180</v>
      </c>
      <c r="DM30" s="77">
        <f t="shared" si="86"/>
        <v>100.53096491487338</v>
      </c>
      <c r="DN30" s="77">
        <f t="shared" si="86"/>
        <v>100.53096491487338</v>
      </c>
      <c r="DO30" s="77">
        <f t="shared" si="86"/>
        <v>100.53096491487338</v>
      </c>
      <c r="DP30" s="77">
        <f t="shared" si="94"/>
        <v>27.708847204661975</v>
      </c>
      <c r="DQ30" s="77">
        <f t="shared" si="94"/>
        <v>27.708847204661975</v>
      </c>
      <c r="DR30" s="77">
        <f t="shared" si="94"/>
        <v>27.708847204661975</v>
      </c>
      <c r="DS30" s="77">
        <f t="shared" si="94"/>
        <v>27.708847204661975</v>
      </c>
      <c r="DT30" s="77">
        <f t="shared" si="94"/>
        <v>27.708847204661975</v>
      </c>
      <c r="DU30" s="77">
        <f t="shared" si="94"/>
        <v>27.708847204661975</v>
      </c>
      <c r="DV30" s="77">
        <f t="shared" si="94"/>
        <v>27.708847204661975</v>
      </c>
      <c r="DW30" s="77">
        <f t="shared" si="95"/>
        <v>100.53096491487338</v>
      </c>
      <c r="DX30" s="77">
        <f t="shared" si="95"/>
        <v>100.53096491487338</v>
      </c>
      <c r="DY30" s="77">
        <f t="shared" si="95"/>
        <v>100.53096491487338</v>
      </c>
      <c r="FA30" s="77">
        <f t="shared" si="74"/>
        <v>-58810.614475200928</v>
      </c>
      <c r="FB30" s="77">
        <f t="shared" si="78"/>
        <v>-17325.279699661678</v>
      </c>
      <c r="FC30" s="77">
        <f t="shared" si="79"/>
        <v>24436.89120091459</v>
      </c>
      <c r="FD30" s="77">
        <f t="shared" si="96"/>
        <v>11740.069595717881</v>
      </c>
      <c r="FE30" s="77">
        <f t="shared" si="96"/>
        <v>16902.396794843804</v>
      </c>
      <c r="FF30" s="77">
        <f t="shared" si="96"/>
        <v>16902.396794843804</v>
      </c>
      <c r="FG30" s="77">
        <f t="shared" si="96"/>
        <v>16902.396794843804</v>
      </c>
      <c r="FH30" s="77">
        <f t="shared" si="96"/>
        <v>16902.396794843804</v>
      </c>
      <c r="FI30" s="77">
        <f t="shared" si="96"/>
        <v>16902.396794843804</v>
      </c>
      <c r="FJ30" s="77">
        <f t="shared" si="96"/>
        <v>16902.396794843804</v>
      </c>
      <c r="FK30" s="77">
        <f t="shared" si="97"/>
        <v>58810.614475200928</v>
      </c>
      <c r="FL30" s="77">
        <f t="shared" si="97"/>
        <v>58810.614475200928</v>
      </c>
      <c r="FM30" s="77">
        <f t="shared" si="97"/>
        <v>58810.614475200928</v>
      </c>
      <c r="GO30" s="77">
        <f t="shared" si="68"/>
        <v>34110156.395616539</v>
      </c>
      <c r="GP30" s="77">
        <f t="shared" si="69"/>
        <v>8056255.0603426807</v>
      </c>
      <c r="GQ30" s="77">
        <f t="shared" si="70"/>
        <v>-8552911.9203201067</v>
      </c>
      <c r="GR30" s="77">
        <f t="shared" si="71"/>
        <v>-3522020.8787153643</v>
      </c>
      <c r="GS30" s="77">
        <f t="shared" si="72"/>
        <v>-3380479.3589687608</v>
      </c>
      <c r="GT30" s="77">
        <f t="shared" si="73"/>
        <v>-1690239.6794843804</v>
      </c>
      <c r="GU30" s="77">
        <f t="shared" si="75"/>
        <v>0</v>
      </c>
      <c r="GV30" s="77">
        <f t="shared" si="80"/>
        <v>1690239.6794843804</v>
      </c>
      <c r="GW30" s="77">
        <f t="shared" si="91"/>
        <v>3380479.3589687608</v>
      </c>
      <c r="GX30" s="77">
        <f t="shared" si="91"/>
        <v>5070719.0384531412</v>
      </c>
      <c r="GY30" s="77">
        <f t="shared" si="91"/>
        <v>20583715.066320326</v>
      </c>
      <c r="GZ30" s="77">
        <f t="shared" si="91"/>
        <v>27346935.730968431</v>
      </c>
      <c r="HA30" s="77">
        <f t="shared" si="91"/>
        <v>34110156.395616539</v>
      </c>
      <c r="IC30" s="82">
        <v>29</v>
      </c>
    </row>
    <row r="31" spans="1:237" s="77" customFormat="1">
      <c r="A31" s="77">
        <v>30</v>
      </c>
      <c r="B31" s="69">
        <v>56</v>
      </c>
      <c r="C31" s="69" t="s">
        <v>37</v>
      </c>
      <c r="D31" s="70" t="s">
        <v>36</v>
      </c>
      <c r="E31" s="70">
        <v>3</v>
      </c>
      <c r="F31" s="70">
        <v>0.15677419354838709</v>
      </c>
      <c r="G31" s="70"/>
      <c r="H31" s="70"/>
      <c r="I31" s="70">
        <v>0.01</v>
      </c>
      <c r="J31" s="71">
        <v>1.1666666666666667</v>
      </c>
      <c r="K31" s="72">
        <v>7.5</v>
      </c>
      <c r="L31" s="71">
        <v>9.2683870967741944E-2</v>
      </c>
      <c r="M31" s="71">
        <v>7.3154838709677428E-2</v>
      </c>
      <c r="N31" s="71">
        <v>1.2870752688172045</v>
      </c>
      <c r="O31" s="71">
        <v>0</v>
      </c>
      <c r="P31" s="71">
        <v>6.9534050179211465E-2</v>
      </c>
      <c r="Q31" s="73" t="s">
        <v>3</v>
      </c>
      <c r="R31" s="74">
        <v>0</v>
      </c>
      <c r="S31" s="75">
        <f t="shared" si="45"/>
        <v>1.0690574685056655</v>
      </c>
      <c r="T31" s="59">
        <f t="shared" si="0"/>
        <v>2.4119303519024147</v>
      </c>
      <c r="U31" s="59">
        <f t="shared" si="1"/>
        <v>1.976712087977553</v>
      </c>
      <c r="V31" s="59">
        <f t="shared" si="2"/>
        <v>1.3846401010948577</v>
      </c>
      <c r="W31" s="59">
        <f t="shared" si="3"/>
        <v>0.5740796370851754</v>
      </c>
      <c r="X31" s="59">
        <f t="shared" si="4"/>
        <v>0.70047636654639678</v>
      </c>
      <c r="Y31" s="76">
        <v>2187000</v>
      </c>
      <c r="Z31" s="57">
        <f t="shared" si="5"/>
        <v>1531941.8136369698</v>
      </c>
      <c r="AA31" s="57">
        <f t="shared" si="6"/>
        <v>1255512.1663052787</v>
      </c>
      <c r="AB31" s="57">
        <f t="shared" si="7"/>
        <v>4207228.5189216174</v>
      </c>
      <c r="AC31" s="57">
        <f t="shared" si="8"/>
        <v>0.25</v>
      </c>
      <c r="AD31" s="57">
        <f t="shared" si="9"/>
        <v>1.5</v>
      </c>
      <c r="AE31" s="57">
        <f t="shared" si="10"/>
        <v>970000</v>
      </c>
      <c r="AF31" s="57">
        <f t="shared" si="11"/>
        <v>501206.75095410191</v>
      </c>
      <c r="AG31" s="57">
        <f t="shared" si="12"/>
        <v>754305.41535117675</v>
      </c>
      <c r="AH31" s="57">
        <f t="shared" si="13"/>
        <v>3222011743.2155757</v>
      </c>
      <c r="AI31" s="57">
        <f t="shared" si="14"/>
        <v>4140638164.8972559</v>
      </c>
      <c r="AJ31" s="77">
        <v>970000</v>
      </c>
      <c r="AK31" s="77">
        <v>46.5</v>
      </c>
      <c r="AL31" s="78">
        <f t="shared" si="15"/>
        <v>3.7953230142933418</v>
      </c>
      <c r="AM31" s="57">
        <f t="shared" si="16"/>
        <v>0.97763157894736841</v>
      </c>
      <c r="AN31" s="57">
        <f t="shared" si="17"/>
        <v>0.77763157894736845</v>
      </c>
      <c r="AO31" s="77">
        <v>1500</v>
      </c>
      <c r="AP31" s="79">
        <f>50+200+50</f>
        <v>300</v>
      </c>
      <c r="AQ31" s="57">
        <f t="shared" si="46"/>
        <v>168.7340266169615</v>
      </c>
      <c r="AR31" s="57">
        <f t="shared" si="47"/>
        <v>900</v>
      </c>
      <c r="AS31" s="57">
        <f t="shared" si="18"/>
        <v>1331.2659733830385</v>
      </c>
      <c r="AT31" s="77">
        <v>200</v>
      </c>
      <c r="AU31" s="77">
        <v>1750</v>
      </c>
      <c r="AV31" s="78">
        <f t="shared" si="48"/>
        <v>300000</v>
      </c>
      <c r="AW31" s="77">
        <v>0</v>
      </c>
      <c r="AX31" s="77">
        <f t="shared" si="19"/>
        <v>300000</v>
      </c>
      <c r="AY31" s="77">
        <v>300000</v>
      </c>
      <c r="AZ31" s="77">
        <v>667</v>
      </c>
      <c r="BA31" s="77">
        <v>653</v>
      </c>
      <c r="BB31" s="77">
        <v>617</v>
      </c>
      <c r="BC31" s="77">
        <v>0</v>
      </c>
      <c r="BD31" s="77">
        <v>6.6E-3</v>
      </c>
      <c r="BE31" s="77">
        <v>5.1000000000000004E-3</v>
      </c>
      <c r="BF31" s="77">
        <v>9.7000000000000003E-2</v>
      </c>
      <c r="BG31" s="77">
        <v>0</v>
      </c>
      <c r="BH31" s="79">
        <v>250</v>
      </c>
      <c r="BI31" s="79">
        <f t="shared" ref="BI31:BI38" si="98">PI()*13*13/4</f>
        <v>132.73228961416876</v>
      </c>
      <c r="BJ31" s="79">
        <v>2</v>
      </c>
      <c r="BK31" s="57">
        <f t="shared" si="21"/>
        <v>265.46457922833753</v>
      </c>
      <c r="BL31" s="57"/>
      <c r="BM31" s="80">
        <f t="shared" ref="BM31:BM37" si="99">PI()*35*35/4</f>
        <v>962.11275016187415</v>
      </c>
      <c r="BN31" s="80">
        <v>6</v>
      </c>
      <c r="BO31" s="57">
        <f t="shared" si="23"/>
        <v>5772.6765009712453</v>
      </c>
      <c r="BP31" s="57">
        <f t="shared" si="24"/>
        <v>3028207.9010944539</v>
      </c>
      <c r="BQ31" s="77">
        <f t="shared" si="25"/>
        <v>4.0512531995773315E-8</v>
      </c>
      <c r="BR31" s="57">
        <f t="shared" si="26"/>
        <v>5299363826.9152946</v>
      </c>
      <c r="BS31" s="57">
        <v>337.468053233923</v>
      </c>
      <c r="BT31" s="57">
        <f t="shared" si="49"/>
        <v>216.50422146069144</v>
      </c>
      <c r="BU31" s="57"/>
      <c r="BV31" s="57">
        <v>3.3E-3</v>
      </c>
      <c r="BW31" s="57">
        <v>30000</v>
      </c>
      <c r="BX31" s="57">
        <v>200000</v>
      </c>
      <c r="BY31" s="77">
        <f>50</f>
        <v>50</v>
      </c>
      <c r="BZ31" s="77">
        <f t="shared" ref="BZ31:CA33" si="100">BY31+100</f>
        <v>150</v>
      </c>
      <c r="CA31" s="77">
        <f t="shared" si="100"/>
        <v>250</v>
      </c>
      <c r="CB31" s="77">
        <f>CA31+1000/4*1</f>
        <v>500</v>
      </c>
      <c r="CC31" s="77">
        <f>CA31+1000/4*2</f>
        <v>750</v>
      </c>
      <c r="CD31" s="77">
        <f>CA31+1000/4*3</f>
        <v>1000</v>
      </c>
      <c r="CE31" s="77">
        <f>CA31+1000/4*4</f>
        <v>1250</v>
      </c>
      <c r="CF31" s="77">
        <f t="shared" ref="CF31:CG33" si="101">CE31+100</f>
        <v>1350</v>
      </c>
      <c r="CG31" s="77">
        <f t="shared" si="101"/>
        <v>1450</v>
      </c>
      <c r="DM31" s="77">
        <f t="shared" ref="DM31:DO33" si="102">PI()*35*35/4*2</f>
        <v>1924.2255003237483</v>
      </c>
      <c r="DN31" s="77">
        <f t="shared" si="102"/>
        <v>1924.2255003237483</v>
      </c>
      <c r="DO31" s="77">
        <f t="shared" si="102"/>
        <v>1924.2255003237483</v>
      </c>
      <c r="DP31" s="77">
        <f t="shared" ref="DP31:DR33" si="103">PI()*16*16/4*2</f>
        <v>402.12385965949352</v>
      </c>
      <c r="DQ31" s="77">
        <f t="shared" si="103"/>
        <v>402.12385965949352</v>
      </c>
      <c r="DR31" s="77">
        <f t="shared" si="103"/>
        <v>402.12385965949352</v>
      </c>
      <c r="DS31" s="77">
        <f t="shared" ref="DS31:DU33" si="104">PI()*35*35/4*2</f>
        <v>1924.2255003237483</v>
      </c>
      <c r="DT31" s="77">
        <f t="shared" si="104"/>
        <v>1924.2255003237483</v>
      </c>
      <c r="DU31" s="77">
        <f t="shared" si="104"/>
        <v>1924.2255003237483</v>
      </c>
      <c r="FA31" s="77">
        <f t="shared" si="74"/>
        <v>-1081824.5257641866</v>
      </c>
      <c r="FB31" s="77">
        <f t="shared" si="78"/>
        <v>-705495.9168652118</v>
      </c>
      <c r="FC31" s="77">
        <f t="shared" si="79"/>
        <v>-329167.30796623713</v>
      </c>
      <c r="FD31" s="77">
        <f t="shared" ref="FD31:FF33" si="105">IF(ABS(-$BV31*($BS31-CB31)/$BS31*$BX31)&gt;$BA31,$BA31*SIGN(-($BS31-CB31)),-$BV31*($BS31-CB31)/$BS31*$BX31)*DP31</f>
        <v>127823.24804570376</v>
      </c>
      <c r="FE31" s="77">
        <f t="shared" si="105"/>
        <v>262586.88035764929</v>
      </c>
      <c r="FF31" s="77">
        <f t="shared" si="105"/>
        <v>262586.88035764929</v>
      </c>
      <c r="FG31" s="77">
        <f t="shared" ref="FG31:FI33" si="106">IF(ABS(-$BV31*($BS31-CE31)/$BS31*$BX31)&gt;$BB31,$BB31*SIGN(-($BS31-CE31)),-$BV31*($BS31-CE31)/$BS31*$BX31)*DS31</f>
        <v>1187247.1336997526</v>
      </c>
      <c r="FH31" s="77">
        <f t="shared" si="106"/>
        <v>1187247.1336997526</v>
      </c>
      <c r="FI31" s="77">
        <f t="shared" si="106"/>
        <v>1187247.1336997526</v>
      </c>
      <c r="GO31" s="77">
        <f t="shared" si="68"/>
        <v>757277168.03493059</v>
      </c>
      <c r="GP31" s="77">
        <f t="shared" si="69"/>
        <v>423297550.11912709</v>
      </c>
      <c r="GQ31" s="77">
        <f t="shared" si="70"/>
        <v>164583653.98311856</v>
      </c>
      <c r="GR31" s="77">
        <f t="shared" si="71"/>
        <v>-31955812.011425938</v>
      </c>
      <c r="GS31" s="77">
        <f t="shared" si="72"/>
        <v>0</v>
      </c>
      <c r="GT31" s="77">
        <f t="shared" si="73"/>
        <v>65646720.089412324</v>
      </c>
      <c r="GU31" s="77">
        <f t="shared" si="75"/>
        <v>593623566.84987628</v>
      </c>
      <c r="GV31" s="77">
        <f t="shared" si="80"/>
        <v>712348280.21985161</v>
      </c>
      <c r="GW31" s="77">
        <f>FI31*(CG31-0.5*$AO31)</f>
        <v>831072993.58982682</v>
      </c>
      <c r="IC31" s="82">
        <v>30</v>
      </c>
    </row>
    <row r="32" spans="1:237" s="77" customFormat="1">
      <c r="A32" s="77">
        <v>31</v>
      </c>
      <c r="B32" s="69">
        <v>57</v>
      </c>
      <c r="C32" s="69" t="s">
        <v>37</v>
      </c>
      <c r="D32" s="70" t="s">
        <v>38</v>
      </c>
      <c r="E32" s="70">
        <v>3</v>
      </c>
      <c r="F32" s="70">
        <v>0.16709677419354838</v>
      </c>
      <c r="G32" s="70"/>
      <c r="H32" s="70"/>
      <c r="I32" s="70">
        <v>1.0500000000000001E-2</v>
      </c>
      <c r="J32" s="71">
        <v>1.1666666666666667</v>
      </c>
      <c r="K32" s="72">
        <v>7.5</v>
      </c>
      <c r="L32" s="71">
        <v>9.2683870967741944E-2</v>
      </c>
      <c r="M32" s="71">
        <v>6.9754838709677414E-2</v>
      </c>
      <c r="N32" s="71">
        <v>1.2870752688172045</v>
      </c>
      <c r="O32" s="71">
        <v>0</v>
      </c>
      <c r="P32" s="71">
        <v>6.9534050179211465E-2</v>
      </c>
      <c r="Q32" s="73" t="s">
        <v>3</v>
      </c>
      <c r="R32" s="74">
        <v>0</v>
      </c>
      <c r="S32" s="75">
        <f t="shared" si="45"/>
        <v>1.1394480837159151</v>
      </c>
      <c r="T32" s="59">
        <f t="shared" si="0"/>
        <v>2.4217465126794147</v>
      </c>
      <c r="U32" s="59">
        <f t="shared" si="1"/>
        <v>2.0398678361982965</v>
      </c>
      <c r="V32" s="59">
        <f t="shared" si="2"/>
        <v>1.2991024886720093</v>
      </c>
      <c r="W32" s="59">
        <f t="shared" si="3"/>
        <v>0.53643206746468497</v>
      </c>
      <c r="X32" s="59">
        <f t="shared" si="4"/>
        <v>0.63685620490646488</v>
      </c>
      <c r="Y32" s="76">
        <v>2331000</v>
      </c>
      <c r="Z32" s="57">
        <f t="shared" si="5"/>
        <v>1484511.8136369695</v>
      </c>
      <c r="AA32" s="57">
        <f t="shared" si="6"/>
        <v>1250423.1492601808</v>
      </c>
      <c r="AB32" s="57">
        <f t="shared" si="7"/>
        <v>4207228.5189216174</v>
      </c>
      <c r="AC32" s="57">
        <f t="shared" si="8"/>
        <v>0.25</v>
      </c>
      <c r="AD32" s="57">
        <f t="shared" si="9"/>
        <v>1.5</v>
      </c>
      <c r="AE32" s="57">
        <f t="shared" si="10"/>
        <v>970000</v>
      </c>
      <c r="AF32" s="57">
        <f t="shared" si="11"/>
        <v>501206.75095410191</v>
      </c>
      <c r="AG32" s="57">
        <f t="shared" si="12"/>
        <v>749216.39830607886</v>
      </c>
      <c r="AH32" s="57">
        <f t="shared" si="13"/>
        <v>3222011743.2155757</v>
      </c>
      <c r="AI32" s="57">
        <f t="shared" si="14"/>
        <v>4140638164.8972559</v>
      </c>
      <c r="AJ32" s="77">
        <v>970000</v>
      </c>
      <c r="AK32" s="77">
        <v>46.5</v>
      </c>
      <c r="AL32" s="78">
        <f t="shared" si="15"/>
        <v>3.7953230142933418</v>
      </c>
      <c r="AM32" s="57">
        <f t="shared" si="16"/>
        <v>0.97763157894736841</v>
      </c>
      <c r="AN32" s="57">
        <f t="shared" si="17"/>
        <v>0.77763157894736845</v>
      </c>
      <c r="AO32" s="77">
        <v>1500</v>
      </c>
      <c r="AP32" s="79">
        <f>50+200+50</f>
        <v>300</v>
      </c>
      <c r="AQ32" s="57">
        <f t="shared" si="46"/>
        <v>168.7340266169615</v>
      </c>
      <c r="AR32" s="57">
        <f t="shared" si="47"/>
        <v>900</v>
      </c>
      <c r="AS32" s="57">
        <f t="shared" si="18"/>
        <v>1331.2659733830385</v>
      </c>
      <c r="AT32" s="77">
        <v>200</v>
      </c>
      <c r="AU32" s="77">
        <v>1750</v>
      </c>
      <c r="AV32" s="78">
        <f t="shared" si="48"/>
        <v>300000</v>
      </c>
      <c r="AW32" s="77">
        <v>0</v>
      </c>
      <c r="AX32" s="77">
        <f t="shared" si="19"/>
        <v>300000</v>
      </c>
      <c r="AY32" s="77">
        <v>300000</v>
      </c>
      <c r="AZ32" s="77">
        <v>477</v>
      </c>
      <c r="BA32" s="77">
        <v>653</v>
      </c>
      <c r="BB32" s="77">
        <v>617</v>
      </c>
      <c r="BC32" s="77">
        <v>0</v>
      </c>
      <c r="BD32" s="77">
        <v>6.6E-3</v>
      </c>
      <c r="BE32" s="77">
        <v>6.7999999999999996E-3</v>
      </c>
      <c r="BF32" s="77">
        <v>9.7000000000000003E-2</v>
      </c>
      <c r="BG32" s="77">
        <v>0</v>
      </c>
      <c r="BH32" s="79">
        <v>180</v>
      </c>
      <c r="BI32" s="79">
        <f t="shared" si="98"/>
        <v>132.73228961416876</v>
      </c>
      <c r="BJ32" s="79">
        <v>2</v>
      </c>
      <c r="BK32" s="57">
        <f t="shared" si="21"/>
        <v>265.46457922833753</v>
      </c>
      <c r="BL32" s="57"/>
      <c r="BM32" s="80">
        <f t="shared" si="99"/>
        <v>962.11275016187415</v>
      </c>
      <c r="BN32" s="80">
        <v>6</v>
      </c>
      <c r="BO32" s="57">
        <f t="shared" si="23"/>
        <v>5772.6765009712453</v>
      </c>
      <c r="BP32" s="57">
        <f t="shared" si="24"/>
        <v>3028207.9010944539</v>
      </c>
      <c r="BQ32" s="77">
        <f t="shared" si="25"/>
        <v>4.0512531995773315E-8</v>
      </c>
      <c r="BR32" s="57">
        <f t="shared" si="26"/>
        <v>5299363826.9152946</v>
      </c>
      <c r="BS32" s="57">
        <v>337.468053233923</v>
      </c>
      <c r="BT32" s="57">
        <f t="shared" si="49"/>
        <v>216.50422146069144</v>
      </c>
      <c r="BU32" s="57"/>
      <c r="BV32" s="57">
        <v>3.3E-3</v>
      </c>
      <c r="BW32" s="57">
        <v>30000</v>
      </c>
      <c r="BX32" s="57">
        <v>200000</v>
      </c>
      <c r="BY32" s="77">
        <f>50</f>
        <v>50</v>
      </c>
      <c r="BZ32" s="77">
        <f t="shared" si="100"/>
        <v>150</v>
      </c>
      <c r="CA32" s="77">
        <f t="shared" si="100"/>
        <v>250</v>
      </c>
      <c r="CB32" s="77">
        <f>CA32+1000/4*1</f>
        <v>500</v>
      </c>
      <c r="CC32" s="77">
        <f>CA32+1000/4*2</f>
        <v>750</v>
      </c>
      <c r="CD32" s="77">
        <f>CA32+1000/4*3</f>
        <v>1000</v>
      </c>
      <c r="CE32" s="77">
        <f>CA32+1000/4*4</f>
        <v>1250</v>
      </c>
      <c r="CF32" s="77">
        <f t="shared" si="101"/>
        <v>1350</v>
      </c>
      <c r="CG32" s="77">
        <f t="shared" si="101"/>
        <v>1450</v>
      </c>
      <c r="DM32" s="77">
        <f t="shared" si="102"/>
        <v>1924.2255003237483</v>
      </c>
      <c r="DN32" s="77">
        <f t="shared" si="102"/>
        <v>1924.2255003237483</v>
      </c>
      <c r="DO32" s="77">
        <f t="shared" si="102"/>
        <v>1924.2255003237483</v>
      </c>
      <c r="DP32" s="77">
        <f t="shared" si="103"/>
        <v>402.12385965949352</v>
      </c>
      <c r="DQ32" s="77">
        <f t="shared" si="103"/>
        <v>402.12385965949352</v>
      </c>
      <c r="DR32" s="77">
        <f t="shared" si="103"/>
        <v>402.12385965949352</v>
      </c>
      <c r="DS32" s="77">
        <f t="shared" si="104"/>
        <v>1924.2255003237483</v>
      </c>
      <c r="DT32" s="77">
        <f t="shared" si="104"/>
        <v>1924.2255003237483</v>
      </c>
      <c r="DU32" s="77">
        <f t="shared" si="104"/>
        <v>1924.2255003237483</v>
      </c>
      <c r="FA32" s="77">
        <f t="shared" si="74"/>
        <v>-1081824.5257641866</v>
      </c>
      <c r="FB32" s="77">
        <f t="shared" si="78"/>
        <v>-705495.9168652118</v>
      </c>
      <c r="FC32" s="77">
        <f t="shared" si="79"/>
        <v>-329167.30796623713</v>
      </c>
      <c r="FD32" s="77">
        <f t="shared" si="105"/>
        <v>127823.24804570376</v>
      </c>
      <c r="FE32" s="77">
        <f t="shared" si="105"/>
        <v>262586.88035764929</v>
      </c>
      <c r="FF32" s="77">
        <f t="shared" si="105"/>
        <v>262586.88035764929</v>
      </c>
      <c r="FG32" s="77">
        <f t="shared" si="106"/>
        <v>1187247.1336997526</v>
      </c>
      <c r="FH32" s="77">
        <f t="shared" si="106"/>
        <v>1187247.1336997526</v>
      </c>
      <c r="FI32" s="77">
        <f t="shared" si="106"/>
        <v>1187247.1336997526</v>
      </c>
      <c r="GO32" s="77">
        <f t="shared" si="68"/>
        <v>757277168.03493059</v>
      </c>
      <c r="GP32" s="77">
        <f t="shared" si="69"/>
        <v>423297550.11912709</v>
      </c>
      <c r="GQ32" s="77">
        <f t="shared" si="70"/>
        <v>164583653.98311856</v>
      </c>
      <c r="GR32" s="77">
        <f t="shared" si="71"/>
        <v>-31955812.011425938</v>
      </c>
      <c r="GS32" s="77">
        <f t="shared" si="72"/>
        <v>0</v>
      </c>
      <c r="GT32" s="77">
        <f t="shared" si="73"/>
        <v>65646720.089412324</v>
      </c>
      <c r="GU32" s="77">
        <f t="shared" si="75"/>
        <v>593623566.84987628</v>
      </c>
      <c r="GV32" s="77">
        <f t="shared" si="80"/>
        <v>712348280.21985161</v>
      </c>
      <c r="GW32" s="77">
        <f>FI32*(CG32-0.5*$AO32)</f>
        <v>831072993.58982682</v>
      </c>
      <c r="IC32" s="82">
        <v>31</v>
      </c>
    </row>
    <row r="33" spans="1:237" s="77" customFormat="1">
      <c r="A33" s="77">
        <v>32</v>
      </c>
      <c r="B33" s="69">
        <v>58</v>
      </c>
      <c r="C33" s="69" t="s">
        <v>37</v>
      </c>
      <c r="D33" s="70" t="s">
        <v>39</v>
      </c>
      <c r="E33" s="70">
        <v>3</v>
      </c>
      <c r="F33" s="70">
        <v>0.10123281175912754</v>
      </c>
      <c r="G33" s="70"/>
      <c r="H33" s="70"/>
      <c r="I33" s="70">
        <v>0.01</v>
      </c>
      <c r="J33" s="71">
        <v>1.1666666666666667</v>
      </c>
      <c r="K33" s="72">
        <v>7.5</v>
      </c>
      <c r="L33" s="71">
        <v>6.1305832147937417E-2</v>
      </c>
      <c r="M33" s="71">
        <v>4.8388335704125186E-2</v>
      </c>
      <c r="N33" s="71">
        <v>0.8513371266002846</v>
      </c>
      <c r="O33" s="71">
        <v>0</v>
      </c>
      <c r="P33" s="71">
        <v>6.9701280227596016E-2</v>
      </c>
      <c r="Q33" s="73" t="s">
        <v>3</v>
      </c>
      <c r="R33" s="74">
        <v>0</v>
      </c>
      <c r="S33" s="75">
        <f t="shared" si="45"/>
        <v>0.84878747458897175</v>
      </c>
      <c r="T33" s="59">
        <f t="shared" si="0"/>
        <v>2.2790014302588686</v>
      </c>
      <c r="U33" s="59">
        <f t="shared" si="1"/>
        <v>1.9751904613399651</v>
      </c>
      <c r="V33" s="59">
        <f t="shared" si="2"/>
        <v>1.5258908012571828</v>
      </c>
      <c r="W33" s="59">
        <f t="shared" si="3"/>
        <v>0.66954359088921633</v>
      </c>
      <c r="X33" s="59">
        <f t="shared" si="4"/>
        <v>0.77252843769912782</v>
      </c>
      <c r="Y33" s="76">
        <v>2135000</v>
      </c>
      <c r="Z33" s="57">
        <f t="shared" si="5"/>
        <v>1649348.2144876379</v>
      </c>
      <c r="AA33" s="57">
        <f t="shared" si="6"/>
        <v>1429475.5665484769</v>
      </c>
      <c r="AB33" s="57">
        <f t="shared" si="7"/>
        <v>5181459.7578885909</v>
      </c>
      <c r="AC33" s="57">
        <f t="shared" si="8"/>
        <v>0.25</v>
      </c>
      <c r="AD33" s="57">
        <f t="shared" si="9"/>
        <v>1.5</v>
      </c>
      <c r="AE33" s="57">
        <f t="shared" si="10"/>
        <v>1469999.9999999998</v>
      </c>
      <c r="AF33" s="57">
        <f t="shared" si="11"/>
        <v>662738.17902475363</v>
      </c>
      <c r="AG33" s="57">
        <f t="shared" si="12"/>
        <v>766737.3875237233</v>
      </c>
      <c r="AH33" s="57">
        <f t="shared" si="13"/>
        <v>4770619636.8922338</v>
      </c>
      <c r="AI33" s="57">
        <f t="shared" si="14"/>
        <v>4296934939.4128008</v>
      </c>
      <c r="AJ33" s="77">
        <v>1470000</v>
      </c>
      <c r="AK33" s="77">
        <v>70.3</v>
      </c>
      <c r="AL33" s="78">
        <f t="shared" si="15"/>
        <v>4.7640361537093794</v>
      </c>
      <c r="AM33" s="57">
        <f t="shared" si="16"/>
        <v>0.94</v>
      </c>
      <c r="AN33" s="57">
        <f t="shared" si="17"/>
        <v>0.74</v>
      </c>
      <c r="AO33" s="77">
        <v>1500</v>
      </c>
      <c r="AP33" s="79">
        <f>50+200+50</f>
        <v>300</v>
      </c>
      <c r="AQ33" s="57">
        <f t="shared" si="46"/>
        <v>146.79296508069913</v>
      </c>
      <c r="AR33" s="57">
        <f t="shared" si="47"/>
        <v>900</v>
      </c>
      <c r="AS33" s="57">
        <f t="shared" si="18"/>
        <v>1353.2070349193009</v>
      </c>
      <c r="AT33" s="77">
        <v>200</v>
      </c>
      <c r="AU33" s="77">
        <v>1750</v>
      </c>
      <c r="AV33" s="78">
        <f t="shared" si="48"/>
        <v>300000</v>
      </c>
      <c r="AW33" s="77">
        <v>0</v>
      </c>
      <c r="AX33" s="77">
        <f t="shared" si="19"/>
        <v>300000</v>
      </c>
      <c r="AY33" s="77">
        <v>300000</v>
      </c>
      <c r="AZ33" s="77">
        <v>667</v>
      </c>
      <c r="BA33" s="77">
        <v>653</v>
      </c>
      <c r="BB33" s="77">
        <v>617</v>
      </c>
      <c r="BC33" s="77">
        <v>0</v>
      </c>
      <c r="BD33" s="77">
        <v>6.6E-3</v>
      </c>
      <c r="BE33" s="77">
        <v>5.1000000000000004E-3</v>
      </c>
      <c r="BF33" s="77">
        <v>9.7000000000000003E-2</v>
      </c>
      <c r="BG33" s="77">
        <v>0</v>
      </c>
      <c r="BH33" s="79">
        <v>250</v>
      </c>
      <c r="BI33" s="79">
        <f t="shared" si="98"/>
        <v>132.73228961416876</v>
      </c>
      <c r="BJ33" s="79">
        <v>2</v>
      </c>
      <c r="BK33" s="57">
        <f t="shared" si="21"/>
        <v>265.46457922833753</v>
      </c>
      <c r="BL33" s="57"/>
      <c r="BM33" s="80">
        <f t="shared" si="99"/>
        <v>962.11275016187415</v>
      </c>
      <c r="BN33" s="80">
        <v>6</v>
      </c>
      <c r="BO33" s="57">
        <f t="shared" si="23"/>
        <v>5772.6765009712453</v>
      </c>
      <c r="BP33" s="57">
        <f t="shared" si="24"/>
        <v>3257776.8606840852</v>
      </c>
      <c r="BQ33" s="77">
        <f t="shared" si="25"/>
        <v>9.7788870334625244E-9</v>
      </c>
      <c r="BR33" s="57">
        <f t="shared" si="26"/>
        <v>5701109506.1971493</v>
      </c>
      <c r="BS33" s="57">
        <v>293.58593016139827</v>
      </c>
      <c r="BT33" s="57">
        <f t="shared" si="49"/>
        <v>264.00972157387116</v>
      </c>
      <c r="BU33" s="57"/>
      <c r="BV33" s="57">
        <v>3.3E-3</v>
      </c>
      <c r="BW33" s="57">
        <v>30000</v>
      </c>
      <c r="BX33" s="57">
        <v>200000</v>
      </c>
      <c r="BY33" s="77">
        <f>50</f>
        <v>50</v>
      </c>
      <c r="BZ33" s="77">
        <f t="shared" si="100"/>
        <v>150</v>
      </c>
      <c r="CA33" s="77">
        <f t="shared" si="100"/>
        <v>250</v>
      </c>
      <c r="CB33" s="77">
        <f>CA33+1000/4*1</f>
        <v>500</v>
      </c>
      <c r="CC33" s="77">
        <f>CA33+1000/4*2</f>
        <v>750</v>
      </c>
      <c r="CD33" s="77">
        <f>CA33+1000/4*3</f>
        <v>1000</v>
      </c>
      <c r="CE33" s="77">
        <f>CA33+1000/4*4</f>
        <v>1250</v>
      </c>
      <c r="CF33" s="77">
        <f t="shared" si="101"/>
        <v>1350</v>
      </c>
      <c r="CG33" s="77">
        <f t="shared" si="101"/>
        <v>1450</v>
      </c>
      <c r="DM33" s="77">
        <f t="shared" si="102"/>
        <v>1924.2255003237483</v>
      </c>
      <c r="DN33" s="77">
        <f t="shared" si="102"/>
        <v>1924.2255003237483</v>
      </c>
      <c r="DO33" s="77">
        <f t="shared" si="102"/>
        <v>1924.2255003237483</v>
      </c>
      <c r="DP33" s="77">
        <f t="shared" si="103"/>
        <v>402.12385965949352</v>
      </c>
      <c r="DQ33" s="77">
        <f t="shared" si="103"/>
        <v>402.12385965949352</v>
      </c>
      <c r="DR33" s="77">
        <f t="shared" si="103"/>
        <v>402.12385965949352</v>
      </c>
      <c r="DS33" s="77">
        <f t="shared" si="104"/>
        <v>1924.2255003237483</v>
      </c>
      <c r="DT33" s="77">
        <f t="shared" si="104"/>
        <v>1924.2255003237483</v>
      </c>
      <c r="DU33" s="77">
        <f t="shared" si="104"/>
        <v>1924.2255003237483</v>
      </c>
      <c r="FA33" s="77">
        <f t="shared" si="74"/>
        <v>-1053699.7135118789</v>
      </c>
      <c r="FB33" s="77">
        <f t="shared" si="78"/>
        <v>-621121.48010828905</v>
      </c>
      <c r="FC33" s="77">
        <f t="shared" si="79"/>
        <v>-188543.24670469909</v>
      </c>
      <c r="FD33" s="77">
        <f t="shared" si="105"/>
        <v>186598.36589542415</v>
      </c>
      <c r="FE33" s="77">
        <f t="shared" si="105"/>
        <v>262586.88035764929</v>
      </c>
      <c r="FF33" s="77">
        <f t="shared" si="105"/>
        <v>262586.88035764929</v>
      </c>
      <c r="FG33" s="77">
        <f t="shared" si="106"/>
        <v>1187247.1336997526</v>
      </c>
      <c r="FH33" s="77">
        <f t="shared" si="106"/>
        <v>1187247.1336997526</v>
      </c>
      <c r="FI33" s="77">
        <f t="shared" si="106"/>
        <v>1187247.1336997526</v>
      </c>
      <c r="GO33" s="77">
        <f t="shared" si="68"/>
        <v>737589799.45831525</v>
      </c>
      <c r="GP33" s="77">
        <f t="shared" si="69"/>
        <v>372672888.06497341</v>
      </c>
      <c r="GQ33" s="77">
        <f t="shared" si="70"/>
        <v>94271623.35234955</v>
      </c>
      <c r="GR33" s="77">
        <f t="shared" si="71"/>
        <v>-46649591.473856039</v>
      </c>
      <c r="GS33" s="77">
        <f t="shared" si="72"/>
        <v>0</v>
      </c>
      <c r="GT33" s="77">
        <f t="shared" si="73"/>
        <v>65646720.089412324</v>
      </c>
      <c r="GU33" s="77">
        <f t="shared" si="75"/>
        <v>593623566.84987628</v>
      </c>
      <c r="GV33" s="77">
        <f t="shared" si="80"/>
        <v>712348280.21985161</v>
      </c>
      <c r="GW33" s="77">
        <f>FI33*(CG33-0.5*$AO33)</f>
        <v>831072993.58982682</v>
      </c>
      <c r="IC33" s="82">
        <v>32</v>
      </c>
    </row>
    <row r="34" spans="1:237" s="77" customFormat="1">
      <c r="A34" s="77">
        <v>33</v>
      </c>
      <c r="B34" s="69">
        <v>59</v>
      </c>
      <c r="C34" s="69" t="s">
        <v>37</v>
      </c>
      <c r="D34" s="70" t="s">
        <v>40</v>
      </c>
      <c r="E34" s="70">
        <v>3</v>
      </c>
      <c r="F34" s="70">
        <v>0.1631246046805819</v>
      </c>
      <c r="G34" s="70"/>
      <c r="H34" s="70"/>
      <c r="I34" s="70">
        <v>1.2999999999999999E-2</v>
      </c>
      <c r="J34" s="71">
        <v>1.1666666666666667</v>
      </c>
      <c r="K34" s="72">
        <v>7.5</v>
      </c>
      <c r="L34" s="71">
        <v>7.5832258064516128E-2</v>
      </c>
      <c r="M34" s="71">
        <v>7.3154838709677428E-2</v>
      </c>
      <c r="N34" s="71">
        <v>1.2870752688172045</v>
      </c>
      <c r="O34" s="71">
        <v>0.71433548387096768</v>
      </c>
      <c r="P34" s="71">
        <v>7.2738772928526249E-2</v>
      </c>
      <c r="Q34" s="73" t="s">
        <v>28</v>
      </c>
      <c r="R34" s="74">
        <v>0.17647058823529413</v>
      </c>
      <c r="S34" s="75">
        <f t="shared" si="45"/>
        <v>1.1123614989413828</v>
      </c>
      <c r="T34" s="59">
        <f t="shared" si="0"/>
        <v>2.6259665159551071</v>
      </c>
      <c r="U34" s="59">
        <f t="shared" si="1"/>
        <v>2.1349970324958778</v>
      </c>
      <c r="V34" s="59">
        <f t="shared" si="2"/>
        <v>1.2682013284495088</v>
      </c>
      <c r="W34" s="59">
        <f t="shared" si="3"/>
        <v>0.48294649636392756</v>
      </c>
      <c r="X34" s="59">
        <f t="shared" si="4"/>
        <v>0.5940061316932802</v>
      </c>
      <c r="Y34" s="76">
        <v>2579000</v>
      </c>
      <c r="Z34" s="57">
        <f t="shared" si="5"/>
        <v>1531941.8136369698</v>
      </c>
      <c r="AA34" s="57">
        <f t="shared" si="6"/>
        <v>1245519.0141225692</v>
      </c>
      <c r="AB34" s="57">
        <f t="shared" ref="AB34:AB65" si="107">(AH34+AI34)/AU34</f>
        <v>3719419.1561170192</v>
      </c>
      <c r="AC34" s="57">
        <f t="shared" si="8"/>
        <v>0.25</v>
      </c>
      <c r="AD34" s="57">
        <f t="shared" si="9"/>
        <v>1.5</v>
      </c>
      <c r="AE34" s="57">
        <f t="shared" si="10"/>
        <v>1150000</v>
      </c>
      <c r="AF34" s="57">
        <f t="shared" si="11"/>
        <v>483012.96033698361</v>
      </c>
      <c r="AG34" s="57">
        <f t="shared" ref="AG34:AG65" si="108">0.8*AZ34*BK34/BH34*AS34</f>
        <v>762506.05378558557</v>
      </c>
      <c r="AH34" s="57">
        <f t="shared" ref="AH34:AH65" si="109">AM34*AK34*AT34*AP34*(AS34-0.5*AP34)</f>
        <v>2265245599.1963587</v>
      </c>
      <c r="AI34" s="57">
        <f t="shared" ref="AI34:AI65" si="110">BB34*BO34*(AS34-AQ34)</f>
        <v>4243737924.0084248</v>
      </c>
      <c r="AJ34" s="77">
        <v>1150000</v>
      </c>
      <c r="AK34" s="77">
        <v>46.5</v>
      </c>
      <c r="AL34" s="78">
        <f t="shared" si="15"/>
        <v>3.7953230142933418</v>
      </c>
      <c r="AM34" s="57">
        <f t="shared" si="16"/>
        <v>0.97763157894736841</v>
      </c>
      <c r="AN34" s="57">
        <f t="shared" si="17"/>
        <v>0.77763157894736845</v>
      </c>
      <c r="AO34" s="77">
        <v>1500</v>
      </c>
      <c r="AP34" s="79">
        <f>200</f>
        <v>200</v>
      </c>
      <c r="AQ34" s="57">
        <f t="shared" si="46"/>
        <v>154.26080305848677</v>
      </c>
      <c r="AR34" s="57">
        <f t="shared" ref="AR34:AR65" si="111">AO34-2*AP34</f>
        <v>1100</v>
      </c>
      <c r="AS34" s="57">
        <f t="shared" si="18"/>
        <v>1345.7391969415132</v>
      </c>
      <c r="AT34" s="77">
        <v>200</v>
      </c>
      <c r="AU34" s="77">
        <v>1750</v>
      </c>
      <c r="AV34" s="78">
        <f t="shared" si="48"/>
        <v>220000</v>
      </c>
      <c r="AW34" s="77">
        <v>0</v>
      </c>
      <c r="AX34" s="77">
        <f t="shared" si="19"/>
        <v>300000</v>
      </c>
      <c r="AY34" s="77">
        <v>340000</v>
      </c>
      <c r="AZ34" s="77">
        <v>667</v>
      </c>
      <c r="BA34" s="77">
        <v>653</v>
      </c>
      <c r="BB34" s="77">
        <v>617</v>
      </c>
      <c r="BC34" s="77">
        <v>667</v>
      </c>
      <c r="BD34" s="77">
        <v>5.4000000000000003E-3</v>
      </c>
      <c r="BE34" s="77">
        <v>5.1000000000000004E-3</v>
      </c>
      <c r="BF34" s="77">
        <v>9.7000000000000003E-2</v>
      </c>
      <c r="BG34" s="77">
        <v>4.9799999999999997E-2</v>
      </c>
      <c r="BH34" s="79">
        <v>250</v>
      </c>
      <c r="BI34" s="79">
        <f t="shared" si="98"/>
        <v>132.73228961416876</v>
      </c>
      <c r="BJ34" s="79">
        <v>2</v>
      </c>
      <c r="BK34" s="57">
        <f t="shared" ref="BK34:BK65" si="112">BI34*BJ34</f>
        <v>265.46457922833753</v>
      </c>
      <c r="BL34" s="57"/>
      <c r="BM34" s="80">
        <f t="shared" si="99"/>
        <v>962.11275016187415</v>
      </c>
      <c r="BN34" s="80">
        <v>6</v>
      </c>
      <c r="BO34" s="57">
        <f t="shared" ref="BO34:BO65" si="113">BM34*BN34</f>
        <v>5772.6765009712453</v>
      </c>
      <c r="BP34" s="57">
        <f t="shared" si="24"/>
        <v>3270691.2260712832</v>
      </c>
      <c r="BQ34" s="77">
        <f t="shared" si="25"/>
        <v>1.0244548320770264E-8</v>
      </c>
      <c r="BR34" s="57">
        <f t="shared" ref="BR34:BR65" si="114">-AM34*AT34*BS34*AK34*(BS34/2-0.5*AO34)+SUM(GO34:IB34)</f>
        <v>5723709645.6247454</v>
      </c>
      <c r="BS34" s="57">
        <v>308.52160611697354</v>
      </c>
      <c r="BT34" s="57">
        <f t="shared" si="49"/>
        <v>227.51104691595779</v>
      </c>
      <c r="BU34" s="57"/>
      <c r="BV34" s="57">
        <v>3.3E-3</v>
      </c>
      <c r="BW34" s="57">
        <v>30000</v>
      </c>
      <c r="BX34" s="57">
        <v>200000</v>
      </c>
      <c r="BY34" s="77">
        <f>50</f>
        <v>50</v>
      </c>
      <c r="BZ34" s="77">
        <f>BY34+100</f>
        <v>150</v>
      </c>
      <c r="CA34" s="77">
        <f>200+1100/4*1</f>
        <v>475</v>
      </c>
      <c r="CB34" s="77">
        <f>200+1100/4*2</f>
        <v>750</v>
      </c>
      <c r="CC34" s="77">
        <f>200+1100/4*3</f>
        <v>1025</v>
      </c>
      <c r="CD34" s="77">
        <f>200+1100/4*4+50</f>
        <v>1350</v>
      </c>
      <c r="CE34" s="77">
        <f>CD34+100</f>
        <v>1450</v>
      </c>
      <c r="DM34" s="77">
        <f>PI()*35*35/4*3</f>
        <v>2886.3382504856227</v>
      </c>
      <c r="DN34" s="77">
        <f>PI()*35*35/4*3</f>
        <v>2886.3382504856227</v>
      </c>
      <c r="DO34" s="77">
        <f>PI()*16*16/4*2</f>
        <v>402.12385965949352</v>
      </c>
      <c r="DP34" s="77">
        <f>PI()*16*16/4*2</f>
        <v>402.12385965949352</v>
      </c>
      <c r="DQ34" s="77">
        <f>PI()*16*16/4*2</f>
        <v>402.12385965949352</v>
      </c>
      <c r="DR34" s="77">
        <f>PI()*35*35/4*3</f>
        <v>2886.3382504856227</v>
      </c>
      <c r="DS34" s="77">
        <f>PI()*35*35/4*3</f>
        <v>2886.3382504856227</v>
      </c>
      <c r="FA34" s="77">
        <f t="shared" si="74"/>
        <v>-1596255.5569591564</v>
      </c>
      <c r="FB34" s="77">
        <f t="shared" ref="FB34:FB53" si="115">IF(ABS(-$BV34*($BS34-BZ34)/$BS34*$BX34)&gt;$BB34,$BB34*SIGN(-($BS34-BZ34)),-$BV34*($BS34-BZ34)/$BS34*$BX34)*DN34</f>
        <v>-978800.1802364476</v>
      </c>
      <c r="FC34" s="77">
        <f>IF(ABS(-$BV34*($BS34-CA34)/$BS34*$BX34)&gt;$BA34,$BA34*SIGN(-($BS34-CA34)),-$BV34*($BS34-CA34)/$BS34*$BX34)*DO34</f>
        <v>143210.89920694593</v>
      </c>
      <c r="FD34" s="77">
        <f>IF(ABS(-$BV34*($BS34-CB34)/$BS34*$BX34)&gt;$BA34,$BA34*SIGN(-($BS34-CB34)),-$BV34*($BS34-CB34)/$BS34*$BX34)*DP34</f>
        <v>262586.88035764929</v>
      </c>
      <c r="FE34" s="77">
        <f>IF(ABS(-$BV34*($BS34-CC34)/$BS34*$BX34)&gt;$BA34,$BA34*SIGN(-($BS34-CC34)),-$BV34*($BS34-CC34)/$BS34*$BX34)*DQ34</f>
        <v>262586.88035764929</v>
      </c>
      <c r="FF34" s="77">
        <f>IF(ABS(-$BV34*($BS34-CD34)/$BS34*$BX34)&gt;$BB34,$BB34*SIGN(-($BS34-CD34)),-$BV34*($BS34-CD34)/$BS34*$BX34)*DR34</f>
        <v>1780870.7005496293</v>
      </c>
      <c r="FG34" s="77">
        <f>IF(ABS(-$BV34*($BS34-CE34)/$BS34*$BX34)&gt;$BB34,$BB34*SIGN(-($BS34-CE34)),-$BV34*($BS34-CE34)/$BS34*$BX34)*DS34</f>
        <v>1780870.7005496293</v>
      </c>
      <c r="GO34" s="77">
        <f t="shared" si="68"/>
        <v>1117378889.8714094</v>
      </c>
      <c r="GP34" s="77">
        <f t="shared" si="69"/>
        <v>587280108.14186859</v>
      </c>
      <c r="GQ34" s="77">
        <f t="shared" si="70"/>
        <v>-39382997.281910129</v>
      </c>
      <c r="GR34" s="77">
        <f t="shared" si="71"/>
        <v>0</v>
      </c>
      <c r="GS34" s="77">
        <f t="shared" si="72"/>
        <v>72211392.09835355</v>
      </c>
      <c r="GT34" s="77">
        <f t="shared" si="73"/>
        <v>1068522420.3297776</v>
      </c>
      <c r="GU34" s="77">
        <f t="shared" si="75"/>
        <v>1246609490.3847406</v>
      </c>
      <c r="IC34" s="82">
        <v>33</v>
      </c>
    </row>
    <row r="35" spans="1:237" s="77" customFormat="1">
      <c r="A35" s="77">
        <v>34</v>
      </c>
      <c r="B35" s="69">
        <v>60</v>
      </c>
      <c r="C35" s="69" t="s">
        <v>37</v>
      </c>
      <c r="D35" s="70" t="s">
        <v>41</v>
      </c>
      <c r="E35" s="70">
        <v>3</v>
      </c>
      <c r="F35" s="70">
        <v>0.10751988430947217</v>
      </c>
      <c r="G35" s="70"/>
      <c r="H35" s="70"/>
      <c r="I35" s="70">
        <v>1.2E-2</v>
      </c>
      <c r="J35" s="71">
        <v>1.1666666666666667</v>
      </c>
      <c r="K35" s="72">
        <v>7.5</v>
      </c>
      <c r="L35" s="71">
        <v>5.0993492407809107E-2</v>
      </c>
      <c r="M35" s="71">
        <v>3.6171366594360085E-2</v>
      </c>
      <c r="N35" s="71">
        <v>1.2982429501084598</v>
      </c>
      <c r="O35" s="71">
        <v>0</v>
      </c>
      <c r="P35" s="71">
        <v>7.0137382501807663E-2</v>
      </c>
      <c r="Q35" s="73" t="s">
        <v>3</v>
      </c>
      <c r="R35" s="74">
        <v>0</v>
      </c>
      <c r="S35" s="75">
        <f t="shared" si="45"/>
        <v>0.73002755191884161</v>
      </c>
      <c r="T35" s="59">
        <f t="shared" si="0"/>
        <v>2.5506904167733984</v>
      </c>
      <c r="U35" s="59">
        <f t="shared" si="1"/>
        <v>2.2741279977668865</v>
      </c>
      <c r="V35" s="59">
        <f t="shared" si="2"/>
        <v>1.5438337042170731</v>
      </c>
      <c r="W35" s="59">
        <f t="shared" si="3"/>
        <v>0.60526110658698029</v>
      </c>
      <c r="X35" s="59">
        <f t="shared" si="4"/>
        <v>0.67886843033156596</v>
      </c>
      <c r="Y35" s="76">
        <v>1487000</v>
      </c>
      <c r="Z35" s="57">
        <f t="shared" si="5"/>
        <v>1009477.3559030386</v>
      </c>
      <c r="AA35" s="57">
        <f t="shared" si="6"/>
        <v>900023.26549483975</v>
      </c>
      <c r="AB35" s="57">
        <f t="shared" si="107"/>
        <v>2997957.040060949</v>
      </c>
      <c r="AC35" s="57">
        <f t="shared" si="8"/>
        <v>0.25</v>
      </c>
      <c r="AD35" s="57">
        <f t="shared" si="9"/>
        <v>1.5</v>
      </c>
      <c r="AE35" s="57">
        <f t="shared" si="10"/>
        <v>970000</v>
      </c>
      <c r="AF35" s="57">
        <f t="shared" si="11"/>
        <v>511460.84747670474</v>
      </c>
      <c r="AG35" s="57">
        <f t="shared" si="108"/>
        <v>388562.41801813507</v>
      </c>
      <c r="AH35" s="57">
        <f t="shared" si="109"/>
        <v>2294739733.2984624</v>
      </c>
      <c r="AI35" s="57">
        <f t="shared" si="110"/>
        <v>2951685086.8081985</v>
      </c>
      <c r="AJ35" s="77">
        <v>970000</v>
      </c>
      <c r="AK35" s="77">
        <v>46.1</v>
      </c>
      <c r="AL35" s="78">
        <f t="shared" si="15"/>
        <v>3.7773317478215116</v>
      </c>
      <c r="AM35" s="57">
        <f t="shared" si="16"/>
        <v>0.97868421052631571</v>
      </c>
      <c r="AN35" s="57">
        <f t="shared" si="17"/>
        <v>0.77868421052631576</v>
      </c>
      <c r="AO35" s="77">
        <v>1500</v>
      </c>
      <c r="AP35" s="79">
        <v>200</v>
      </c>
      <c r="AQ35" s="57">
        <f t="shared" si="46"/>
        <v>128.46026260555684</v>
      </c>
      <c r="AR35" s="57">
        <f t="shared" si="111"/>
        <v>1100</v>
      </c>
      <c r="AS35" s="57">
        <f t="shared" si="18"/>
        <v>1371.5397373944431</v>
      </c>
      <c r="AT35" s="77">
        <v>200</v>
      </c>
      <c r="AU35" s="77">
        <v>1750</v>
      </c>
      <c r="AV35" s="78">
        <f t="shared" si="48"/>
        <v>300000</v>
      </c>
      <c r="AW35" s="77">
        <v>0</v>
      </c>
      <c r="AX35" s="77">
        <f t="shared" si="19"/>
        <v>300000</v>
      </c>
      <c r="AY35" s="77">
        <v>300000</v>
      </c>
      <c r="AZ35" s="77">
        <v>667</v>
      </c>
      <c r="BA35" s="77">
        <v>653</v>
      </c>
      <c r="BB35" s="77">
        <v>617</v>
      </c>
      <c r="BC35" s="77">
        <v>0</v>
      </c>
      <c r="BD35" s="77">
        <v>3.5999999999999999E-3</v>
      </c>
      <c r="BE35" s="77">
        <v>2.5000000000000001E-3</v>
      </c>
      <c r="BF35" s="77">
        <v>9.7000000000000003E-2</v>
      </c>
      <c r="BG35" s="77">
        <v>0</v>
      </c>
      <c r="BH35" s="79">
        <v>500</v>
      </c>
      <c r="BI35" s="79">
        <f t="shared" si="98"/>
        <v>132.73228961416876</v>
      </c>
      <c r="BJ35" s="79">
        <v>2</v>
      </c>
      <c r="BK35" s="57">
        <f t="shared" si="112"/>
        <v>265.46457922833753</v>
      </c>
      <c r="BL35" s="57"/>
      <c r="BM35" s="80">
        <f t="shared" si="99"/>
        <v>962.11275016187415</v>
      </c>
      <c r="BN35" s="80">
        <v>4</v>
      </c>
      <c r="BO35" s="57">
        <f t="shared" si="113"/>
        <v>3848.4510006474966</v>
      </c>
      <c r="BP35" s="57">
        <f t="shared" si="24"/>
        <v>2295680.7181707877</v>
      </c>
      <c r="BQ35" s="77">
        <f t="shared" si="25"/>
        <v>1.862645149230957E-9</v>
      </c>
      <c r="BR35" s="57">
        <f t="shared" si="114"/>
        <v>4017441256.7988787</v>
      </c>
      <c r="BS35" s="57">
        <v>256.92052521111367</v>
      </c>
      <c r="BT35" s="57">
        <f t="shared" si="49"/>
        <v>188.38300137350043</v>
      </c>
      <c r="BU35" s="57"/>
      <c r="BV35" s="57">
        <v>3.3E-3</v>
      </c>
      <c r="BW35" s="57">
        <v>30000</v>
      </c>
      <c r="BX35" s="57">
        <v>200000</v>
      </c>
      <c r="BY35" s="77">
        <f>50</f>
        <v>50</v>
      </c>
      <c r="BZ35" s="77">
        <f>BY35+100</f>
        <v>150</v>
      </c>
      <c r="CA35" s="77">
        <f>BZ35+400*1</f>
        <v>550</v>
      </c>
      <c r="CB35" s="77">
        <f>BZ35+400*2</f>
        <v>950</v>
      </c>
      <c r="CC35" s="77">
        <f>BZ35+400*3</f>
        <v>1350</v>
      </c>
      <c r="CD35" s="77">
        <f>CC35+100</f>
        <v>1450</v>
      </c>
      <c r="DM35" s="77">
        <f t="shared" ref="DM35:DN37" si="116">PI()*35*35/4*2</f>
        <v>1924.2255003237483</v>
      </c>
      <c r="DN35" s="77">
        <f t="shared" si="116"/>
        <v>1924.2255003237483</v>
      </c>
      <c r="DO35" s="77">
        <f t="shared" ref="DO35:DP38" si="117">PI()*16*16/4*2</f>
        <v>402.12385965949352</v>
      </c>
      <c r="DP35" s="77">
        <f t="shared" si="117"/>
        <v>402.12385965949352</v>
      </c>
      <c r="DQ35" s="77">
        <f t="shared" ref="DQ35:DR37" si="118">PI()*35*35/4*2</f>
        <v>1924.2255003237483</v>
      </c>
      <c r="DR35" s="77">
        <f t="shared" si="118"/>
        <v>1924.2255003237483</v>
      </c>
      <c r="FA35" s="77">
        <f t="shared" si="74"/>
        <v>-1022832.8606448523</v>
      </c>
      <c r="FB35" s="77">
        <f t="shared" si="115"/>
        <v>-528520.92150720896</v>
      </c>
      <c r="FC35" s="77">
        <f t="shared" ref="FC35:FD39" si="119">IF(ABS(-$BV35*($BS35-CA35)/$BS35*$BX35)&gt;$BA35,$BA35*SIGN(-($BS35-CA35)),-$BV35*($BS35-CA35)/$BS35*$BX35)*DO35</f>
        <v>262586.88035764929</v>
      </c>
      <c r="FD35" s="77">
        <f t="shared" si="119"/>
        <v>262586.88035764929</v>
      </c>
      <c r="FE35" s="77">
        <f t="shared" ref="FE35:FF38" si="120">IF(ABS(-$BV35*($BS35-CC35)/$BS35*$BX35)&gt;$BB35,$BB35*SIGN(-($BS35-CC35)),-$BV35*($BS35-CC35)/$BS35*$BX35)*DQ35</f>
        <v>1187247.1336997526</v>
      </c>
      <c r="FF35" s="77">
        <f t="shared" si="120"/>
        <v>1187247.1336997526</v>
      </c>
      <c r="GO35" s="77">
        <f t="shared" si="68"/>
        <v>715983002.45139658</v>
      </c>
      <c r="GP35" s="77">
        <f t="shared" si="69"/>
        <v>317112552.90432537</v>
      </c>
      <c r="GQ35" s="77">
        <f t="shared" si="70"/>
        <v>-52517376.071529858</v>
      </c>
      <c r="GR35" s="77">
        <f t="shared" si="71"/>
        <v>52517376.071529858</v>
      </c>
      <c r="GS35" s="77">
        <f t="shared" si="72"/>
        <v>712348280.21985161</v>
      </c>
      <c r="GT35" s="77">
        <f t="shared" si="73"/>
        <v>831072993.58982682</v>
      </c>
      <c r="IC35" s="82">
        <v>34</v>
      </c>
    </row>
    <row r="36" spans="1:237" s="77" customFormat="1">
      <c r="A36" s="77">
        <v>35</v>
      </c>
      <c r="B36" s="69">
        <v>61</v>
      </c>
      <c r="C36" s="69" t="s">
        <v>37</v>
      </c>
      <c r="D36" s="70" t="s">
        <v>42</v>
      </c>
      <c r="E36" s="70">
        <v>3</v>
      </c>
      <c r="F36" s="70">
        <v>9.155998103366525E-2</v>
      </c>
      <c r="G36" s="70"/>
      <c r="H36" s="70"/>
      <c r="I36" s="70">
        <v>0.01</v>
      </c>
      <c r="J36" s="71">
        <v>1.1666666666666667</v>
      </c>
      <c r="K36" s="72">
        <v>7.5</v>
      </c>
      <c r="L36" s="71">
        <v>3.3439544807965862E-2</v>
      </c>
      <c r="M36" s="71">
        <v>2.3719772403982931E-2</v>
      </c>
      <c r="N36" s="71">
        <v>0.8513371266002846</v>
      </c>
      <c r="O36" s="71">
        <v>0</v>
      </c>
      <c r="P36" s="71">
        <v>6.9701280227596016E-2</v>
      </c>
      <c r="Q36" s="73" t="s">
        <v>3</v>
      </c>
      <c r="R36" s="74">
        <v>0</v>
      </c>
      <c r="S36" s="75">
        <f t="shared" si="45"/>
        <v>0.76768553322309341</v>
      </c>
      <c r="T36" s="59">
        <f t="shared" si="0"/>
        <v>2.3389229651031789</v>
      </c>
      <c r="U36" s="59">
        <f t="shared" si="1"/>
        <v>2.2147957992261649</v>
      </c>
      <c r="V36" s="59">
        <f t="shared" si="2"/>
        <v>1.2950283968943506</v>
      </c>
      <c r="W36" s="59">
        <f t="shared" si="3"/>
        <v>0.55368578453254957</v>
      </c>
      <c r="X36" s="59">
        <f t="shared" si="4"/>
        <v>0.58471683816035092</v>
      </c>
      <c r="Y36" s="76">
        <v>1931000</v>
      </c>
      <c r="Z36" s="57">
        <f t="shared" si="5"/>
        <v>1129088.2144876376</v>
      </c>
      <c r="AA36" s="57">
        <f t="shared" si="6"/>
        <v>1069167.2499323532</v>
      </c>
      <c r="AB36" s="57">
        <f t="shared" si="107"/>
        <v>3676437.247445391</v>
      </c>
      <c r="AC36" s="57">
        <f t="shared" si="8"/>
        <v>0.25</v>
      </c>
      <c r="AD36" s="57">
        <f t="shared" si="9"/>
        <v>1.5</v>
      </c>
      <c r="AE36" s="57">
        <f t="shared" si="10"/>
        <v>1469999.9999999998</v>
      </c>
      <c r="AF36" s="57">
        <f t="shared" si="11"/>
        <v>675965.88006534998</v>
      </c>
      <c r="AG36" s="57">
        <f t="shared" si="108"/>
        <v>393201.36986700312</v>
      </c>
      <c r="AH36" s="57">
        <f t="shared" si="109"/>
        <v>3404317887.5067158</v>
      </c>
      <c r="AI36" s="57">
        <f t="shared" si="110"/>
        <v>3029447295.522718</v>
      </c>
      <c r="AJ36" s="77">
        <v>1470000</v>
      </c>
      <c r="AK36" s="77">
        <v>70.3</v>
      </c>
      <c r="AL36" s="78">
        <f t="shared" si="15"/>
        <v>4.7640361537093794</v>
      </c>
      <c r="AM36" s="57">
        <f t="shared" si="16"/>
        <v>0.94</v>
      </c>
      <c r="AN36" s="57">
        <f t="shared" si="17"/>
        <v>0.74</v>
      </c>
      <c r="AO36" s="77">
        <v>1500</v>
      </c>
      <c r="AP36" s="79">
        <v>200</v>
      </c>
      <c r="AQ36" s="57">
        <f t="shared" si="46"/>
        <v>112.0857845151796</v>
      </c>
      <c r="AR36" s="57">
        <f t="shared" si="111"/>
        <v>1100</v>
      </c>
      <c r="AS36" s="57">
        <f t="shared" si="18"/>
        <v>1387.9142154848205</v>
      </c>
      <c r="AT36" s="77">
        <v>200</v>
      </c>
      <c r="AU36" s="77">
        <v>1750</v>
      </c>
      <c r="AV36" s="78">
        <f t="shared" si="48"/>
        <v>300000</v>
      </c>
      <c r="AW36" s="77">
        <v>0</v>
      </c>
      <c r="AX36" s="77">
        <f t="shared" si="19"/>
        <v>300000</v>
      </c>
      <c r="AY36" s="77">
        <v>300000</v>
      </c>
      <c r="AZ36" s="77">
        <v>667</v>
      </c>
      <c r="BA36" s="77">
        <v>653</v>
      </c>
      <c r="BB36" s="77">
        <v>617</v>
      </c>
      <c r="BC36" s="77">
        <v>0</v>
      </c>
      <c r="BD36" s="77">
        <v>3.5999999999999999E-3</v>
      </c>
      <c r="BE36" s="77">
        <v>2.5000000000000001E-3</v>
      </c>
      <c r="BF36" s="77">
        <v>9.7000000000000003E-2</v>
      </c>
      <c r="BG36" s="77">
        <v>0</v>
      </c>
      <c r="BH36" s="79">
        <v>500</v>
      </c>
      <c r="BI36" s="79">
        <f t="shared" si="98"/>
        <v>132.73228961416876</v>
      </c>
      <c r="BJ36" s="79">
        <v>2</v>
      </c>
      <c r="BK36" s="57">
        <f t="shared" si="112"/>
        <v>265.46457922833753</v>
      </c>
      <c r="BL36" s="57"/>
      <c r="BM36" s="80">
        <f t="shared" si="99"/>
        <v>962.11275016187415</v>
      </c>
      <c r="BN36" s="80">
        <v>4</v>
      </c>
      <c r="BO36" s="57">
        <f t="shared" si="113"/>
        <v>3848.4510006474966</v>
      </c>
      <c r="BP36" s="57">
        <f t="shared" si="24"/>
        <v>2500699.834402991</v>
      </c>
      <c r="BQ36" s="77">
        <f t="shared" si="25"/>
        <v>2.7939677238464355E-9</v>
      </c>
      <c r="BR36" s="57">
        <f t="shared" si="114"/>
        <v>4376224710.2052345</v>
      </c>
      <c r="BS36" s="57">
        <v>224.17156903035919</v>
      </c>
      <c r="BT36" s="57">
        <f t="shared" si="49"/>
        <v>238.87684795487695</v>
      </c>
      <c r="BU36" s="57"/>
      <c r="BV36" s="57">
        <v>3.3E-3</v>
      </c>
      <c r="BW36" s="57">
        <v>30000</v>
      </c>
      <c r="BX36" s="57">
        <v>200000</v>
      </c>
      <c r="BY36" s="77">
        <f>50</f>
        <v>50</v>
      </c>
      <c r="BZ36" s="77">
        <f>BY36+100</f>
        <v>150</v>
      </c>
      <c r="CA36" s="77">
        <f>BZ36+400*1</f>
        <v>550</v>
      </c>
      <c r="CB36" s="77">
        <f>BZ36+400*2</f>
        <v>950</v>
      </c>
      <c r="CC36" s="77">
        <f>BZ36+400*3</f>
        <v>1350</v>
      </c>
      <c r="CD36" s="77">
        <f>CC36+100</f>
        <v>1450</v>
      </c>
      <c r="DM36" s="77">
        <f t="shared" si="116"/>
        <v>1924.2255003237483</v>
      </c>
      <c r="DN36" s="77">
        <f t="shared" si="116"/>
        <v>1924.2255003237483</v>
      </c>
      <c r="DO36" s="77">
        <f t="shared" si="117"/>
        <v>402.12385965949352</v>
      </c>
      <c r="DP36" s="77">
        <f t="shared" si="117"/>
        <v>402.12385965949352</v>
      </c>
      <c r="DQ36" s="77">
        <f t="shared" si="118"/>
        <v>1924.2255003237483</v>
      </c>
      <c r="DR36" s="77">
        <f t="shared" si="118"/>
        <v>1924.2255003237483</v>
      </c>
      <c r="FA36" s="77">
        <f t="shared" si="74"/>
        <v>-986726.14090232737</v>
      </c>
      <c r="FB36" s="77">
        <f t="shared" si="115"/>
        <v>-420200.76227963448</v>
      </c>
      <c r="FC36" s="77">
        <f t="shared" si="119"/>
        <v>262586.88035764929</v>
      </c>
      <c r="FD36" s="77">
        <f t="shared" si="119"/>
        <v>262586.88035764929</v>
      </c>
      <c r="FE36" s="77">
        <f t="shared" si="120"/>
        <v>1187247.1336997526</v>
      </c>
      <c r="FF36" s="77">
        <f t="shared" si="120"/>
        <v>1187247.1336997526</v>
      </c>
      <c r="GO36" s="77">
        <f t="shared" si="68"/>
        <v>690708298.63162911</v>
      </c>
      <c r="GP36" s="77">
        <f t="shared" si="69"/>
        <v>252120457.36778069</v>
      </c>
      <c r="GQ36" s="77">
        <f t="shared" si="70"/>
        <v>-52517376.071529858</v>
      </c>
      <c r="GR36" s="77">
        <f t="shared" si="71"/>
        <v>52517376.071529858</v>
      </c>
      <c r="GS36" s="77">
        <f t="shared" si="72"/>
        <v>712348280.21985161</v>
      </c>
      <c r="GT36" s="77">
        <f t="shared" si="73"/>
        <v>831072993.58982682</v>
      </c>
      <c r="IC36" s="82">
        <v>35</v>
      </c>
    </row>
    <row r="37" spans="1:237" s="77" customFormat="1">
      <c r="A37" s="77">
        <v>36</v>
      </c>
      <c r="B37" s="69">
        <v>62</v>
      </c>
      <c r="C37" s="69" t="s">
        <v>37</v>
      </c>
      <c r="D37" s="70" t="s">
        <v>43</v>
      </c>
      <c r="E37" s="70">
        <v>3</v>
      </c>
      <c r="F37" s="70">
        <v>0.14767025089605734</v>
      </c>
      <c r="G37" s="70"/>
      <c r="H37" s="70"/>
      <c r="I37" s="70">
        <v>1.0200000000000001E-2</v>
      </c>
      <c r="J37" s="71">
        <v>1.1666666666666667</v>
      </c>
      <c r="K37" s="72">
        <v>7.5</v>
      </c>
      <c r="L37" s="71">
        <v>5.0554838709677419E-2</v>
      </c>
      <c r="M37" s="71">
        <v>3.5860215053763439E-2</v>
      </c>
      <c r="N37" s="71">
        <v>1.2870752688172045</v>
      </c>
      <c r="O37" s="71">
        <v>0.8950709677419354</v>
      </c>
      <c r="P37" s="71">
        <v>6.9534050179211465E-2</v>
      </c>
      <c r="Q37" s="73" t="s">
        <v>3</v>
      </c>
      <c r="R37" s="74">
        <v>0</v>
      </c>
      <c r="S37" s="75">
        <f t="shared" si="45"/>
        <v>1.0069768564799593</v>
      </c>
      <c r="T37" s="59">
        <f t="shared" si="0"/>
        <v>2.5449716713213859</v>
      </c>
      <c r="U37" s="59">
        <f t="shared" si="1"/>
        <v>2.2700535422310972</v>
      </c>
      <c r="V37" s="59">
        <f t="shared" si="2"/>
        <v>1.114840720707468</v>
      </c>
      <c r="W37" s="59">
        <f t="shared" si="3"/>
        <v>0.43805623978856573</v>
      </c>
      <c r="X37" s="59">
        <f t="shared" si="4"/>
        <v>0.4911076765228008</v>
      </c>
      <c r="Y37" s="76">
        <v>2060000</v>
      </c>
      <c r="Z37" s="57">
        <f t="shared" si="5"/>
        <v>1011681.8136369697</v>
      </c>
      <c r="AA37" s="57">
        <f t="shared" si="6"/>
        <v>902395.85396444541</v>
      </c>
      <c r="AB37" s="57">
        <f t="shared" si="107"/>
        <v>3010460.3167113918</v>
      </c>
      <c r="AC37" s="57">
        <f t="shared" si="8"/>
        <v>0.25</v>
      </c>
      <c r="AD37" s="57">
        <f t="shared" si="9"/>
        <v>1.5</v>
      </c>
      <c r="AE37" s="57">
        <f t="shared" si="10"/>
        <v>970000</v>
      </c>
      <c r="AF37" s="57">
        <f t="shared" si="11"/>
        <v>513641.07059483242</v>
      </c>
      <c r="AG37" s="57">
        <f t="shared" si="108"/>
        <v>388754.783369613</v>
      </c>
      <c r="AH37" s="57">
        <f t="shared" si="109"/>
        <v>2313395869.4890952</v>
      </c>
      <c r="AI37" s="57">
        <f t="shared" si="110"/>
        <v>2954909684.7558408</v>
      </c>
      <c r="AJ37" s="77">
        <v>970000</v>
      </c>
      <c r="AK37" s="77">
        <v>46.5</v>
      </c>
      <c r="AL37" s="78">
        <f t="shared" si="15"/>
        <v>3.7953230142933418</v>
      </c>
      <c r="AM37" s="57">
        <f t="shared" si="16"/>
        <v>0.97763157894736841</v>
      </c>
      <c r="AN37" s="57">
        <f t="shared" si="17"/>
        <v>0.77763157894736845</v>
      </c>
      <c r="AO37" s="77">
        <v>1500</v>
      </c>
      <c r="AP37" s="79">
        <v>200</v>
      </c>
      <c r="AQ37" s="57">
        <f t="shared" si="46"/>
        <v>127.78125529189124</v>
      </c>
      <c r="AR37" s="57">
        <f t="shared" si="111"/>
        <v>1100</v>
      </c>
      <c r="AS37" s="57">
        <f t="shared" si="18"/>
        <v>1372.2187447081087</v>
      </c>
      <c r="AT37" s="77">
        <v>200</v>
      </c>
      <c r="AU37" s="77">
        <v>1750</v>
      </c>
      <c r="AV37" s="78">
        <f t="shared" si="48"/>
        <v>300000</v>
      </c>
      <c r="AW37" s="77">
        <v>0</v>
      </c>
      <c r="AX37" s="77">
        <f t="shared" si="19"/>
        <v>300000</v>
      </c>
      <c r="AY37" s="77">
        <v>300000</v>
      </c>
      <c r="AZ37" s="77">
        <v>667</v>
      </c>
      <c r="BA37" s="77">
        <v>653</v>
      </c>
      <c r="BB37" s="77">
        <v>617</v>
      </c>
      <c r="BC37" s="77">
        <v>667</v>
      </c>
      <c r="BD37" s="77">
        <v>3.5999999999999999E-3</v>
      </c>
      <c r="BE37" s="77">
        <v>2.5000000000000001E-3</v>
      </c>
      <c r="BF37" s="77">
        <v>9.7000000000000003E-2</v>
      </c>
      <c r="BG37" s="77">
        <v>6.2399999999999997E-2</v>
      </c>
      <c r="BH37" s="79">
        <v>500</v>
      </c>
      <c r="BI37" s="79">
        <f t="shared" si="98"/>
        <v>132.73228961416876</v>
      </c>
      <c r="BJ37" s="79">
        <v>2</v>
      </c>
      <c r="BK37" s="57">
        <f t="shared" si="112"/>
        <v>265.46457922833753</v>
      </c>
      <c r="BL37" s="57"/>
      <c r="BM37" s="80">
        <f t="shared" si="99"/>
        <v>962.11275016187415</v>
      </c>
      <c r="BN37" s="80">
        <v>4</v>
      </c>
      <c r="BO37" s="57">
        <f t="shared" si="113"/>
        <v>3848.4510006474966</v>
      </c>
      <c r="BP37" s="57">
        <f t="shared" si="24"/>
        <v>2296571.8846573839</v>
      </c>
      <c r="BQ37" s="77">
        <f t="shared" si="25"/>
        <v>1.862645149230957E-9</v>
      </c>
      <c r="BR37" s="57">
        <f t="shared" si="114"/>
        <v>4019000798.1504221</v>
      </c>
      <c r="BS37" s="57">
        <v>255.56251058378248</v>
      </c>
      <c r="BT37" s="57">
        <f t="shared" si="49"/>
        <v>187.5058357799868</v>
      </c>
      <c r="BU37" s="57"/>
      <c r="BV37" s="57">
        <v>3.3E-3</v>
      </c>
      <c r="BW37" s="57">
        <v>30000</v>
      </c>
      <c r="BX37" s="57">
        <v>200000</v>
      </c>
      <c r="BY37" s="77">
        <f>50</f>
        <v>50</v>
      </c>
      <c r="BZ37" s="77">
        <f>BY37+100</f>
        <v>150</v>
      </c>
      <c r="CA37" s="77">
        <f>BZ37+400*1</f>
        <v>550</v>
      </c>
      <c r="CB37" s="77">
        <f>BZ37+400*2</f>
        <v>950</v>
      </c>
      <c r="CC37" s="77">
        <f>BZ37+400*3</f>
        <v>1350</v>
      </c>
      <c r="CD37" s="77">
        <f>CC37+100</f>
        <v>1450</v>
      </c>
      <c r="DM37" s="77">
        <f t="shared" si="116"/>
        <v>1924.2255003237483</v>
      </c>
      <c r="DN37" s="77">
        <f t="shared" si="116"/>
        <v>1924.2255003237483</v>
      </c>
      <c r="DO37" s="77">
        <f t="shared" si="117"/>
        <v>402.12385965949352</v>
      </c>
      <c r="DP37" s="77">
        <f t="shared" si="117"/>
        <v>402.12385965949352</v>
      </c>
      <c r="DQ37" s="77">
        <f t="shared" si="118"/>
        <v>1924.2255003237483</v>
      </c>
      <c r="DR37" s="77">
        <f t="shared" si="118"/>
        <v>1924.2255003237483</v>
      </c>
      <c r="FA37" s="77">
        <f t="shared" si="74"/>
        <v>-1021519.5169109063</v>
      </c>
      <c r="FB37" s="77">
        <f t="shared" si="115"/>
        <v>-524580.89030537126</v>
      </c>
      <c r="FC37" s="77">
        <f t="shared" si="119"/>
        <v>262586.88035764929</v>
      </c>
      <c r="FD37" s="77">
        <f t="shared" si="119"/>
        <v>262586.88035764929</v>
      </c>
      <c r="FE37" s="77">
        <f t="shared" si="120"/>
        <v>1187247.1336997526</v>
      </c>
      <c r="FF37" s="77">
        <f t="shared" si="120"/>
        <v>1187247.1336997526</v>
      </c>
      <c r="GO37" s="77">
        <f t="shared" si="68"/>
        <v>715063661.83763444</v>
      </c>
      <c r="GP37" s="77">
        <f t="shared" si="69"/>
        <v>314748534.18322277</v>
      </c>
      <c r="GQ37" s="77">
        <f t="shared" si="70"/>
        <v>-52517376.071529858</v>
      </c>
      <c r="GR37" s="77">
        <f t="shared" si="71"/>
        <v>52517376.071529858</v>
      </c>
      <c r="GS37" s="77">
        <f t="shared" si="72"/>
        <v>712348280.21985161</v>
      </c>
      <c r="GT37" s="77">
        <f t="shared" si="73"/>
        <v>831072993.58982682</v>
      </c>
      <c r="IC37" s="82">
        <v>36</v>
      </c>
    </row>
    <row r="38" spans="1:237" s="77" customFormat="1">
      <c r="A38" s="77">
        <v>37</v>
      </c>
      <c r="B38" s="69">
        <v>63</v>
      </c>
      <c r="C38" s="69" t="s">
        <v>37</v>
      </c>
      <c r="D38" s="70" t="s">
        <v>44</v>
      </c>
      <c r="E38" s="70">
        <v>1</v>
      </c>
      <c r="F38" s="70">
        <v>8.2365591397849464E-2</v>
      </c>
      <c r="G38" s="70"/>
      <c r="H38" s="70"/>
      <c r="I38" s="70">
        <v>2.5000000000000001E-2</v>
      </c>
      <c r="J38" s="71">
        <v>1.1666666666666667</v>
      </c>
      <c r="K38" s="72">
        <v>7.5</v>
      </c>
      <c r="L38" s="71">
        <v>5.0554838709677419E-2</v>
      </c>
      <c r="M38" s="71">
        <v>3.5860215053763439E-2</v>
      </c>
      <c r="N38" s="71">
        <v>0.28086021505376346</v>
      </c>
      <c r="O38" s="71">
        <v>0.88933333333333331</v>
      </c>
      <c r="P38" s="71">
        <v>6.9534050179211465E-2</v>
      </c>
      <c r="Q38" s="73" t="s">
        <v>3</v>
      </c>
      <c r="R38" s="74">
        <v>0</v>
      </c>
      <c r="S38" s="75">
        <f t="shared" si="45"/>
        <v>0.56165845053178309</v>
      </c>
      <c r="T38" s="59">
        <f t="shared" si="0"/>
        <v>1.0365938938705384</v>
      </c>
      <c r="U38" s="59">
        <f t="shared" si="1"/>
        <v>0.94314785770605936</v>
      </c>
      <c r="V38" s="59">
        <f t="shared" si="2"/>
        <v>0.83043127520616944</v>
      </c>
      <c r="W38" s="59">
        <f t="shared" si="3"/>
        <v>0.8011153452828299</v>
      </c>
      <c r="X38" s="59">
        <f t="shared" si="4"/>
        <v>0.88048895877891176</v>
      </c>
      <c r="Y38" s="76">
        <v>1149000</v>
      </c>
      <c r="Z38" s="57">
        <f t="shared" si="5"/>
        <v>1011681.8136369697</v>
      </c>
      <c r="AA38" s="57">
        <f t="shared" si="6"/>
        <v>920481.53172997152</v>
      </c>
      <c r="AB38" s="57">
        <f t="shared" si="107"/>
        <v>1745908.1975884198</v>
      </c>
      <c r="AC38" s="57">
        <f t="shared" si="8"/>
        <v>0.25</v>
      </c>
      <c r="AD38" s="57">
        <f t="shared" si="9"/>
        <v>1.5</v>
      </c>
      <c r="AE38" s="57">
        <f t="shared" si="10"/>
        <v>970000</v>
      </c>
      <c r="AF38" s="57">
        <f t="shared" si="11"/>
        <v>522997.01166352653</v>
      </c>
      <c r="AG38" s="57">
        <f t="shared" si="108"/>
        <v>397484.52006644494</v>
      </c>
      <c r="AH38" s="57">
        <f t="shared" si="109"/>
        <v>2369427971.1489782</v>
      </c>
      <c r="AI38" s="57">
        <f t="shared" si="110"/>
        <v>685911374.6307565</v>
      </c>
      <c r="AJ38" s="77">
        <v>970000</v>
      </c>
      <c r="AK38" s="77">
        <v>46.5</v>
      </c>
      <c r="AL38" s="78">
        <f t="shared" si="15"/>
        <v>3.7953230142933418</v>
      </c>
      <c r="AM38" s="57">
        <f t="shared" si="16"/>
        <v>0.97763157894736841</v>
      </c>
      <c r="AN38" s="57">
        <f t="shared" si="17"/>
        <v>0.77763157894736845</v>
      </c>
      <c r="AO38" s="77">
        <v>1500</v>
      </c>
      <c r="AP38" s="79">
        <f>40+120+40</f>
        <v>200</v>
      </c>
      <c r="AQ38" s="57">
        <f t="shared" si="46"/>
        <v>96.967207866088287</v>
      </c>
      <c r="AR38" s="57">
        <f t="shared" si="111"/>
        <v>1100</v>
      </c>
      <c r="AS38" s="57">
        <f t="shared" si="18"/>
        <v>1403.0327921339117</v>
      </c>
      <c r="AT38" s="77">
        <v>200</v>
      </c>
      <c r="AU38" s="77">
        <v>1750</v>
      </c>
      <c r="AV38" s="78">
        <f t="shared" si="48"/>
        <v>300000</v>
      </c>
      <c r="AW38" s="77">
        <v>0</v>
      </c>
      <c r="AX38" s="77">
        <f t="shared" si="19"/>
        <v>300000</v>
      </c>
      <c r="AY38" s="77">
        <v>300000</v>
      </c>
      <c r="AZ38" s="77">
        <v>667</v>
      </c>
      <c r="BA38" s="77">
        <v>653</v>
      </c>
      <c r="BB38" s="77">
        <v>653</v>
      </c>
      <c r="BC38" s="77">
        <v>667</v>
      </c>
      <c r="BD38" s="77">
        <v>3.5999999999999999E-3</v>
      </c>
      <c r="BE38" s="77">
        <v>2.5000000000000001E-3</v>
      </c>
      <c r="BF38" s="77">
        <v>0.02</v>
      </c>
      <c r="BG38" s="77">
        <v>6.2E-2</v>
      </c>
      <c r="BH38" s="79">
        <v>500</v>
      </c>
      <c r="BI38" s="79">
        <f t="shared" si="98"/>
        <v>132.73228961416876</v>
      </c>
      <c r="BJ38" s="79">
        <v>2</v>
      </c>
      <c r="BK38" s="57">
        <f t="shared" si="112"/>
        <v>265.46457922833753</v>
      </c>
      <c r="BL38" s="57"/>
      <c r="BM38" s="80">
        <f>PI()*16*16/4</f>
        <v>201.06192982974676</v>
      </c>
      <c r="BN38" s="80">
        <v>4</v>
      </c>
      <c r="BO38" s="57">
        <f t="shared" si="113"/>
        <v>804.24771931898704</v>
      </c>
      <c r="BP38" s="57">
        <f t="shared" si="24"/>
        <v>954165.53521188872</v>
      </c>
      <c r="BQ38" s="77">
        <f t="shared" si="25"/>
        <v>0</v>
      </c>
      <c r="BR38" s="57">
        <f t="shared" si="114"/>
        <v>1669789686.6208053</v>
      </c>
      <c r="BS38" s="57">
        <v>193.93441573217657</v>
      </c>
      <c r="BT38" s="57">
        <f t="shared" si="49"/>
        <v>187.5058357799868</v>
      </c>
      <c r="BU38" s="57"/>
      <c r="BV38" s="57">
        <v>3.3E-3</v>
      </c>
      <c r="BW38" s="57">
        <v>30000</v>
      </c>
      <c r="BX38" s="57">
        <v>200000</v>
      </c>
      <c r="BY38" s="77">
        <f>40</f>
        <v>40</v>
      </c>
      <c r="BZ38" s="77">
        <f>BY38+120</f>
        <v>160</v>
      </c>
      <c r="CA38" s="77">
        <f>BZ38+1180/3*1</f>
        <v>553.33333333333326</v>
      </c>
      <c r="CB38" s="77">
        <f>BZ38+1180/3*2</f>
        <v>946.66666666666663</v>
      </c>
      <c r="CC38" s="77">
        <f>BZ38+1180/3*3</f>
        <v>1340</v>
      </c>
      <c r="CD38" s="77">
        <f>CC38+120</f>
        <v>1460</v>
      </c>
      <c r="DM38" s="77">
        <f>PI()*16*16/4*2</f>
        <v>402.12385965949352</v>
      </c>
      <c r="DN38" s="77">
        <f>PI()*16*16/4*2</f>
        <v>402.12385965949352</v>
      </c>
      <c r="DO38" s="77">
        <f t="shared" si="117"/>
        <v>402.12385965949352</v>
      </c>
      <c r="DP38" s="77">
        <f t="shared" si="117"/>
        <v>402.12385965949352</v>
      </c>
      <c r="DQ38" s="77">
        <f>PI()*16*16/4*2</f>
        <v>402.12385965949352</v>
      </c>
      <c r="DR38" s="77">
        <f>PI()*16*16/4*2</f>
        <v>402.12385965949352</v>
      </c>
      <c r="FA38" s="77">
        <f t="shared" si="74"/>
        <v>-210661.23185134024</v>
      </c>
      <c r="FB38" s="77">
        <f t="shared" si="115"/>
        <v>-46439.685279563819</v>
      </c>
      <c r="FC38" s="77">
        <f t="shared" si="119"/>
        <v>262586.88035764929</v>
      </c>
      <c r="FD38" s="77">
        <f t="shared" si="119"/>
        <v>262586.88035764929</v>
      </c>
      <c r="FE38" s="77">
        <f t="shared" si="120"/>
        <v>262586.88035764929</v>
      </c>
      <c r="FF38" s="77">
        <f t="shared" si="120"/>
        <v>262586.88035764929</v>
      </c>
      <c r="GO38" s="77">
        <f t="shared" si="68"/>
        <v>149569474.61445156</v>
      </c>
      <c r="GP38" s="77">
        <f t="shared" si="69"/>
        <v>27399414.314942654</v>
      </c>
      <c r="GQ38" s="77">
        <f t="shared" si="70"/>
        <v>-51642086.470337711</v>
      </c>
      <c r="GR38" s="77">
        <f t="shared" si="71"/>
        <v>51642086.470337681</v>
      </c>
      <c r="GS38" s="77">
        <f t="shared" si="72"/>
        <v>154926259.4110131</v>
      </c>
      <c r="GT38" s="77">
        <f t="shared" si="73"/>
        <v>186436685.053931</v>
      </c>
      <c r="IC38" s="82">
        <v>37</v>
      </c>
    </row>
    <row r="39" spans="1:237" s="77" customFormat="1">
      <c r="A39" s="77">
        <v>38</v>
      </c>
      <c r="B39" s="69">
        <v>64</v>
      </c>
      <c r="C39" s="69" t="s">
        <v>45</v>
      </c>
      <c r="D39" s="70" t="s">
        <v>46</v>
      </c>
      <c r="E39" s="70">
        <v>3</v>
      </c>
      <c r="F39" s="70">
        <v>6.7236786313441363E-2</v>
      </c>
      <c r="G39" s="70"/>
      <c r="H39" s="70"/>
      <c r="I39" s="70">
        <v>1.2500000000000001E-2</v>
      </c>
      <c r="J39" s="71">
        <v>1.2</v>
      </c>
      <c r="K39" s="72">
        <v>10</v>
      </c>
      <c r="L39" s="71">
        <v>1.5429087624209574E-2</v>
      </c>
      <c r="M39" s="71">
        <v>3.9159891598915988E-2</v>
      </c>
      <c r="N39" s="71">
        <v>0.22081300813008128</v>
      </c>
      <c r="O39" s="71">
        <v>0.13209936766034328</v>
      </c>
      <c r="P39" s="71">
        <v>0.05</v>
      </c>
      <c r="Q39" s="73" t="s">
        <v>243</v>
      </c>
      <c r="R39" s="74">
        <v>0.30612244897959184</v>
      </c>
      <c r="S39" s="75">
        <f t="shared" si="45"/>
        <v>0.70742557736991873</v>
      </c>
      <c r="T39" s="59">
        <f t="shared" si="0"/>
        <v>2.5356087783263157</v>
      </c>
      <c r="U39" s="59">
        <f t="shared" si="1"/>
        <v>2.1870981042203592</v>
      </c>
      <c r="V39" s="59">
        <f t="shared" si="2"/>
        <v>1.0442408383991999</v>
      </c>
      <c r="W39" s="59">
        <f t="shared" si="3"/>
        <v>0.41183042404848991</v>
      </c>
      <c r="X39" s="59">
        <f t="shared" si="4"/>
        <v>0.47745496024351558</v>
      </c>
      <c r="Y39" s="76">
        <v>1458850</v>
      </c>
      <c r="Z39" s="57">
        <f t="shared" si="5"/>
        <v>696535.1687512527</v>
      </c>
      <c r="AA39" s="57">
        <f t="shared" si="6"/>
        <v>600798.81412313948</v>
      </c>
      <c r="AB39" s="57">
        <f t="shared" si="107"/>
        <v>1922659.0399123689</v>
      </c>
      <c r="AC39" s="57">
        <f t="shared" si="8"/>
        <v>0.25</v>
      </c>
      <c r="AD39" s="57">
        <f t="shared" si="9"/>
        <v>1.5</v>
      </c>
      <c r="AE39" s="57">
        <f t="shared" si="10"/>
        <v>1084860</v>
      </c>
      <c r="AF39" s="57">
        <f t="shared" si="11"/>
        <v>266942.07209931192</v>
      </c>
      <c r="AG39" s="57">
        <f t="shared" si="108"/>
        <v>333856.74202382751</v>
      </c>
      <c r="AH39" s="57">
        <f t="shared" si="109"/>
        <v>1072991743.3952552</v>
      </c>
      <c r="AI39" s="57">
        <f t="shared" si="110"/>
        <v>1234199104.4995875</v>
      </c>
      <c r="AJ39" s="77">
        <v>1084860</v>
      </c>
      <c r="AK39" s="77">
        <v>110.7</v>
      </c>
      <c r="AL39" s="78">
        <f t="shared" si="15"/>
        <v>6.1154836774630068</v>
      </c>
      <c r="AM39" s="57">
        <f t="shared" si="16"/>
        <v>0.94</v>
      </c>
      <c r="AN39" s="57">
        <f t="shared" si="17"/>
        <v>0.74</v>
      </c>
      <c r="AO39" s="77">
        <v>1000</v>
      </c>
      <c r="AP39" s="79">
        <v>120</v>
      </c>
      <c r="AQ39" s="57">
        <f t="shared" si="46"/>
        <v>80.71019415834175</v>
      </c>
      <c r="AR39" s="57">
        <f t="shared" si="111"/>
        <v>760</v>
      </c>
      <c r="AS39" s="57">
        <f t="shared" si="18"/>
        <v>919.28980584165822</v>
      </c>
      <c r="AT39" s="77">
        <v>100</v>
      </c>
      <c r="AU39" s="77">
        <v>1200</v>
      </c>
      <c r="AV39" s="78">
        <f t="shared" si="48"/>
        <v>76000</v>
      </c>
      <c r="AW39" s="77">
        <f>AY39-AR39*AT39</f>
        <v>120000</v>
      </c>
      <c r="AX39" s="77">
        <f t="shared" si="19"/>
        <v>100000</v>
      </c>
      <c r="AY39" s="77">
        <v>196000</v>
      </c>
      <c r="AZ39" s="77">
        <v>578</v>
      </c>
      <c r="BA39" s="77">
        <v>630</v>
      </c>
      <c r="BB39" s="77">
        <v>610</v>
      </c>
      <c r="BC39" s="77">
        <v>617</v>
      </c>
      <c r="BD39" s="77">
        <v>2.8E-3</v>
      </c>
      <c r="BE39" s="77">
        <v>7.4999999999999997E-3</v>
      </c>
      <c r="BF39" s="77">
        <v>3.8800000000000001E-2</v>
      </c>
      <c r="BG39" s="77">
        <v>2.53E-2</v>
      </c>
      <c r="BH39" s="79">
        <v>200</v>
      </c>
      <c r="BI39" s="79">
        <f>PI()*10*10/4</f>
        <v>78.539816339744831</v>
      </c>
      <c r="BJ39" s="79">
        <v>2</v>
      </c>
      <c r="BK39" s="57">
        <f t="shared" si="112"/>
        <v>157.07963267948966</v>
      </c>
      <c r="BL39" s="57"/>
      <c r="BM39" s="80">
        <f>PI()*16*16/4</f>
        <v>201.06192982974676</v>
      </c>
      <c r="BN39" s="80">
        <v>12</v>
      </c>
      <c r="BO39" s="57">
        <f t="shared" si="113"/>
        <v>2412.7431579569611</v>
      </c>
      <c r="BP39" s="57">
        <f t="shared" si="24"/>
        <v>1523390.7470986729</v>
      </c>
      <c r="BQ39" s="77">
        <f t="shared" si="25"/>
        <v>0</v>
      </c>
      <c r="BR39" s="57">
        <f t="shared" si="114"/>
        <v>1828068896.5184073</v>
      </c>
      <c r="BS39" s="57">
        <v>161.4203883166835</v>
      </c>
      <c r="BT39" s="57">
        <f t="shared" si="49"/>
        <v>488.04202188837627</v>
      </c>
      <c r="BU39" s="57"/>
      <c r="BV39" s="57">
        <v>3.3E-3</v>
      </c>
      <c r="BW39" s="57">
        <v>30000</v>
      </c>
      <c r="BX39" s="57">
        <v>200000</v>
      </c>
      <c r="BY39" s="77">
        <f>20</f>
        <v>20</v>
      </c>
      <c r="BZ39" s="77">
        <f>BY39+80</f>
        <v>100</v>
      </c>
      <c r="CA39" s="77">
        <f>BZ39+200</f>
        <v>300</v>
      </c>
      <c r="CB39" s="77">
        <f>BZ39+200*2</f>
        <v>500</v>
      </c>
      <c r="CC39" s="77">
        <f>BZ39+200*3</f>
        <v>700</v>
      </c>
      <c r="CD39" s="77">
        <f>BZ39+200*4</f>
        <v>900</v>
      </c>
      <c r="CE39" s="77">
        <f>CD39+80</f>
        <v>980</v>
      </c>
      <c r="DM39" s="77">
        <f>PI()*16*16/4*6</f>
        <v>1206.3715789784806</v>
      </c>
      <c r="DN39" s="77">
        <f>PI()*16*16/4*6+PI()*6*6/4*2</f>
        <v>1262.9202467430969</v>
      </c>
      <c r="DO39" s="77">
        <f>PI()*6*6/4*2</f>
        <v>56.548667764616276</v>
      </c>
      <c r="DP39" s="77">
        <f>PI()*6*6/4*2</f>
        <v>56.548667764616276</v>
      </c>
      <c r="DQ39" s="77">
        <f>PI()*6*6/4*2</f>
        <v>56.548667764616276</v>
      </c>
      <c r="DR39" s="77">
        <f>PI()*16*16/4*6+PI()*6*6/4*2</f>
        <v>1262.9202467430969</v>
      </c>
      <c r="DS39" s="77">
        <f>PI()*16*16/4*6</f>
        <v>1206.3715789784806</v>
      </c>
      <c r="FA39" s="77">
        <f t="shared" si="74"/>
        <v>-697555.34412607772</v>
      </c>
      <c r="FB39" s="77">
        <f t="shared" si="115"/>
        <v>-317156.80300816207</v>
      </c>
      <c r="FC39" s="77">
        <f t="shared" si="119"/>
        <v>32041.088806406045</v>
      </c>
      <c r="FD39" s="77">
        <f t="shared" si="119"/>
        <v>35625.660691708254</v>
      </c>
      <c r="FE39" s="77">
        <f>IF(ABS(-$BV39*($BS39-CC39)/$BS39*$BX39)&gt;$BA39,$BA39*SIGN(-($BS39-CC39)),-$BV39*($BS39-CC39)/$BS39*$BX39)*DQ39</f>
        <v>35625.660691708254</v>
      </c>
      <c r="FF39" s="77">
        <f>IF(ABS(-$BV39*($BS39-CD39)/$BS39*$BX39)&gt;$BB39,$BB39*SIGN(-($BS39-CD39)),-$BV39*($BS39-CD39)/$BS39*$BX39)*DR39</f>
        <v>770381.3505132891</v>
      </c>
      <c r="FG39" s="77">
        <f>IF(ABS(-$BV39*($BS39-CE39)/$BS39*$BX39)&gt;$BB39,$BB39*SIGN(-($BS39-CE39)),-$BV39*($BS39-CE39)/$BS39*$BX39)*DS39</f>
        <v>735886.66317687312</v>
      </c>
      <c r="GO39" s="77">
        <f t="shared" si="68"/>
        <v>334826565.18051732</v>
      </c>
      <c r="GP39" s="77">
        <f t="shared" si="69"/>
        <v>126862721.20326483</v>
      </c>
      <c r="GQ39" s="77">
        <f t="shared" si="70"/>
        <v>-6408217.7612812091</v>
      </c>
      <c r="GR39" s="77">
        <f t="shared" si="71"/>
        <v>0</v>
      </c>
      <c r="GS39" s="77">
        <f t="shared" si="72"/>
        <v>7125132.1383416504</v>
      </c>
      <c r="GT39" s="77">
        <f t="shared" si="73"/>
        <v>308152540.20531565</v>
      </c>
      <c r="GU39" s="77">
        <f t="shared" ref="GU39:GU70" si="121">FG39*(CE39-0.5*$AO39)</f>
        <v>353225598.32489908</v>
      </c>
      <c r="IC39" s="82">
        <v>38</v>
      </c>
    </row>
    <row r="40" spans="1:237" s="77" customFormat="1">
      <c r="A40" s="77">
        <v>39</v>
      </c>
      <c r="B40" s="69">
        <v>65</v>
      </c>
      <c r="C40" s="69" t="s">
        <v>45</v>
      </c>
      <c r="D40" s="70" t="s">
        <v>47</v>
      </c>
      <c r="E40" s="70">
        <v>3</v>
      </c>
      <c r="F40" s="70">
        <v>7.9456007386604091E-2</v>
      </c>
      <c r="G40" s="70"/>
      <c r="H40" s="70"/>
      <c r="I40" s="70">
        <v>1.17E-2</v>
      </c>
      <c r="J40" s="71">
        <v>1.2</v>
      </c>
      <c r="K40" s="72">
        <v>10</v>
      </c>
      <c r="L40" s="71">
        <v>1.8267379679144383E-2</v>
      </c>
      <c r="M40" s="71">
        <v>1.8267379679144383E-2</v>
      </c>
      <c r="N40" s="71">
        <v>0.46694117647058825</v>
      </c>
      <c r="O40" s="71">
        <v>0.18593582887700535</v>
      </c>
      <c r="P40" s="71">
        <v>0.05</v>
      </c>
      <c r="Q40" s="73" t="s">
        <v>28</v>
      </c>
      <c r="R40" s="74">
        <v>0.30215827338129497</v>
      </c>
      <c r="S40" s="75">
        <f t="shared" si="45"/>
        <v>0.76830302600482958</v>
      </c>
      <c r="T40" s="59">
        <f t="shared" si="0"/>
        <v>3.3952459843427971</v>
      </c>
      <c r="U40" s="59">
        <f t="shared" si="1"/>
        <v>2.8578259657480385</v>
      </c>
      <c r="V40" s="59">
        <f t="shared" si="2"/>
        <v>1.4271089225406717</v>
      </c>
      <c r="W40" s="59">
        <f t="shared" si="3"/>
        <v>0.42032563446707411</v>
      </c>
      <c r="X40" s="59">
        <f t="shared" si="4"/>
        <v>0.49936872981246239</v>
      </c>
      <c r="Y40" s="76">
        <v>826120</v>
      </c>
      <c r="Z40" s="57">
        <f t="shared" si="5"/>
        <v>412538.49507267145</v>
      </c>
      <c r="AA40" s="57">
        <f t="shared" si="6"/>
        <v>347239.41314593924</v>
      </c>
      <c r="AB40" s="57">
        <f t="shared" si="107"/>
        <v>2562942.5212308671</v>
      </c>
      <c r="AC40" s="57">
        <f t="shared" si="8"/>
        <v>0.25</v>
      </c>
      <c r="AD40" s="57">
        <f t="shared" si="9"/>
        <v>1.5</v>
      </c>
      <c r="AE40" s="57">
        <f t="shared" si="10"/>
        <v>519860</v>
      </c>
      <c r="AF40" s="57">
        <f t="shared" si="11"/>
        <v>222348.4546719653</v>
      </c>
      <c r="AG40" s="57">
        <f t="shared" si="108"/>
        <v>124890.95847397392</v>
      </c>
      <c r="AH40" s="57">
        <f t="shared" si="109"/>
        <v>1882963904.3860102</v>
      </c>
      <c r="AI40" s="57">
        <f t="shared" si="110"/>
        <v>1192567121.0910306</v>
      </c>
      <c r="AJ40" s="77">
        <v>519860</v>
      </c>
      <c r="AK40" s="77">
        <v>93.5</v>
      </c>
      <c r="AL40" s="78">
        <f t="shared" si="15"/>
        <v>5.5730893494464402</v>
      </c>
      <c r="AM40" s="57">
        <f t="shared" si="16"/>
        <v>0.94</v>
      </c>
      <c r="AN40" s="57">
        <f t="shared" si="17"/>
        <v>0.74</v>
      </c>
      <c r="AO40" s="77">
        <v>1000</v>
      </c>
      <c r="AP40" s="79">
        <v>280</v>
      </c>
      <c r="AQ40" s="57">
        <f t="shared" si="46"/>
        <v>94.853670827978888</v>
      </c>
      <c r="AR40" s="57">
        <f t="shared" si="111"/>
        <v>440</v>
      </c>
      <c r="AS40" s="57">
        <f t="shared" si="18"/>
        <v>905.14632917202107</v>
      </c>
      <c r="AT40" s="77">
        <v>100</v>
      </c>
      <c r="AU40" s="77">
        <v>1200</v>
      </c>
      <c r="AV40" s="78">
        <f t="shared" si="48"/>
        <v>44000</v>
      </c>
      <c r="AW40" s="77">
        <f>AY40-AR40*AT40</f>
        <v>67200</v>
      </c>
      <c r="AX40" s="77">
        <f t="shared" si="19"/>
        <v>100000</v>
      </c>
      <c r="AY40" s="77">
        <v>111200</v>
      </c>
      <c r="AZ40" s="77">
        <v>610</v>
      </c>
      <c r="BA40" s="77">
        <v>630</v>
      </c>
      <c r="BB40" s="77">
        <v>610</v>
      </c>
      <c r="BC40" s="77">
        <v>617</v>
      </c>
      <c r="BD40" s="77">
        <v>2.8E-3</v>
      </c>
      <c r="BE40" s="77">
        <v>2.8E-3</v>
      </c>
      <c r="BF40" s="77">
        <v>6.93E-2</v>
      </c>
      <c r="BG40" s="77">
        <v>2.8500000000000001E-2</v>
      </c>
      <c r="BH40" s="79">
        <v>200</v>
      </c>
      <c r="BI40" s="79">
        <f>PI()*6*6/4</f>
        <v>28.274333882308138</v>
      </c>
      <c r="BJ40" s="79">
        <v>2</v>
      </c>
      <c r="BK40" s="57">
        <f t="shared" si="112"/>
        <v>56.548667764616276</v>
      </c>
      <c r="BL40" s="57"/>
      <c r="BM40" s="80">
        <f>PI()*16*16/4</f>
        <v>201.06192982974676</v>
      </c>
      <c r="BN40" s="80">
        <v>12</v>
      </c>
      <c r="BO40" s="57">
        <f t="shared" si="113"/>
        <v>2412.7431579569611</v>
      </c>
      <c r="BP40" s="57">
        <f t="shared" si="24"/>
        <v>1178963.2230892996</v>
      </c>
      <c r="BQ40" s="77">
        <f t="shared" si="25"/>
        <v>3.9581209421157837E-9</v>
      </c>
      <c r="BR40" s="57">
        <f t="shared" si="114"/>
        <v>1414755867.7071595</v>
      </c>
      <c r="BS40" s="57">
        <v>189.70734165595778</v>
      </c>
      <c r="BT40" s="57">
        <f t="shared" si="49"/>
        <v>190.68655810767507</v>
      </c>
      <c r="BU40" s="57"/>
      <c r="BV40" s="57">
        <v>3.3E-3</v>
      </c>
      <c r="BW40" s="57">
        <v>30000</v>
      </c>
      <c r="BX40" s="57">
        <v>200000</v>
      </c>
      <c r="BY40" s="77">
        <f>20</f>
        <v>20</v>
      </c>
      <c r="BZ40" s="77">
        <f>BY40+48*1</f>
        <v>68</v>
      </c>
      <c r="CA40" s="77">
        <f>BY40+48*2</f>
        <v>116</v>
      </c>
      <c r="CB40" s="77">
        <f>BY40+48*3</f>
        <v>164</v>
      </c>
      <c r="CC40" s="77">
        <f>BY40+48*4</f>
        <v>212</v>
      </c>
      <c r="CD40" s="77">
        <f>BY40+48*5</f>
        <v>260</v>
      </c>
      <c r="CE40" s="77">
        <f>CD40+40</f>
        <v>300</v>
      </c>
      <c r="CF40" s="77">
        <f>CE40+200</f>
        <v>500</v>
      </c>
      <c r="CG40" s="77">
        <f>CE40+200*2</f>
        <v>700</v>
      </c>
      <c r="CH40" s="77">
        <f>CG40+40</f>
        <v>740</v>
      </c>
      <c r="CI40" s="77">
        <f>CH40+48*1</f>
        <v>788</v>
      </c>
      <c r="CJ40" s="77">
        <f>CH40+48*2</f>
        <v>836</v>
      </c>
      <c r="CK40" s="77">
        <f>CH40+48*3</f>
        <v>884</v>
      </c>
      <c r="CL40" s="77">
        <f>CH40+48*4</f>
        <v>932</v>
      </c>
      <c r="CM40" s="77">
        <f>CH40+48*5</f>
        <v>980</v>
      </c>
      <c r="DM40" s="77">
        <f t="shared" ref="DM40:DR40" si="122">PI()*16*16/4*2</f>
        <v>402.12385965949352</v>
      </c>
      <c r="DN40" s="77">
        <f t="shared" si="122"/>
        <v>402.12385965949352</v>
      </c>
      <c r="DO40" s="77">
        <f t="shared" si="122"/>
        <v>402.12385965949352</v>
      </c>
      <c r="DP40" s="77">
        <f t="shared" si="122"/>
        <v>402.12385965949352</v>
      </c>
      <c r="DQ40" s="77">
        <f t="shared" si="122"/>
        <v>402.12385965949352</v>
      </c>
      <c r="DR40" s="77">
        <f t="shared" si="122"/>
        <v>402.12385965949352</v>
      </c>
      <c r="DS40" s="77">
        <f>PI()*6*6/4*2</f>
        <v>56.548667764616276</v>
      </c>
      <c r="DT40" s="77">
        <f>PI()*6*6/4*2</f>
        <v>56.548667764616276</v>
      </c>
      <c r="DU40" s="77">
        <f>PI()*6*6/4*2</f>
        <v>56.548667764616276</v>
      </c>
      <c r="DV40" s="77">
        <f t="shared" ref="DV40:EA40" si="123">PI()*16*16/4*2</f>
        <v>402.12385965949352</v>
      </c>
      <c r="DW40" s="77">
        <f t="shared" si="123"/>
        <v>402.12385965949352</v>
      </c>
      <c r="DX40" s="77">
        <f t="shared" si="123"/>
        <v>402.12385965949352</v>
      </c>
      <c r="DY40" s="77">
        <f t="shared" si="123"/>
        <v>402.12385965949352</v>
      </c>
      <c r="DZ40" s="77">
        <f t="shared" si="123"/>
        <v>402.12385965949352</v>
      </c>
      <c r="EA40" s="77">
        <f t="shared" si="123"/>
        <v>402.12385965949352</v>
      </c>
      <c r="FA40" s="77">
        <f t="shared" si="74"/>
        <v>-237421.62335280349</v>
      </c>
      <c r="FB40" s="77">
        <f t="shared" si="115"/>
        <v>-170269.32569889413</v>
      </c>
      <c r="FC40" s="77">
        <f>IF(ABS(-$BV40*($BS40-CA40)/$BS40*$BX40)&gt;$BB40,$BB40*SIGN(-($BS40-CA40)),-$BV40*($BS40-CA40)/$BS40*$BX40)*DO40</f>
        <v>-103117.02804498479</v>
      </c>
      <c r="FD40" s="77">
        <f>IF(ABS(-$BV40*($BS40-CB40)/$BS40*$BX40)&gt;$BB40,$BB40*SIGN(-($BS40-CB40)),-$BV40*($BS40-CB40)/$BS40*$BX40)*DP40</f>
        <v>-35964.730391075413</v>
      </c>
      <c r="FE40" s="77">
        <f>IF(ABS(-$BV40*($BS40-CC40)/$BS40*$BX40)&gt;$BB40,$BB40*SIGN(-($BS40-CC40)),-$BV40*($BS40-CC40)/$BS40*$BX40)*DQ40</f>
        <v>31187.567262833949</v>
      </c>
      <c r="FF40" s="77">
        <f>IF(ABS(-$BV40*($BS40-CD40)/$BS40*$BX40)&gt;$BB40,$BB40*SIGN(-($BS40-CD40)),-$BV40*($BS40-CD40)/$BS40*$BX40)*DR40</f>
        <v>98339.864916743318</v>
      </c>
      <c r="FG40" s="77">
        <f>IF(ABS(-$BV40*($BS40-CE40)/$BS40*$BX40)&gt;$BA40,$BA40*SIGN(-($BS40-CE40)),-$BV40*($BS40-CE40)/$BS40*$BX40)*DS40</f>
        <v>21698.453385234534</v>
      </c>
      <c r="FH40" s="77">
        <f>IF(ABS(-$BV40*($BS40-CF40)/$BS40*$BX40)&gt;$BA40,$BA40*SIGN(-($BS40-CF40)),-$BV40*($BS40-CF40)/$BS40*$BX40)*DT40</f>
        <v>35625.660691708254</v>
      </c>
      <c r="FI40" s="77">
        <f>IF(ABS(-$BV40*($BS40-CG40)/$BS40*$BX40)&gt;$BA40,$BA40*SIGN(-($BS40-CG40)),-$BV40*($BS40-CG40)/$BS40*$BX40)*DU40</f>
        <v>35625.660691708254</v>
      </c>
      <c r="FJ40" s="77">
        <f t="shared" ref="FJ40:FO40" si="124">IF(ABS(-$BV40*($BS40-CH40)/$BS40*$BX40)&gt;$BB40,$BB40*SIGN(-($BS40-CH40)),-$BV40*($BS40-CH40)/$BS40*$BX40)*DV40</f>
        <v>245295.55439229106</v>
      </c>
      <c r="FK40" s="77">
        <f t="shared" si="124"/>
        <v>245295.55439229106</v>
      </c>
      <c r="FL40" s="77">
        <f t="shared" si="124"/>
        <v>245295.55439229106</v>
      </c>
      <c r="FM40" s="77">
        <f t="shared" si="124"/>
        <v>245295.55439229106</v>
      </c>
      <c r="FN40" s="77">
        <f t="shared" si="124"/>
        <v>245295.55439229106</v>
      </c>
      <c r="FO40" s="77">
        <f t="shared" si="124"/>
        <v>245295.55439229106</v>
      </c>
      <c r="GO40" s="77">
        <f t="shared" si="68"/>
        <v>113962379.20934568</v>
      </c>
      <c r="GP40" s="77">
        <f t="shared" si="69"/>
        <v>73556348.701922268</v>
      </c>
      <c r="GQ40" s="77">
        <f t="shared" si="70"/>
        <v>39596938.76927416</v>
      </c>
      <c r="GR40" s="77">
        <f t="shared" si="71"/>
        <v>12084149.411401339</v>
      </c>
      <c r="GS40" s="77">
        <f t="shared" si="72"/>
        <v>-8982019.3716961779</v>
      </c>
      <c r="GT40" s="77">
        <f t="shared" si="73"/>
        <v>-23601567.580018397</v>
      </c>
      <c r="GU40" s="77">
        <f t="shared" si="121"/>
        <v>-4339690.6770469071</v>
      </c>
      <c r="GV40" s="77">
        <f t="shared" ref="GV40:HC40" si="125">FH40*(CF40-0.5*$AO40)</f>
        <v>0</v>
      </c>
      <c r="GW40" s="77">
        <f t="shared" si="125"/>
        <v>7125132.1383416504</v>
      </c>
      <c r="GX40" s="77">
        <f t="shared" si="125"/>
        <v>58870933.054149851</v>
      </c>
      <c r="GY40" s="77">
        <f t="shared" si="125"/>
        <v>70645119.66497983</v>
      </c>
      <c r="GZ40" s="77">
        <f t="shared" si="125"/>
        <v>82419306.275809795</v>
      </c>
      <c r="HA40" s="77">
        <f t="shared" si="125"/>
        <v>94193492.886639774</v>
      </c>
      <c r="HB40" s="77">
        <f t="shared" si="125"/>
        <v>105967679.49746974</v>
      </c>
      <c r="HC40" s="77">
        <f t="shared" si="125"/>
        <v>117741866.1082997</v>
      </c>
      <c r="IC40" s="82">
        <v>39</v>
      </c>
    </row>
    <row r="41" spans="1:237" s="77" customFormat="1">
      <c r="A41" s="77">
        <v>40</v>
      </c>
      <c r="B41" s="69">
        <v>66</v>
      </c>
      <c r="C41" s="69" t="s">
        <v>45</v>
      </c>
      <c r="D41" s="70" t="s">
        <v>48</v>
      </c>
      <c r="E41" s="70">
        <v>3</v>
      </c>
      <c r="F41" s="70">
        <v>2.942489677381117E-2</v>
      </c>
      <c r="G41" s="70"/>
      <c r="H41" s="70"/>
      <c r="I41" s="70">
        <v>8.9999999999999993E-3</v>
      </c>
      <c r="J41" s="71">
        <v>2.2000000000000002</v>
      </c>
      <c r="K41" s="72">
        <v>10</v>
      </c>
      <c r="L41" s="71">
        <v>1.653436592449177E-2</v>
      </c>
      <c r="M41" s="71">
        <v>1.653436592449177E-2</v>
      </c>
      <c r="N41" s="71">
        <v>0.23663117134559536</v>
      </c>
      <c r="O41" s="71">
        <v>0.14939980638915779</v>
      </c>
      <c r="P41" s="71">
        <v>0.05</v>
      </c>
      <c r="Q41" s="73" t="s">
        <v>243</v>
      </c>
      <c r="R41" s="74">
        <v>0.30612244897959184</v>
      </c>
      <c r="S41" s="75">
        <f t="shared" si="45"/>
        <v>0.29906466864281622</v>
      </c>
      <c r="T41" s="59">
        <f t="shared" si="0"/>
        <v>2.9468877094514747</v>
      </c>
      <c r="U41" s="59">
        <f t="shared" si="1"/>
        <v>2.3747678264110363</v>
      </c>
      <c r="V41" s="59">
        <f t="shared" si="2"/>
        <v>1.3695582657056034</v>
      </c>
      <c r="W41" s="59">
        <f t="shared" si="3"/>
        <v>0.46474735406885559</v>
      </c>
      <c r="X41" s="59">
        <f t="shared" si="4"/>
        <v>0.5767124897322714</v>
      </c>
      <c r="Y41" s="76">
        <v>595760</v>
      </c>
      <c r="Z41" s="57">
        <f t="shared" si="5"/>
        <v>343582.23288289801</v>
      </c>
      <c r="AA41" s="57">
        <f t="shared" si="6"/>
        <v>276877.8836600614</v>
      </c>
      <c r="AB41" s="57">
        <f t="shared" si="107"/>
        <v>1013444.1014176041</v>
      </c>
      <c r="AC41" s="57">
        <f t="shared" si="8"/>
        <v>0.17</v>
      </c>
      <c r="AD41" s="57">
        <f t="shared" si="9"/>
        <v>2.2000000000000002</v>
      </c>
      <c r="AE41" s="57">
        <f t="shared" si="10"/>
        <v>1012340</v>
      </c>
      <c r="AF41" s="57">
        <f t="shared" si="11"/>
        <v>150233.1266008883</v>
      </c>
      <c r="AG41" s="57">
        <f t="shared" si="108"/>
        <v>126644.75705917313</v>
      </c>
      <c r="AH41" s="57">
        <f t="shared" si="109"/>
        <v>999595532.21011531</v>
      </c>
      <c r="AI41" s="57">
        <f t="shared" si="110"/>
        <v>1229981490.9086139</v>
      </c>
      <c r="AJ41" s="77">
        <v>1012340</v>
      </c>
      <c r="AK41" s="77">
        <v>103.3</v>
      </c>
      <c r="AL41" s="78">
        <f t="shared" si="15"/>
        <v>5.8871458691743852</v>
      </c>
      <c r="AM41" s="57">
        <f t="shared" si="16"/>
        <v>0.94</v>
      </c>
      <c r="AN41" s="57">
        <f t="shared" si="17"/>
        <v>0.74</v>
      </c>
      <c r="AO41" s="77">
        <v>1000</v>
      </c>
      <c r="AP41" s="79">
        <v>120</v>
      </c>
      <c r="AQ41" s="57">
        <f t="shared" si="46"/>
        <v>82.14302811295029</v>
      </c>
      <c r="AR41" s="57">
        <f t="shared" si="111"/>
        <v>760</v>
      </c>
      <c r="AS41" s="57">
        <f t="shared" si="18"/>
        <v>917.85697188704967</v>
      </c>
      <c r="AT41" s="77">
        <v>100</v>
      </c>
      <c r="AU41" s="77">
        <v>2200</v>
      </c>
      <c r="AV41" s="78">
        <f t="shared" si="48"/>
        <v>76000</v>
      </c>
      <c r="AW41" s="77">
        <f>AY41-AR41*AT41</f>
        <v>120000</v>
      </c>
      <c r="AX41" s="77">
        <f t="shared" si="19"/>
        <v>100000</v>
      </c>
      <c r="AY41" s="77">
        <v>196000</v>
      </c>
      <c r="AZ41" s="77">
        <v>610</v>
      </c>
      <c r="BA41" s="77">
        <v>630</v>
      </c>
      <c r="BB41" s="77">
        <v>610</v>
      </c>
      <c r="BC41" s="77">
        <v>617</v>
      </c>
      <c r="BD41" s="77">
        <v>2.8E-3</v>
      </c>
      <c r="BE41" s="77">
        <v>2.8E-3</v>
      </c>
      <c r="BF41" s="77">
        <v>3.8800000000000001E-2</v>
      </c>
      <c r="BG41" s="77">
        <v>2.53E-2</v>
      </c>
      <c r="BH41" s="79">
        <v>200</v>
      </c>
      <c r="BI41" s="79">
        <f>PI()*6*6/4</f>
        <v>28.274333882308138</v>
      </c>
      <c r="BJ41" s="79">
        <v>2</v>
      </c>
      <c r="BK41" s="57">
        <f t="shared" si="112"/>
        <v>56.548667764616276</v>
      </c>
      <c r="BL41" s="57"/>
      <c r="BM41" s="80">
        <f>PI()*16*16/4</f>
        <v>201.06192982974676</v>
      </c>
      <c r="BN41" s="80">
        <v>12</v>
      </c>
      <c r="BO41" s="57">
        <f t="shared" si="113"/>
        <v>2412.7431579569611</v>
      </c>
      <c r="BP41" s="57">
        <f t="shared" si="24"/>
        <v>815928.03237677028</v>
      </c>
      <c r="BQ41" s="77">
        <f t="shared" si="25"/>
        <v>0</v>
      </c>
      <c r="BR41" s="57">
        <f t="shared" si="114"/>
        <v>1795041671.2288947</v>
      </c>
      <c r="BS41" s="57">
        <v>164.28605622590058</v>
      </c>
      <c r="BT41" s="57">
        <f t="shared" si="49"/>
        <v>407.98018596700587</v>
      </c>
      <c r="BU41" s="57"/>
      <c r="BV41" s="57">
        <v>3.3E-3</v>
      </c>
      <c r="BW41" s="57">
        <v>30000</v>
      </c>
      <c r="BX41" s="57">
        <v>200000</v>
      </c>
      <c r="BY41" s="77">
        <f>20</f>
        <v>20</v>
      </c>
      <c r="BZ41" s="77">
        <f>BY41+80</f>
        <v>100</v>
      </c>
      <c r="CA41" s="77">
        <f>BZ41+200</f>
        <v>300</v>
      </c>
      <c r="CB41" s="77">
        <f>BZ41+200*2</f>
        <v>500</v>
      </c>
      <c r="CC41" s="77">
        <f>BZ41+200*3</f>
        <v>700</v>
      </c>
      <c r="CD41" s="77">
        <f>BZ41+200*4</f>
        <v>900</v>
      </c>
      <c r="CE41" s="77">
        <f>CD41+80</f>
        <v>980</v>
      </c>
      <c r="DM41" s="77">
        <f>PI()*16*16/4*6</f>
        <v>1206.3715789784806</v>
      </c>
      <c r="DN41" s="77">
        <f>PI()*16*16/4*6+PI()*6*6/4*2</f>
        <v>1262.9202467430969</v>
      </c>
      <c r="DO41" s="77">
        <f t="shared" ref="DO41:DQ43" si="126">PI()*6*6/4*2</f>
        <v>56.548667764616276</v>
      </c>
      <c r="DP41" s="77">
        <f t="shared" si="126"/>
        <v>56.548667764616276</v>
      </c>
      <c r="DQ41" s="77">
        <f t="shared" si="126"/>
        <v>56.548667764616276</v>
      </c>
      <c r="DR41" s="77">
        <f>PI()*16*16/4*6+PI()*6*6/4*2</f>
        <v>1262.9202467430969</v>
      </c>
      <c r="DS41" s="77">
        <f>PI()*16*16/4*6</f>
        <v>1206.3715789784806</v>
      </c>
      <c r="FA41" s="77">
        <f t="shared" si="74"/>
        <v>-699276.11004766403</v>
      </c>
      <c r="FB41" s="77">
        <f t="shared" si="115"/>
        <v>-326163.93712896516</v>
      </c>
      <c r="FC41" s="77">
        <f t="shared" ref="FC41:FE43" si="127">IF(ABS(-$BV41*($BS41-CA41)/$BS41*$BX41)&gt;$BA41,$BA41*SIGN(-($BS41-CA41)),-$BV41*($BS41-CA41)/$BS41*$BX41)*DO41</f>
        <v>30831.175267790706</v>
      </c>
      <c r="FD41" s="77">
        <f t="shared" si="127"/>
        <v>35625.660691708254</v>
      </c>
      <c r="FE41" s="77">
        <f t="shared" si="127"/>
        <v>35625.660691708254</v>
      </c>
      <c r="FF41" s="77">
        <f>IF(ABS(-$BV41*($BS41-CD41)/$BS41*$BX41)&gt;$BB41,$BB41*SIGN(-($BS41-CD41)),-$BV41*($BS41-CD41)/$BS41*$BX41)*DR41</f>
        <v>770381.3505132891</v>
      </c>
      <c r="FG41" s="77">
        <f>IF(ABS(-$BV41*($BS41-CE41)/$BS41*$BX41)&gt;$BB41,$BB41*SIGN(-($BS41-CE41)),-$BV41*($BS41-CE41)/$BS41*$BX41)*DS41</f>
        <v>735886.66317687312</v>
      </c>
      <c r="GO41" s="77">
        <f t="shared" si="68"/>
        <v>335652532.82287872</v>
      </c>
      <c r="GP41" s="77">
        <f t="shared" si="69"/>
        <v>130465574.85158606</v>
      </c>
      <c r="GQ41" s="77">
        <f t="shared" si="70"/>
        <v>-6166235.053558141</v>
      </c>
      <c r="GR41" s="77">
        <f t="shared" si="71"/>
        <v>0</v>
      </c>
      <c r="GS41" s="77">
        <f t="shared" si="72"/>
        <v>7125132.1383416504</v>
      </c>
      <c r="GT41" s="77">
        <f t="shared" si="73"/>
        <v>308152540.20531565</v>
      </c>
      <c r="GU41" s="77">
        <f t="shared" si="121"/>
        <v>353225598.32489908</v>
      </c>
      <c r="IC41" s="82">
        <v>40</v>
      </c>
    </row>
    <row r="42" spans="1:237" s="77" customFormat="1">
      <c r="A42" s="77">
        <v>41</v>
      </c>
      <c r="B42" s="69">
        <v>67</v>
      </c>
      <c r="C42" s="69" t="s">
        <v>45</v>
      </c>
      <c r="D42" s="70" t="s">
        <v>49</v>
      </c>
      <c r="E42" s="70">
        <v>3</v>
      </c>
      <c r="F42" s="70">
        <v>4.1238961709344983E-2</v>
      </c>
      <c r="G42" s="70"/>
      <c r="H42" s="70"/>
      <c r="I42" s="70">
        <v>1.2500000000000001E-2</v>
      </c>
      <c r="J42" s="71">
        <v>2.2000000000000002</v>
      </c>
      <c r="K42" s="72">
        <v>10</v>
      </c>
      <c r="L42" s="71">
        <v>1.5429087624209574E-2</v>
      </c>
      <c r="M42" s="71">
        <v>3.9159891598915988E-2</v>
      </c>
      <c r="N42" s="71">
        <v>0.22081300813008128</v>
      </c>
      <c r="O42" s="71">
        <v>0.13209936766034328</v>
      </c>
      <c r="P42" s="71">
        <v>0.05</v>
      </c>
      <c r="Q42" s="73" t="s">
        <v>243</v>
      </c>
      <c r="R42" s="74">
        <v>0.30612244897959184</v>
      </c>
      <c r="S42" s="75">
        <f t="shared" si="45"/>
        <v>0.43389189009376028</v>
      </c>
      <c r="T42" s="59">
        <f t="shared" si="0"/>
        <v>1.6927515579592338</v>
      </c>
      <c r="U42" s="59">
        <f t="shared" si="1"/>
        <v>1.356938884693174</v>
      </c>
      <c r="V42" s="59">
        <f t="shared" si="2"/>
        <v>0.92866368732564453</v>
      </c>
      <c r="W42" s="59">
        <f t="shared" si="3"/>
        <v>0.54861192297187023</v>
      </c>
      <c r="X42" s="59">
        <f t="shared" si="4"/>
        <v>0.68438136588268705</v>
      </c>
      <c r="Y42" s="76">
        <v>894770</v>
      </c>
      <c r="Z42" s="57">
        <f t="shared" si="5"/>
        <v>612363.91475085192</v>
      </c>
      <c r="AA42" s="57">
        <f t="shared" si="6"/>
        <v>490881.49031754036</v>
      </c>
      <c r="AB42" s="57">
        <f t="shared" si="107"/>
        <v>1048723.1126794738</v>
      </c>
      <c r="AC42" s="57">
        <f t="shared" si="8"/>
        <v>0.17</v>
      </c>
      <c r="AD42" s="57">
        <f t="shared" si="9"/>
        <v>2.2000000000000002</v>
      </c>
      <c r="AE42" s="57">
        <f t="shared" si="10"/>
        <v>1084860</v>
      </c>
      <c r="AF42" s="57">
        <f t="shared" si="11"/>
        <v>157024.74829371288</v>
      </c>
      <c r="AG42" s="57">
        <f t="shared" si="108"/>
        <v>333856.74202382751</v>
      </c>
      <c r="AH42" s="57">
        <f t="shared" si="109"/>
        <v>1072991743.3952552</v>
      </c>
      <c r="AI42" s="57">
        <f t="shared" si="110"/>
        <v>1234199104.4995875</v>
      </c>
      <c r="AJ42" s="77">
        <v>1084860</v>
      </c>
      <c r="AK42" s="77">
        <v>110.7</v>
      </c>
      <c r="AL42" s="78">
        <f t="shared" si="15"/>
        <v>6.1154836774630068</v>
      </c>
      <c r="AM42" s="57">
        <f t="shared" si="16"/>
        <v>0.94</v>
      </c>
      <c r="AN42" s="57">
        <f t="shared" si="17"/>
        <v>0.74</v>
      </c>
      <c r="AO42" s="77">
        <v>1000</v>
      </c>
      <c r="AP42" s="79">
        <v>120</v>
      </c>
      <c r="AQ42" s="57">
        <f t="shared" si="46"/>
        <v>80.71019415834175</v>
      </c>
      <c r="AR42" s="57">
        <f t="shared" si="111"/>
        <v>760</v>
      </c>
      <c r="AS42" s="57">
        <f t="shared" si="18"/>
        <v>919.28980584165822</v>
      </c>
      <c r="AT42" s="77">
        <v>100</v>
      </c>
      <c r="AU42" s="77">
        <v>2200</v>
      </c>
      <c r="AV42" s="78">
        <f t="shared" si="48"/>
        <v>76000</v>
      </c>
      <c r="AW42" s="77">
        <f>AY42-AR42*AT42</f>
        <v>120000</v>
      </c>
      <c r="AX42" s="77">
        <f t="shared" si="19"/>
        <v>100000</v>
      </c>
      <c r="AY42" s="77">
        <v>196000</v>
      </c>
      <c r="AZ42" s="77">
        <v>578</v>
      </c>
      <c r="BA42" s="77">
        <v>630</v>
      </c>
      <c r="BB42" s="77">
        <v>610</v>
      </c>
      <c r="BC42" s="77">
        <v>617</v>
      </c>
      <c r="BD42" s="77">
        <v>2.8E-3</v>
      </c>
      <c r="BE42" s="77">
        <v>7.4999999999999997E-3</v>
      </c>
      <c r="BF42" s="77">
        <v>3.8800000000000001E-2</v>
      </c>
      <c r="BG42" s="77">
        <v>2.53E-2</v>
      </c>
      <c r="BH42" s="79">
        <v>200</v>
      </c>
      <c r="BI42" s="79">
        <f>PI()*10*10/4</f>
        <v>78.539816339744831</v>
      </c>
      <c r="BJ42" s="79">
        <v>2</v>
      </c>
      <c r="BK42" s="57">
        <f t="shared" si="112"/>
        <v>157.07963267948966</v>
      </c>
      <c r="BL42" s="57"/>
      <c r="BM42" s="80">
        <f>PI()*16*16/4</f>
        <v>201.06192982974676</v>
      </c>
      <c r="BN42" s="80">
        <v>12</v>
      </c>
      <c r="BO42" s="57">
        <f t="shared" si="113"/>
        <v>2412.7431579569611</v>
      </c>
      <c r="BP42" s="57">
        <f t="shared" si="24"/>
        <v>830940.40750836697</v>
      </c>
      <c r="BQ42" s="77">
        <f t="shared" si="25"/>
        <v>0</v>
      </c>
      <c r="BR42" s="57">
        <f t="shared" si="114"/>
        <v>1828068896.5184073</v>
      </c>
      <c r="BS42" s="57">
        <v>161.4203883166835</v>
      </c>
      <c r="BT42" s="57">
        <f t="shared" si="49"/>
        <v>488.04202188837627</v>
      </c>
      <c r="BU42" s="57"/>
      <c r="BV42" s="57">
        <v>3.3E-3</v>
      </c>
      <c r="BW42" s="57">
        <v>30000</v>
      </c>
      <c r="BX42" s="57">
        <v>200000</v>
      </c>
      <c r="BY42" s="77">
        <f>20</f>
        <v>20</v>
      </c>
      <c r="BZ42" s="77">
        <f>BY42+80</f>
        <v>100</v>
      </c>
      <c r="CA42" s="77">
        <f>BZ42+200</f>
        <v>300</v>
      </c>
      <c r="CB42" s="77">
        <f>BZ42+200*2</f>
        <v>500</v>
      </c>
      <c r="CC42" s="77">
        <f>BZ42+200*3</f>
        <v>700</v>
      </c>
      <c r="CD42" s="77">
        <f>BZ42+200*4</f>
        <v>900</v>
      </c>
      <c r="CE42" s="77">
        <f>CD42+80</f>
        <v>980</v>
      </c>
      <c r="DM42" s="77">
        <f>PI()*16*16/4*6</f>
        <v>1206.3715789784806</v>
      </c>
      <c r="DN42" s="77">
        <f>PI()*16*16/4*6+PI()*6*6/4*2</f>
        <v>1262.9202467430969</v>
      </c>
      <c r="DO42" s="77">
        <f t="shared" si="126"/>
        <v>56.548667764616276</v>
      </c>
      <c r="DP42" s="77">
        <f t="shared" si="126"/>
        <v>56.548667764616276</v>
      </c>
      <c r="DQ42" s="77">
        <f t="shared" si="126"/>
        <v>56.548667764616276</v>
      </c>
      <c r="DR42" s="77">
        <f>PI()*16*16/4*6+PI()*6*6/4*2</f>
        <v>1262.9202467430969</v>
      </c>
      <c r="DS42" s="77">
        <f>PI()*16*16/4*6</f>
        <v>1206.3715789784806</v>
      </c>
      <c r="FA42" s="77">
        <f t="shared" si="74"/>
        <v>-697555.34412607772</v>
      </c>
      <c r="FB42" s="77">
        <f t="shared" si="115"/>
        <v>-317156.80300816207</v>
      </c>
      <c r="FC42" s="77">
        <f t="shared" si="127"/>
        <v>32041.088806406045</v>
      </c>
      <c r="FD42" s="77">
        <f t="shared" si="127"/>
        <v>35625.660691708254</v>
      </c>
      <c r="FE42" s="77">
        <f t="shared" si="127"/>
        <v>35625.660691708254</v>
      </c>
      <c r="FF42" s="77">
        <f>IF(ABS(-$BV42*($BS42-CD42)/$BS42*$BX42)&gt;$BB42,$BB42*SIGN(-($BS42-CD42)),-$BV42*($BS42-CD42)/$BS42*$BX42)*DR42</f>
        <v>770381.3505132891</v>
      </c>
      <c r="FG42" s="77">
        <f>IF(ABS(-$BV42*($BS42-CE42)/$BS42*$BX42)&gt;$BB42,$BB42*SIGN(-($BS42-CE42)),-$BV42*($BS42-CE42)/$BS42*$BX42)*DS42</f>
        <v>735886.66317687312</v>
      </c>
      <c r="GO42" s="77">
        <f t="shared" si="68"/>
        <v>334826565.18051732</v>
      </c>
      <c r="GP42" s="77">
        <f t="shared" si="69"/>
        <v>126862721.20326483</v>
      </c>
      <c r="GQ42" s="77">
        <f t="shared" si="70"/>
        <v>-6408217.7612812091</v>
      </c>
      <c r="GR42" s="77">
        <f t="shared" si="71"/>
        <v>0</v>
      </c>
      <c r="GS42" s="77">
        <f t="shared" si="72"/>
        <v>7125132.1383416504</v>
      </c>
      <c r="GT42" s="77">
        <f t="shared" si="73"/>
        <v>308152540.20531565</v>
      </c>
      <c r="GU42" s="77">
        <f t="shared" si="121"/>
        <v>353225598.32489908</v>
      </c>
      <c r="IC42" s="82">
        <v>41</v>
      </c>
    </row>
    <row r="43" spans="1:237" s="77" customFormat="1">
      <c r="A43" s="77">
        <v>42</v>
      </c>
      <c r="B43" s="69">
        <v>68</v>
      </c>
      <c r="C43" s="69" t="s">
        <v>51</v>
      </c>
      <c r="D43" s="70" t="s">
        <v>50</v>
      </c>
      <c r="E43" s="70">
        <v>1</v>
      </c>
      <c r="F43" s="87">
        <f>Y43/AY43/AK43</f>
        <v>1.3622803663557056E-2</v>
      </c>
      <c r="G43" s="70">
        <v>2.6246720000000002E-3</v>
      </c>
      <c r="H43" s="70">
        <v>1.1111111E-2</v>
      </c>
      <c r="I43" s="70">
        <v>2.3622047244094488E-2</v>
      </c>
      <c r="J43" s="71">
        <v>2.4</v>
      </c>
      <c r="K43" s="72">
        <v>18.75</v>
      </c>
      <c r="L43" s="71">
        <v>2.9172259507829978E-2</v>
      </c>
      <c r="M43" s="71">
        <v>3.6173601789709166E-2</v>
      </c>
      <c r="N43" s="71">
        <v>0.16811275167785233</v>
      </c>
      <c r="O43" s="71">
        <v>1.7756710769114184E-3</v>
      </c>
      <c r="P43" s="71">
        <v>0</v>
      </c>
      <c r="Q43" s="73" t="s">
        <v>3</v>
      </c>
      <c r="R43" s="74">
        <v>0</v>
      </c>
      <c r="S43" s="75">
        <f t="shared" si="45"/>
        <v>9.1079420565873787E-2</v>
      </c>
      <c r="T43" s="59">
        <f t="shared" si="0"/>
        <v>0.24590268178190067</v>
      </c>
      <c r="U43" s="59">
        <f t="shared" si="1"/>
        <v>0.1895332295922259</v>
      </c>
      <c r="V43" s="59">
        <f t="shared" si="2"/>
        <v>0.79531958263883062</v>
      </c>
      <c r="W43" s="59">
        <f t="shared" si="3"/>
        <v>3.2342859251296261</v>
      </c>
      <c r="X43" s="59">
        <f t="shared" si="4"/>
        <v>4.1962012906651402</v>
      </c>
      <c r="Y43" s="76">
        <v>118323</v>
      </c>
      <c r="Z43" s="57">
        <f t="shared" si="5"/>
        <v>496507.12531537138</v>
      </c>
      <c r="AA43" s="57">
        <f t="shared" si="6"/>
        <v>382690.41351911274</v>
      </c>
      <c r="AB43" s="57">
        <f t="shared" si="107"/>
        <v>391284.81507709785</v>
      </c>
      <c r="AC43" s="57">
        <f t="shared" si="8"/>
        <v>0.17</v>
      </c>
      <c r="AD43" s="57">
        <f t="shared" si="9"/>
        <v>2.2000000000000002</v>
      </c>
      <c r="AE43" s="57">
        <f t="shared" si="10"/>
        <v>0</v>
      </c>
      <c r="AF43" s="57">
        <f t="shared" si="11"/>
        <v>165811.49402602922</v>
      </c>
      <c r="AG43" s="57">
        <f t="shared" si="108"/>
        <v>216878.91949308352</v>
      </c>
      <c r="AH43" s="57">
        <f t="shared" si="109"/>
        <v>1314863437.8552239</v>
      </c>
      <c r="AI43" s="57">
        <f t="shared" si="110"/>
        <v>474090736.67726749</v>
      </c>
      <c r="AJ43" s="77">
        <v>0</v>
      </c>
      <c r="AK43" s="77">
        <v>44.7</v>
      </c>
      <c r="AL43" s="78">
        <f t="shared" si="15"/>
        <v>3.7138021011250313</v>
      </c>
      <c r="AM43" s="57">
        <f t="shared" si="16"/>
        <v>0.98236842105263156</v>
      </c>
      <c r="AN43" s="57">
        <f t="shared" si="17"/>
        <v>0.7823684210526316</v>
      </c>
      <c r="AO43" s="77">
        <f t="shared" ref="AO43:AO53" si="128">75*25.4</f>
        <v>1905</v>
      </c>
      <c r="AP43" s="79">
        <f>(5.5+1)*25.4</f>
        <v>165.1</v>
      </c>
      <c r="AQ43" s="57">
        <f t="shared" si="46"/>
        <v>37.368901074178169</v>
      </c>
      <c r="AR43" s="57">
        <f t="shared" si="111"/>
        <v>1574.8</v>
      </c>
      <c r="AS43" s="57">
        <f t="shared" si="18"/>
        <v>1867.6310989258218</v>
      </c>
      <c r="AT43" s="77">
        <v>101.6</v>
      </c>
      <c r="AU43" s="77">
        <v>4572</v>
      </c>
      <c r="AV43" s="78">
        <f t="shared" si="48"/>
        <v>194310</v>
      </c>
      <c r="AW43" s="77">
        <v>0</v>
      </c>
      <c r="AX43" s="77">
        <f t="shared" si="19"/>
        <v>193548</v>
      </c>
      <c r="AY43" s="77">
        <v>194310</v>
      </c>
      <c r="AZ43" s="77">
        <v>521.6</v>
      </c>
      <c r="BA43" s="77">
        <v>521.6</v>
      </c>
      <c r="BB43" s="77">
        <v>511.2</v>
      </c>
      <c r="BC43" s="77">
        <v>0</v>
      </c>
      <c r="BD43" s="77">
        <v>2.5000000000000001E-3</v>
      </c>
      <c r="BE43" s="77">
        <f>PI()*6*6*2/(4*101.6*8*25.4)</f>
        <v>2.739081573011747E-3</v>
      </c>
      <c r="BF43" s="77">
        <v>1.47E-2</v>
      </c>
      <c r="BG43" s="77">
        <v>0</v>
      </c>
      <c r="BH43" s="79">
        <f>8*25.4</f>
        <v>203.2</v>
      </c>
      <c r="BI43" s="79">
        <f t="shared" ref="BI43:BI50" si="129">PI()*6*6/4</f>
        <v>28.274333882308138</v>
      </c>
      <c r="BJ43" s="79">
        <v>2</v>
      </c>
      <c r="BK43" s="57">
        <f t="shared" si="112"/>
        <v>56.548667764616276</v>
      </c>
      <c r="BL43" s="57"/>
      <c r="BM43" s="80">
        <f>PI()*4/8*25.4*4/8*25.4/4</f>
        <v>126.67686977437442</v>
      </c>
      <c r="BN43" s="80">
        <v>4</v>
      </c>
      <c r="BO43" s="57">
        <f t="shared" si="113"/>
        <v>506.7074790974977</v>
      </c>
      <c r="BP43" s="57">
        <f t="shared" si="24"/>
        <v>94104.598976574358</v>
      </c>
      <c r="BQ43" s="77">
        <f t="shared" si="25"/>
        <v>0</v>
      </c>
      <c r="BR43" s="57">
        <f t="shared" si="114"/>
        <v>430246226.52089798</v>
      </c>
      <c r="BS43" s="57">
        <v>74.737802148356337</v>
      </c>
      <c r="BT43" s="57">
        <f t="shared" si="49"/>
        <v>7.7544431747913531</v>
      </c>
      <c r="BU43" s="57"/>
      <c r="BV43" s="57">
        <v>3.3E-3</v>
      </c>
      <c r="BW43" s="57">
        <v>30000</v>
      </c>
      <c r="BX43" s="57">
        <v>200000</v>
      </c>
      <c r="BY43" s="77">
        <f t="shared" ref="BY43:BY58" si="130">1*25.4</f>
        <v>25.4</v>
      </c>
      <c r="BZ43" s="77">
        <f>BY43+5.5*25.4</f>
        <v>165.1</v>
      </c>
      <c r="CA43" s="77">
        <f>BZ43+8.5*25.4</f>
        <v>381</v>
      </c>
      <c r="CB43" s="77">
        <f>CA43+9*25.4*1</f>
        <v>609.6</v>
      </c>
      <c r="CC43" s="77">
        <f>CA43+9*25.4*2</f>
        <v>838.2</v>
      </c>
      <c r="CD43" s="77">
        <f>CA43+9*25.4*3</f>
        <v>1066.8</v>
      </c>
      <c r="CE43" s="77">
        <f>CA43+9*25.4*4</f>
        <v>1295.4000000000001</v>
      </c>
      <c r="CF43" s="77">
        <f>CA43+9*25.4*5</f>
        <v>1524</v>
      </c>
      <c r="CG43" s="77">
        <f>CF43+8.5*25.4</f>
        <v>1739.9</v>
      </c>
      <c r="CH43" s="77">
        <f>CG43+5.5*25.4</f>
        <v>1879.6000000000001</v>
      </c>
      <c r="DM43" s="77">
        <f>PI()*3/8*25.4*3/8*25.4/4*2</f>
        <v>142.51147849617124</v>
      </c>
      <c r="DN43" s="77">
        <f>PI()*3/8*25.4*3/8*25.4/4*2</f>
        <v>142.51147849617124</v>
      </c>
      <c r="DO43" s="77">
        <f t="shared" si="126"/>
        <v>56.548667764616276</v>
      </c>
      <c r="DP43" s="77">
        <f t="shared" si="126"/>
        <v>56.548667764616276</v>
      </c>
      <c r="DQ43" s="77">
        <f t="shared" si="126"/>
        <v>56.548667764616276</v>
      </c>
      <c r="DR43" s="77">
        <f t="shared" ref="DR43:DT52" si="131">PI()*6*6/4*2</f>
        <v>56.548667764616276</v>
      </c>
      <c r="DS43" s="77">
        <f t="shared" si="131"/>
        <v>56.548667764616276</v>
      </c>
      <c r="DT43" s="77">
        <f t="shared" si="131"/>
        <v>56.548667764616276</v>
      </c>
      <c r="DU43" s="77">
        <f>PI()*3/8*25.4*3/8*25.4/4*2</f>
        <v>142.51147849617124</v>
      </c>
      <c r="DV43" s="77">
        <f>PI()*3/8*25.4*3/8*25.4/4*2</f>
        <v>142.51147849617124</v>
      </c>
      <c r="FA43" s="77">
        <f t="shared" si="74"/>
        <v>-62091.658201714854</v>
      </c>
      <c r="FB43" s="77">
        <f t="shared" si="115"/>
        <v>72851.867807242728</v>
      </c>
      <c r="FC43" s="77">
        <f t="shared" si="127"/>
        <v>29495.78510602385</v>
      </c>
      <c r="FD43" s="77">
        <f t="shared" si="127"/>
        <v>29495.78510602385</v>
      </c>
      <c r="FE43" s="77">
        <f t="shared" si="127"/>
        <v>29495.78510602385</v>
      </c>
      <c r="FF43" s="77">
        <f t="shared" ref="FF43:FF52" si="132">IF(ABS(-$BV43*($BS43-CD43)/$BS43*$BX43)&gt;$BA43,$BA43*SIGN(-($BS43-CD43)),-$BV43*($BS43-CD43)/$BS43*$BX43)*DR43</f>
        <v>29495.78510602385</v>
      </c>
      <c r="FG43" s="77">
        <f t="shared" ref="FG43:FG52" si="133">IF(ABS(-$BV43*($BS43-CE43)/$BS43*$BX43)&gt;$BA43,$BA43*SIGN(-($BS43-CE43)),-$BV43*($BS43-CE43)/$BS43*$BX43)*DS43</f>
        <v>29495.78510602385</v>
      </c>
      <c r="FH43" s="77">
        <f t="shared" ref="FH43:FH52" si="134">IF(ABS(-$BV43*($BS43-CF43)/$BS43*$BX43)&gt;$BA43,$BA43*SIGN(-($BS43-CF43)),-$BV43*($BS43-CF43)/$BS43*$BX43)*DT43</f>
        <v>29495.78510602385</v>
      </c>
      <c r="FI43" s="77">
        <f>IF(ABS(-$BV43*($BS43-CG43)/$BS43*$BX43)&gt;$BB43,$BB43*SIGN(-($BS43-CG43)),-$BV43*($BS43-CG43)/$BS43*$BX43)*DU43</f>
        <v>72851.867807242728</v>
      </c>
      <c r="FJ43" s="77">
        <f>IF(ABS(-$BV43*($BS43-CH43)/$BS43*$BX43)&gt;$BB43,$BB43*SIGN(-($BS43-CH43)),-$BV43*($BS43-CH43)/$BS43*$BX43)*DV43</f>
        <v>72851.867807242728</v>
      </c>
      <c r="GO43" s="77">
        <f t="shared" si="68"/>
        <v>57565176.318809845</v>
      </c>
      <c r="GP43" s="77">
        <f t="shared" si="69"/>
        <v>-57363560.71142292</v>
      </c>
      <c r="GQ43" s="77">
        <f t="shared" si="70"/>
        <v>-16856841.18809263</v>
      </c>
      <c r="GR43" s="77">
        <f t="shared" si="71"/>
        <v>-10114104.712855577</v>
      </c>
      <c r="GS43" s="77">
        <f t="shared" si="72"/>
        <v>-3371368.2376185246</v>
      </c>
      <c r="GT43" s="77">
        <f t="shared" si="73"/>
        <v>3371368.2376185246</v>
      </c>
      <c r="GU43" s="77">
        <f t="shared" si="121"/>
        <v>10114104.712855581</v>
      </c>
      <c r="GV43" s="77">
        <f t="shared" ref="GV43:GV54" si="135">FH43*(CF43-0.5*$AO43)</f>
        <v>16856841.18809263</v>
      </c>
      <c r="GW43" s="77">
        <f t="shared" ref="GW43:GW54" si="136">FI43*(CG43-0.5*$AO43)</f>
        <v>57363560.711422928</v>
      </c>
      <c r="GX43" s="77">
        <f t="shared" ref="GX43:GX54" si="137">FJ43*(CH43-0.5*$AO43)</f>
        <v>67540966.64409475</v>
      </c>
      <c r="IC43" s="82">
        <v>42</v>
      </c>
    </row>
    <row r="44" spans="1:237" s="77" customFormat="1">
      <c r="A44" s="77">
        <v>43</v>
      </c>
      <c r="B44" s="69">
        <v>69</v>
      </c>
      <c r="C44" s="69" t="s">
        <v>51</v>
      </c>
      <c r="D44" s="70" t="s">
        <v>52</v>
      </c>
      <c r="E44" s="70">
        <v>1</v>
      </c>
      <c r="F44" s="87">
        <f>Y44/AY44/AK44</f>
        <v>2.40271056381644E-2</v>
      </c>
      <c r="G44" s="70">
        <v>5.2493440000000004E-3</v>
      </c>
      <c r="H44" s="70">
        <v>2.7777777999999999E-2</v>
      </c>
      <c r="I44" s="70">
        <v>2.7777777777777776E-2</v>
      </c>
      <c r="J44" s="71">
        <v>2.4</v>
      </c>
      <c r="K44" s="72">
        <v>18.75</v>
      </c>
      <c r="L44" s="71">
        <v>2.8809267241379312E-2</v>
      </c>
      <c r="M44" s="71">
        <v>3.5723491379310343E-2</v>
      </c>
      <c r="N44" s="71">
        <v>0.38724137931034486</v>
      </c>
      <c r="O44" s="71">
        <v>0.23854073275862073</v>
      </c>
      <c r="P44" s="71">
        <v>0</v>
      </c>
      <c r="Q44" s="73" t="s">
        <v>3</v>
      </c>
      <c r="R44" s="74">
        <v>0</v>
      </c>
      <c r="S44" s="75">
        <f t="shared" si="45"/>
        <v>0.16366674606689208</v>
      </c>
      <c r="T44" s="59">
        <f t="shared" si="0"/>
        <v>0.43762733031713558</v>
      </c>
      <c r="U44" s="59">
        <f t="shared" si="1"/>
        <v>0.33480667861559732</v>
      </c>
      <c r="V44" s="59">
        <f t="shared" si="2"/>
        <v>0.78450879139595298</v>
      </c>
      <c r="W44" s="59">
        <f t="shared" si="3"/>
        <v>1.7926412201620101</v>
      </c>
      <c r="X44" s="59">
        <f t="shared" si="4"/>
        <v>2.3431694810863486</v>
      </c>
      <c r="Y44" s="76">
        <v>216628</v>
      </c>
      <c r="Z44" s="57">
        <f t="shared" si="5"/>
        <v>507596.11834877351</v>
      </c>
      <c r="AA44" s="57">
        <f t="shared" si="6"/>
        <v>388336.28224125592</v>
      </c>
      <c r="AB44" s="57">
        <f t="shared" si="107"/>
        <v>429173.89862895006</v>
      </c>
      <c r="AC44" s="57">
        <f t="shared" si="8"/>
        <v>0.17</v>
      </c>
      <c r="AD44" s="57">
        <f t="shared" si="9"/>
        <v>2.2000000000000002</v>
      </c>
      <c r="AE44" s="57">
        <f t="shared" si="10"/>
        <v>0</v>
      </c>
      <c r="AF44" s="57">
        <f t="shared" si="11"/>
        <v>167850.1472036466</v>
      </c>
      <c r="AG44" s="57">
        <f t="shared" si="108"/>
        <v>220486.13503760932</v>
      </c>
      <c r="AH44" s="57">
        <f t="shared" si="109"/>
        <v>1346891327.7614348</v>
      </c>
      <c r="AI44" s="57">
        <f t="shared" si="110"/>
        <v>615291736.77012491</v>
      </c>
      <c r="AJ44" s="77">
        <v>0</v>
      </c>
      <c r="AK44" s="77">
        <v>46.4</v>
      </c>
      <c r="AL44" s="78">
        <f t="shared" si="15"/>
        <v>3.7908317481540839</v>
      </c>
      <c r="AM44" s="57">
        <f t="shared" si="16"/>
        <v>0.97789473684210526</v>
      </c>
      <c r="AN44" s="57">
        <f t="shared" si="17"/>
        <v>0.77789473684210531</v>
      </c>
      <c r="AO44" s="77">
        <f t="shared" si="128"/>
        <v>1905</v>
      </c>
      <c r="AP44" s="79">
        <f>(2.75*2+1)*25.4</f>
        <v>165.1</v>
      </c>
      <c r="AQ44" s="57">
        <f t="shared" si="46"/>
        <v>52.823202686134756</v>
      </c>
      <c r="AR44" s="57">
        <f t="shared" si="111"/>
        <v>1574.8</v>
      </c>
      <c r="AS44" s="57">
        <f t="shared" si="18"/>
        <v>1852.1767973138653</v>
      </c>
      <c r="AT44" s="77">
        <v>101.6</v>
      </c>
      <c r="AU44" s="77">
        <v>4572</v>
      </c>
      <c r="AV44" s="78">
        <f t="shared" si="48"/>
        <v>194310</v>
      </c>
      <c r="AW44" s="77">
        <v>0</v>
      </c>
      <c r="AX44" s="77">
        <f t="shared" si="19"/>
        <v>193548</v>
      </c>
      <c r="AY44" s="77">
        <v>194310</v>
      </c>
      <c r="AZ44" s="77">
        <v>534.70000000000005</v>
      </c>
      <c r="BA44" s="77">
        <v>534.70000000000005</v>
      </c>
      <c r="BB44" s="77">
        <v>449.9</v>
      </c>
      <c r="BC44" s="77">
        <v>534.70000000000005</v>
      </c>
      <c r="BD44" s="77">
        <v>2.5000000000000001E-3</v>
      </c>
      <c r="BE44" s="77">
        <f>PI()*6*6*2/(4*101.6*8*25.4)</f>
        <v>2.739081573011747E-3</v>
      </c>
      <c r="BF44" s="77">
        <v>0.04</v>
      </c>
      <c r="BG44" s="77">
        <f>PI()*6*6*2/(4*101.6*1.33*25.4)</f>
        <v>1.6475678634657129E-2</v>
      </c>
      <c r="BH44" s="79">
        <f>8*25.4</f>
        <v>203.2</v>
      </c>
      <c r="BI44" s="79">
        <f t="shared" si="129"/>
        <v>28.274333882308138</v>
      </c>
      <c r="BJ44" s="79">
        <v>2</v>
      </c>
      <c r="BK44" s="57">
        <f t="shared" si="112"/>
        <v>56.548667764616276</v>
      </c>
      <c r="BL44" s="57"/>
      <c r="BM44" s="80">
        <f>PI()*4/8*25.4*4/8*25.4/4</f>
        <v>126.67686977437442</v>
      </c>
      <c r="BN44" s="80">
        <v>6</v>
      </c>
      <c r="BO44" s="57">
        <f t="shared" si="113"/>
        <v>760.06121864624652</v>
      </c>
      <c r="BP44" s="57">
        <f t="shared" si="24"/>
        <v>169946.5704625225</v>
      </c>
      <c r="BQ44" s="77">
        <f t="shared" si="25"/>
        <v>4.8894435167312622E-9</v>
      </c>
      <c r="BR44" s="57">
        <f t="shared" si="114"/>
        <v>776995720.15465295</v>
      </c>
      <c r="BS44" s="57">
        <v>105.64640537226951</v>
      </c>
      <c r="BT44" s="57">
        <f t="shared" si="49"/>
        <v>7.7873629168195713</v>
      </c>
      <c r="BU44" s="57"/>
      <c r="BV44" s="57">
        <v>3.3E-3</v>
      </c>
      <c r="BW44" s="57">
        <v>30000</v>
      </c>
      <c r="BX44" s="57">
        <v>200000</v>
      </c>
      <c r="BY44" s="77">
        <f t="shared" si="130"/>
        <v>25.4</v>
      </c>
      <c r="BZ44" s="77">
        <f>BY44+2.75*25.4</f>
        <v>95.25</v>
      </c>
      <c r="CA44" s="77">
        <f>BZ44+2.75*25.4</f>
        <v>165.1</v>
      </c>
      <c r="CB44" s="77">
        <f>CA44+8.5*25.4</f>
        <v>381</v>
      </c>
      <c r="CC44" s="77">
        <f>CB44+9*25.4*1</f>
        <v>609.6</v>
      </c>
      <c r="CD44" s="77">
        <f>CB44+9*25.4*2</f>
        <v>838.2</v>
      </c>
      <c r="CE44" s="77">
        <f>CB44+9*25.4*3</f>
        <v>1066.8</v>
      </c>
      <c r="CF44" s="77">
        <f>CB44+9*25.4*4</f>
        <v>1295.4000000000001</v>
      </c>
      <c r="CG44" s="77">
        <f>CB44+9*25.4*5</f>
        <v>1524</v>
      </c>
      <c r="CH44" s="77">
        <f>CG44+8.5*25.4</f>
        <v>1739.9</v>
      </c>
      <c r="CI44" s="77">
        <f>CH44+2.75*25.4</f>
        <v>1809.75</v>
      </c>
      <c r="CJ44" s="77">
        <f>CI44+2.75*25.4</f>
        <v>1879.6</v>
      </c>
      <c r="DM44" s="77">
        <f>PI()*4/8*25.4*4/8*25.4/4*2</f>
        <v>253.35373954874885</v>
      </c>
      <c r="DN44" s="77">
        <f>PI()*4/8*25.4*4/8*25.4/4*2</f>
        <v>253.35373954874885</v>
      </c>
      <c r="DO44" s="77">
        <f>PI()*4/8*25.4*4/8*25.4/4*2</f>
        <v>253.35373954874885</v>
      </c>
      <c r="DP44" s="77">
        <f>PI()*6*6/4*2</f>
        <v>56.548667764616276</v>
      </c>
      <c r="DQ44" s="77">
        <f>PI()*6*6/4*2</f>
        <v>56.548667764616276</v>
      </c>
      <c r="DR44" s="77">
        <f t="shared" si="131"/>
        <v>56.548667764616276</v>
      </c>
      <c r="DS44" s="77">
        <f t="shared" si="131"/>
        <v>56.548667764616276</v>
      </c>
      <c r="DT44" s="77">
        <f t="shared" si="131"/>
        <v>56.548667764616276</v>
      </c>
      <c r="DU44" s="77">
        <f t="shared" ref="DU44:DU53" si="138">PI()*6*6/4*2</f>
        <v>56.548667764616276</v>
      </c>
      <c r="DV44" s="77">
        <f>PI()*4/8*25.4*4/8*25.4/4*2</f>
        <v>253.35373954874885</v>
      </c>
      <c r="DW44" s="77">
        <f>PI()*4/8*25.4*4/8*25.4/4*2</f>
        <v>253.35373954874885</v>
      </c>
      <c r="DX44" s="77">
        <f>PI()*4/8*25.4*4/8*25.4/4*2</f>
        <v>253.35373954874885</v>
      </c>
      <c r="FA44" s="77">
        <f t="shared" si="74"/>
        <v>-113983.8474229821</v>
      </c>
      <c r="FB44" s="77">
        <f t="shared" si="115"/>
        <v>-16455.070023135569</v>
      </c>
      <c r="FC44" s="77">
        <f>IF(ABS(-$BV44*($BS44-CA44)/$BS44*$BX44)&gt;$BB44,$BB44*SIGN(-($BS44-CA44)),-$BV44*($BS44-CA44)/$BS44*$BX44)*DO44</f>
        <v>94101.088568159437</v>
      </c>
      <c r="FD44" s="77">
        <f>IF(ABS(-$BV44*($BS44-CB44)/$BS44*$BX44)&gt;$BA44,$BA44*SIGN(-($BS44-CB44)),-$BV44*($BS44-CB44)/$BS44*$BX44)*DP44</f>
        <v>30236.572653740324</v>
      </c>
      <c r="FE44" s="77">
        <f>IF(ABS(-$BV44*($BS44-CC44)/$BS44*$BX44)&gt;$BA44,$BA44*SIGN(-($BS44-CC44)),-$BV44*($BS44-CC44)/$BS44*$BX44)*DQ44</f>
        <v>30236.572653740324</v>
      </c>
      <c r="FF44" s="77">
        <f t="shared" si="132"/>
        <v>30236.572653740324</v>
      </c>
      <c r="FG44" s="77">
        <f t="shared" si="133"/>
        <v>30236.572653740324</v>
      </c>
      <c r="FH44" s="77">
        <f t="shared" si="134"/>
        <v>30236.572653740324</v>
      </c>
      <c r="FI44" s="77">
        <f t="shared" ref="FI44:FI54" si="139">IF(ABS(-$BV44*($BS44-CG44)/$BS44*$BX44)&gt;$BA44,$BA44*SIGN(-($BS44-CG44)),-$BV44*($BS44-CG44)/$BS44*$BX44)*DU44</f>
        <v>30236.572653740324</v>
      </c>
      <c r="FJ44" s="77">
        <f t="shared" ref="FJ44:FL45" si="140">IF(ABS(-$BV44*($BS44-CH44)/$BS44*$BX44)&gt;$BB44,$BB44*SIGN(-($BS44-CH44)),-$BV44*($BS44-CH44)/$BS44*$BX44)*DV44</f>
        <v>113983.8474229821</v>
      </c>
      <c r="FK44" s="77">
        <f t="shared" si="140"/>
        <v>113983.8474229821</v>
      </c>
      <c r="FL44" s="77">
        <f t="shared" si="140"/>
        <v>113983.8474229821</v>
      </c>
      <c r="GO44" s="77">
        <f t="shared" si="68"/>
        <v>105674424.94584671</v>
      </c>
      <c r="GP44" s="77">
        <f t="shared" si="69"/>
        <v>14106108.777332967</v>
      </c>
      <c r="GQ44" s="77">
        <f t="shared" si="70"/>
        <v>-74095197.138568744</v>
      </c>
      <c r="GR44" s="77">
        <f t="shared" si="71"/>
        <v>-17280201.271612596</v>
      </c>
      <c r="GS44" s="77">
        <f t="shared" si="72"/>
        <v>-10368120.762967557</v>
      </c>
      <c r="GT44" s="77">
        <f t="shared" si="73"/>
        <v>-3456040.2543225177</v>
      </c>
      <c r="GU44" s="77">
        <f t="shared" si="121"/>
        <v>3456040.2543225177</v>
      </c>
      <c r="GV44" s="77">
        <f t="shared" si="135"/>
        <v>10368120.76296756</v>
      </c>
      <c r="GW44" s="77">
        <f t="shared" si="136"/>
        <v>17280201.271612596</v>
      </c>
      <c r="GX44" s="77">
        <f t="shared" si="137"/>
        <v>89750881.46085611</v>
      </c>
      <c r="GY44" s="77">
        <f t="shared" ref="GY44:GY54" si="141">FK44*(CI44-0.5*$AO44)</f>
        <v>97712653.203351408</v>
      </c>
      <c r="GZ44" s="77">
        <f t="shared" ref="GZ44:GZ54" si="142">FL44*(CJ44-0.5*$AO44)</f>
        <v>105674424.94584669</v>
      </c>
      <c r="IC44" s="82">
        <v>43</v>
      </c>
    </row>
    <row r="45" spans="1:237" s="77" customFormat="1">
      <c r="A45" s="77">
        <v>44</v>
      </c>
      <c r="B45" s="69">
        <v>70</v>
      </c>
      <c r="C45" s="69" t="s">
        <v>51</v>
      </c>
      <c r="D45" s="70" t="s">
        <v>53</v>
      </c>
      <c r="E45" s="70">
        <v>1</v>
      </c>
      <c r="F45" s="70">
        <v>1.6092476197141166E-2</v>
      </c>
      <c r="G45" s="70">
        <v>4.1557310000000002E-3</v>
      </c>
      <c r="H45" s="70">
        <v>2.2222222E-2</v>
      </c>
      <c r="I45" s="70">
        <v>3.3245844269466314E-2</v>
      </c>
      <c r="J45" s="71">
        <v>2.4</v>
      </c>
      <c r="K45" s="72">
        <v>18.75</v>
      </c>
      <c r="L45" s="71">
        <v>2.846377358490566E-2</v>
      </c>
      <c r="M45" s="71">
        <v>3.0426792452830191E-2</v>
      </c>
      <c r="N45" s="71">
        <v>9.4077735849056598E-2</v>
      </c>
      <c r="O45" s="71">
        <v>2.73822022660514E-3</v>
      </c>
      <c r="P45" s="71">
        <v>0</v>
      </c>
      <c r="Q45" s="73" t="s">
        <v>28</v>
      </c>
      <c r="R45" s="74">
        <v>0.29240271578550325</v>
      </c>
      <c r="S45" s="75">
        <f t="shared" si="45"/>
        <v>0.11715499510581875</v>
      </c>
      <c r="T45" s="59">
        <f t="shared" si="0"/>
        <v>0.54116387671473076</v>
      </c>
      <c r="U45" s="59">
        <f t="shared" si="1"/>
        <v>0.41238017005302335</v>
      </c>
      <c r="V45" s="59">
        <f t="shared" si="2"/>
        <v>0.78317217277215034</v>
      </c>
      <c r="W45" s="59">
        <f t="shared" si="3"/>
        <v>1.4471996496266359</v>
      </c>
      <c r="X45" s="59">
        <f t="shared" si="4"/>
        <v>1.8991509040588712</v>
      </c>
      <c r="Y45" s="76">
        <v>271342</v>
      </c>
      <c r="Z45" s="57">
        <f t="shared" si="5"/>
        <v>515319.40460914222</v>
      </c>
      <c r="AA45" s="57">
        <f t="shared" si="6"/>
        <v>392686.04732899065</v>
      </c>
      <c r="AB45" s="57">
        <f t="shared" si="107"/>
        <v>759126.45887227124</v>
      </c>
      <c r="AC45" s="57">
        <f t="shared" si="8"/>
        <v>0.17</v>
      </c>
      <c r="AD45" s="57">
        <f t="shared" si="9"/>
        <v>2.2000000000000002</v>
      </c>
      <c r="AE45" s="57">
        <f t="shared" si="10"/>
        <v>0</v>
      </c>
      <c r="AF45" s="57">
        <f t="shared" si="11"/>
        <v>179486.86044588132</v>
      </c>
      <c r="AG45" s="57">
        <f t="shared" si="108"/>
        <v>213199.18688310933</v>
      </c>
      <c r="AH45" s="57">
        <f t="shared" si="109"/>
        <v>2661894749.9621954</v>
      </c>
      <c r="AI45" s="57">
        <f t="shared" si="110"/>
        <v>808831420.00182879</v>
      </c>
      <c r="AJ45" s="77">
        <v>0</v>
      </c>
      <c r="AK45" s="77">
        <v>53</v>
      </c>
      <c r="AL45" s="78">
        <f t="shared" si="15"/>
        <v>4.078508278344275</v>
      </c>
      <c r="AM45" s="57">
        <f t="shared" si="16"/>
        <v>0.96052631578947367</v>
      </c>
      <c r="AN45" s="57">
        <f t="shared" si="17"/>
        <v>0.76052631578947372</v>
      </c>
      <c r="AO45" s="77">
        <f t="shared" si="128"/>
        <v>1905</v>
      </c>
      <c r="AP45" s="79">
        <f>12*25.4</f>
        <v>304.79999999999995</v>
      </c>
      <c r="AQ45" s="57">
        <f t="shared" si="46"/>
        <v>64.115525710755904</v>
      </c>
      <c r="AR45" s="57">
        <f t="shared" si="111"/>
        <v>1295.4000000000001</v>
      </c>
      <c r="AS45" s="57">
        <f t="shared" si="18"/>
        <v>1840.8844742892441</v>
      </c>
      <c r="AT45" s="77">
        <v>101.6</v>
      </c>
      <c r="AU45" s="77">
        <v>4572</v>
      </c>
      <c r="AV45" s="77">
        <f t="shared" si="48"/>
        <v>131612.64000000001</v>
      </c>
      <c r="AW45" s="77">
        <f>12*25.4*12*25.4*2</f>
        <v>185806.07999999996</v>
      </c>
      <c r="AX45" s="77">
        <f t="shared" si="19"/>
        <v>193548</v>
      </c>
      <c r="AY45" s="77">
        <v>318140</v>
      </c>
      <c r="AZ45" s="77">
        <v>520.20000000000005</v>
      </c>
      <c r="BA45" s="77">
        <v>520.20000000000005</v>
      </c>
      <c r="BB45" s="77">
        <v>449.2</v>
      </c>
      <c r="BC45" s="77">
        <v>0</v>
      </c>
      <c r="BD45" s="77">
        <v>2.8999999999999998E-3</v>
      </c>
      <c r="BE45" s="77">
        <f>PI()*6*6*2/(4*101.6*8*25.4)</f>
        <v>2.739081573011747E-3</v>
      </c>
      <c r="BF45" s="77">
        <v>1.11E-2</v>
      </c>
      <c r="BG45" s="77">
        <v>0</v>
      </c>
      <c r="BH45" s="79">
        <f>8*25.4</f>
        <v>203.2</v>
      </c>
      <c r="BI45" s="79">
        <f t="shared" si="129"/>
        <v>28.274333882308138</v>
      </c>
      <c r="BJ45" s="79">
        <v>2</v>
      </c>
      <c r="BK45" s="57">
        <f t="shared" si="112"/>
        <v>56.548667764616276</v>
      </c>
      <c r="BL45" s="57"/>
      <c r="BM45" s="80">
        <f>PI()*4/8*25.4*4/8*25.4/4</f>
        <v>126.67686977437442</v>
      </c>
      <c r="BN45" s="80">
        <v>8</v>
      </c>
      <c r="BO45" s="57">
        <f t="shared" si="113"/>
        <v>1013.4149581949954</v>
      </c>
      <c r="BP45" s="57">
        <f t="shared" si="24"/>
        <v>212507.50370434081</v>
      </c>
      <c r="BQ45" s="77">
        <f t="shared" si="25"/>
        <v>2.7939677238464355E-9</v>
      </c>
      <c r="BR45" s="57">
        <f t="shared" si="114"/>
        <v>971584306.93624616</v>
      </c>
      <c r="BS45" s="57">
        <v>128.23105142151181</v>
      </c>
      <c r="BT45" s="57">
        <f t="shared" si="49"/>
        <v>45.604736411079884</v>
      </c>
      <c r="BU45" s="57"/>
      <c r="BV45" s="57">
        <v>3.3E-3</v>
      </c>
      <c r="BW45" s="57">
        <v>30000</v>
      </c>
      <c r="BX45" s="57">
        <v>200000</v>
      </c>
      <c r="BY45" s="77">
        <f t="shared" si="130"/>
        <v>25.4</v>
      </c>
      <c r="BZ45" s="77">
        <f>BY45+5*25.4</f>
        <v>152.4</v>
      </c>
      <c r="CA45" s="77">
        <f>BZ45+5*25.4</f>
        <v>279.39999999999998</v>
      </c>
      <c r="CB45" s="77">
        <f>CA45+1*25.4+3*25.4</f>
        <v>380.99999999999994</v>
      </c>
      <c r="CC45" s="77">
        <f>CB45+9*25.4*1</f>
        <v>609.59999999999991</v>
      </c>
      <c r="CD45" s="77">
        <f>CB45+9*25.4*2</f>
        <v>838.19999999999993</v>
      </c>
      <c r="CE45" s="77">
        <f>CB45+9*25.4*3</f>
        <v>1066.8</v>
      </c>
      <c r="CF45" s="77">
        <f>CB45+9*25.4*4</f>
        <v>1295.3999999999999</v>
      </c>
      <c r="CG45" s="77">
        <f>CB45+9*25.4*5</f>
        <v>1524</v>
      </c>
      <c r="CH45" s="77">
        <f>CG45+4*25.4</f>
        <v>1625.6</v>
      </c>
      <c r="CI45" s="77">
        <f>CH45+5*25.4</f>
        <v>1752.6</v>
      </c>
      <c r="CJ45" s="77">
        <f>CI45+5*25.4</f>
        <v>1879.6</v>
      </c>
      <c r="DM45" s="77">
        <f>PI()*4/8*25.4*4/8*25.4/4*3</f>
        <v>380.03060932312326</v>
      </c>
      <c r="DN45" s="77">
        <f>PI()*4/8*25.4*4/8*25.4/4*2</f>
        <v>253.35373954874885</v>
      </c>
      <c r="DO45" s="77">
        <f>PI()*4/8*25.4*4/8*25.4/4*3</f>
        <v>380.03060932312326</v>
      </c>
      <c r="DP45" s="77">
        <f>PI()*6*6/4*2</f>
        <v>56.548667764616276</v>
      </c>
      <c r="DQ45" s="77">
        <f>PI()*6*6/4*2</f>
        <v>56.548667764616276</v>
      </c>
      <c r="DR45" s="77">
        <f t="shared" si="131"/>
        <v>56.548667764616276</v>
      </c>
      <c r="DS45" s="77">
        <f t="shared" si="131"/>
        <v>56.548667764616276</v>
      </c>
      <c r="DT45" s="77">
        <f t="shared" si="131"/>
        <v>56.548667764616276</v>
      </c>
      <c r="DU45" s="77">
        <f t="shared" si="138"/>
        <v>56.548667764616276</v>
      </c>
      <c r="DV45" s="77">
        <f>PI()*4/8*25.4*4/8*25.4/4*3</f>
        <v>380.03060932312326</v>
      </c>
      <c r="DW45" s="77">
        <f>PI()*4/8*25.4*4/8*25.4/4*2</f>
        <v>253.35373954874885</v>
      </c>
      <c r="DX45" s="77">
        <f>PI()*4/8*25.4*4/8*25.4/4*3</f>
        <v>380.03060932312326</v>
      </c>
      <c r="FA45" s="77">
        <f t="shared" si="74"/>
        <v>-170709.74970794696</v>
      </c>
      <c r="FB45" s="77">
        <f t="shared" si="115"/>
        <v>31516.342316398983</v>
      </c>
      <c r="FC45" s="77">
        <f>IF(ABS(-$BV45*($BS45-CA45)/$BS45*$BX45)&gt;$BB45,$BB45*SIGN(-($BS45-CA45)),-$BV45*($BS45-CA45)/$BS45*$BX45)*DO45</f>
        <v>170709.74970794696</v>
      </c>
      <c r="FD45" s="77">
        <f>IF(ABS(-$BV45*($BS45-CB45)/$BS45*$BX45)&gt;$BA45,$BA45*SIGN(-($BS45-CB45)),-$BV45*($BS45-CB45)/$BS45*$BX45)*DP45</f>
        <v>29416.616971153391</v>
      </c>
      <c r="FE45" s="77">
        <f>IF(ABS(-$BV45*($BS45-CC45)/$BS45*$BX45)&gt;$BA45,$BA45*SIGN(-($BS45-CC45)),-$BV45*($BS45-CC45)/$BS45*$BX45)*DQ45</f>
        <v>29416.616971153391</v>
      </c>
      <c r="FF45" s="77">
        <f t="shared" si="132"/>
        <v>29416.616971153391</v>
      </c>
      <c r="FG45" s="77">
        <f t="shared" si="133"/>
        <v>29416.616971153391</v>
      </c>
      <c r="FH45" s="77">
        <f t="shared" si="134"/>
        <v>29416.616971153391</v>
      </c>
      <c r="FI45" s="77">
        <f t="shared" si="139"/>
        <v>29416.616971153391</v>
      </c>
      <c r="FJ45" s="77">
        <f t="shared" si="140"/>
        <v>170709.74970794696</v>
      </c>
      <c r="FK45" s="77">
        <f t="shared" si="140"/>
        <v>113806.49980529798</v>
      </c>
      <c r="FL45" s="77">
        <f t="shared" si="140"/>
        <v>170709.74970794696</v>
      </c>
      <c r="GO45" s="77">
        <f t="shared" si="68"/>
        <v>158265008.95423764</v>
      </c>
      <c r="GP45" s="77">
        <f t="shared" si="69"/>
        <v>-25216225.487350825</v>
      </c>
      <c r="GQ45" s="77">
        <f t="shared" si="70"/>
        <v>-114904732.52841911</v>
      </c>
      <c r="GR45" s="77">
        <f t="shared" si="71"/>
        <v>-16811596.599014163</v>
      </c>
      <c r="GS45" s="77">
        <f t="shared" si="72"/>
        <v>-10086957.959408501</v>
      </c>
      <c r="GT45" s="77">
        <f t="shared" si="73"/>
        <v>-3362319.3198028347</v>
      </c>
      <c r="GU45" s="77">
        <f t="shared" si="121"/>
        <v>3362319.3198028314</v>
      </c>
      <c r="GV45" s="77">
        <f t="shared" si="135"/>
        <v>10086957.959408494</v>
      </c>
      <c r="GW45" s="77">
        <f t="shared" si="136"/>
        <v>16811596.599014163</v>
      </c>
      <c r="GX45" s="77">
        <f t="shared" si="137"/>
        <v>114904732.52841908</v>
      </c>
      <c r="GY45" s="77">
        <f t="shared" si="141"/>
        <v>91056580.494218901</v>
      </c>
      <c r="GZ45" s="77">
        <f t="shared" si="142"/>
        <v>158265008.95423761</v>
      </c>
      <c r="IC45" s="82">
        <v>44</v>
      </c>
    </row>
    <row r="46" spans="1:237" s="77" customFormat="1">
      <c r="A46" s="77">
        <v>45</v>
      </c>
      <c r="B46" s="69">
        <v>73</v>
      </c>
      <c r="C46" s="69" t="s">
        <v>51</v>
      </c>
      <c r="D46" s="70" t="s">
        <v>54</v>
      </c>
      <c r="E46" s="70">
        <v>2</v>
      </c>
      <c r="F46" s="70">
        <v>3.9859012600291434E-2</v>
      </c>
      <c r="G46" s="70">
        <v>6.1242340000000001E-3</v>
      </c>
      <c r="H46" s="70">
        <v>2.2222222E-2</v>
      </c>
      <c r="I46" s="70">
        <v>2.7777777777777776E-2</v>
      </c>
      <c r="J46" s="71">
        <v>2.4</v>
      </c>
      <c r="K46" s="72">
        <v>18.75</v>
      </c>
      <c r="L46" s="71">
        <v>2.8778171641791042E-2</v>
      </c>
      <c r="M46" s="71">
        <v>6.2518097014925361E-2</v>
      </c>
      <c r="N46" s="71">
        <v>0.28072761194029849</v>
      </c>
      <c r="O46" s="71">
        <v>3.0201440478543704E-3</v>
      </c>
      <c r="P46" s="71">
        <v>0</v>
      </c>
      <c r="Q46" s="73" t="s">
        <v>28</v>
      </c>
      <c r="R46" s="74">
        <v>0.29240271578550325</v>
      </c>
      <c r="S46" s="75">
        <f t="shared" si="45"/>
        <v>0.29181588623857035</v>
      </c>
      <c r="T46" s="59">
        <f t="shared" si="0"/>
        <v>0.92115318527512557</v>
      </c>
      <c r="U46" s="59">
        <f t="shared" si="1"/>
        <v>0.68908815878222407</v>
      </c>
      <c r="V46" s="59">
        <f t="shared" si="2"/>
        <v>0.81598888401362168</v>
      </c>
      <c r="W46" s="59">
        <f t="shared" si="3"/>
        <v>0.88583407956181148</v>
      </c>
      <c r="X46" s="59">
        <f t="shared" si="4"/>
        <v>1.1841574602815119</v>
      </c>
      <c r="Y46" s="76">
        <v>679688</v>
      </c>
      <c r="Z46" s="57">
        <f t="shared" si="5"/>
        <v>804857.61586382031</v>
      </c>
      <c r="AA46" s="57">
        <f t="shared" si="6"/>
        <v>602090.79386920854</v>
      </c>
      <c r="AB46" s="57">
        <f t="shared" si="107"/>
        <v>803173.8285735338</v>
      </c>
      <c r="AC46" s="57">
        <f t="shared" si="8"/>
        <v>0.17</v>
      </c>
      <c r="AD46" s="57">
        <f t="shared" si="9"/>
        <v>2.2000000000000002</v>
      </c>
      <c r="AE46" s="57">
        <f t="shared" si="10"/>
        <v>0</v>
      </c>
      <c r="AF46" s="57">
        <f t="shared" si="11"/>
        <v>176354.64764350749</v>
      </c>
      <c r="AG46" s="57">
        <f t="shared" si="108"/>
        <v>425736.14622570103</v>
      </c>
      <c r="AH46" s="57">
        <f t="shared" si="109"/>
        <v>2618699355.7126684</v>
      </c>
      <c r="AI46" s="57">
        <f t="shared" si="110"/>
        <v>1053411388.5255278</v>
      </c>
      <c r="AJ46" s="77">
        <v>0</v>
      </c>
      <c r="AK46" s="77">
        <v>53.6</v>
      </c>
      <c r="AL46" s="78">
        <f t="shared" si="15"/>
        <v>4.1038384312806393</v>
      </c>
      <c r="AM46" s="57">
        <f t="shared" si="16"/>
        <v>0.95894736842105255</v>
      </c>
      <c r="AN46" s="57">
        <f t="shared" si="17"/>
        <v>0.75894736842105259</v>
      </c>
      <c r="AO46" s="77">
        <f t="shared" si="128"/>
        <v>1905</v>
      </c>
      <c r="AP46" s="79">
        <f>12*25.4</f>
        <v>304.79999999999995</v>
      </c>
      <c r="AQ46" s="57">
        <f t="shared" si="46"/>
        <v>107.40489234845442</v>
      </c>
      <c r="AR46" s="57">
        <f t="shared" si="111"/>
        <v>1295.4000000000001</v>
      </c>
      <c r="AS46" s="57">
        <f t="shared" si="18"/>
        <v>1797.5951076515455</v>
      </c>
      <c r="AT46" s="77">
        <v>101.6</v>
      </c>
      <c r="AU46" s="77">
        <v>4572</v>
      </c>
      <c r="AV46" s="77">
        <f t="shared" si="48"/>
        <v>131612.64000000001</v>
      </c>
      <c r="AW46" s="77">
        <f>12*25.4*12*25.4*2</f>
        <v>185806.07999999996</v>
      </c>
      <c r="AX46" s="77">
        <f t="shared" si="19"/>
        <v>193548</v>
      </c>
      <c r="AY46" s="77">
        <v>318140</v>
      </c>
      <c r="AZ46" s="77">
        <v>531.9</v>
      </c>
      <c r="BA46" s="77">
        <v>531.9</v>
      </c>
      <c r="BB46" s="77">
        <v>410</v>
      </c>
      <c r="BC46" s="77">
        <v>0</v>
      </c>
      <c r="BD46" s="77">
        <v>2.8999999999999998E-3</v>
      </c>
      <c r="BE46" s="77">
        <f>PI()*6*6*2/(4*101.6*4*25.4)</f>
        <v>5.4781631460234939E-3</v>
      </c>
      <c r="BF46" s="77">
        <v>3.6700000000000003E-2</v>
      </c>
      <c r="BG46" s="77">
        <v>0</v>
      </c>
      <c r="BH46" s="79">
        <f>4*25.4</f>
        <v>101.6</v>
      </c>
      <c r="BI46" s="79">
        <f t="shared" si="129"/>
        <v>28.274333882308138</v>
      </c>
      <c r="BJ46" s="79">
        <v>2</v>
      </c>
      <c r="BK46" s="57">
        <f t="shared" si="112"/>
        <v>56.548667764616276</v>
      </c>
      <c r="BL46" s="57"/>
      <c r="BM46" s="80">
        <f>PI()*4/8*25.4*4/8*25.4/4</f>
        <v>126.67686977437442</v>
      </c>
      <c r="BN46" s="80">
        <v>12</v>
      </c>
      <c r="BO46" s="57">
        <f t="shared" si="113"/>
        <v>1520.122437292493</v>
      </c>
      <c r="BP46" s="57">
        <f t="shared" si="24"/>
        <v>554617.85259745049</v>
      </c>
      <c r="BQ46" s="77">
        <f t="shared" si="25"/>
        <v>2.0954757928848267E-9</v>
      </c>
      <c r="BR46" s="57">
        <f t="shared" si="114"/>
        <v>2535712822.0755439</v>
      </c>
      <c r="BS46" s="57">
        <v>214.80978469690885</v>
      </c>
      <c r="BT46" s="57">
        <f t="shared" si="49"/>
        <v>46.40466583821037</v>
      </c>
      <c r="BU46" s="57"/>
      <c r="BV46" s="57">
        <v>3.3E-3</v>
      </c>
      <c r="BW46" s="57">
        <v>30000</v>
      </c>
      <c r="BX46" s="57">
        <v>200000</v>
      </c>
      <c r="BY46" s="77">
        <f t="shared" si="130"/>
        <v>25.4</v>
      </c>
      <c r="BZ46" s="77">
        <f>BY46+3*25.4</f>
        <v>101.6</v>
      </c>
      <c r="CA46" s="77">
        <f>BZ46+4*25.4</f>
        <v>203.2</v>
      </c>
      <c r="CB46" s="77">
        <f>CA46+3*25.4</f>
        <v>279.39999999999998</v>
      </c>
      <c r="CC46" s="77">
        <f>CB46+4*25.4</f>
        <v>381</v>
      </c>
      <c r="CD46" s="77">
        <f>CC46+9*25.4*1</f>
        <v>609.6</v>
      </c>
      <c r="CE46" s="77">
        <f>CC46+9*25.4*2</f>
        <v>838.2</v>
      </c>
      <c r="CF46" s="77">
        <f>CC46+9*25.4*3</f>
        <v>1066.8</v>
      </c>
      <c r="CG46" s="77">
        <f>CC46+9*25.4*4</f>
        <v>1295.4000000000001</v>
      </c>
      <c r="CH46" s="77">
        <f>CC46+9*25.4*5</f>
        <v>1524</v>
      </c>
      <c r="CI46" s="77">
        <f>CH46+4*25.4</f>
        <v>1625.6</v>
      </c>
      <c r="CJ46" s="77">
        <f>CI46+3*25.4</f>
        <v>1701.8</v>
      </c>
      <c r="CK46" s="77">
        <f>CJ46+4*25.4</f>
        <v>1803.3999999999999</v>
      </c>
      <c r="CL46" s="77">
        <f>CK46+3*25.4</f>
        <v>1879.6</v>
      </c>
      <c r="DM46" s="77">
        <f>PI()*6/8*25.4*6/8*25.4/4*4</f>
        <v>1140.0918279693699</v>
      </c>
      <c r="DN46" s="77">
        <f>PI()*6/8*25.4*6/8*25.4/4*2</f>
        <v>570.04591398468494</v>
      </c>
      <c r="DO46" s="77">
        <f>PI()*6/8*25.4*6/8*25.4/4*2</f>
        <v>570.04591398468494</v>
      </c>
      <c r="DP46" s="77">
        <f>PI()*6/8*25.4*6/8*25.4/4*4</f>
        <v>1140.0918279693699</v>
      </c>
      <c r="DQ46" s="77">
        <f t="shared" ref="DQ46:DQ52" si="143">PI()*6*6/4*2</f>
        <v>56.548667764616276</v>
      </c>
      <c r="DR46" s="77">
        <f t="shared" si="131"/>
        <v>56.548667764616276</v>
      </c>
      <c r="DS46" s="77">
        <f t="shared" si="131"/>
        <v>56.548667764616276</v>
      </c>
      <c r="DT46" s="77">
        <f t="shared" si="131"/>
        <v>56.548667764616276</v>
      </c>
      <c r="DU46" s="77">
        <f t="shared" si="138"/>
        <v>56.548667764616276</v>
      </c>
      <c r="DV46" s="77">
        <f t="shared" ref="DV46:DV53" si="144">PI()*6*6/4*2</f>
        <v>56.548667764616276</v>
      </c>
      <c r="DW46" s="77">
        <f>PI()*6/8*25.4*6/8*25.4/4*4</f>
        <v>1140.0918279693699</v>
      </c>
      <c r="DX46" s="77">
        <f>PI()*6/8*25.4*6/8*25.4/4*2</f>
        <v>570.04591398468494</v>
      </c>
      <c r="DY46" s="77">
        <f>PI()*6/8*25.4*6/8*25.4/4*2</f>
        <v>570.04591398468494</v>
      </c>
      <c r="DZ46" s="77">
        <f>PI()*6/8*25.4*6/8*25.4/4*4</f>
        <v>1140.0918279693699</v>
      </c>
      <c r="FA46" s="77">
        <f t="shared" si="74"/>
        <v>-467437.64946744166</v>
      </c>
      <c r="FB46" s="77">
        <f t="shared" si="115"/>
        <v>-198282.17641578286</v>
      </c>
      <c r="FC46" s="77">
        <f>IF(ABS(-$BV46*($BS46-CA46)/$BS46*$BX46)&gt;$BB46,$BB46*SIGN(-($BS46-CA46)),-$BV46*($BS46-CA46)/$BS46*$BX46)*DO46</f>
        <v>-20334.049601673647</v>
      </c>
      <c r="FD46" s="77">
        <f>IF(ABS(-$BV46*($BS46-CB46)/$BS46*$BX46)&gt;$BB46,$BB46*SIGN(-($BS46-CB46)),-$BV46*($BS46-CB46)/$BS46*$BX46)*DP46</f>
        <v>226254.09101781651</v>
      </c>
      <c r="FE46" s="77">
        <f t="shared" ref="FE46:FE52" si="145">IF(ABS(-$BV46*($BS46-CC46)/$BS46*$BX46)&gt;$BA46,$BA46*SIGN(-($BS46-CC46)),-$BV46*($BS46-CC46)/$BS46*$BX46)*DQ46</f>
        <v>28874.714843873026</v>
      </c>
      <c r="FF46" s="77">
        <f t="shared" si="132"/>
        <v>30078.236383999396</v>
      </c>
      <c r="FG46" s="77">
        <f t="shared" si="133"/>
        <v>30078.236383999396</v>
      </c>
      <c r="FH46" s="77">
        <f t="shared" si="134"/>
        <v>30078.236383999396</v>
      </c>
      <c r="FI46" s="77">
        <f t="shared" si="139"/>
        <v>30078.236383999396</v>
      </c>
      <c r="FJ46" s="77">
        <f t="shared" ref="FJ46:FJ53" si="146">IF(ABS(-$BV46*($BS46-CH46)/$BS46*$BX46)&gt;$BA46,$BA46*SIGN(-($BS46-CH46)),-$BV46*($BS46-CH46)/$BS46*$BX46)*DV46</f>
        <v>30078.236383999396</v>
      </c>
      <c r="FK46" s="77">
        <f t="shared" ref="FK46:FN47" si="147">IF(ABS(-$BV46*($BS46-CI46)/$BS46*$BX46)&gt;$BB46,$BB46*SIGN(-($BS46-CI46)),-$BV46*($BS46-CI46)/$BS46*$BX46)*DW46</f>
        <v>467437.64946744166</v>
      </c>
      <c r="FL46" s="77">
        <f t="shared" si="147"/>
        <v>233718.82473372083</v>
      </c>
      <c r="FM46" s="77">
        <f t="shared" si="147"/>
        <v>233718.82473372083</v>
      </c>
      <c r="FN46" s="77">
        <f t="shared" si="147"/>
        <v>467437.64946744166</v>
      </c>
      <c r="GO46" s="77">
        <f t="shared" si="68"/>
        <v>433361444.82126516</v>
      </c>
      <c r="GP46" s="77">
        <f t="shared" si="69"/>
        <v>168718303.91218963</v>
      </c>
      <c r="GQ46" s="77">
        <f t="shared" si="70"/>
        <v>15236303.366534064</v>
      </c>
      <c r="GR46" s="77">
        <f t="shared" si="71"/>
        <v>-152291628.6640923</v>
      </c>
      <c r="GS46" s="77">
        <f t="shared" si="72"/>
        <v>-16501899.533273434</v>
      </c>
      <c r="GT46" s="77">
        <f t="shared" si="73"/>
        <v>-10313827.256073393</v>
      </c>
      <c r="GU46" s="77">
        <f t="shared" si="121"/>
        <v>-3437942.4186911294</v>
      </c>
      <c r="GV46" s="77">
        <f t="shared" si="135"/>
        <v>3437942.4186911294</v>
      </c>
      <c r="GW46" s="77">
        <f t="shared" si="136"/>
        <v>10313827.256073395</v>
      </c>
      <c r="GX46" s="77">
        <f t="shared" si="137"/>
        <v>17189712.093455654</v>
      </c>
      <c r="GY46" s="77">
        <f t="shared" si="141"/>
        <v>314632281.85653496</v>
      </c>
      <c r="GZ46" s="77">
        <f t="shared" si="142"/>
        <v>175125515.37297702</v>
      </c>
      <c r="HA46" s="77">
        <f>FM46*(CK46-0.5*$AO46)</f>
        <v>198871347.96592301</v>
      </c>
      <c r="HB46" s="77">
        <f>FN46*(CL46-0.5*$AO46)</f>
        <v>433361444.8212651</v>
      </c>
      <c r="IC46" s="82">
        <v>45</v>
      </c>
    </row>
    <row r="47" spans="1:237" s="77" customFormat="1">
      <c r="A47" s="77">
        <v>46</v>
      </c>
      <c r="B47" s="69">
        <v>74</v>
      </c>
      <c r="C47" s="69" t="s">
        <v>51</v>
      </c>
      <c r="D47" s="70" t="s">
        <v>55</v>
      </c>
      <c r="E47" s="70">
        <v>2</v>
      </c>
      <c r="F47" s="70">
        <v>5.2872164933288425E-2</v>
      </c>
      <c r="G47" s="70">
        <v>6.9991250000000001E-3</v>
      </c>
      <c r="H47" s="70">
        <v>2.7777777999999999E-2</v>
      </c>
      <c r="I47" s="70">
        <v>2.7777777777777801E-2</v>
      </c>
      <c r="J47" s="71">
        <v>2.4</v>
      </c>
      <c r="K47" s="72">
        <v>18.75</v>
      </c>
      <c r="L47" s="71">
        <v>3.2111258278145698E-2</v>
      </c>
      <c r="M47" s="71">
        <v>6.9758940397351005E-2</v>
      </c>
      <c r="N47" s="71">
        <v>0.3594655629139073</v>
      </c>
      <c r="O47" s="71">
        <v>0.14948344370860928</v>
      </c>
      <c r="P47" s="71">
        <v>0</v>
      </c>
      <c r="Q47" s="73" t="s">
        <v>28</v>
      </c>
      <c r="R47" s="74">
        <v>0.29240271578550325</v>
      </c>
      <c r="S47" s="75">
        <f t="shared" si="45"/>
        <v>0.3558575583859338</v>
      </c>
      <c r="T47" s="59">
        <f t="shared" si="0"/>
        <v>1.0527868591598211</v>
      </c>
      <c r="U47" s="59">
        <f t="shared" si="1"/>
        <v>0.78150702162676811</v>
      </c>
      <c r="V47" s="59">
        <f t="shared" si="2"/>
        <v>0.77260031795207984</v>
      </c>
      <c r="W47" s="59">
        <f t="shared" si="3"/>
        <v>0.73386204551285461</v>
      </c>
      <c r="X47" s="59">
        <f t="shared" si="4"/>
        <v>0.98860316871350906</v>
      </c>
      <c r="Y47" s="76">
        <v>761980</v>
      </c>
      <c r="Z47" s="57">
        <f t="shared" si="5"/>
        <v>753295.84249631967</v>
      </c>
      <c r="AA47" s="57">
        <f t="shared" si="6"/>
        <v>559188.20143988496</v>
      </c>
      <c r="AB47" s="57">
        <f t="shared" si="107"/>
        <v>1046672.262488508</v>
      </c>
      <c r="AC47" s="57">
        <f t="shared" si="8"/>
        <v>0.17</v>
      </c>
      <c r="AD47" s="57">
        <f t="shared" si="9"/>
        <v>2.2000000000000002</v>
      </c>
      <c r="AE47" s="57">
        <f t="shared" si="10"/>
        <v>0</v>
      </c>
      <c r="AF47" s="57">
        <f t="shared" si="11"/>
        <v>159892.17561926399</v>
      </c>
      <c r="AG47" s="57">
        <f t="shared" si="108"/>
        <v>399296.025820621</v>
      </c>
      <c r="AH47" s="57">
        <f t="shared" si="109"/>
        <v>2250124353.6853476</v>
      </c>
      <c r="AI47" s="57">
        <f t="shared" si="110"/>
        <v>2535261230.4121113</v>
      </c>
      <c r="AJ47" s="77">
        <v>0</v>
      </c>
      <c r="AK47" s="77">
        <v>45.3</v>
      </c>
      <c r="AL47" s="78">
        <f t="shared" si="15"/>
        <v>3.7411371608844441</v>
      </c>
      <c r="AM47" s="57">
        <f t="shared" si="16"/>
        <v>0.98078947368421054</v>
      </c>
      <c r="AN47" s="57">
        <f t="shared" si="17"/>
        <v>0.78078947368421059</v>
      </c>
      <c r="AO47" s="77">
        <f t="shared" si="128"/>
        <v>1905</v>
      </c>
      <c r="AP47" s="79">
        <f>12*25.4</f>
        <v>304.79999999999995</v>
      </c>
      <c r="AQ47" s="57">
        <f t="shared" si="46"/>
        <v>117.20053477312285</v>
      </c>
      <c r="AR47" s="57">
        <f t="shared" si="111"/>
        <v>1295.4000000000001</v>
      </c>
      <c r="AS47" s="57">
        <f t="shared" si="18"/>
        <v>1787.7994652268771</v>
      </c>
      <c r="AT47" s="77">
        <v>101.6</v>
      </c>
      <c r="AU47" s="77">
        <v>4572</v>
      </c>
      <c r="AV47" s="77">
        <f t="shared" si="48"/>
        <v>131612.64000000001</v>
      </c>
      <c r="AW47" s="77">
        <f>12*25.4*12*25.4*2</f>
        <v>185806.07999999996</v>
      </c>
      <c r="AX47" s="77">
        <f t="shared" si="19"/>
        <v>193548</v>
      </c>
      <c r="AY47" s="77">
        <v>318140</v>
      </c>
      <c r="AZ47" s="77">
        <v>501.6</v>
      </c>
      <c r="BA47" s="77">
        <v>501.6</v>
      </c>
      <c r="BB47" s="77">
        <v>443.7</v>
      </c>
      <c r="BC47" s="77">
        <v>501.6</v>
      </c>
      <c r="BD47" s="77">
        <v>2.8999999999999998E-3</v>
      </c>
      <c r="BE47" s="77">
        <f>PI()*6*6*2/(4*101.6*4*25.4)</f>
        <v>5.4781631460234939E-3</v>
      </c>
      <c r="BF47" s="77">
        <v>3.6700000000000003E-2</v>
      </c>
      <c r="BG47" s="77">
        <f>PI()*6*6*2/(4*101.6*1.33*25.4)</f>
        <v>1.6475678634657129E-2</v>
      </c>
      <c r="BH47" s="79">
        <f>4*25.4</f>
        <v>101.6</v>
      </c>
      <c r="BI47" s="79">
        <f t="shared" si="129"/>
        <v>28.274333882308138</v>
      </c>
      <c r="BJ47" s="79">
        <v>2</v>
      </c>
      <c r="BK47" s="57">
        <f t="shared" si="112"/>
        <v>56.548667764616276</v>
      </c>
      <c r="BL47" s="57"/>
      <c r="BM47" s="80">
        <f>PI()*6/8*25.4*6/8*25.4/4</f>
        <v>285.02295699234247</v>
      </c>
      <c r="BN47" s="80">
        <v>12</v>
      </c>
      <c r="BO47" s="57">
        <f t="shared" si="113"/>
        <v>3420.2754839081099</v>
      </c>
      <c r="BP47" s="57">
        <f t="shared" si="24"/>
        <v>588705.99027312582</v>
      </c>
      <c r="BQ47" s="77">
        <f t="shared" si="25"/>
        <v>6.28642737865448E-9</v>
      </c>
      <c r="BR47" s="57">
        <f t="shared" si="114"/>
        <v>2691563787.5287313</v>
      </c>
      <c r="BS47" s="57">
        <v>234.40106954624571</v>
      </c>
      <c r="BT47" s="57">
        <f t="shared" si="49"/>
        <v>47.55341361252934</v>
      </c>
      <c r="BU47" s="57"/>
      <c r="BV47" s="57">
        <v>3.3E-3</v>
      </c>
      <c r="BW47" s="57">
        <v>30000</v>
      </c>
      <c r="BX47" s="57">
        <v>200000</v>
      </c>
      <c r="BY47" s="77">
        <f t="shared" si="130"/>
        <v>25.4</v>
      </c>
      <c r="BZ47" s="77">
        <f>BY47+3*25.4</f>
        <v>101.6</v>
      </c>
      <c r="CA47" s="77">
        <f>BZ47+4*25.4</f>
        <v>203.2</v>
      </c>
      <c r="CB47" s="77">
        <f>CA47+3*25.4</f>
        <v>279.39999999999998</v>
      </c>
      <c r="CC47" s="77">
        <f>CB47+4*25.4</f>
        <v>381</v>
      </c>
      <c r="CD47" s="77">
        <f>CC47+9*25.4*1</f>
        <v>609.6</v>
      </c>
      <c r="CE47" s="77">
        <f>CC47+9*25.4*2</f>
        <v>838.2</v>
      </c>
      <c r="CF47" s="77">
        <f>CC47+9*25.4*3</f>
        <v>1066.8</v>
      </c>
      <c r="CG47" s="77">
        <f>CC47+9*25.4*4</f>
        <v>1295.4000000000001</v>
      </c>
      <c r="CH47" s="77">
        <f>CC47+9*25.4*5</f>
        <v>1524</v>
      </c>
      <c r="CI47" s="77">
        <f>CH47+4*25.4</f>
        <v>1625.6</v>
      </c>
      <c r="CJ47" s="77">
        <f>CI47+3*25.4</f>
        <v>1701.8</v>
      </c>
      <c r="CK47" s="77">
        <f>CJ47+4*25.4</f>
        <v>1803.3999999999999</v>
      </c>
      <c r="CL47" s="77">
        <f>CK47+3*25.4</f>
        <v>1879.6</v>
      </c>
      <c r="DM47" s="77">
        <f>PI()*6/8*25.4*6/8*25.4/4*4</f>
        <v>1140.0918279693699</v>
      </c>
      <c r="DN47" s="77">
        <f>PI()*6/8*25.4*6/8*25.4/4*2</f>
        <v>570.04591398468494</v>
      </c>
      <c r="DO47" s="77">
        <f>PI()*6/8*25.4*6/8*25.4/4*2</f>
        <v>570.04591398468494</v>
      </c>
      <c r="DP47" s="77">
        <f>PI()*6/8*25.4*6/8*25.4/4*4</f>
        <v>1140.0918279693699</v>
      </c>
      <c r="DQ47" s="77">
        <f t="shared" si="143"/>
        <v>56.548667764616276</v>
      </c>
      <c r="DR47" s="77">
        <f t="shared" si="131"/>
        <v>56.548667764616276</v>
      </c>
      <c r="DS47" s="77">
        <f t="shared" si="131"/>
        <v>56.548667764616276</v>
      </c>
      <c r="DT47" s="77">
        <f t="shared" si="131"/>
        <v>56.548667764616276</v>
      </c>
      <c r="DU47" s="77">
        <f t="shared" si="138"/>
        <v>56.548667764616276</v>
      </c>
      <c r="DV47" s="77">
        <f t="shared" si="144"/>
        <v>56.548667764616276</v>
      </c>
      <c r="DW47" s="77">
        <f>PI()*6/8*25.4*6/8*25.4/4*4</f>
        <v>1140.0918279693699</v>
      </c>
      <c r="DX47" s="77">
        <f>PI()*6/8*25.4*6/8*25.4/4*2</f>
        <v>570.04591398468494</v>
      </c>
      <c r="DY47" s="77">
        <f>PI()*6/8*25.4*6/8*25.4/4*2</f>
        <v>570.04591398468494</v>
      </c>
      <c r="DZ47" s="77">
        <f>PI()*6/8*25.4*6/8*25.4/4*4</f>
        <v>1140.0918279693699</v>
      </c>
      <c r="FA47" s="77">
        <f t="shared" si="74"/>
        <v>-505858.74407000939</v>
      </c>
      <c r="FB47" s="77">
        <f t="shared" si="115"/>
        <v>-213155.11384550441</v>
      </c>
      <c r="FC47" s="77">
        <f>IF(ABS(-$BV47*($BS47-CA47)/$BS47*$BX47)&gt;$BB47,$BB47*SIGN(-($BS47-CA47)),-$BV47*($BS47-CA47)/$BS47*$BX47)*DO47</f>
        <v>-50079.924461116832</v>
      </c>
      <c r="FD47" s="77">
        <f>IF(ABS(-$BV47*($BS47-CB47)/$BS47*$BX47)&gt;$BB47,$BB47*SIGN(-($BS47-CB47)),-$BV47*($BS47-CB47)/$BS47*$BX47)*DP47</f>
        <v>144452.93515434774</v>
      </c>
      <c r="FE47" s="77">
        <f t="shared" si="145"/>
        <v>23341.971054529015</v>
      </c>
      <c r="FF47" s="77">
        <f t="shared" si="132"/>
        <v>28364.811750731526</v>
      </c>
      <c r="FG47" s="77">
        <f t="shared" si="133"/>
        <v>28364.811750731526</v>
      </c>
      <c r="FH47" s="77">
        <f t="shared" si="134"/>
        <v>28364.811750731526</v>
      </c>
      <c r="FI47" s="77">
        <f t="shared" si="139"/>
        <v>28364.811750731526</v>
      </c>
      <c r="FJ47" s="77">
        <f t="shared" si="146"/>
        <v>28364.811750731526</v>
      </c>
      <c r="FK47" s="77">
        <f t="shared" si="147"/>
        <v>505858.74407000939</v>
      </c>
      <c r="FL47" s="77">
        <f t="shared" si="147"/>
        <v>252929.37203500469</v>
      </c>
      <c r="FM47" s="77">
        <f t="shared" si="147"/>
        <v>252929.37203500469</v>
      </c>
      <c r="FN47" s="77">
        <f t="shared" si="147"/>
        <v>505858.74407000939</v>
      </c>
      <c r="GO47" s="77">
        <f t="shared" si="68"/>
        <v>468981641.62730569</v>
      </c>
      <c r="GP47" s="77">
        <f t="shared" si="69"/>
        <v>181373686.37113971</v>
      </c>
      <c r="GQ47" s="77">
        <f t="shared" si="70"/>
        <v>37524887.39871484</v>
      </c>
      <c r="GR47" s="77">
        <f t="shared" si="71"/>
        <v>-97231270.652391464</v>
      </c>
      <c r="GS47" s="77">
        <f t="shared" si="72"/>
        <v>-13339936.457663331</v>
      </c>
      <c r="GT47" s="77">
        <f t="shared" si="73"/>
        <v>-9726293.9493258391</v>
      </c>
      <c r="GU47" s="77">
        <f t="shared" si="121"/>
        <v>-3242097.9831086122</v>
      </c>
      <c r="GV47" s="77">
        <f t="shared" si="135"/>
        <v>3242097.9831086122</v>
      </c>
      <c r="GW47" s="77">
        <f t="shared" si="136"/>
        <v>9726293.9493258428</v>
      </c>
      <c r="GX47" s="77">
        <f t="shared" si="137"/>
        <v>16210489.915543066</v>
      </c>
      <c r="GY47" s="77">
        <f t="shared" si="141"/>
        <v>340493520.63352329</v>
      </c>
      <c r="GZ47" s="77">
        <f t="shared" si="142"/>
        <v>189519978.46582901</v>
      </c>
      <c r="HA47" s="77">
        <f>FM47*(CK47-0.5*$AO47)</f>
        <v>215217602.66458547</v>
      </c>
      <c r="HB47" s="77">
        <f>FN47*(CL47-0.5*$AO47)</f>
        <v>468981641.62730563</v>
      </c>
      <c r="IC47" s="82">
        <v>46</v>
      </c>
    </row>
    <row r="48" spans="1:237" s="77" customFormat="1">
      <c r="A48" s="77">
        <v>47</v>
      </c>
      <c r="B48" s="69">
        <v>76</v>
      </c>
      <c r="C48" s="69" t="s">
        <v>51</v>
      </c>
      <c r="D48" s="70" t="s">
        <v>56</v>
      </c>
      <c r="E48" s="70">
        <v>2</v>
      </c>
      <c r="F48" s="70">
        <v>6.0451513289451753E-2</v>
      </c>
      <c r="G48" s="70">
        <v>6.3429569999999998E-3</v>
      </c>
      <c r="H48" s="70">
        <v>2.2309710999999999E-2</v>
      </c>
      <c r="I48" s="70">
        <v>2.2965879265091901E-2</v>
      </c>
      <c r="J48" s="71">
        <v>2.4</v>
      </c>
      <c r="K48" s="72">
        <v>18.75</v>
      </c>
      <c r="L48" s="71">
        <v>4.1015625E-2</v>
      </c>
      <c r="M48" s="71">
        <v>9.7070312500000006E-2</v>
      </c>
      <c r="N48" s="71">
        <v>0.45018645833333326</v>
      </c>
      <c r="O48" s="71">
        <v>0.19550781250000002</v>
      </c>
      <c r="P48" s="71">
        <v>0</v>
      </c>
      <c r="Q48" s="73" t="s">
        <v>243</v>
      </c>
      <c r="R48" s="74">
        <v>0.25892351274787534</v>
      </c>
      <c r="S48" s="75">
        <f t="shared" si="45"/>
        <v>0.37460432675693278</v>
      </c>
      <c r="T48" s="59">
        <f t="shared" si="0"/>
        <v>1.0411991714073916</v>
      </c>
      <c r="U48" s="59">
        <f t="shared" si="1"/>
        <v>0.79524980532653278</v>
      </c>
      <c r="V48" s="59">
        <f t="shared" si="2"/>
        <v>0.79928869130878255</v>
      </c>
      <c r="W48" s="59">
        <f t="shared" si="3"/>
        <v>0.7676616667187528</v>
      </c>
      <c r="X48" s="59">
        <f t="shared" si="4"/>
        <v>1.0050787638741909</v>
      </c>
      <c r="Y48" s="76">
        <v>835821</v>
      </c>
      <c r="Z48" s="57">
        <f t="shared" si="5"/>
        <v>840065.93750009011</v>
      </c>
      <c r="AA48" s="57">
        <f t="shared" si="6"/>
        <v>641627.74193853466</v>
      </c>
      <c r="AB48" s="57">
        <f t="shared" si="107"/>
        <v>766451.41688976751</v>
      </c>
      <c r="AC48" s="57">
        <f t="shared" si="8"/>
        <v>0.17</v>
      </c>
      <c r="AD48" s="57">
        <f t="shared" si="9"/>
        <v>2.2000000000000002</v>
      </c>
      <c r="AE48" s="57">
        <f t="shared" si="10"/>
        <v>0</v>
      </c>
      <c r="AF48" s="57">
        <f t="shared" si="11"/>
        <v>150214.94040206756</v>
      </c>
      <c r="AG48" s="57">
        <f t="shared" si="108"/>
        <v>491412.8015364671</v>
      </c>
      <c r="AH48" s="57">
        <f t="shared" si="109"/>
        <v>708230883.64708817</v>
      </c>
      <c r="AI48" s="57">
        <f t="shared" si="110"/>
        <v>2795984994.3729291</v>
      </c>
      <c r="AJ48" s="77">
        <v>0</v>
      </c>
      <c r="AK48" s="77">
        <v>38.4</v>
      </c>
      <c r="AL48" s="78">
        <f t="shared" si="15"/>
        <v>3.4161095798815442</v>
      </c>
      <c r="AM48" s="57">
        <f t="shared" si="16"/>
        <v>0.99894736842105258</v>
      </c>
      <c r="AN48" s="57">
        <f t="shared" si="17"/>
        <v>0.79894736842105263</v>
      </c>
      <c r="AO48" s="77">
        <f t="shared" si="128"/>
        <v>1905</v>
      </c>
      <c r="AP48" s="79">
        <f>4*25.4</f>
        <v>101.6</v>
      </c>
      <c r="AQ48" s="57">
        <f t="shared" si="46"/>
        <v>65.598405403334922</v>
      </c>
      <c r="AR48" s="57">
        <f t="shared" si="111"/>
        <v>1701.8</v>
      </c>
      <c r="AS48" s="57">
        <f t="shared" si="18"/>
        <v>1839.4015945966651</v>
      </c>
      <c r="AT48" s="77">
        <v>101.6</v>
      </c>
      <c r="AU48" s="77">
        <v>4572</v>
      </c>
      <c r="AV48" s="77">
        <f t="shared" si="48"/>
        <v>172902.87999999998</v>
      </c>
      <c r="AW48" s="77">
        <f>4*25.4*36*25.4*2</f>
        <v>185806.07999999999</v>
      </c>
      <c r="AX48" s="77">
        <f t="shared" si="19"/>
        <v>193548</v>
      </c>
      <c r="AY48" s="77">
        <v>360060</v>
      </c>
      <c r="AZ48" s="77">
        <v>525</v>
      </c>
      <c r="BA48" s="77">
        <v>525</v>
      </c>
      <c r="BB48" s="77">
        <v>444.4</v>
      </c>
      <c r="BC48" s="77">
        <v>0</v>
      </c>
      <c r="BD48" s="77">
        <v>3.0000000000000001E-3</v>
      </c>
      <c r="BE48" s="77">
        <f>PI()*6*6*2/(4*101.6*3.5*25.4)</f>
        <v>6.2607578811697089E-3</v>
      </c>
      <c r="BF48" s="77">
        <v>3.8899999999999997E-2</v>
      </c>
      <c r="BG48" s="77">
        <v>0</v>
      </c>
      <c r="BH48" s="79">
        <f>3.5*25.4</f>
        <v>88.899999999999991</v>
      </c>
      <c r="BI48" s="79">
        <f t="shared" si="129"/>
        <v>28.274333882308138</v>
      </c>
      <c r="BJ48" s="79">
        <v>2</v>
      </c>
      <c r="BK48" s="57">
        <f t="shared" si="112"/>
        <v>56.548667764616276</v>
      </c>
      <c r="BL48" s="57"/>
      <c r="BM48" s="80">
        <f>PI()*4/8*25.4*4/8*25.4/4</f>
        <v>126.67686977437442</v>
      </c>
      <c r="BN48" s="80">
        <v>28</v>
      </c>
      <c r="BO48" s="57">
        <f t="shared" si="113"/>
        <v>3546.952353682484</v>
      </c>
      <c r="BP48" s="57">
        <f t="shared" si="24"/>
        <v>668062.27325839794</v>
      </c>
      <c r="BQ48" s="77">
        <f t="shared" si="25"/>
        <v>5.5879354476928711E-9</v>
      </c>
      <c r="BR48" s="57">
        <f t="shared" si="114"/>
        <v>3054380713.3373952</v>
      </c>
      <c r="BS48" s="57">
        <v>131.19681080666984</v>
      </c>
      <c r="BT48" s="57">
        <f t="shared" si="49"/>
        <v>56.880687357816058</v>
      </c>
      <c r="BU48" s="57"/>
      <c r="BV48" s="57">
        <v>3.3E-3</v>
      </c>
      <c r="BW48" s="57">
        <v>30000</v>
      </c>
      <c r="BX48" s="57">
        <v>200000</v>
      </c>
      <c r="BY48" s="77">
        <f t="shared" si="130"/>
        <v>25.4</v>
      </c>
      <c r="BZ48" s="77">
        <f>BY48+2*25.4</f>
        <v>76.199999999999989</v>
      </c>
      <c r="CA48" s="77">
        <f>BZ48+3*25.4</f>
        <v>152.39999999999998</v>
      </c>
      <c r="CB48" s="77">
        <f>CA48+9*25.4*1</f>
        <v>381</v>
      </c>
      <c r="CC48" s="77">
        <f>CA48+9*25.4*2</f>
        <v>609.59999999999991</v>
      </c>
      <c r="CD48" s="77">
        <f>CA48+9*25.4*3</f>
        <v>838.19999999999993</v>
      </c>
      <c r="CE48" s="77">
        <f>CA48+9*25.4*4</f>
        <v>1066.8</v>
      </c>
      <c r="CF48" s="77">
        <f>CA48+9*25.4*5</f>
        <v>1295.4000000000001</v>
      </c>
      <c r="CG48" s="77">
        <f>CA48+9*25.4*6</f>
        <v>1524</v>
      </c>
      <c r="CH48" s="77">
        <f>CA48+9*25.4*7</f>
        <v>1752.6</v>
      </c>
      <c r="CI48" s="77">
        <f>CH48+3*25.4</f>
        <v>1828.8</v>
      </c>
      <c r="CJ48" s="77">
        <f>CI48+2*25.4</f>
        <v>1879.6</v>
      </c>
      <c r="DM48" s="77">
        <f>PI()*4/8*25.4*4/8*25.4/4*14</f>
        <v>1773.476176841242</v>
      </c>
      <c r="DN48" s="77">
        <f>PI()*4/8*25.4*4/8*25.4/4*14</f>
        <v>1773.476176841242</v>
      </c>
      <c r="DO48" s="77">
        <f>PI()*6*6/4*2</f>
        <v>56.548667764616276</v>
      </c>
      <c r="DP48" s="77">
        <f>PI()*6*6/4*2</f>
        <v>56.548667764616276</v>
      </c>
      <c r="DQ48" s="77">
        <f t="shared" si="143"/>
        <v>56.548667764616276</v>
      </c>
      <c r="DR48" s="77">
        <f t="shared" si="131"/>
        <v>56.548667764616276</v>
      </c>
      <c r="DS48" s="77">
        <f t="shared" si="131"/>
        <v>56.548667764616276</v>
      </c>
      <c r="DT48" s="77">
        <f t="shared" si="131"/>
        <v>56.548667764616276</v>
      </c>
      <c r="DU48" s="77">
        <f t="shared" si="138"/>
        <v>56.548667764616276</v>
      </c>
      <c r="DV48" s="77">
        <f t="shared" si="144"/>
        <v>56.548667764616276</v>
      </c>
      <c r="DW48" s="77">
        <f>PI()*4/8*25.4*4/8*25.4/4*14</f>
        <v>1773.476176841242</v>
      </c>
      <c r="DX48" s="77">
        <f>PI()*4/8*25.4*4/8*25.4/4*14</f>
        <v>1773.476176841242</v>
      </c>
      <c r="FA48" s="77">
        <f t="shared" si="74"/>
        <v>-788132.81298824796</v>
      </c>
      <c r="FB48" s="77">
        <f t="shared" si="115"/>
        <v>-490663.24014275632</v>
      </c>
      <c r="FC48" s="77">
        <f>IF(ABS(-$BV48*($BS48-CA48)/$BS48*$BX48)&gt;$BA48,$BA48*SIGN(-($BS48-CA48)),-$BV48*($BS48-CA48)/$BS48*$BX48)*DO48</f>
        <v>6031.7623725405492</v>
      </c>
      <c r="FD48" s="77">
        <f>IF(ABS(-$BV48*($BS48-CB48)/$BS48*$BX48)&gt;$BA48,$BA48*SIGN(-($BS48-CB48)),-$BV48*($BS48-CB48)/$BS48*$BX48)*DP48</f>
        <v>29688.050576423546</v>
      </c>
      <c r="FE48" s="77">
        <f t="shared" si="145"/>
        <v>29688.050576423546</v>
      </c>
      <c r="FF48" s="77">
        <f t="shared" si="132"/>
        <v>29688.050576423546</v>
      </c>
      <c r="FG48" s="77">
        <f t="shared" si="133"/>
        <v>29688.050576423546</v>
      </c>
      <c r="FH48" s="77">
        <f t="shared" si="134"/>
        <v>29688.050576423546</v>
      </c>
      <c r="FI48" s="77">
        <f t="shared" si="139"/>
        <v>29688.050576423546</v>
      </c>
      <c r="FJ48" s="77">
        <f t="shared" si="146"/>
        <v>29688.050576423546</v>
      </c>
      <c r="FK48" s="77">
        <f t="shared" ref="FK48:FL52" si="148">IF(ABS(-$BV48*($BS48-CI48)/$BS48*$BX48)&gt;$BB48,$BB48*SIGN(-($BS48-CI48)),-$BV48*($BS48-CI48)/$BS48*$BX48)*DW48</f>
        <v>788132.81298824796</v>
      </c>
      <c r="FL48" s="77">
        <f t="shared" si="148"/>
        <v>788132.81298824796</v>
      </c>
      <c r="GO48" s="77">
        <f t="shared" si="68"/>
        <v>730677930.92140472</v>
      </c>
      <c r="GP48" s="77">
        <f t="shared" si="69"/>
        <v>429968197.33709735</v>
      </c>
      <c r="GQ48" s="77">
        <f t="shared" si="70"/>
        <v>-4826013.0742696933</v>
      </c>
      <c r="GR48" s="77">
        <f t="shared" si="71"/>
        <v>-16966720.904426057</v>
      </c>
      <c r="GS48" s="77">
        <f t="shared" si="72"/>
        <v>-10180032.542655637</v>
      </c>
      <c r="GT48" s="77">
        <f t="shared" si="73"/>
        <v>-3393344.1808852134</v>
      </c>
      <c r="GU48" s="77">
        <f t="shared" si="121"/>
        <v>3393344.1808852102</v>
      </c>
      <c r="GV48" s="77">
        <f t="shared" si="135"/>
        <v>10180032.542655637</v>
      </c>
      <c r="GW48" s="77">
        <f t="shared" si="136"/>
        <v>16966720.904426057</v>
      </c>
      <c r="GX48" s="77">
        <f t="shared" si="137"/>
        <v>23753409.266196478</v>
      </c>
      <c r="GY48" s="77">
        <f t="shared" si="141"/>
        <v>690640784.02160168</v>
      </c>
      <c r="GZ48" s="77">
        <f t="shared" si="142"/>
        <v>730677930.9214046</v>
      </c>
      <c r="IC48" s="82">
        <v>47</v>
      </c>
    </row>
    <row r="49" spans="1:237" s="77" customFormat="1">
      <c r="A49" s="77">
        <v>48</v>
      </c>
      <c r="B49" s="69">
        <v>77</v>
      </c>
      <c r="C49" s="69" t="s">
        <v>58</v>
      </c>
      <c r="D49" s="70" t="s">
        <v>57</v>
      </c>
      <c r="E49" s="70">
        <v>2</v>
      </c>
      <c r="F49" s="70">
        <v>0.11897494208019896</v>
      </c>
      <c r="G49" s="70">
        <v>7.6552929999999996E-3</v>
      </c>
      <c r="H49" s="70">
        <v>1.6666667E-2</v>
      </c>
      <c r="I49" s="70">
        <v>1.6622922134733157E-2</v>
      </c>
      <c r="J49" s="71">
        <v>2.4</v>
      </c>
      <c r="K49" s="72">
        <v>18.75</v>
      </c>
      <c r="L49" s="71">
        <v>6.8003669724770635E-2</v>
      </c>
      <c r="M49" s="71">
        <v>0.14773211009174311</v>
      </c>
      <c r="N49" s="71">
        <v>0.74123899082568812</v>
      </c>
      <c r="O49" s="71">
        <v>0.18994128440366972</v>
      </c>
      <c r="P49" s="71">
        <v>0.1344160409444114</v>
      </c>
      <c r="Q49" s="73" t="s">
        <v>28</v>
      </c>
      <c r="R49" s="74">
        <v>0.29240271578550325</v>
      </c>
      <c r="S49" s="75">
        <f t="shared" si="45"/>
        <v>0.55549959781903524</v>
      </c>
      <c r="T49" s="59">
        <f t="shared" si="0"/>
        <v>1.3971227363591832</v>
      </c>
      <c r="U49" s="59">
        <f t="shared" si="1"/>
        <v>0.99003712858961102</v>
      </c>
      <c r="V49" s="59">
        <f t="shared" si="2"/>
        <v>0.83465906710224946</v>
      </c>
      <c r="W49" s="59">
        <f t="shared" si="3"/>
        <v>0.59741284382596205</v>
      </c>
      <c r="X49" s="59">
        <f t="shared" si="4"/>
        <v>0.84305834902504084</v>
      </c>
      <c r="Y49" s="76">
        <v>825145</v>
      </c>
      <c r="Z49" s="57">
        <f t="shared" si="5"/>
        <v>695645.38140626729</v>
      </c>
      <c r="AA49" s="57">
        <f t="shared" si="6"/>
        <v>492952.22101877345</v>
      </c>
      <c r="AB49" s="57">
        <f t="shared" si="107"/>
        <v>669404.09446552943</v>
      </c>
      <c r="AC49" s="57">
        <f t="shared" si="8"/>
        <v>0.17</v>
      </c>
      <c r="AD49" s="57">
        <f t="shared" si="9"/>
        <v>2.2000000000000002</v>
      </c>
      <c r="AE49" s="57">
        <f t="shared" si="10"/>
        <v>932236</v>
      </c>
      <c r="AF49" s="57">
        <f t="shared" si="11"/>
        <v>120547.30250968698</v>
      </c>
      <c r="AG49" s="57">
        <f t="shared" si="108"/>
        <v>372404.91850908648</v>
      </c>
      <c r="AH49" s="57">
        <f t="shared" si="109"/>
        <v>1001629064.322932</v>
      </c>
      <c r="AI49" s="57">
        <f t="shared" si="110"/>
        <v>2058886455.5734684</v>
      </c>
      <c r="AJ49" s="77">
        <v>932236</v>
      </c>
      <c r="AK49" s="77">
        <v>21.8</v>
      </c>
      <c r="AL49" s="78">
        <f t="shared" si="15"/>
        <v>2.5020771188270516</v>
      </c>
      <c r="AM49" s="57">
        <f t="shared" si="16"/>
        <v>1</v>
      </c>
      <c r="AN49" s="57">
        <f t="shared" si="17"/>
        <v>0.8</v>
      </c>
      <c r="AO49" s="77">
        <f t="shared" si="128"/>
        <v>1905</v>
      </c>
      <c r="AP49" s="79">
        <f>12*25.4</f>
        <v>304.79999999999995</v>
      </c>
      <c r="AQ49" s="57">
        <f t="shared" si="46"/>
        <v>268.9148368149327</v>
      </c>
      <c r="AR49" s="57">
        <f t="shared" si="111"/>
        <v>1295.4000000000001</v>
      </c>
      <c r="AS49" s="57">
        <f t="shared" si="18"/>
        <v>1636.0851631850674</v>
      </c>
      <c r="AT49" s="77">
        <v>101.6</v>
      </c>
      <c r="AU49" s="77">
        <v>4572</v>
      </c>
      <c r="AV49" s="77">
        <f t="shared" si="48"/>
        <v>131612.64000000001</v>
      </c>
      <c r="AW49" s="77">
        <f>12*25.4*12*25.4*2</f>
        <v>185806.07999999996</v>
      </c>
      <c r="AX49" s="77">
        <f t="shared" si="19"/>
        <v>193548</v>
      </c>
      <c r="AY49" s="77">
        <v>318140</v>
      </c>
      <c r="AZ49" s="77">
        <v>511.2</v>
      </c>
      <c r="BA49" s="77">
        <v>511.2</v>
      </c>
      <c r="BB49" s="77">
        <v>440.3</v>
      </c>
      <c r="BC49" s="77">
        <v>487.1</v>
      </c>
      <c r="BD49" s="77">
        <v>2.8999999999999998E-3</v>
      </c>
      <c r="BE49" s="77">
        <f>PI()*6*6*2/(4*101.6*4*25.4)</f>
        <v>5.4781631460234939E-3</v>
      </c>
      <c r="BF49" s="77">
        <v>3.6700000000000003E-2</v>
      </c>
      <c r="BG49" s="77">
        <f>PI()*6*6*2/(4*101.6*4/3*25.4)</f>
        <v>1.6434489438070483E-2</v>
      </c>
      <c r="BH49" s="79">
        <f>4*25.4</f>
        <v>101.6</v>
      </c>
      <c r="BI49" s="79">
        <f t="shared" si="129"/>
        <v>28.274333882308138</v>
      </c>
      <c r="BJ49" s="79">
        <v>2</v>
      </c>
      <c r="BK49" s="57">
        <f t="shared" si="112"/>
        <v>56.548667764616276</v>
      </c>
      <c r="BL49" s="57"/>
      <c r="BM49" s="80">
        <f>PI()*6/8*25.4*6/8*25.4/4</f>
        <v>285.02295699234247</v>
      </c>
      <c r="BN49" s="80">
        <v>12</v>
      </c>
      <c r="BO49" s="57">
        <f t="shared" si="113"/>
        <v>3420.2754839081099</v>
      </c>
      <c r="BP49" s="57">
        <f t="shared" si="24"/>
        <v>688714.75592408562</v>
      </c>
      <c r="BQ49" s="77">
        <f t="shared" si="25"/>
        <v>2.6775524020195007E-9</v>
      </c>
      <c r="BR49" s="57">
        <f t="shared" si="114"/>
        <v>3148803864.0849195</v>
      </c>
      <c r="BS49" s="57">
        <v>537.8296736298654</v>
      </c>
      <c r="BT49" s="57">
        <f t="shared" si="49"/>
        <v>635.51133083314119</v>
      </c>
      <c r="BU49" s="57"/>
      <c r="BV49" s="57">
        <v>3.3E-3</v>
      </c>
      <c r="BW49" s="57">
        <v>30000</v>
      </c>
      <c r="BX49" s="57">
        <v>200000</v>
      </c>
      <c r="BY49" s="77">
        <f t="shared" si="130"/>
        <v>25.4</v>
      </c>
      <c r="BZ49" s="77">
        <f>BY49+3*25.4</f>
        <v>101.6</v>
      </c>
      <c r="CA49" s="77">
        <f>BZ49+4*25.4</f>
        <v>203.2</v>
      </c>
      <c r="CB49" s="77">
        <f>CA49+3*25.4</f>
        <v>279.39999999999998</v>
      </c>
      <c r="CC49" s="77">
        <f>CB49+4*25.4</f>
        <v>381</v>
      </c>
      <c r="CD49" s="77">
        <f>CC49+9*25.4*1</f>
        <v>609.6</v>
      </c>
      <c r="CE49" s="77">
        <f>CC49+9*25.4*2</f>
        <v>838.2</v>
      </c>
      <c r="CF49" s="77">
        <f>CC49+9*25.4*3</f>
        <v>1066.8</v>
      </c>
      <c r="CG49" s="77">
        <f>CC49+9*25.4*4</f>
        <v>1295.4000000000001</v>
      </c>
      <c r="CH49" s="77">
        <f>CC49+9*25.4*5</f>
        <v>1524</v>
      </c>
      <c r="CI49" s="77">
        <f>CH49+4*25.4</f>
        <v>1625.6</v>
      </c>
      <c r="CJ49" s="77">
        <f>CI49+3*25.4</f>
        <v>1701.8</v>
      </c>
      <c r="CK49" s="77">
        <f>CJ49+4*25.4</f>
        <v>1803.3999999999999</v>
      </c>
      <c r="CL49" s="77">
        <f>CK49+3*25.4</f>
        <v>1879.6</v>
      </c>
      <c r="DM49" s="77">
        <f>PI()*6/8*25.4*6/8*25.4/4*4</f>
        <v>1140.0918279693699</v>
      </c>
      <c r="DN49" s="77">
        <f t="shared" ref="DN49:DO52" si="149">PI()*6/8*25.4*6/8*25.4/4*2</f>
        <v>570.04591398468494</v>
      </c>
      <c r="DO49" s="77">
        <f t="shared" si="149"/>
        <v>570.04591398468494</v>
      </c>
      <c r="DP49" s="77">
        <f>PI()*6/8*25.4*6/8*25.4/4*4</f>
        <v>1140.0918279693699</v>
      </c>
      <c r="DQ49" s="77">
        <f t="shared" si="143"/>
        <v>56.548667764616276</v>
      </c>
      <c r="DR49" s="77">
        <f t="shared" si="131"/>
        <v>56.548667764616276</v>
      </c>
      <c r="DS49" s="77">
        <f t="shared" si="131"/>
        <v>56.548667764616276</v>
      </c>
      <c r="DT49" s="77">
        <f t="shared" si="131"/>
        <v>56.548667764616276</v>
      </c>
      <c r="DU49" s="77">
        <f t="shared" si="138"/>
        <v>56.548667764616276</v>
      </c>
      <c r="DV49" s="77">
        <f t="shared" si="144"/>
        <v>56.548667764616276</v>
      </c>
      <c r="DW49" s="77">
        <f>PI()*6/8*25.4*6/8*25.4/4*4</f>
        <v>1140.0918279693699</v>
      </c>
      <c r="DX49" s="77">
        <f t="shared" ref="DX49:DY52" si="150">PI()*6/8*25.4*6/8*25.4/4*2</f>
        <v>570.04591398468494</v>
      </c>
      <c r="DY49" s="77">
        <f t="shared" si="150"/>
        <v>570.04591398468494</v>
      </c>
      <c r="DZ49" s="77">
        <f>PI()*6/8*25.4*6/8*25.4/4*4</f>
        <v>1140.0918279693699</v>
      </c>
      <c r="FA49" s="77">
        <f t="shared" si="74"/>
        <v>-501982.43185491359</v>
      </c>
      <c r="FB49" s="77">
        <f t="shared" si="115"/>
        <v>-250991.2159274568</v>
      </c>
      <c r="FC49" s="77">
        <f t="shared" ref="FC49:FD53" si="151">IF(ABS(-$BV49*($BS49-CA49)/$BS49*$BX49)&gt;$BB49,$BB49*SIGN(-($BS49-CA49)),-$BV49*($BS49-CA49)/$BS49*$BX49)*DO49</f>
        <v>-234084.93385979853</v>
      </c>
      <c r="FD49" s="77">
        <f t="shared" si="151"/>
        <v>-361560.84069202695</v>
      </c>
      <c r="FE49" s="77">
        <f t="shared" si="145"/>
        <v>-10883.029143626183</v>
      </c>
      <c r="FF49" s="77">
        <f t="shared" si="132"/>
        <v>4980.4258049861528</v>
      </c>
      <c r="FG49" s="77">
        <f t="shared" si="133"/>
        <v>20843.880753598492</v>
      </c>
      <c r="FH49" s="77">
        <f t="shared" si="134"/>
        <v>28907.678961271838</v>
      </c>
      <c r="FI49" s="77">
        <f t="shared" si="139"/>
        <v>28907.678961271838</v>
      </c>
      <c r="FJ49" s="77">
        <f t="shared" si="146"/>
        <v>28907.678961271838</v>
      </c>
      <c r="FK49" s="77">
        <f t="shared" si="148"/>
        <v>501982.43185491359</v>
      </c>
      <c r="FL49" s="77">
        <f t="shared" si="148"/>
        <v>250991.2159274568</v>
      </c>
      <c r="FM49" s="77">
        <f t="shared" ref="FM49:FN53" si="152">IF(ABS(-$BV49*($BS49-CK49)/$BS49*$BX49)&gt;$BB49,$BB49*SIGN(-($BS49-CK49)),-$BV49*($BS49-CK49)/$BS49*$BX49)*DY49</f>
        <v>250991.2159274568</v>
      </c>
      <c r="FN49" s="77">
        <f t="shared" si="152"/>
        <v>501982.43185491359</v>
      </c>
      <c r="GO49" s="77">
        <f t="shared" si="68"/>
        <v>465387912.57269043</v>
      </c>
      <c r="GP49" s="77">
        <f t="shared" si="69"/>
        <v>213568425.632673</v>
      </c>
      <c r="GQ49" s="77">
        <f t="shared" si="70"/>
        <v>175399840.94114703</v>
      </c>
      <c r="GR49" s="77">
        <f t="shared" si="71"/>
        <v>243366601.86980334</v>
      </c>
      <c r="GS49" s="77">
        <f t="shared" si="72"/>
        <v>6219651.1555823637</v>
      </c>
      <c r="GT49" s="77">
        <f t="shared" si="73"/>
        <v>-1707788.0085297518</v>
      </c>
      <c r="GU49" s="77">
        <f t="shared" si="121"/>
        <v>-2382455.5701363068</v>
      </c>
      <c r="GV49" s="77">
        <f t="shared" si="135"/>
        <v>3304147.7052733698</v>
      </c>
      <c r="GW49" s="77">
        <f t="shared" si="136"/>
        <v>9912443.1158201154</v>
      </c>
      <c r="GX49" s="77">
        <f t="shared" si="137"/>
        <v>16520738.526366856</v>
      </c>
      <c r="GY49" s="77">
        <f t="shared" si="141"/>
        <v>337884374.88154227</v>
      </c>
      <c r="GZ49" s="77">
        <f t="shared" si="142"/>
        <v>188067718.09444338</v>
      </c>
      <c r="HA49" s="77">
        <f t="shared" ref="HA49:HB53" si="153">FM49*(CK49-0.5*$AO49)</f>
        <v>213568425.63267297</v>
      </c>
      <c r="HB49" s="77">
        <f t="shared" si="153"/>
        <v>465387912.57269037</v>
      </c>
      <c r="IC49" s="82">
        <v>48</v>
      </c>
    </row>
    <row r="50" spans="1:237" s="77" customFormat="1">
      <c r="A50" s="77">
        <v>49</v>
      </c>
      <c r="B50" s="69">
        <v>78</v>
      </c>
      <c r="C50" s="69" t="s">
        <v>58</v>
      </c>
      <c r="D50" s="70" t="s">
        <v>59</v>
      </c>
      <c r="E50" s="70">
        <v>2</v>
      </c>
      <c r="F50" s="70">
        <v>6.2507595173824121E-2</v>
      </c>
      <c r="G50" s="70">
        <v>6.5616800000000003E-3</v>
      </c>
      <c r="H50" s="70">
        <v>2.7777777999999999E-2</v>
      </c>
      <c r="I50" s="70">
        <v>2.7777777777777776E-2</v>
      </c>
      <c r="J50" s="71">
        <v>2.4</v>
      </c>
      <c r="K50" s="72">
        <v>18.75</v>
      </c>
      <c r="L50" s="71">
        <v>2.8776470588235296E-2</v>
      </c>
      <c r="M50" s="71">
        <v>6.2514401622718055E-2</v>
      </c>
      <c r="N50" s="71">
        <v>0.34057302231237324</v>
      </c>
      <c r="O50" s="71">
        <v>0.13395943204868155</v>
      </c>
      <c r="P50" s="71">
        <v>7.6219904462436386E-2</v>
      </c>
      <c r="Q50" s="73" t="s">
        <v>28</v>
      </c>
      <c r="R50" s="74">
        <v>0.29240271578550325</v>
      </c>
      <c r="S50" s="75">
        <f t="shared" si="45"/>
        <v>0.43889057076068944</v>
      </c>
      <c r="T50" s="59">
        <f t="shared" si="0"/>
        <v>1.3847526919084989</v>
      </c>
      <c r="U50" s="59">
        <f t="shared" si="1"/>
        <v>1.0449124439945157</v>
      </c>
      <c r="V50" s="59">
        <f t="shared" si="2"/>
        <v>0.79906166642249965</v>
      </c>
      <c r="W50" s="59">
        <f t="shared" si="3"/>
        <v>0.577042869164756</v>
      </c>
      <c r="X50" s="59">
        <f t="shared" si="4"/>
        <v>0.76471638462628322</v>
      </c>
      <c r="Y50" s="76">
        <v>980388</v>
      </c>
      <c r="Z50" s="57">
        <f t="shared" si="5"/>
        <v>749718.76689099253</v>
      </c>
      <c r="AA50" s="57">
        <f t="shared" si="6"/>
        <v>565725.90441469685</v>
      </c>
      <c r="AB50" s="57">
        <f t="shared" si="107"/>
        <v>1035909.9125386541</v>
      </c>
      <c r="AC50" s="57">
        <f t="shared" si="8"/>
        <v>0.17</v>
      </c>
      <c r="AD50" s="57">
        <f t="shared" si="9"/>
        <v>2.2000000000000002</v>
      </c>
      <c r="AE50" s="57">
        <f t="shared" si="10"/>
        <v>1195455.9999999998</v>
      </c>
      <c r="AF50" s="57">
        <f t="shared" si="11"/>
        <v>190495.09584725468</v>
      </c>
      <c r="AG50" s="57">
        <f t="shared" si="108"/>
        <v>375230.80856744217</v>
      </c>
      <c r="AH50" s="57">
        <f t="shared" si="109"/>
        <v>2326001084.127718</v>
      </c>
      <c r="AI50" s="57">
        <f t="shared" si="110"/>
        <v>2410179035.9990087</v>
      </c>
      <c r="AJ50" s="77">
        <v>1195456</v>
      </c>
      <c r="AK50" s="77">
        <v>49.3</v>
      </c>
      <c r="AL50" s="78">
        <f t="shared" si="15"/>
        <v>3.9193624318252414</v>
      </c>
      <c r="AM50" s="57">
        <f t="shared" si="16"/>
        <v>0.97026315789473683</v>
      </c>
      <c r="AN50" s="57">
        <f t="shared" si="17"/>
        <v>0.77026315789473687</v>
      </c>
      <c r="AO50" s="77">
        <f t="shared" si="128"/>
        <v>1905</v>
      </c>
      <c r="AP50" s="79">
        <f>12*25.4</f>
        <v>304.79999999999995</v>
      </c>
      <c r="AQ50" s="57">
        <f t="shared" si="46"/>
        <v>182.36453530653301</v>
      </c>
      <c r="AR50" s="57">
        <f t="shared" si="111"/>
        <v>1295.4000000000001</v>
      </c>
      <c r="AS50" s="57">
        <f t="shared" si="18"/>
        <v>1722.6354646934669</v>
      </c>
      <c r="AT50" s="77">
        <v>101.6</v>
      </c>
      <c r="AU50" s="77">
        <v>4572</v>
      </c>
      <c r="AV50" s="77">
        <f t="shared" si="48"/>
        <v>131612.64000000001</v>
      </c>
      <c r="AW50" s="77">
        <f>12*25.4*12*25.4*2</f>
        <v>185806.07999999996</v>
      </c>
      <c r="AX50" s="77">
        <f t="shared" si="19"/>
        <v>193548</v>
      </c>
      <c r="AY50" s="77">
        <v>318140</v>
      </c>
      <c r="AZ50" s="77">
        <v>489.2</v>
      </c>
      <c r="BA50" s="77">
        <v>489.2</v>
      </c>
      <c r="BB50" s="77">
        <v>457.5</v>
      </c>
      <c r="BC50" s="77">
        <v>489.2</v>
      </c>
      <c r="BD50" s="77">
        <v>2.8999999999999998E-3</v>
      </c>
      <c r="BE50" s="77">
        <f>PI()*6*6*2/(4*101.6*4*25.4)</f>
        <v>5.4781631460234939E-3</v>
      </c>
      <c r="BF50" s="77">
        <v>3.6700000000000003E-2</v>
      </c>
      <c r="BG50" s="77">
        <f>PI()*6*6*2/(4*101.6*4/3*25.4)</f>
        <v>1.6434489438070483E-2</v>
      </c>
      <c r="BH50" s="79">
        <f>4*25.4</f>
        <v>101.6</v>
      </c>
      <c r="BI50" s="79">
        <f t="shared" si="129"/>
        <v>28.274333882308138</v>
      </c>
      <c r="BJ50" s="79">
        <v>2</v>
      </c>
      <c r="BK50" s="57">
        <f t="shared" si="112"/>
        <v>56.548667764616276</v>
      </c>
      <c r="BL50" s="57"/>
      <c r="BM50" s="80">
        <f>PI()*6/8*25.4*6/8*25.4/4</f>
        <v>285.02295699234247</v>
      </c>
      <c r="BN50" s="80">
        <v>12</v>
      </c>
      <c r="BO50" s="57">
        <f t="shared" si="113"/>
        <v>3420.2754839081099</v>
      </c>
      <c r="BP50" s="57">
        <f t="shared" si="24"/>
        <v>783390.46902062162</v>
      </c>
      <c r="BQ50" s="77">
        <f t="shared" si="25"/>
        <v>1.5017576515674591E-8</v>
      </c>
      <c r="BR50" s="57">
        <f t="shared" si="114"/>
        <v>3581661224.3622818</v>
      </c>
      <c r="BS50" s="57">
        <v>364.72907061306603</v>
      </c>
      <c r="BT50" s="57">
        <f t="shared" si="49"/>
        <v>446.71291967826028</v>
      </c>
      <c r="BU50" s="57"/>
      <c r="BV50" s="57">
        <v>3.3E-3</v>
      </c>
      <c r="BW50" s="57">
        <v>30000</v>
      </c>
      <c r="BX50" s="57">
        <v>200000</v>
      </c>
      <c r="BY50" s="77">
        <f t="shared" si="130"/>
        <v>25.4</v>
      </c>
      <c r="BZ50" s="77">
        <f>BY50+3*25.4</f>
        <v>101.6</v>
      </c>
      <c r="CA50" s="77">
        <f>BZ50+4*25.4</f>
        <v>203.2</v>
      </c>
      <c r="CB50" s="77">
        <f>CA50+3*25.4</f>
        <v>279.39999999999998</v>
      </c>
      <c r="CC50" s="77">
        <f>CB50+4*25.4</f>
        <v>381</v>
      </c>
      <c r="CD50" s="77">
        <f>CC50+9*25.4*1</f>
        <v>609.6</v>
      </c>
      <c r="CE50" s="77">
        <f>CC50+9*25.4*2</f>
        <v>838.2</v>
      </c>
      <c r="CF50" s="77">
        <f>CC50+9*25.4*3</f>
        <v>1066.8</v>
      </c>
      <c r="CG50" s="77">
        <f>CC50+9*25.4*4</f>
        <v>1295.4000000000001</v>
      </c>
      <c r="CH50" s="77">
        <f>CC50+9*25.4*5</f>
        <v>1524</v>
      </c>
      <c r="CI50" s="77">
        <f>CH50+4*25.4</f>
        <v>1625.6</v>
      </c>
      <c r="CJ50" s="77">
        <f>CI50+3*25.4</f>
        <v>1701.8</v>
      </c>
      <c r="CK50" s="77">
        <f>CJ50+4*25.4</f>
        <v>1803.3999999999999</v>
      </c>
      <c r="CL50" s="77">
        <f>CK50+3*25.4</f>
        <v>1879.6</v>
      </c>
      <c r="DM50" s="77">
        <f>PI()*6/8*25.4*6/8*25.4/4*4</f>
        <v>1140.0918279693699</v>
      </c>
      <c r="DN50" s="77">
        <f t="shared" si="149"/>
        <v>570.04591398468494</v>
      </c>
      <c r="DO50" s="77">
        <f t="shared" si="149"/>
        <v>570.04591398468494</v>
      </c>
      <c r="DP50" s="77">
        <f>PI()*6/8*25.4*6/8*25.4/4*4</f>
        <v>1140.0918279693699</v>
      </c>
      <c r="DQ50" s="77">
        <f t="shared" si="143"/>
        <v>56.548667764616276</v>
      </c>
      <c r="DR50" s="77">
        <f t="shared" si="131"/>
        <v>56.548667764616276</v>
      </c>
      <c r="DS50" s="77">
        <f t="shared" si="131"/>
        <v>56.548667764616276</v>
      </c>
      <c r="DT50" s="77">
        <f t="shared" si="131"/>
        <v>56.548667764616276</v>
      </c>
      <c r="DU50" s="77">
        <f t="shared" si="138"/>
        <v>56.548667764616276</v>
      </c>
      <c r="DV50" s="77">
        <f t="shared" si="144"/>
        <v>56.548667764616276</v>
      </c>
      <c r="DW50" s="77">
        <f>PI()*6/8*25.4*6/8*25.4/4*4</f>
        <v>1140.0918279693699</v>
      </c>
      <c r="DX50" s="77">
        <f t="shared" si="150"/>
        <v>570.04591398468494</v>
      </c>
      <c r="DY50" s="77">
        <f t="shared" si="150"/>
        <v>570.04591398468494</v>
      </c>
      <c r="DZ50" s="77">
        <f>PI()*6/8*25.4*6/8*25.4/4*4</f>
        <v>1140.0918279693699</v>
      </c>
      <c r="FA50" s="77">
        <f t="shared" si="74"/>
        <v>-521592.01129598671</v>
      </c>
      <c r="FB50" s="77">
        <f t="shared" si="115"/>
        <v>-260796.00564799336</v>
      </c>
      <c r="FC50" s="77">
        <f t="shared" si="151"/>
        <v>-166622.66902675401</v>
      </c>
      <c r="FD50" s="77">
        <f t="shared" si="151"/>
        <v>-176039.61240115442</v>
      </c>
      <c r="FE50" s="77">
        <f t="shared" si="145"/>
        <v>1664.9772113328154</v>
      </c>
      <c r="FF50" s="77">
        <f t="shared" si="132"/>
        <v>25057.235972920553</v>
      </c>
      <c r="FG50" s="77">
        <f t="shared" si="133"/>
        <v>27663.608270450281</v>
      </c>
      <c r="FH50" s="77">
        <f t="shared" si="134"/>
        <v>27663.608270450281</v>
      </c>
      <c r="FI50" s="77">
        <f t="shared" si="139"/>
        <v>27663.608270450281</v>
      </c>
      <c r="FJ50" s="77">
        <f t="shared" si="146"/>
        <v>27663.608270450281</v>
      </c>
      <c r="FK50" s="77">
        <f t="shared" si="148"/>
        <v>521592.01129598671</v>
      </c>
      <c r="FL50" s="77">
        <f t="shared" si="148"/>
        <v>260796.00564799336</v>
      </c>
      <c r="FM50" s="77">
        <f t="shared" si="152"/>
        <v>260796.00564799336</v>
      </c>
      <c r="FN50" s="77">
        <f t="shared" si="152"/>
        <v>521592.01129598671</v>
      </c>
      <c r="GO50" s="77">
        <f t="shared" si="68"/>
        <v>483567953.67250931</v>
      </c>
      <c r="GP50" s="77">
        <f t="shared" si="69"/>
        <v>221911321.20587754</v>
      </c>
      <c r="GQ50" s="77">
        <f t="shared" si="70"/>
        <v>124850365.90174678</v>
      </c>
      <c r="GR50" s="77">
        <f t="shared" si="71"/>
        <v>118492263.10721704</v>
      </c>
      <c r="GS50" s="77">
        <f t="shared" si="72"/>
        <v>-951534.47627670399</v>
      </c>
      <c r="GT50" s="77">
        <f t="shared" si="73"/>
        <v>-8592126.2151144575</v>
      </c>
      <c r="GU50" s="77">
        <f t="shared" si="121"/>
        <v>-3161950.425312466</v>
      </c>
      <c r="GV50" s="77">
        <f t="shared" si="135"/>
        <v>3161950.425312466</v>
      </c>
      <c r="GW50" s="77">
        <f t="shared" si="136"/>
        <v>9485851.2759374045</v>
      </c>
      <c r="GX50" s="77">
        <f t="shared" si="137"/>
        <v>15809752.126562335</v>
      </c>
      <c r="GY50" s="77">
        <f t="shared" si="141"/>
        <v>351083582.80332863</v>
      </c>
      <c r="GZ50" s="77">
        <f t="shared" si="142"/>
        <v>195414447.0320414</v>
      </c>
      <c r="HA50" s="77">
        <f t="shared" si="153"/>
        <v>221911321.20587751</v>
      </c>
      <c r="HB50" s="77">
        <f t="shared" si="153"/>
        <v>483567953.67250925</v>
      </c>
      <c r="IC50" s="82">
        <v>49</v>
      </c>
    </row>
    <row r="51" spans="1:237" s="77" customFormat="1">
      <c r="A51" s="77">
        <v>50</v>
      </c>
      <c r="B51" s="69">
        <v>79</v>
      </c>
      <c r="C51" s="69" t="s">
        <v>58</v>
      </c>
      <c r="D51" s="70" t="s">
        <v>60</v>
      </c>
      <c r="E51" s="70">
        <v>2</v>
      </c>
      <c r="F51" s="70">
        <v>7.3172263184521941E-2</v>
      </c>
      <c r="G51" s="70">
        <v>7.2178479999999998E-3</v>
      </c>
      <c r="H51" s="70">
        <v>2.7777777999999999E-2</v>
      </c>
      <c r="I51" s="70">
        <v>3.2808398950131233E-2</v>
      </c>
      <c r="J51" s="71">
        <v>2.4</v>
      </c>
      <c r="K51" s="72">
        <v>18.75</v>
      </c>
      <c r="L51" s="71">
        <v>3.1306190476190474E-2</v>
      </c>
      <c r="M51" s="71">
        <v>0.15824000000000002</v>
      </c>
      <c r="N51" s="71">
        <v>0.39076761904761909</v>
      </c>
      <c r="O51" s="71">
        <v>0.15479999999999999</v>
      </c>
      <c r="P51" s="71">
        <v>8.9467649761859863E-2</v>
      </c>
      <c r="Q51" s="73" t="s">
        <v>28</v>
      </c>
      <c r="R51" s="74">
        <v>0.29240271578550325</v>
      </c>
      <c r="S51" s="75">
        <f t="shared" si="45"/>
        <v>0.47421046401454242</v>
      </c>
      <c r="T51" s="59">
        <f t="shared" si="0"/>
        <v>0.69363872983366992</v>
      </c>
      <c r="U51" s="59">
        <f t="shared" si="1"/>
        <v>0.50761168881181928</v>
      </c>
      <c r="V51" s="59">
        <f t="shared" si="2"/>
        <v>0.77882925649295343</v>
      </c>
      <c r="W51" s="59">
        <f t="shared" si="3"/>
        <v>1.1228168540700023</v>
      </c>
      <c r="X51" s="59">
        <f t="shared" si="4"/>
        <v>1.534301265433782</v>
      </c>
      <c r="Y51" s="76">
        <v>977719</v>
      </c>
      <c r="Z51" s="57">
        <f t="shared" si="5"/>
        <v>1500115.498938652</v>
      </c>
      <c r="AA51" s="57">
        <f t="shared" si="6"/>
        <v>1097799.3717444686</v>
      </c>
      <c r="AB51" s="57">
        <f t="shared" si="107"/>
        <v>942069.00484359905</v>
      </c>
      <c r="AC51" s="57">
        <f t="shared" si="8"/>
        <v>0.17</v>
      </c>
      <c r="AD51" s="57">
        <f t="shared" si="9"/>
        <v>2.2000000000000002</v>
      </c>
      <c r="AE51" s="57">
        <f t="shared" si="10"/>
        <v>1195456</v>
      </c>
      <c r="AF51" s="57">
        <f t="shared" si="11"/>
        <v>175504.10386558753</v>
      </c>
      <c r="AG51" s="57">
        <f t="shared" si="108"/>
        <v>922295.26787888107</v>
      </c>
      <c r="AH51" s="57">
        <f t="shared" si="109"/>
        <v>2000208657.2321703</v>
      </c>
      <c r="AI51" s="57">
        <f t="shared" si="110"/>
        <v>2306930832.9127645</v>
      </c>
      <c r="AJ51" s="77">
        <v>1195456</v>
      </c>
      <c r="AK51" s="77">
        <v>42</v>
      </c>
      <c r="AL51" s="78">
        <f t="shared" si="15"/>
        <v>3.5886964873191838</v>
      </c>
      <c r="AM51" s="57">
        <f t="shared" si="16"/>
        <v>0.98947368421052628</v>
      </c>
      <c r="AN51" s="57">
        <f t="shared" si="17"/>
        <v>0.78947368421052633</v>
      </c>
      <c r="AO51" s="77">
        <f t="shared" si="128"/>
        <v>1905</v>
      </c>
      <c r="AP51" s="79">
        <f>12*25.4</f>
        <v>304.79999999999995</v>
      </c>
      <c r="AQ51" s="57">
        <f t="shared" si="46"/>
        <v>198.37785249881367</v>
      </c>
      <c r="AR51" s="57">
        <f t="shared" si="111"/>
        <v>1295.4000000000001</v>
      </c>
      <c r="AS51" s="57">
        <f t="shared" si="18"/>
        <v>1706.6221475011864</v>
      </c>
      <c r="AT51" s="77">
        <v>101.6</v>
      </c>
      <c r="AU51" s="77">
        <v>4572</v>
      </c>
      <c r="AV51" s="77">
        <f t="shared" si="48"/>
        <v>131612.64000000001</v>
      </c>
      <c r="AW51" s="77">
        <f>12*25.4*12*25.4*2</f>
        <v>185806.07999999996</v>
      </c>
      <c r="AX51" s="77">
        <f t="shared" si="19"/>
        <v>193548</v>
      </c>
      <c r="AY51" s="77">
        <v>318140</v>
      </c>
      <c r="AZ51" s="77">
        <v>481.6</v>
      </c>
      <c r="BA51" s="77">
        <v>453.4</v>
      </c>
      <c r="BB51" s="77">
        <v>447.2</v>
      </c>
      <c r="BC51" s="77">
        <v>453.4</v>
      </c>
      <c r="BD51" s="77">
        <v>2.8999999999999998E-3</v>
      </c>
      <c r="BE51" s="77">
        <f>PI()*3/8*25.4*3/8*25.4*2/(4*101.6*4*25.4)</f>
        <v>1.3805827090970771E-2</v>
      </c>
      <c r="BF51" s="77">
        <v>3.6700000000000003E-2</v>
      </c>
      <c r="BG51" s="77">
        <f>PI()*6*6*2/(4*101.6*4/3*25.4)</f>
        <v>1.6434489438070483E-2</v>
      </c>
      <c r="BH51" s="79">
        <f>4*25.4</f>
        <v>101.6</v>
      </c>
      <c r="BI51" s="79">
        <f>PI()*3/8*25.4*3/8*25.4/4</f>
        <v>71.255739248085618</v>
      </c>
      <c r="BJ51" s="79">
        <v>2</v>
      </c>
      <c r="BK51" s="57">
        <f t="shared" si="112"/>
        <v>142.51147849617124</v>
      </c>
      <c r="BL51" s="57"/>
      <c r="BM51" s="80">
        <f>PI()*6/8*25.4*6/8*25.4/4</f>
        <v>285.02295699234247</v>
      </c>
      <c r="BN51" s="80">
        <v>12</v>
      </c>
      <c r="BO51" s="57">
        <f t="shared" si="113"/>
        <v>3420.2754839081099</v>
      </c>
      <c r="BP51" s="57">
        <f t="shared" si="24"/>
        <v>761476.16182903398</v>
      </c>
      <c r="BQ51" s="77">
        <f t="shared" si="25"/>
        <v>5.3551048040390015E-9</v>
      </c>
      <c r="BR51" s="57">
        <f t="shared" si="114"/>
        <v>3481469011.8823433</v>
      </c>
      <c r="BS51" s="57">
        <v>396.75570499762733</v>
      </c>
      <c r="BT51" s="57">
        <f t="shared" si="49"/>
        <v>484.35507737062278</v>
      </c>
      <c r="BU51" s="57"/>
      <c r="BV51" s="57">
        <v>3.3E-3</v>
      </c>
      <c r="BW51" s="57">
        <v>30000</v>
      </c>
      <c r="BX51" s="57">
        <v>200000</v>
      </c>
      <c r="BY51" s="77">
        <f t="shared" si="130"/>
        <v>25.4</v>
      </c>
      <c r="BZ51" s="77">
        <f>BY51+3*25.4</f>
        <v>101.6</v>
      </c>
      <c r="CA51" s="77">
        <f>BZ51+4*25.4</f>
        <v>203.2</v>
      </c>
      <c r="CB51" s="77">
        <f>CA51+3*25.4</f>
        <v>279.39999999999998</v>
      </c>
      <c r="CC51" s="77">
        <f>CB51+4*25.4</f>
        <v>381</v>
      </c>
      <c r="CD51" s="77">
        <f>CC51+9*25.4*1</f>
        <v>609.6</v>
      </c>
      <c r="CE51" s="77">
        <f>CC51+9*25.4*2</f>
        <v>838.2</v>
      </c>
      <c r="CF51" s="77">
        <f>CC51+9*25.4*3</f>
        <v>1066.8</v>
      </c>
      <c r="CG51" s="77">
        <f>CC51+9*25.4*4</f>
        <v>1295.4000000000001</v>
      </c>
      <c r="CH51" s="77">
        <f>CC51+9*25.4*5</f>
        <v>1524</v>
      </c>
      <c r="CI51" s="77">
        <f>CH51+4*25.4</f>
        <v>1625.6</v>
      </c>
      <c r="CJ51" s="77">
        <f>CI51+3*25.4</f>
        <v>1701.8</v>
      </c>
      <c r="CK51" s="77">
        <f>CJ51+4*25.4</f>
        <v>1803.3999999999999</v>
      </c>
      <c r="CL51" s="77">
        <f>CK51+3*25.4</f>
        <v>1879.6</v>
      </c>
      <c r="DM51" s="77">
        <f>PI()*6/8*25.4*6/8*25.4/4*4</f>
        <v>1140.0918279693699</v>
      </c>
      <c r="DN51" s="77">
        <f t="shared" si="149"/>
        <v>570.04591398468494</v>
      </c>
      <c r="DO51" s="77">
        <f t="shared" si="149"/>
        <v>570.04591398468494</v>
      </c>
      <c r="DP51" s="77">
        <f>PI()*6/8*25.4*6/8*25.4/4*4</f>
        <v>1140.0918279693699</v>
      </c>
      <c r="DQ51" s="77">
        <f t="shared" si="143"/>
        <v>56.548667764616276</v>
      </c>
      <c r="DR51" s="77">
        <f t="shared" si="131"/>
        <v>56.548667764616276</v>
      </c>
      <c r="DS51" s="77">
        <f t="shared" si="131"/>
        <v>56.548667764616276</v>
      </c>
      <c r="DT51" s="77">
        <f t="shared" si="131"/>
        <v>56.548667764616276</v>
      </c>
      <c r="DU51" s="77">
        <f t="shared" si="138"/>
        <v>56.548667764616276</v>
      </c>
      <c r="DV51" s="77">
        <f t="shared" si="144"/>
        <v>56.548667764616276</v>
      </c>
      <c r="DW51" s="77">
        <f>PI()*6/8*25.4*6/8*25.4/4*4</f>
        <v>1140.0918279693699</v>
      </c>
      <c r="DX51" s="77">
        <f t="shared" si="150"/>
        <v>570.04591398468494</v>
      </c>
      <c r="DY51" s="77">
        <f t="shared" si="150"/>
        <v>570.04591398468494</v>
      </c>
      <c r="DZ51" s="77">
        <f>PI()*6/8*25.4*6/8*25.4/4*4</f>
        <v>1140.0918279693699</v>
      </c>
      <c r="FA51" s="77">
        <f t="shared" si="74"/>
        <v>-509849.06546790223</v>
      </c>
      <c r="FB51" s="77">
        <f t="shared" si="115"/>
        <v>-254924.53273395111</v>
      </c>
      <c r="FC51" s="77">
        <f t="shared" si="151"/>
        <v>-183542.4687429973</v>
      </c>
      <c r="FD51" s="77">
        <f t="shared" si="151"/>
        <v>-222569.06162082354</v>
      </c>
      <c r="FE51" s="77">
        <f t="shared" si="145"/>
        <v>-1482.1118300665239</v>
      </c>
      <c r="FF51" s="77">
        <f t="shared" si="132"/>
        <v>20021.893506681608</v>
      </c>
      <c r="FG51" s="77">
        <f t="shared" si="133"/>
        <v>25639.165964477019</v>
      </c>
      <c r="FH51" s="77">
        <f t="shared" si="134"/>
        <v>25639.165964477019</v>
      </c>
      <c r="FI51" s="77">
        <f t="shared" si="139"/>
        <v>25639.165964477019</v>
      </c>
      <c r="FJ51" s="77">
        <f t="shared" si="146"/>
        <v>25639.165964477019</v>
      </c>
      <c r="FK51" s="77">
        <f t="shared" si="148"/>
        <v>509849.06546790223</v>
      </c>
      <c r="FL51" s="77">
        <f t="shared" si="148"/>
        <v>254924.53273395111</v>
      </c>
      <c r="FM51" s="77">
        <f t="shared" si="152"/>
        <v>254924.53273395111</v>
      </c>
      <c r="FN51" s="77">
        <f t="shared" si="152"/>
        <v>509849.06546790223</v>
      </c>
      <c r="GO51" s="77">
        <f t="shared" ref="GO51:GO82" si="154">FA51*(BY51-0.5*$AO51)</f>
        <v>472681068.59529215</v>
      </c>
      <c r="GP51" s="77">
        <f t="shared" ref="GP51:GP82" si="155">FB51*(BZ51-0.5*$AO51)</f>
        <v>216915284.903319</v>
      </c>
      <c r="GQ51" s="77">
        <f t="shared" ref="GQ51:GQ82" si="156">FC51*(CA51-0.5*$AO51)</f>
        <v>137528371.82912788</v>
      </c>
      <c r="GR51" s="77">
        <f t="shared" ref="GR51:GR82" si="157">FD51*(CB51-0.5*$AO51)</f>
        <v>149811235.37697634</v>
      </c>
      <c r="GS51" s="77">
        <f t="shared" ref="GS51:GS82" si="158">FE51*(CC51-0.5*$AO51)</f>
        <v>847026.9108830184</v>
      </c>
      <c r="GT51" s="77">
        <f t="shared" ref="GT51:GT82" si="159">FF51*(CD51-0.5*$AO51)</f>
        <v>-6865507.2834411226</v>
      </c>
      <c r="GU51" s="77">
        <f t="shared" si="121"/>
        <v>-2930556.6697397223</v>
      </c>
      <c r="GV51" s="77">
        <f t="shared" si="135"/>
        <v>2930556.6697397223</v>
      </c>
      <c r="GW51" s="77">
        <f t="shared" si="136"/>
        <v>8791670.0092191715</v>
      </c>
      <c r="GX51" s="77">
        <f t="shared" si="137"/>
        <v>14652783.348698616</v>
      </c>
      <c r="GY51" s="77">
        <f t="shared" si="141"/>
        <v>343179405.96644497</v>
      </c>
      <c r="GZ51" s="77">
        <f t="shared" si="142"/>
        <v>191014952.37754956</v>
      </c>
      <c r="HA51" s="77">
        <f t="shared" si="153"/>
        <v>216915284.90331897</v>
      </c>
      <c r="HB51" s="77">
        <f t="shared" si="153"/>
        <v>472681068.59529209</v>
      </c>
      <c r="IC51" s="82">
        <v>50</v>
      </c>
    </row>
    <row r="52" spans="1:237" s="77" customFormat="1">
      <c r="A52" s="77">
        <v>51</v>
      </c>
      <c r="B52" s="69">
        <v>80</v>
      </c>
      <c r="C52" s="69" t="s">
        <v>58</v>
      </c>
      <c r="D52" s="70" t="s">
        <v>61</v>
      </c>
      <c r="E52" s="70">
        <v>2</v>
      </c>
      <c r="F52" s="70">
        <v>6.9624434086620543E-2</v>
      </c>
      <c r="G52" s="70">
        <v>7.2178479999999998E-3</v>
      </c>
      <c r="H52" s="70">
        <v>2.9090114E-2</v>
      </c>
      <c r="I52" s="70">
        <v>2.8871391076115485E-2</v>
      </c>
      <c r="J52" s="71">
        <v>2.4</v>
      </c>
      <c r="K52" s="72">
        <v>18.75</v>
      </c>
      <c r="L52" s="71">
        <v>3.0308616780045348E-2</v>
      </c>
      <c r="M52" s="71">
        <v>6.5842857142857134E-2</v>
      </c>
      <c r="N52" s="71">
        <v>0.35718004535147396</v>
      </c>
      <c r="O52" s="71">
        <v>0.14109183673469386</v>
      </c>
      <c r="P52" s="71">
        <v>8.5207285487485573E-2</v>
      </c>
      <c r="Q52" s="73" t="s">
        <v>28</v>
      </c>
      <c r="R52" s="74">
        <v>0.29240271578550325</v>
      </c>
      <c r="S52" s="75">
        <f t="shared" si="45"/>
        <v>0.46236076427937051</v>
      </c>
      <c r="T52" s="59">
        <f t="shared" si="0"/>
        <v>1.397430563630365</v>
      </c>
      <c r="U52" s="59">
        <f t="shared" si="1"/>
        <v>1.0513115778176698</v>
      </c>
      <c r="V52" s="59">
        <f t="shared" si="2"/>
        <v>0.76111198965393478</v>
      </c>
      <c r="W52" s="59">
        <f t="shared" si="3"/>
        <v>0.54465102557700806</v>
      </c>
      <c r="X52" s="59">
        <f t="shared" si="4"/>
        <v>0.72396424210780952</v>
      </c>
      <c r="Y52" s="76">
        <v>976829</v>
      </c>
      <c r="Z52" s="57">
        <f t="shared" si="5"/>
        <v>707189.26665392949</v>
      </c>
      <c r="AA52" s="57">
        <f t="shared" si="6"/>
        <v>532030.91666336323</v>
      </c>
      <c r="AB52" s="57">
        <f t="shared" si="107"/>
        <v>948430.47317514999</v>
      </c>
      <c r="AC52" s="57">
        <f t="shared" si="8"/>
        <v>0.17</v>
      </c>
      <c r="AD52" s="57">
        <f t="shared" si="9"/>
        <v>2.2000000000000002</v>
      </c>
      <c r="AE52" s="57">
        <f t="shared" si="10"/>
        <v>1195456</v>
      </c>
      <c r="AF52" s="57">
        <f t="shared" si="11"/>
        <v>180179.30071953117</v>
      </c>
      <c r="AG52" s="57">
        <f t="shared" si="108"/>
        <v>351851.61594383209</v>
      </c>
      <c r="AH52" s="57">
        <f t="shared" si="109"/>
        <v>2099057493.5963244</v>
      </c>
      <c r="AI52" s="57">
        <f t="shared" si="110"/>
        <v>2237166629.7604613</v>
      </c>
      <c r="AJ52" s="77">
        <v>1195456</v>
      </c>
      <c r="AK52" s="77">
        <v>44.1</v>
      </c>
      <c r="AL52" s="78">
        <f t="shared" si="15"/>
        <v>3.6863014244922478</v>
      </c>
      <c r="AM52" s="57">
        <f t="shared" si="16"/>
        <v>0.98394736842105257</v>
      </c>
      <c r="AN52" s="57">
        <f t="shared" si="17"/>
        <v>0.78394736842105261</v>
      </c>
      <c r="AO52" s="77">
        <f t="shared" si="128"/>
        <v>1905</v>
      </c>
      <c r="AP52" s="79">
        <f>12*25.4</f>
        <v>304.79999999999995</v>
      </c>
      <c r="AQ52" s="57">
        <f t="shared" si="46"/>
        <v>190.51304528189692</v>
      </c>
      <c r="AR52" s="57">
        <f t="shared" si="111"/>
        <v>1295.4000000000001</v>
      </c>
      <c r="AS52" s="57">
        <f t="shared" si="18"/>
        <v>1714.4869547181031</v>
      </c>
      <c r="AT52" s="77">
        <v>101.6</v>
      </c>
      <c r="AU52" s="77">
        <v>4572</v>
      </c>
      <c r="AV52" s="77">
        <f t="shared" si="48"/>
        <v>131612.64000000001</v>
      </c>
      <c r="AW52" s="77">
        <f>12*25.4*12*25.4*2</f>
        <v>185806.07999999996</v>
      </c>
      <c r="AX52" s="77">
        <f t="shared" si="19"/>
        <v>193548</v>
      </c>
      <c r="AY52" s="77">
        <v>318140</v>
      </c>
      <c r="AZ52" s="77">
        <v>460.9</v>
      </c>
      <c r="BA52" s="77">
        <v>460.9</v>
      </c>
      <c r="BB52" s="77">
        <v>429.2</v>
      </c>
      <c r="BC52" s="77">
        <v>460.9</v>
      </c>
      <c r="BD52" s="77">
        <v>2.8999999999999998E-3</v>
      </c>
      <c r="BE52" s="77">
        <f>PI()*6*6*2/(4*101.6*4*25.4)</f>
        <v>5.4781631460234939E-3</v>
      </c>
      <c r="BF52" s="77">
        <v>3.6700000000000003E-2</v>
      </c>
      <c r="BG52" s="77">
        <f>PI()*6*6*2/(4*101.6*4/3*25.4)</f>
        <v>1.6434489438070483E-2</v>
      </c>
      <c r="BH52" s="79">
        <f>4*25.4</f>
        <v>101.6</v>
      </c>
      <c r="BI52" s="79">
        <f>PI()*6*6/4</f>
        <v>28.274333882308138</v>
      </c>
      <c r="BJ52" s="79">
        <v>2</v>
      </c>
      <c r="BK52" s="57">
        <f t="shared" si="112"/>
        <v>56.548667764616276</v>
      </c>
      <c r="BL52" s="57"/>
      <c r="BM52" s="80">
        <f>PI()*6/8*25.4*6/8*25.4/4</f>
        <v>285.02295699234247</v>
      </c>
      <c r="BN52" s="80">
        <v>12</v>
      </c>
      <c r="BO52" s="57">
        <f t="shared" si="113"/>
        <v>3420.2754839081099</v>
      </c>
      <c r="BP52" s="57">
        <f t="shared" si="24"/>
        <v>743476.26374166342</v>
      </c>
      <c r="BQ52" s="77">
        <f t="shared" si="25"/>
        <v>1.862645149230957E-9</v>
      </c>
      <c r="BR52" s="57">
        <f t="shared" si="114"/>
        <v>3399173477.8268852</v>
      </c>
      <c r="BS52" s="57">
        <v>381.02609056379384</v>
      </c>
      <c r="BT52" s="57">
        <f t="shared" si="49"/>
        <v>471.42649882078632</v>
      </c>
      <c r="BU52" s="57"/>
      <c r="BV52" s="57">
        <v>3.3E-3</v>
      </c>
      <c r="BW52" s="57">
        <v>30000</v>
      </c>
      <c r="BX52" s="57">
        <v>200000</v>
      </c>
      <c r="BY52" s="77">
        <f t="shared" si="130"/>
        <v>25.4</v>
      </c>
      <c r="BZ52" s="77">
        <f>BY52+3*25.4</f>
        <v>101.6</v>
      </c>
      <c r="CA52" s="77">
        <f>BZ52+4*25.4</f>
        <v>203.2</v>
      </c>
      <c r="CB52" s="77">
        <f>CA52+3*25.4</f>
        <v>279.39999999999998</v>
      </c>
      <c r="CC52" s="77">
        <f>CB52+4*25.4</f>
        <v>381</v>
      </c>
      <c r="CD52" s="77">
        <f>CC52+9*25.4*1</f>
        <v>609.6</v>
      </c>
      <c r="CE52" s="77">
        <f>CC52+9*25.4*2</f>
        <v>838.2</v>
      </c>
      <c r="CF52" s="77">
        <f>CC52+9*25.4*3</f>
        <v>1066.8</v>
      </c>
      <c r="CG52" s="77">
        <f>CC52+9*25.4*4</f>
        <v>1295.4000000000001</v>
      </c>
      <c r="CH52" s="77">
        <f>CC52+9*25.4*5</f>
        <v>1524</v>
      </c>
      <c r="CI52" s="77">
        <f>CH52+4*25.4</f>
        <v>1625.6</v>
      </c>
      <c r="CJ52" s="77">
        <f>CI52+3*25.4</f>
        <v>1701.8</v>
      </c>
      <c r="CK52" s="77">
        <f>CJ52+4*25.4</f>
        <v>1803.3999999999999</v>
      </c>
      <c r="CL52" s="77">
        <f>CK52+3*25.4</f>
        <v>1879.6</v>
      </c>
      <c r="DM52" s="77">
        <f>PI()*6/8*25.4*6/8*25.4/4*4</f>
        <v>1140.0918279693699</v>
      </c>
      <c r="DN52" s="77">
        <f t="shared" si="149"/>
        <v>570.04591398468494</v>
      </c>
      <c r="DO52" s="77">
        <f t="shared" si="149"/>
        <v>570.04591398468494</v>
      </c>
      <c r="DP52" s="77">
        <f>PI()*6/8*25.4*6/8*25.4/4*4</f>
        <v>1140.0918279693699</v>
      </c>
      <c r="DQ52" s="77">
        <f t="shared" si="143"/>
        <v>56.548667764616276</v>
      </c>
      <c r="DR52" s="77">
        <f t="shared" si="131"/>
        <v>56.548667764616276</v>
      </c>
      <c r="DS52" s="77">
        <f t="shared" si="131"/>
        <v>56.548667764616276</v>
      </c>
      <c r="DT52" s="77">
        <f t="shared" si="131"/>
        <v>56.548667764616276</v>
      </c>
      <c r="DU52" s="77">
        <f t="shared" si="138"/>
        <v>56.548667764616276</v>
      </c>
      <c r="DV52" s="77">
        <f t="shared" si="144"/>
        <v>56.548667764616276</v>
      </c>
      <c r="DW52" s="77">
        <f>PI()*6/8*25.4*6/8*25.4/4*4</f>
        <v>1140.0918279693699</v>
      </c>
      <c r="DX52" s="77">
        <f t="shared" si="150"/>
        <v>570.04591398468494</v>
      </c>
      <c r="DY52" s="77">
        <f t="shared" si="150"/>
        <v>570.04591398468494</v>
      </c>
      <c r="DZ52" s="77">
        <f>PI()*6/8*25.4*6/8*25.4/4*4</f>
        <v>1140.0918279693699</v>
      </c>
      <c r="FA52" s="77">
        <f t="shared" ref="FA52:FA83" si="160">IF(ABS(-$BV52*($BS52-BY52)/$BS52*$BX52)&gt;$BB52,$BB52*SIGN(-($BS52-BY52)),-$BV52*($BS52-BY52)/$BS52*$BX52)*DM52</f>
        <v>-489327.41256445355</v>
      </c>
      <c r="FB52" s="77">
        <f t="shared" si="115"/>
        <v>-244663.70628222678</v>
      </c>
      <c r="FC52" s="77">
        <f t="shared" si="151"/>
        <v>-175587.88133381377</v>
      </c>
      <c r="FD52" s="77">
        <f t="shared" si="151"/>
        <v>-200693.94624556883</v>
      </c>
      <c r="FE52" s="77">
        <f t="shared" si="145"/>
        <v>-2.5556128459525902</v>
      </c>
      <c r="FF52" s="77">
        <f t="shared" si="132"/>
        <v>22389.183454234524</v>
      </c>
      <c r="FG52" s="77">
        <f t="shared" si="133"/>
        <v>26063.28097271164</v>
      </c>
      <c r="FH52" s="77">
        <f t="shared" si="134"/>
        <v>26063.28097271164</v>
      </c>
      <c r="FI52" s="77">
        <f t="shared" si="139"/>
        <v>26063.28097271164</v>
      </c>
      <c r="FJ52" s="77">
        <f t="shared" si="146"/>
        <v>26063.28097271164</v>
      </c>
      <c r="FK52" s="77">
        <f t="shared" si="148"/>
        <v>489327.41256445355</v>
      </c>
      <c r="FL52" s="77">
        <f t="shared" si="148"/>
        <v>244663.70628222678</v>
      </c>
      <c r="FM52" s="77">
        <f t="shared" si="152"/>
        <v>244663.70628222678</v>
      </c>
      <c r="FN52" s="77">
        <f t="shared" si="152"/>
        <v>489327.41256445355</v>
      </c>
      <c r="GO52" s="77">
        <f t="shared" si="154"/>
        <v>453655444.18850487</v>
      </c>
      <c r="GP52" s="77">
        <f t="shared" si="155"/>
        <v>208184347.67554677</v>
      </c>
      <c r="GQ52" s="77">
        <f t="shared" si="156"/>
        <v>131567999.48342665</v>
      </c>
      <c r="GR52" s="77">
        <f t="shared" si="157"/>
        <v>135087095.21789238</v>
      </c>
      <c r="GS52" s="77">
        <f t="shared" si="158"/>
        <v>1460.5327414619053</v>
      </c>
      <c r="GT52" s="77">
        <f t="shared" si="159"/>
        <v>-7677251.0064570177</v>
      </c>
      <c r="GU52" s="77">
        <f t="shared" si="121"/>
        <v>-2979033.0151809393</v>
      </c>
      <c r="GV52" s="77">
        <f t="shared" si="135"/>
        <v>2979033.0151809393</v>
      </c>
      <c r="GW52" s="77">
        <f t="shared" si="136"/>
        <v>8937099.0455428232</v>
      </c>
      <c r="GX52" s="77">
        <f t="shared" si="137"/>
        <v>14895165.075904703</v>
      </c>
      <c r="GY52" s="77">
        <f t="shared" si="141"/>
        <v>329366281.39713365</v>
      </c>
      <c r="GZ52" s="77">
        <f t="shared" si="142"/>
        <v>183326515.11727253</v>
      </c>
      <c r="HA52" s="77">
        <f t="shared" si="153"/>
        <v>208184347.67554674</v>
      </c>
      <c r="HB52" s="77">
        <f t="shared" si="153"/>
        <v>453655444.18850482</v>
      </c>
      <c r="IC52" s="82">
        <v>51</v>
      </c>
    </row>
    <row r="53" spans="1:237" s="83" customFormat="1">
      <c r="A53" s="77">
        <v>52</v>
      </c>
      <c r="B53" s="69">
        <v>83</v>
      </c>
      <c r="C53" s="69" t="s">
        <v>58</v>
      </c>
      <c r="D53" s="70" t="s">
        <v>62</v>
      </c>
      <c r="E53" s="70">
        <v>2</v>
      </c>
      <c r="F53" s="70">
        <v>5.4049227662835923E-2</v>
      </c>
      <c r="G53" s="70">
        <v>5.0306209999999999E-3</v>
      </c>
      <c r="H53" s="70">
        <v>2.7777777999999999E-2</v>
      </c>
      <c r="I53" s="70">
        <v>2.7777777777777776E-2</v>
      </c>
      <c r="J53" s="71">
        <v>2.4</v>
      </c>
      <c r="K53" s="72">
        <v>18.75</v>
      </c>
      <c r="L53" s="71">
        <v>2.9225657894736839E-2</v>
      </c>
      <c r="M53" s="71">
        <v>6.4063815789473677E-2</v>
      </c>
      <c r="N53" s="71">
        <v>0.44234539473684203</v>
      </c>
      <c r="O53" s="71">
        <v>0.14541469298245613</v>
      </c>
      <c r="P53" s="71">
        <v>7.2576354233358759E-2</v>
      </c>
      <c r="Q53" s="73" t="s">
        <v>243</v>
      </c>
      <c r="R53" s="74">
        <v>0.25892351274787534</v>
      </c>
      <c r="S53" s="75">
        <f t="shared" si="45"/>
        <v>0.36498239258802262</v>
      </c>
      <c r="T53" s="59">
        <f t="shared" si="0"/>
        <v>1.3284993826770886</v>
      </c>
      <c r="U53" s="59">
        <f t="shared" si="1"/>
        <v>1.0188684393633534</v>
      </c>
      <c r="V53" s="59">
        <f t="shared" si="2"/>
        <v>0.81958050994075771</v>
      </c>
      <c r="W53" s="59">
        <f t="shared" si="3"/>
        <v>0.61692201037324002</v>
      </c>
      <c r="X53" s="59">
        <f t="shared" si="4"/>
        <v>0.80440268662446557</v>
      </c>
      <c r="Y53" s="76">
        <v>887420</v>
      </c>
      <c r="Z53" s="57">
        <f t="shared" si="5"/>
        <v>713843.03216428321</v>
      </c>
      <c r="AA53" s="57">
        <f t="shared" si="6"/>
        <v>547468.93044542067</v>
      </c>
      <c r="AB53" s="57">
        <f t="shared" si="107"/>
        <v>464821.95585341239</v>
      </c>
      <c r="AC53" s="57">
        <f t="shared" si="8"/>
        <v>0.17</v>
      </c>
      <c r="AD53" s="57">
        <f t="shared" si="9"/>
        <v>2.2000000000000002</v>
      </c>
      <c r="AE53" s="57">
        <f t="shared" si="10"/>
        <v>1191611.9999999998</v>
      </c>
      <c r="AF53" s="57">
        <f t="shared" si="11"/>
        <v>189348.92370575626</v>
      </c>
      <c r="AG53" s="57">
        <f t="shared" si="108"/>
        <v>358120.00673966442</v>
      </c>
      <c r="AH53" s="57">
        <f t="shared" si="109"/>
        <v>776678939.21907437</v>
      </c>
      <c r="AI53" s="57">
        <f t="shared" si="110"/>
        <v>1348487042.9427271</v>
      </c>
      <c r="AJ53" s="77">
        <v>1191612</v>
      </c>
      <c r="AK53" s="77">
        <v>45.6</v>
      </c>
      <c r="AL53" s="78">
        <f t="shared" si="15"/>
        <v>3.7547435795241197</v>
      </c>
      <c r="AM53" s="57">
        <f t="shared" si="16"/>
        <v>0.98</v>
      </c>
      <c r="AN53" s="57">
        <f t="shared" si="17"/>
        <v>0.78</v>
      </c>
      <c r="AO53" s="77">
        <f t="shared" si="128"/>
        <v>1905</v>
      </c>
      <c r="AP53" s="79">
        <f>4*25.4</f>
        <v>101.6</v>
      </c>
      <c r="AQ53" s="57">
        <f t="shared" si="46"/>
        <v>170.50588259279286</v>
      </c>
      <c r="AR53" s="57">
        <f t="shared" si="111"/>
        <v>1701.8</v>
      </c>
      <c r="AS53" s="57">
        <f t="shared" si="18"/>
        <v>1734.4941174072071</v>
      </c>
      <c r="AT53" s="77">
        <v>101.6</v>
      </c>
      <c r="AU53" s="77">
        <v>4572</v>
      </c>
      <c r="AV53" s="77">
        <f t="shared" si="48"/>
        <v>172902.87999999998</v>
      </c>
      <c r="AW53" s="77">
        <f>4*25.4*36*25.4*2</f>
        <v>185806.07999999999</v>
      </c>
      <c r="AX53" s="77">
        <f t="shared" si="19"/>
        <v>193548</v>
      </c>
      <c r="AY53" s="77">
        <v>360060</v>
      </c>
      <c r="AZ53" s="77">
        <v>463.7</v>
      </c>
      <c r="BA53" s="77">
        <v>429.9</v>
      </c>
      <c r="BB53" s="77">
        <v>463.7</v>
      </c>
      <c r="BC53" s="77">
        <v>463.7</v>
      </c>
      <c r="BD53" s="77">
        <v>3.0999999999999999E-3</v>
      </c>
      <c r="BE53" s="77">
        <f>PI()*6*6*2/(4*101.6*4*25.4)</f>
        <v>5.4781631460234939E-3</v>
      </c>
      <c r="BF53" s="77">
        <v>4.3499999999999997E-2</v>
      </c>
      <c r="BG53" s="77">
        <f>PI()*6*6*2/(4*101.6*4/3*25.4)</f>
        <v>1.6434489438070483E-2</v>
      </c>
      <c r="BH53" s="79">
        <f>4*25.4</f>
        <v>101.6</v>
      </c>
      <c r="BI53" s="79">
        <f>PI()*6*6/4</f>
        <v>28.274333882308138</v>
      </c>
      <c r="BJ53" s="79">
        <v>2</v>
      </c>
      <c r="BK53" s="57">
        <f t="shared" si="112"/>
        <v>56.548667764616276</v>
      </c>
      <c r="BL53" s="57"/>
      <c r="BM53" s="80">
        <f>PI()*6*6/4+PI()*4/8*25.4*4/8*25.4/4</f>
        <v>154.95120365668257</v>
      </c>
      <c r="BN53" s="80">
        <v>12</v>
      </c>
      <c r="BO53" s="57">
        <f t="shared" si="113"/>
        <v>1859.4144438801909</v>
      </c>
      <c r="BP53" s="57">
        <f t="shared" si="24"/>
        <v>727312.13613162725</v>
      </c>
      <c r="BQ53" s="77">
        <f t="shared" si="25"/>
        <v>4.8312358558177948E-9</v>
      </c>
      <c r="BR53" s="57">
        <f t="shared" si="114"/>
        <v>3325271086.3937998</v>
      </c>
      <c r="BS53" s="57">
        <v>341.01176518558572</v>
      </c>
      <c r="BT53" s="57">
        <f t="shared" si="49"/>
        <v>461.18802258832443</v>
      </c>
      <c r="BU53" s="57"/>
      <c r="BV53" s="57">
        <v>3.3E-3</v>
      </c>
      <c r="BW53" s="57">
        <v>30000</v>
      </c>
      <c r="BX53" s="57">
        <v>200000</v>
      </c>
      <c r="BY53" s="77">
        <f t="shared" si="130"/>
        <v>25.4</v>
      </c>
      <c r="BZ53" s="77">
        <f>BY53+2*25.4</f>
        <v>76.199999999999989</v>
      </c>
      <c r="CA53" s="77">
        <f>BZ53+2.25*25.4</f>
        <v>133.35</v>
      </c>
      <c r="CB53" s="77">
        <f>CA53+6.75/3*1*25.4</f>
        <v>190.5</v>
      </c>
      <c r="CC53" s="77">
        <f>CA53+6.75/3*2*25.4</f>
        <v>247.64999999999998</v>
      </c>
      <c r="CD53" s="77">
        <f>CA53+6.75/3*3*25.4</f>
        <v>304.79999999999995</v>
      </c>
      <c r="CE53" s="77">
        <f>CD53+3*25.4</f>
        <v>380.99999999999994</v>
      </c>
      <c r="CF53" s="77">
        <f>CE53+9*25.4*1</f>
        <v>609.59999999999991</v>
      </c>
      <c r="CG53" s="77">
        <f>CE53+9*25.4*2</f>
        <v>838.19999999999993</v>
      </c>
      <c r="CH53" s="77">
        <f>CE53+9*25.4*3</f>
        <v>1066.8</v>
      </c>
      <c r="CI53" s="77">
        <f>CE53+9*25.4*4</f>
        <v>1295.3999999999999</v>
      </c>
      <c r="CJ53" s="77">
        <f>CE53+9*25.4*5</f>
        <v>1524</v>
      </c>
      <c r="CK53" s="77">
        <f>CJ53+3*25.4</f>
        <v>1600.2</v>
      </c>
      <c r="CL53" s="77">
        <f>CK53+6.75/3*1*25.4</f>
        <v>1657.3500000000001</v>
      </c>
      <c r="CM53" s="77">
        <f>CK53+6.75/3*5*25.4</f>
        <v>1885.95</v>
      </c>
      <c r="CN53" s="77">
        <f>CK53+6.75/3*3*25.4</f>
        <v>1771.65</v>
      </c>
      <c r="CO53" s="77">
        <f>CN53+2.25*25.4</f>
        <v>1828.8000000000002</v>
      </c>
      <c r="CP53" s="77">
        <f>CO53+2*25.4</f>
        <v>1879.6000000000001</v>
      </c>
      <c r="CQ53" s="77"/>
      <c r="CR53" s="77"/>
      <c r="CS53" s="77"/>
      <c r="CT53" s="77"/>
      <c r="CU53" s="77"/>
      <c r="CV53" s="77"/>
      <c r="CW53" s="77"/>
      <c r="CX53" s="77"/>
      <c r="CY53" s="77"/>
      <c r="CZ53" s="77"/>
      <c r="DA53" s="77"/>
      <c r="DB53" s="77"/>
      <c r="DC53" s="77"/>
      <c r="DD53" s="77"/>
      <c r="DE53" s="77"/>
      <c r="DF53" s="77"/>
      <c r="DG53" s="77"/>
      <c r="DH53" s="77"/>
      <c r="DI53" s="77"/>
      <c r="DJ53" s="77"/>
      <c r="DK53" s="77"/>
      <c r="DL53" s="77"/>
      <c r="DM53" s="77">
        <f>PI()*6*6/4*3*2+PI()*4/8*25.4*4/8*25.4/4*3*2</f>
        <v>929.70722194009534</v>
      </c>
      <c r="DN53" s="77">
        <f>PI()*6*6/4*3*2+PI()*4/8*25.4*4/8*25.4/4*3*2</f>
        <v>929.70722194009534</v>
      </c>
      <c r="DO53" s="77">
        <f>PI()*4/8*25.4*4/8*25.4/4*2</f>
        <v>253.35373954874885</v>
      </c>
      <c r="DP53" s="77">
        <f>PI()*4/8*25.4*4/8*25.4/4*2</f>
        <v>253.35373954874885</v>
      </c>
      <c r="DQ53" s="77">
        <f>PI()*4/8*25.4*4/8*25.4/4*2</f>
        <v>253.35373954874885</v>
      </c>
      <c r="DR53" s="77">
        <f>PI()*4/8*25.4*4/8*25.4/4*2</f>
        <v>253.35373954874885</v>
      </c>
      <c r="DS53" s="77">
        <f>PI()*6*6/4*2</f>
        <v>56.548667764616276</v>
      </c>
      <c r="DT53" s="77">
        <f>PI()*6*6/4*2</f>
        <v>56.548667764616276</v>
      </c>
      <c r="DU53" s="77">
        <f t="shared" si="138"/>
        <v>56.548667764616276</v>
      </c>
      <c r="DV53" s="77">
        <f t="shared" si="144"/>
        <v>56.548667764616276</v>
      </c>
      <c r="DW53" s="77">
        <f>PI()*6*6/4*2</f>
        <v>56.548667764616276</v>
      </c>
      <c r="DX53" s="77">
        <f>PI()*6*6/4*2</f>
        <v>56.548667764616276</v>
      </c>
      <c r="DY53" s="77">
        <f>PI()*4/8*25.4*4/8*25.4/4*2</f>
        <v>253.35373954874885</v>
      </c>
      <c r="DZ53" s="77">
        <f>PI()*4/8*25.4*4/8*25.4/4*2</f>
        <v>253.35373954874885</v>
      </c>
      <c r="EA53" s="77">
        <f>PI()*4/8*25.4*4/8*25.4/4*2</f>
        <v>253.35373954874885</v>
      </c>
      <c r="EB53" s="77">
        <f>PI()*4/8*25.4*4/8*25.4/4*2</f>
        <v>253.35373954874885</v>
      </c>
      <c r="EC53" s="77">
        <f>PI()*6*6/4*3*2+PI()*4/8*25.4*4/8*25.4/4*3*2</f>
        <v>929.70722194009534</v>
      </c>
      <c r="ED53" s="77">
        <f>PI()*6*6/4*3*2+PI()*4/8*25.4*4/8*25.4/4*3*2</f>
        <v>929.70722194009534</v>
      </c>
      <c r="EE53" s="77"/>
      <c r="EF53" s="77"/>
      <c r="EG53" s="77"/>
      <c r="EH53" s="77"/>
      <c r="EI53" s="77"/>
      <c r="EJ53" s="77"/>
      <c r="EK53" s="77"/>
      <c r="EL53" s="77"/>
      <c r="EM53" s="77"/>
      <c r="EN53" s="77"/>
      <c r="EO53" s="77"/>
      <c r="EP53" s="77"/>
      <c r="EQ53" s="77"/>
      <c r="ER53" s="77"/>
      <c r="ES53" s="77"/>
      <c r="ET53" s="77"/>
      <c r="EU53" s="77"/>
      <c r="EV53" s="77"/>
      <c r="EW53" s="77"/>
      <c r="EX53" s="77"/>
      <c r="EY53" s="77"/>
      <c r="EZ53" s="77"/>
      <c r="FA53" s="77">
        <f t="shared" si="160"/>
        <v>-431105.23881362221</v>
      </c>
      <c r="FB53" s="77">
        <f t="shared" si="115"/>
        <v>-431105.23881362221</v>
      </c>
      <c r="FC53" s="77">
        <f t="shared" si="151"/>
        <v>-101825.94119591064</v>
      </c>
      <c r="FD53" s="77">
        <f t="shared" si="151"/>
        <v>-73802.715378940513</v>
      </c>
      <c r="FE53" s="77">
        <f>IF(ABS(-$BV53*($BS53-CC53)/$BS53*$BX53)&gt;$BB53,$BB53*SIGN(-($BS53-CC53)),-$BV53*($BS53-CC53)/$BS53*$BX53)*DQ53</f>
        <v>-45779.489561970404</v>
      </c>
      <c r="FF53" s="77">
        <f>IF(ABS(-$BV53*($BS53-CD53)/$BS53*$BX53)&gt;$BB53,$BB53*SIGN(-($BS53-CD53)),-$BV53*($BS53-CD53)/$BS53*$BX53)*DR53</f>
        <v>-17756.263745000291</v>
      </c>
      <c r="FG53" s="77">
        <f>IF(ABS(-$BV53*($BS53-CE53)/$BS53*$BX53)&gt;$BA53,$BA53*SIGN(-($BS53-CE53)),-$BV53*($BS53-CE53)/$BS53*$BX53)*DS53</f>
        <v>4376.5226882916177</v>
      </c>
      <c r="FH53" s="77">
        <f>IF(ABS(-$BV53*($BS53-CF53)/$BS53*$BX53)&gt;$BA53,$BA53*SIGN(-($BS53-CF53)),-$BV53*($BS53-CF53)/$BS53*$BX53)*DT53</f>
        <v>24310.272272008537</v>
      </c>
      <c r="FI53" s="77">
        <f t="shared" si="139"/>
        <v>24310.272272008537</v>
      </c>
      <c r="FJ53" s="77">
        <f t="shared" si="146"/>
        <v>24310.272272008537</v>
      </c>
      <c r="FK53" s="77">
        <f>IF(ABS(-$BV53*($BS53-CI53)/$BS53*$BX53)&gt;$BA53,$BA53*SIGN(-($BS53-CI53)),-$BV53*($BS53-CI53)/$BS53*$BX53)*DW53</f>
        <v>24310.272272008537</v>
      </c>
      <c r="FL53" s="77">
        <f>IF(ABS(-$BV53*($BS53-CJ53)/$BS53*$BX53)&gt;$BA53,$BA53*SIGN(-($BS53-CJ53)),-$BV53*($BS53-CJ53)/$BS53*$BX53)*DX53</f>
        <v>24310.272272008537</v>
      </c>
      <c r="FM53" s="77">
        <f t="shared" si="152"/>
        <v>117480.12902875483</v>
      </c>
      <c r="FN53" s="77">
        <f t="shared" si="152"/>
        <v>117480.12902875483</v>
      </c>
      <c r="FO53" s="77">
        <f>IF(ABS(-$BV53*($BS53-CM53)/$BS53*$BX53)&gt;$BB53,$BB53*SIGN(-($BS53-CM53)),-$BV53*($BS53-CM53)/$BS53*$BX53)*EA53</f>
        <v>117480.12902875483</v>
      </c>
      <c r="FP53" s="77">
        <f>IF(ABS(-$BV53*($BS53-CN53)/$BS53*$BX53)&gt;$BB53,$BB53*SIGN(-($BS53-CN53)),-$BV53*($BS53-CN53)/$BS53*$BX53)*EB53</f>
        <v>117480.12902875483</v>
      </c>
      <c r="FQ53" s="77">
        <f>IF(ABS(-$BV53*($BS53-CO53)/$BS53*$BX53)&gt;$BB53,$BB53*SIGN(-($BS53-CO53)),-$BV53*($BS53-CO53)/$BS53*$BX53)*EC53</f>
        <v>431105.23881362221</v>
      </c>
      <c r="FR53" s="77">
        <f>IF(ABS(-$BV53*($BS53-CP53)/$BS53*$BX53)&gt;$BB53,$BB53*SIGN(-($BS53-CP53)),-$BV53*($BS53-CP53)/$BS53*$BX53)*ED53</f>
        <v>431105.23881362221</v>
      </c>
      <c r="FS53" s="77"/>
      <c r="FT53" s="77"/>
      <c r="FU53" s="77"/>
      <c r="FV53" s="77"/>
      <c r="FW53" s="77"/>
      <c r="FX53" s="77"/>
      <c r="FY53" s="77"/>
      <c r="FZ53" s="77"/>
      <c r="GA53" s="77"/>
      <c r="GB53" s="77"/>
      <c r="GC53" s="77"/>
      <c r="GD53" s="77"/>
      <c r="GE53" s="77"/>
      <c r="GF53" s="77"/>
      <c r="GG53" s="77"/>
      <c r="GH53" s="77"/>
      <c r="GI53" s="77"/>
      <c r="GJ53" s="77"/>
      <c r="GK53" s="77"/>
      <c r="GL53" s="77"/>
      <c r="GM53" s="77"/>
      <c r="GN53" s="77"/>
      <c r="GO53" s="77">
        <f t="shared" si="154"/>
        <v>399677666.90410918</v>
      </c>
      <c r="GP53" s="77">
        <f t="shared" si="155"/>
        <v>377777520.77237713</v>
      </c>
      <c r="GQ53" s="77">
        <f t="shared" si="156"/>
        <v>83410719.730630189</v>
      </c>
      <c r="GR53" s="77">
        <f t="shared" si="157"/>
        <v>56237669.118752673</v>
      </c>
      <c r="GS53" s="77">
        <f t="shared" si="158"/>
        <v>32267673.217754841</v>
      </c>
      <c r="GT53" s="77">
        <f t="shared" si="159"/>
        <v>11500732.02763669</v>
      </c>
      <c r="GU53" s="77">
        <f t="shared" si="121"/>
        <v>-2501182.7163586593</v>
      </c>
      <c r="GV53" s="77">
        <f t="shared" si="135"/>
        <v>-8335992.3620717293</v>
      </c>
      <c r="GW53" s="77">
        <f t="shared" si="136"/>
        <v>-2778664.1206905772</v>
      </c>
      <c r="GX53" s="77">
        <f t="shared" si="137"/>
        <v>2778664.1206905744</v>
      </c>
      <c r="GY53" s="77">
        <f t="shared" si="141"/>
        <v>8335992.3620717237</v>
      </c>
      <c r="GZ53" s="77">
        <f t="shared" si="142"/>
        <v>13893320.603452878</v>
      </c>
      <c r="HA53" s="77">
        <f t="shared" si="153"/>
        <v>76091879.571924508</v>
      </c>
      <c r="HB53" s="77">
        <f t="shared" si="153"/>
        <v>82805868.94591786</v>
      </c>
      <c r="HC53" s="77">
        <f>FO53*(CM53-0.5*$AO53)</f>
        <v>109661826.44189121</v>
      </c>
      <c r="HD53" s="77">
        <f>FP53*(CN53-0.5*$AO53)</f>
        <v>96233847.693904534</v>
      </c>
      <c r="HE53" s="77">
        <f>FQ53*(CO53-0.5*$AO53)</f>
        <v>377777520.77237725</v>
      </c>
      <c r="HF53" s="77">
        <f>FR53*(CP53-0.5*$AO53)</f>
        <v>399677666.90410924</v>
      </c>
      <c r="HG53" s="77"/>
      <c r="HH53" s="77"/>
      <c r="HI53" s="77"/>
      <c r="HJ53" s="77"/>
      <c r="HK53" s="77"/>
      <c r="HL53" s="77"/>
      <c r="HM53" s="77"/>
      <c r="HN53" s="77"/>
      <c r="HO53" s="77"/>
      <c r="HP53" s="77"/>
      <c r="HQ53" s="77"/>
      <c r="HR53" s="77"/>
      <c r="HS53" s="77"/>
      <c r="HT53" s="77"/>
      <c r="HU53" s="77"/>
      <c r="HV53" s="77"/>
      <c r="HW53" s="77"/>
      <c r="HX53" s="77"/>
      <c r="HY53" s="77"/>
      <c r="HZ53" s="77"/>
      <c r="IA53" s="77"/>
      <c r="IB53" s="77"/>
      <c r="IC53" s="82">
        <v>53</v>
      </c>
    </row>
    <row r="54" spans="1:237" s="77" customFormat="1">
      <c r="A54" s="77">
        <v>53</v>
      </c>
      <c r="B54" s="69">
        <v>84</v>
      </c>
      <c r="C54" s="69" t="s">
        <v>64</v>
      </c>
      <c r="D54" s="70" t="s">
        <v>63</v>
      </c>
      <c r="E54" s="70">
        <v>4</v>
      </c>
      <c r="F54" s="70">
        <v>6.9675687618928395E-2</v>
      </c>
      <c r="G54" s="70"/>
      <c r="H54" s="70">
        <v>6.692913E-3</v>
      </c>
      <c r="I54" s="87">
        <f>(2.94+2.41)/2/100</f>
        <v>2.6749999999999999E-2</v>
      </c>
      <c r="J54" s="71">
        <v>1</v>
      </c>
      <c r="K54" s="72">
        <v>10</v>
      </c>
      <c r="L54" s="71">
        <v>3.6007692307692303E-2</v>
      </c>
      <c r="M54" s="71">
        <v>3.6007692307692303E-2</v>
      </c>
      <c r="N54" s="71">
        <v>0.36461538461538462</v>
      </c>
      <c r="O54" s="71">
        <v>0.32871538461538458</v>
      </c>
      <c r="P54" s="71">
        <v>0</v>
      </c>
      <c r="Q54" s="73" t="s">
        <v>3</v>
      </c>
      <c r="R54" s="74">
        <v>0</v>
      </c>
      <c r="S54" s="75">
        <f t="shared" si="45"/>
        <v>0.43512452971723986</v>
      </c>
      <c r="T54" s="59">
        <f t="shared" si="0"/>
        <v>1.0811609048144977</v>
      </c>
      <c r="U54" s="59">
        <f t="shared" si="1"/>
        <v>0.87067699051703584</v>
      </c>
      <c r="V54" s="59">
        <f t="shared" si="2"/>
        <v>0.95020387077242374</v>
      </c>
      <c r="W54" s="59">
        <f t="shared" si="3"/>
        <v>0.87887368710900338</v>
      </c>
      <c r="X54" s="59">
        <f t="shared" si="4"/>
        <v>1.0913391316430245</v>
      </c>
      <c r="Y54" s="76">
        <v>1122000</v>
      </c>
      <c r="Z54" s="57">
        <f t="shared" si="5"/>
        <v>1224482.5057034735</v>
      </c>
      <c r="AA54" s="57">
        <f t="shared" si="6"/>
        <v>986096.27693630173</v>
      </c>
      <c r="AB54" s="57">
        <f t="shared" si="107"/>
        <v>2676850.850811915</v>
      </c>
      <c r="AC54" s="57">
        <f t="shared" si="8"/>
        <v>0.25</v>
      </c>
      <c r="AD54" s="57">
        <f t="shared" si="9"/>
        <v>1.5</v>
      </c>
      <c r="AE54" s="57">
        <f t="shared" si="10"/>
        <v>0</v>
      </c>
      <c r="AF54" s="57">
        <f t="shared" si="11"/>
        <v>545782.3361229616</v>
      </c>
      <c r="AG54" s="57">
        <f t="shared" si="108"/>
        <v>440313.94081334007</v>
      </c>
      <c r="AH54" s="57">
        <f t="shared" si="109"/>
        <v>3657750007.2701612</v>
      </c>
      <c r="AI54" s="57">
        <f t="shared" si="110"/>
        <v>1781610921.5796502</v>
      </c>
      <c r="AJ54" s="77">
        <v>0</v>
      </c>
      <c r="AK54" s="77">
        <v>39</v>
      </c>
      <c r="AL54" s="78">
        <f t="shared" si="15"/>
        <v>3.4453643347686116</v>
      </c>
      <c r="AM54" s="57">
        <f t="shared" si="16"/>
        <v>0.99736842105263157</v>
      </c>
      <c r="AN54" s="57">
        <f t="shared" si="17"/>
        <v>0.79736842105263162</v>
      </c>
      <c r="AO54" s="77">
        <f>80*25.4</f>
        <v>2032</v>
      </c>
      <c r="AP54" s="79">
        <f>10*25.4</f>
        <v>254</v>
      </c>
      <c r="AQ54" s="57">
        <f t="shared" si="46"/>
        <v>83.050315337044509</v>
      </c>
      <c r="AR54" s="57">
        <f t="shared" si="111"/>
        <v>1524</v>
      </c>
      <c r="AS54" s="57">
        <f t="shared" si="18"/>
        <v>1948.9496846629554</v>
      </c>
      <c r="AT54" s="77">
        <v>203.2</v>
      </c>
      <c r="AU54" s="77">
        <v>2032</v>
      </c>
      <c r="AV54" s="77">
        <f t="shared" si="48"/>
        <v>412902</v>
      </c>
      <c r="AW54" s="77">
        <v>0</v>
      </c>
      <c r="AX54" s="77">
        <f t="shared" si="19"/>
        <v>412902.39999999997</v>
      </c>
      <c r="AY54" s="77">
        <v>412902</v>
      </c>
      <c r="AZ54" s="77">
        <v>453</v>
      </c>
      <c r="BA54" s="77">
        <v>453</v>
      </c>
      <c r="BB54" s="77">
        <v>450</v>
      </c>
      <c r="BC54" s="77">
        <v>453</v>
      </c>
      <c r="BD54" s="77">
        <v>3.0999999999999999E-3</v>
      </c>
      <c r="BE54" s="77">
        <f>BD54</f>
        <v>3.0999999999999999E-3</v>
      </c>
      <c r="BF54" s="77">
        <v>3.1600000000000003E-2</v>
      </c>
      <c r="BG54" s="77">
        <f>PI()*3/8*3/8*2/(4*8*2.5)</f>
        <v>1.1044661672776616E-2</v>
      </c>
      <c r="BH54" s="79">
        <f>9*25.4</f>
        <v>228.6</v>
      </c>
      <c r="BI54" s="79">
        <f>PI()*3/8*25.4*3/8*25.4/4</f>
        <v>71.255739248085618</v>
      </c>
      <c r="BJ54" s="79">
        <v>2</v>
      </c>
      <c r="BK54" s="57">
        <f t="shared" si="112"/>
        <v>142.51147849617124</v>
      </c>
      <c r="BL54" s="57"/>
      <c r="BM54" s="80">
        <f>PI()*6/8*25.4*6/8*25.4/4+PI()*7/8*25.4*7/8*25.4/4*2</f>
        <v>1060.9187843603856</v>
      </c>
      <c r="BN54" s="80">
        <v>2</v>
      </c>
      <c r="BO54" s="57">
        <f t="shared" si="113"/>
        <v>2121.8375687207713</v>
      </c>
      <c r="BP54" s="57">
        <f t="shared" si="24"/>
        <v>1066128.7430066594</v>
      </c>
      <c r="BQ54" s="77">
        <f t="shared" si="25"/>
        <v>-3.0733644962310791E-8</v>
      </c>
      <c r="BR54" s="57">
        <f t="shared" si="114"/>
        <v>2166373605.7895322</v>
      </c>
      <c r="BS54" s="57">
        <v>166.10063067408902</v>
      </c>
      <c r="BT54" s="57">
        <f t="shared" si="49"/>
        <v>13.948077761018936</v>
      </c>
      <c r="BU54" s="57"/>
      <c r="BV54" s="57">
        <v>3.3E-3</v>
      </c>
      <c r="BW54" s="57">
        <v>30000</v>
      </c>
      <c r="BX54" s="57">
        <v>200000</v>
      </c>
      <c r="BY54" s="77">
        <f t="shared" si="130"/>
        <v>25.4</v>
      </c>
      <c r="BZ54" s="77">
        <f t="shared" ref="BZ54:CA58" si="161">BY54+5*25.4</f>
        <v>152.4</v>
      </c>
      <c r="CA54" s="77">
        <f t="shared" si="161"/>
        <v>279.39999999999998</v>
      </c>
      <c r="CB54" s="77">
        <f>CA54+6.5*25.4</f>
        <v>444.5</v>
      </c>
      <c r="CC54" s="77">
        <f>CB54+9*25.4*1</f>
        <v>673.1</v>
      </c>
      <c r="CD54" s="77">
        <f>CB54+9*25.4*2</f>
        <v>901.7</v>
      </c>
      <c r="CE54" s="77">
        <f>CB54+9*25.4*3</f>
        <v>1130.3</v>
      </c>
      <c r="CF54" s="77">
        <f>CB54+9*25.4*4</f>
        <v>1358.9</v>
      </c>
      <c r="CG54" s="77">
        <f>CB54+9*25.4*5</f>
        <v>1587.5</v>
      </c>
      <c r="CH54" s="77">
        <f>CG54+6.5*25.4</f>
        <v>1752.6</v>
      </c>
      <c r="CI54" s="77">
        <f>CH54+5*25.4</f>
        <v>1879.6</v>
      </c>
      <c r="CJ54" s="77">
        <f>CI54+5*25.4</f>
        <v>2006.6</v>
      </c>
      <c r="DM54" s="77">
        <f>PI()*7/8*25.4*7/8*25.4/4*2</f>
        <v>775.89582736804323</v>
      </c>
      <c r="DN54" s="77">
        <f>PI()*6/8*25.4*6/8*25.4/4*2</f>
        <v>570.04591398468494</v>
      </c>
      <c r="DO54" s="77">
        <f>PI()*7/8*25.4*7/8*25.4/4*2</f>
        <v>775.89582736804323</v>
      </c>
      <c r="DP54" s="77">
        <f t="shared" ref="DP54:DU54" si="162">PI()*3/8*25.4*3/8*25.4/4*2</f>
        <v>142.51147849617124</v>
      </c>
      <c r="DQ54" s="77">
        <f t="shared" si="162"/>
        <v>142.51147849617124</v>
      </c>
      <c r="DR54" s="77">
        <f t="shared" si="162"/>
        <v>142.51147849617124</v>
      </c>
      <c r="DS54" s="77">
        <f t="shared" si="162"/>
        <v>142.51147849617124</v>
      </c>
      <c r="DT54" s="77">
        <f t="shared" si="162"/>
        <v>142.51147849617124</v>
      </c>
      <c r="DU54" s="77">
        <f t="shared" si="162"/>
        <v>142.51147849617124</v>
      </c>
      <c r="DV54" s="77">
        <f>PI()*7/8*25.4*7/8*25.4/4*2</f>
        <v>775.89582736804323</v>
      </c>
      <c r="DW54" s="77">
        <f>PI()*6/8*25.4*6/8*25.4/4*2</f>
        <v>570.04591398468494</v>
      </c>
      <c r="DX54" s="77">
        <f>PI()*7/8*25.4*7/8*25.4/4*2</f>
        <v>775.89582736804323</v>
      </c>
      <c r="FA54" s="77">
        <f t="shared" si="160"/>
        <v>-349153.12231561943</v>
      </c>
      <c r="FB54" s="77">
        <f>IF(ABS(-$BV54*($BS54-BZ54)/$BS54*$BX54)&gt;$BA54,$BA54*SIGN(-($BS54-BZ54)),-$BV54*($BS54-BZ54)/$BS54*$BX54)*DN54</f>
        <v>-31032.949194920573</v>
      </c>
      <c r="FC54" s="77">
        <f>IF(ABS(-$BV54*($BS54-CA54)/$BS54*$BX54)&gt;$BB54,$BB54*SIGN(-($BS54-CA54)),-$BV54*($BS54-CA54)/$BS54*$BX54)*DO54</f>
        <v>349153.12231561943</v>
      </c>
      <c r="FD54" s="77">
        <f t="shared" ref="FD54:FF58" si="163">IF(ABS(-$BV54*($BS54-CB54)/$BS54*$BX54)&gt;$BA54,$BA54*SIGN(-($BS54-CB54)),-$BV54*($BS54-CB54)/$BS54*$BX54)*DP54</f>
        <v>64557.699758765571</v>
      </c>
      <c r="FE54" s="77">
        <f t="shared" si="163"/>
        <v>64557.699758765571</v>
      </c>
      <c r="FF54" s="77">
        <f t="shared" si="163"/>
        <v>64557.699758765571</v>
      </c>
      <c r="FG54" s="77">
        <f>IF(ABS(-$BV54*($BS54-CE54)/$BS54*$BX54)&gt;$BA54,$BA54*SIGN(-($BS54-CE54)),-$BV54*($BS54-CE54)/$BS54*$BX54)*DS54</f>
        <v>64557.699758765571</v>
      </c>
      <c r="FH54" s="77">
        <f>IF(ABS(-$BV54*($BS54-CF54)/$BS54*$BX54)&gt;$BA54,$BA54*SIGN(-($BS54-CF54)),-$BV54*($BS54-CF54)/$BS54*$BX54)*DT54</f>
        <v>64557.699758765571</v>
      </c>
      <c r="FI54" s="77">
        <f t="shared" si="139"/>
        <v>64557.699758765571</v>
      </c>
      <c r="FJ54" s="77">
        <f>IF(ABS(-$BV54*($BS54-CH54)/$BS54*$BX54)&gt;$BB54,$BB54*SIGN(-($BS54-CH54)),-$BV54*($BS54-CH54)/$BS54*$BX54)*DV54</f>
        <v>349153.12231561943</v>
      </c>
      <c r="FK54" s="77">
        <f>IF(ABS(-$BV54*($BS54-CI54)/$BS54*$BX54)&gt;$BA54,$BA54*SIGN(-($BS54-CI54)),-$BV54*($BS54-CI54)/$BS54*$BX54)*DW54</f>
        <v>258230.79903506229</v>
      </c>
      <c r="FL54" s="77">
        <f>IF(ABS(-$BV54*($BS54-CJ54)/$BS54*$BX54)&gt;$BB54,$BB54*SIGN(-($BS54-CJ54)),-$BV54*($BS54-CJ54)/$BS54*$BX54)*DX54</f>
        <v>349153.12231561943</v>
      </c>
      <c r="GO54" s="77">
        <f t="shared" si="154"/>
        <v>345871082.96585262</v>
      </c>
      <c r="GP54" s="77">
        <f t="shared" si="155"/>
        <v>26800054.924733408</v>
      </c>
      <c r="GQ54" s="77">
        <f t="shared" si="156"/>
        <v>-257186189.89768529</v>
      </c>
      <c r="GR54" s="77">
        <f t="shared" si="157"/>
        <v>-36894725.412134521</v>
      </c>
      <c r="GS54" s="77">
        <f t="shared" si="158"/>
        <v>-22136835.247280713</v>
      </c>
      <c r="GT54" s="77">
        <f t="shared" si="159"/>
        <v>-7378945.0824269019</v>
      </c>
      <c r="GU54" s="77">
        <f t="shared" si="121"/>
        <v>7378945.0824269019</v>
      </c>
      <c r="GV54" s="77">
        <f t="shared" si="135"/>
        <v>22136835.247280721</v>
      </c>
      <c r="GW54" s="77">
        <f t="shared" si="136"/>
        <v>36894725.412134521</v>
      </c>
      <c r="GX54" s="77">
        <f t="shared" si="137"/>
        <v>257186189.89768523</v>
      </c>
      <c r="GY54" s="77">
        <f t="shared" si="141"/>
        <v>223008118.04667976</v>
      </c>
      <c r="GZ54" s="77">
        <f t="shared" si="142"/>
        <v>345871082.96585256</v>
      </c>
      <c r="IC54" s="82">
        <v>54</v>
      </c>
    </row>
    <row r="55" spans="1:237" s="77" customFormat="1">
      <c r="A55" s="77">
        <v>54</v>
      </c>
      <c r="B55" s="69">
        <v>85</v>
      </c>
      <c r="C55" s="69" t="s">
        <v>64</v>
      </c>
      <c r="D55" s="70" t="s">
        <v>65</v>
      </c>
      <c r="E55" s="70">
        <v>4</v>
      </c>
      <c r="F55" s="70">
        <v>7.0362050992602052E-2</v>
      </c>
      <c r="G55" s="70"/>
      <c r="H55" s="70">
        <v>9.3011810000000004E-3</v>
      </c>
      <c r="I55" s="87">
        <f>(3.37+3.05)/2/100</f>
        <v>3.2099999999999997E-2</v>
      </c>
      <c r="J55" s="71">
        <v>1</v>
      </c>
      <c r="K55" s="72">
        <v>10</v>
      </c>
      <c r="L55" s="71">
        <v>3.1026315789473687E-2</v>
      </c>
      <c r="M55" s="71">
        <v>3.1026315789473687E-2</v>
      </c>
      <c r="N55" s="71">
        <v>0.35865789473684212</v>
      </c>
      <c r="O55" s="71">
        <v>0.58536315789473681</v>
      </c>
      <c r="P55" s="71">
        <v>0</v>
      </c>
      <c r="Q55" s="73" t="s">
        <v>3</v>
      </c>
      <c r="R55" s="74">
        <v>0</v>
      </c>
      <c r="S55" s="75">
        <f t="shared" si="45"/>
        <v>0.43374081241641327</v>
      </c>
      <c r="T55" s="59">
        <f t="shared" si="0"/>
        <v>1.0742855074618023</v>
      </c>
      <c r="U55" s="59">
        <f t="shared" si="1"/>
        <v>0.88179714969471246</v>
      </c>
      <c r="V55" s="59">
        <f t="shared" si="2"/>
        <v>0.8970826429808666</v>
      </c>
      <c r="W55" s="59">
        <f t="shared" si="3"/>
        <v>0.83505049332778392</v>
      </c>
      <c r="X55" s="59">
        <f t="shared" si="4"/>
        <v>1.0173344779935456</v>
      </c>
      <c r="Y55" s="76">
        <v>1104000</v>
      </c>
      <c r="Z55" s="57">
        <f t="shared" si="5"/>
        <v>1123137.2637048743</v>
      </c>
      <c r="AA55" s="57">
        <f t="shared" si="6"/>
        <v>921895.74463387346</v>
      </c>
      <c r="AB55" s="57">
        <f t="shared" si="107"/>
        <v>2605598.8340455322</v>
      </c>
      <c r="AC55" s="57">
        <f t="shared" si="8"/>
        <v>0.25</v>
      </c>
      <c r="AD55" s="57">
        <f t="shared" si="9"/>
        <v>1.5</v>
      </c>
      <c r="AE55" s="57">
        <f t="shared" si="10"/>
        <v>0</v>
      </c>
      <c r="AF55" s="57">
        <f t="shared" si="11"/>
        <v>539128.81502957596</v>
      </c>
      <c r="AG55" s="57">
        <f t="shared" si="108"/>
        <v>382766.92960429745</v>
      </c>
      <c r="AH55" s="57">
        <f t="shared" si="109"/>
        <v>3581097368.5388107</v>
      </c>
      <c r="AI55" s="57">
        <f t="shared" si="110"/>
        <v>1713479462.2417107</v>
      </c>
      <c r="AJ55" s="77">
        <v>0</v>
      </c>
      <c r="AK55" s="77">
        <v>38</v>
      </c>
      <c r="AL55" s="78">
        <f t="shared" si="15"/>
        <v>3.3964920157048271</v>
      </c>
      <c r="AM55" s="57">
        <f t="shared" si="16"/>
        <v>1</v>
      </c>
      <c r="AN55" s="57">
        <f t="shared" si="17"/>
        <v>0.8</v>
      </c>
      <c r="AO55" s="77">
        <f>80*25.4</f>
        <v>2032</v>
      </c>
      <c r="AP55" s="79">
        <f>10*25.4</f>
        <v>254</v>
      </c>
      <c r="AQ55" s="57">
        <f t="shared" si="46"/>
        <v>79.107887283157169</v>
      </c>
      <c r="AR55" s="57">
        <f t="shared" si="111"/>
        <v>1524</v>
      </c>
      <c r="AS55" s="57">
        <f t="shared" si="18"/>
        <v>1952.8921127168428</v>
      </c>
      <c r="AT55" s="77">
        <v>203.2</v>
      </c>
      <c r="AU55" s="77">
        <v>2032</v>
      </c>
      <c r="AV55" s="77">
        <f t="shared" si="48"/>
        <v>412902</v>
      </c>
      <c r="AW55" s="77">
        <v>0</v>
      </c>
      <c r="AX55" s="77">
        <f t="shared" si="19"/>
        <v>412902.39999999997</v>
      </c>
      <c r="AY55" s="77">
        <v>412902</v>
      </c>
      <c r="AZ55" s="77">
        <v>786</v>
      </c>
      <c r="BA55" s="77">
        <v>786</v>
      </c>
      <c r="BB55" s="77">
        <v>770</v>
      </c>
      <c r="BC55" s="77">
        <v>453</v>
      </c>
      <c r="BD55" s="77">
        <v>1.5E-3</v>
      </c>
      <c r="BE55" s="77">
        <f>BD55</f>
        <v>1.5E-3</v>
      </c>
      <c r="BF55" s="77">
        <v>1.77E-2</v>
      </c>
      <c r="BG55" s="77">
        <f>PI()*3/8*3/8*2/(4*8*2.5)</f>
        <v>1.1044661672776616E-2</v>
      </c>
      <c r="BH55" s="79">
        <f>18*25.4</f>
        <v>457.2</v>
      </c>
      <c r="BI55" s="79">
        <f>PI()*3/8*25.4*3/8*25.4/4</f>
        <v>71.255739248085618</v>
      </c>
      <c r="BJ55" s="79">
        <v>2</v>
      </c>
      <c r="BK55" s="57">
        <f t="shared" si="112"/>
        <v>142.51147849617124</v>
      </c>
      <c r="BL55" s="57"/>
      <c r="BM55" s="80">
        <f>PI()*5/8*25.4*5/8*25.4/4</f>
        <v>197.93260902246001</v>
      </c>
      <c r="BN55" s="80">
        <v>6</v>
      </c>
      <c r="BO55" s="57">
        <f t="shared" si="113"/>
        <v>1187.59565413476</v>
      </c>
      <c r="BP55" s="57">
        <f t="shared" si="24"/>
        <v>990379.23785087676</v>
      </c>
      <c r="BQ55" s="77">
        <f t="shared" si="25"/>
        <v>1.0477378964424133E-8</v>
      </c>
      <c r="BR55" s="57">
        <f t="shared" si="114"/>
        <v>2012450611.3129816</v>
      </c>
      <c r="BS55" s="57">
        <v>158.21577456631434</v>
      </c>
      <c r="BT55" s="57">
        <f t="shared" si="49"/>
        <v>11.908211435225947</v>
      </c>
      <c r="BU55" s="57"/>
      <c r="BV55" s="57">
        <v>3.3E-3</v>
      </c>
      <c r="BW55" s="57">
        <v>30000</v>
      </c>
      <c r="BX55" s="57">
        <v>200000</v>
      </c>
      <c r="BY55" s="77">
        <f t="shared" si="130"/>
        <v>25.4</v>
      </c>
      <c r="BZ55" s="77">
        <f t="shared" si="161"/>
        <v>152.4</v>
      </c>
      <c r="CA55" s="77">
        <f t="shared" si="161"/>
        <v>279.39999999999998</v>
      </c>
      <c r="CB55" s="77">
        <f>CA55+11*25.4</f>
        <v>558.79999999999995</v>
      </c>
      <c r="CC55" s="77">
        <f>CB55+18*25.4</f>
        <v>1016</v>
      </c>
      <c r="CD55" s="77">
        <f>CC55+18*25.4</f>
        <v>1473.2</v>
      </c>
      <c r="CE55" s="77">
        <f>CD55+11*25.4</f>
        <v>1752.6</v>
      </c>
      <c r="CF55" s="77">
        <f>CE55+5*25.4</f>
        <v>1879.6</v>
      </c>
      <c r="CG55" s="77">
        <f>CF55+5*25.4</f>
        <v>2006.6</v>
      </c>
      <c r="DM55" s="77">
        <f>PI()*5/8*25.4*5/8*25.4/4*2</f>
        <v>395.86521804492003</v>
      </c>
      <c r="DN55" s="77">
        <f>PI()*5/8*25.4*5/8*25.4/4*2</f>
        <v>395.86521804492003</v>
      </c>
      <c r="DO55" s="77">
        <f>PI()*5/8*25.4*5/8*25.4/4*2</f>
        <v>395.86521804492003</v>
      </c>
      <c r="DP55" s="77">
        <f>PI()*3/8*25.4*3/8*25.4/4*2</f>
        <v>142.51147849617124</v>
      </c>
      <c r="DQ55" s="77">
        <f>PI()*3/8*25.4*3/8*25.4/4*2</f>
        <v>142.51147849617124</v>
      </c>
      <c r="DR55" s="77">
        <f>PI()*3/8*25.4*3/8*25.4/4*2</f>
        <v>142.51147849617124</v>
      </c>
      <c r="DS55" s="77">
        <f>PI()*5/8*25.4*5/8*25.4/4*2</f>
        <v>395.86521804492003</v>
      </c>
      <c r="DT55" s="77">
        <f>PI()*5/8*25.4*5/8*25.4/4*2</f>
        <v>395.86521804492003</v>
      </c>
      <c r="DU55" s="77">
        <f>PI()*5/8*25.4*5/8*25.4/4*2</f>
        <v>395.86521804492003</v>
      </c>
      <c r="FA55" s="77">
        <f t="shared" si="160"/>
        <v>-219326.52520728789</v>
      </c>
      <c r="FB55" s="77">
        <f t="shared" ref="FB55:FB86" si="164">IF(ABS(-$BV55*($BS55-BZ55)/$BS55*$BX55)&gt;$BB55,$BB55*SIGN(-($BS55-BZ55)),-$BV55*($BS55-BZ55)/$BS55*$BX55)*DN55</f>
        <v>-9603.9316954912301</v>
      </c>
      <c r="FC55" s="77">
        <f>IF(ABS(-$BV55*($BS55-CA55)/$BS55*$BX55)&gt;$BB55,$BB55*SIGN(-($BS55-CA55)),-$BV55*($BS55-CA55)/$BS55*$BX55)*DO55</f>
        <v>200118.66181630539</v>
      </c>
      <c r="FD55" s="77">
        <f t="shared" si="163"/>
        <v>112014.02209799059</v>
      </c>
      <c r="FE55" s="77">
        <f t="shared" si="163"/>
        <v>112014.02209799059</v>
      </c>
      <c r="FF55" s="77">
        <f t="shared" si="163"/>
        <v>112014.02209799059</v>
      </c>
      <c r="FG55" s="77">
        <f>IF(ABS(-$BV55*($BS55-CE55)/$BS55*$BX55)&gt;$BB55,$BB55*SIGN(-($BS55-CE55)),-$BV55*($BS55-CE55)/$BS55*$BX55)*DS55</f>
        <v>304816.21789458842</v>
      </c>
      <c r="FH55" s="77">
        <f>IF(ABS(-$BV55*($BS55-CF55)/$BS55*$BX55)&gt;$BB55,$BB55*SIGN(-($BS55-CF55)),-$BV55*($BS55-CF55)/$BS55*$BX55)*DT55</f>
        <v>304816.21789458842</v>
      </c>
      <c r="FI55" s="77">
        <f>IF(ABS(-$BV55*($BS55-CG55)/$BS55*$BX55)&gt;$BB55,$BB55*SIGN(-($BS55-CG55)),-$BV55*($BS55-CG55)/$BS55*$BX55)*DU55</f>
        <v>304816.21789458842</v>
      </c>
      <c r="GO55" s="77">
        <f t="shared" si="154"/>
        <v>217264855.87033939</v>
      </c>
      <c r="GP55" s="77">
        <f t="shared" si="155"/>
        <v>8293955.4122262262</v>
      </c>
      <c r="GQ55" s="77">
        <f t="shared" si="156"/>
        <v>-147407406.29389057</v>
      </c>
      <c r="GR55" s="77">
        <f t="shared" si="157"/>
        <v>-51212810.903201304</v>
      </c>
      <c r="GS55" s="77">
        <f t="shared" si="158"/>
        <v>0</v>
      </c>
      <c r="GT55" s="77">
        <f t="shared" si="159"/>
        <v>51212810.903201304</v>
      </c>
      <c r="GU55" s="77">
        <f t="shared" si="121"/>
        <v>224527626.10115379</v>
      </c>
      <c r="GV55" s="77">
        <f t="shared" ref="GV55:GW58" si="165">FH55*(CF55-0.5*$AO55)</f>
        <v>263239285.77376655</v>
      </c>
      <c r="GW55" s="77">
        <f t="shared" si="165"/>
        <v>301950945.44637924</v>
      </c>
      <c r="IC55" s="82">
        <v>55</v>
      </c>
    </row>
    <row r="56" spans="1:237" s="77" customFormat="1">
      <c r="A56" s="77">
        <v>55</v>
      </c>
      <c r="B56" s="69">
        <v>86</v>
      </c>
      <c r="C56" s="69" t="s">
        <v>64</v>
      </c>
      <c r="D56" s="70" t="s">
        <v>66</v>
      </c>
      <c r="E56" s="70">
        <v>4</v>
      </c>
      <c r="F56" s="70">
        <v>0.10837922800083312</v>
      </c>
      <c r="G56" s="70"/>
      <c r="H56" s="70">
        <v>6.5944879999999999E-3</v>
      </c>
      <c r="I56" s="87">
        <f>(1.59+1.64)/2/100</f>
        <v>1.6150000000000001E-2</v>
      </c>
      <c r="J56" s="71">
        <v>1</v>
      </c>
      <c r="K56" s="72">
        <v>10</v>
      </c>
      <c r="L56" s="71">
        <v>8.8522727272727281E-2</v>
      </c>
      <c r="M56" s="71">
        <v>8.8522727272727281E-2</v>
      </c>
      <c r="N56" s="71">
        <v>0.53181818181818175</v>
      </c>
      <c r="O56" s="71">
        <v>0.30551136363636361</v>
      </c>
      <c r="P56" s="71">
        <v>0</v>
      </c>
      <c r="Q56" s="73" t="s">
        <v>3</v>
      </c>
      <c r="R56" s="74">
        <v>0</v>
      </c>
      <c r="S56" s="75">
        <f t="shared" si="45"/>
        <v>0.71890646869428654</v>
      </c>
      <c r="T56" s="59">
        <f t="shared" si="0"/>
        <v>1.0511937761933887</v>
      </c>
      <c r="U56" s="59">
        <f t="shared" si="1"/>
        <v>0.81798929068289339</v>
      </c>
      <c r="V56" s="59">
        <f t="shared" si="2"/>
        <v>0.95257990087057365</v>
      </c>
      <c r="W56" s="59">
        <f t="shared" si="3"/>
        <v>0.90618868037830436</v>
      </c>
      <c r="X56" s="59">
        <f t="shared" si="4"/>
        <v>1.1645383524218491</v>
      </c>
      <c r="Y56" s="76">
        <v>1969000</v>
      </c>
      <c r="Z56" s="57">
        <f t="shared" si="5"/>
        <v>2292976.0159186209</v>
      </c>
      <c r="AA56" s="57">
        <f t="shared" si="6"/>
        <v>1784285.5116648814</v>
      </c>
      <c r="AB56" s="57">
        <f t="shared" si="107"/>
        <v>3361169.9108367548</v>
      </c>
      <c r="AC56" s="57">
        <f t="shared" si="8"/>
        <v>0.25</v>
      </c>
      <c r="AD56" s="57">
        <f t="shared" si="9"/>
        <v>1.5</v>
      </c>
      <c r="AE56" s="57">
        <f t="shared" si="10"/>
        <v>0</v>
      </c>
      <c r="AF56" s="57">
        <f t="shared" si="11"/>
        <v>573535.96215420577</v>
      </c>
      <c r="AG56" s="57">
        <f t="shared" si="108"/>
        <v>1210749.5495106755</v>
      </c>
      <c r="AH56" s="57">
        <f t="shared" si="109"/>
        <v>3999914756.2315536</v>
      </c>
      <c r="AI56" s="57">
        <f t="shared" si="110"/>
        <v>2829982502.5887327</v>
      </c>
      <c r="AJ56" s="77">
        <v>0</v>
      </c>
      <c r="AK56" s="77">
        <v>44</v>
      </c>
      <c r="AL56" s="78">
        <f t="shared" si="15"/>
        <v>3.6817016482108738</v>
      </c>
      <c r="AM56" s="57">
        <f t="shared" si="16"/>
        <v>0.98421052631578942</v>
      </c>
      <c r="AN56" s="57">
        <f t="shared" si="17"/>
        <v>0.78421052631578947</v>
      </c>
      <c r="AO56" s="77">
        <f>80*25.4</f>
        <v>2032</v>
      </c>
      <c r="AP56" s="79">
        <f>10*25.4</f>
        <v>254</v>
      </c>
      <c r="AQ56" s="57">
        <f t="shared" si="46"/>
        <v>115.41375233243814</v>
      </c>
      <c r="AR56" s="57">
        <f t="shared" si="111"/>
        <v>1524</v>
      </c>
      <c r="AS56" s="57">
        <f t="shared" si="18"/>
        <v>1916.5862476675618</v>
      </c>
      <c r="AT56" s="77">
        <v>203.2</v>
      </c>
      <c r="AU56" s="77">
        <v>2032</v>
      </c>
      <c r="AV56" s="77">
        <f t="shared" si="48"/>
        <v>412902</v>
      </c>
      <c r="AW56" s="77">
        <v>0</v>
      </c>
      <c r="AX56" s="77">
        <f t="shared" si="19"/>
        <v>412902.39999999997</v>
      </c>
      <c r="AY56" s="77">
        <v>412902</v>
      </c>
      <c r="AZ56" s="77">
        <v>475</v>
      </c>
      <c r="BA56" s="77">
        <v>475</v>
      </c>
      <c r="BB56" s="77">
        <v>450</v>
      </c>
      <c r="BC56" s="77">
        <v>453</v>
      </c>
      <c r="BD56" s="77">
        <v>8.2000000000000007E-3</v>
      </c>
      <c r="BE56" s="77">
        <f>BD56</f>
        <v>8.2000000000000007E-3</v>
      </c>
      <c r="BF56" s="77">
        <v>5.1999999999999998E-2</v>
      </c>
      <c r="BG56" s="77">
        <f>PI()*3/8*3/8*2/(4*8*2.5)</f>
        <v>1.1044661672776616E-2</v>
      </c>
      <c r="BH56" s="79">
        <f>6*25.4</f>
        <v>152.39999999999998</v>
      </c>
      <c r="BI56" s="79">
        <f>PI()*4/8*25.4*4/8*25.4/4</f>
        <v>126.67686977437442</v>
      </c>
      <c r="BJ56" s="79">
        <v>2</v>
      </c>
      <c r="BK56" s="57">
        <f t="shared" si="112"/>
        <v>253.35373954874885</v>
      </c>
      <c r="BL56" s="57"/>
      <c r="BM56" s="80">
        <f>PI()*7/8*25.4*7/8*25.4/4</f>
        <v>387.94791368402161</v>
      </c>
      <c r="BN56" s="80">
        <v>9</v>
      </c>
      <c r="BO56" s="57">
        <f t="shared" si="113"/>
        <v>3491.5312231561948</v>
      </c>
      <c r="BP56" s="57">
        <f t="shared" si="24"/>
        <v>1875629.8248141594</v>
      </c>
      <c r="BQ56" s="77">
        <f t="shared" si="25"/>
        <v>0</v>
      </c>
      <c r="BR56" s="57">
        <f t="shared" si="114"/>
        <v>3811279804.0223718</v>
      </c>
      <c r="BS56" s="57">
        <v>230.82750466487627</v>
      </c>
      <c r="BT56" s="57">
        <f t="shared" si="49"/>
        <v>35.955090597580607</v>
      </c>
      <c r="BU56" s="57"/>
      <c r="BV56" s="57">
        <v>3.3E-3</v>
      </c>
      <c r="BW56" s="57">
        <v>30000</v>
      </c>
      <c r="BX56" s="57">
        <v>200000</v>
      </c>
      <c r="BY56" s="77">
        <f t="shared" si="130"/>
        <v>25.4</v>
      </c>
      <c r="BZ56" s="77">
        <f t="shared" si="161"/>
        <v>152.4</v>
      </c>
      <c r="CA56" s="77">
        <f t="shared" si="161"/>
        <v>279.39999999999998</v>
      </c>
      <c r="CB56" s="77">
        <f>CA56+5*25.4</f>
        <v>406.4</v>
      </c>
      <c r="CC56" s="77">
        <f>CB56+6*25.4*1</f>
        <v>558.79999999999995</v>
      </c>
      <c r="CD56" s="77">
        <f>CB56+6*25.4*2</f>
        <v>711.19999999999993</v>
      </c>
      <c r="CE56" s="77">
        <f>CB56+6*25.4*3</f>
        <v>863.59999999999991</v>
      </c>
      <c r="CF56" s="77">
        <f>CB56+6*25.4*4</f>
        <v>1015.9999999999999</v>
      </c>
      <c r="CG56" s="77">
        <f>CB56+6*25.4*5</f>
        <v>1168.3999999999999</v>
      </c>
      <c r="CH56" s="77">
        <f>CB56+6*25.4*6</f>
        <v>1320.7999999999997</v>
      </c>
      <c r="CI56" s="77">
        <f>CB56+6*25.4*7</f>
        <v>1473.1999999999998</v>
      </c>
      <c r="CJ56" s="77">
        <f>CB56+6*25.4*8</f>
        <v>1625.6</v>
      </c>
      <c r="CK56" s="77">
        <f>CJ56+5*25.4</f>
        <v>1752.6</v>
      </c>
      <c r="CL56" s="77">
        <f>CK56+5*25.4</f>
        <v>1879.6</v>
      </c>
      <c r="CM56" s="77">
        <f>CL56+5*25.4</f>
        <v>2006.6</v>
      </c>
      <c r="DM56" s="77">
        <f>PI()*7/8*25.4*7/8*25.4/4*3</f>
        <v>1163.8437410520648</v>
      </c>
      <c r="DN56" s="77">
        <f>PI()*7/8*25.4*7/8*25.4/4*3</f>
        <v>1163.8437410520648</v>
      </c>
      <c r="DO56" s="77">
        <f>PI()*7/8*25.4*7/8*25.4/4*3</f>
        <v>1163.8437410520648</v>
      </c>
      <c r="DP56" s="77">
        <f t="shared" ref="DP56:DX56" si="166">PI()*4/8*25.4*4/8*25.4/4*2</f>
        <v>253.35373954874885</v>
      </c>
      <c r="DQ56" s="77">
        <f t="shared" si="166"/>
        <v>253.35373954874885</v>
      </c>
      <c r="DR56" s="77">
        <f t="shared" si="166"/>
        <v>253.35373954874885</v>
      </c>
      <c r="DS56" s="77">
        <f t="shared" si="166"/>
        <v>253.35373954874885</v>
      </c>
      <c r="DT56" s="77">
        <f t="shared" si="166"/>
        <v>253.35373954874885</v>
      </c>
      <c r="DU56" s="77">
        <f t="shared" si="166"/>
        <v>253.35373954874885</v>
      </c>
      <c r="DV56" s="77">
        <f t="shared" si="166"/>
        <v>253.35373954874885</v>
      </c>
      <c r="DW56" s="77">
        <f t="shared" si="166"/>
        <v>253.35373954874885</v>
      </c>
      <c r="DX56" s="77">
        <f t="shared" si="166"/>
        <v>253.35373954874885</v>
      </c>
      <c r="DY56" s="77">
        <f>PI()*7/8*25.4*7/8*25.4/4*3</f>
        <v>1163.8437410520648</v>
      </c>
      <c r="DZ56" s="77">
        <f>PI()*7/8*25.4*7/8*25.4/4*3</f>
        <v>1163.8437410520648</v>
      </c>
      <c r="EA56" s="77">
        <f>PI()*7/8*25.4*7/8*25.4/4*3</f>
        <v>1163.8437410520648</v>
      </c>
      <c r="FA56" s="77">
        <f t="shared" si="160"/>
        <v>-523729.68347342918</v>
      </c>
      <c r="FB56" s="77">
        <f t="shared" si="164"/>
        <v>-260987.34625071936</v>
      </c>
      <c r="FC56" s="77">
        <f>IF(ABS(-$BV56*($BS56-CA56)/$BS56*$BX56)&gt;$BB56,$BB56*SIGN(-($BS56-CA56)),-$BV56*($BS56-CA56)/$BS56*$BX56)*DO56</f>
        <v>161637.25611898347</v>
      </c>
      <c r="FD56" s="77">
        <f t="shared" si="163"/>
        <v>120343.02628565571</v>
      </c>
      <c r="FE56" s="77">
        <f t="shared" si="163"/>
        <v>120343.02628565571</v>
      </c>
      <c r="FF56" s="77">
        <f t="shared" si="163"/>
        <v>120343.02628565571</v>
      </c>
      <c r="FG56" s="77">
        <f t="shared" ref="FG56:FL56" si="167">IF(ABS(-$BV56*($BS56-CE56)/$BS56*$BX56)&gt;$BA56,$BA56*SIGN(-($BS56-CE56)),-$BV56*($BS56-CE56)/$BS56*$BX56)*DS56</f>
        <v>120343.02628565571</v>
      </c>
      <c r="FH56" s="77">
        <f t="shared" si="167"/>
        <v>120343.02628565571</v>
      </c>
      <c r="FI56" s="77">
        <f t="shared" si="167"/>
        <v>120343.02628565571</v>
      </c>
      <c r="FJ56" s="77">
        <f t="shared" si="167"/>
        <v>120343.02628565571</v>
      </c>
      <c r="FK56" s="77">
        <f t="shared" si="167"/>
        <v>120343.02628565571</v>
      </c>
      <c r="FL56" s="77">
        <f t="shared" si="167"/>
        <v>120343.02628565571</v>
      </c>
      <c r="FM56" s="77">
        <f>IF(ABS(-$BV56*($BS56-CK56)/$BS56*$BX56)&gt;$BB56,$BB56*SIGN(-($BS56-CK56)),-$BV56*($BS56-CK56)/$BS56*$BX56)*DY56</f>
        <v>523729.68347342918</v>
      </c>
      <c r="FN56" s="77">
        <f>IF(ABS(-$BV56*($BS56-CL56)/$BS56*$BX56)&gt;$BB56,$BB56*SIGN(-($BS56-CL56)),-$BV56*($BS56-CL56)/$BS56*$BX56)*DZ56</f>
        <v>523729.68347342918</v>
      </c>
      <c r="FO56" s="77">
        <f>IF(ABS(-$BV56*($BS56-CM56)/$BS56*$BX56)&gt;$BB56,$BB56*SIGN(-($BS56-CM56)),-$BV56*($BS56-CM56)/$BS56*$BX56)*EA56</f>
        <v>523729.68347342918</v>
      </c>
      <c r="GO56" s="77">
        <f t="shared" si="154"/>
        <v>518806624.44877893</v>
      </c>
      <c r="GP56" s="77">
        <f t="shared" si="155"/>
        <v>225388672.22212124</v>
      </c>
      <c r="GQ56" s="77">
        <f t="shared" si="156"/>
        <v>-119062002.85724322</v>
      </c>
      <c r="GR56" s="77">
        <f t="shared" si="157"/>
        <v>-73361108.823735729</v>
      </c>
      <c r="GS56" s="77">
        <f t="shared" si="158"/>
        <v>-55020831.617801793</v>
      </c>
      <c r="GT56" s="77">
        <f t="shared" si="159"/>
        <v>-36680554.411867872</v>
      </c>
      <c r="GU56" s="77">
        <f t="shared" si="121"/>
        <v>-18340277.20593394</v>
      </c>
      <c r="GV56" s="77">
        <f t="shared" si="165"/>
        <v>-1.3681418100265513E-8</v>
      </c>
      <c r="GW56" s="77">
        <f t="shared" si="165"/>
        <v>18340277.205933914</v>
      </c>
      <c r="GX56" s="77">
        <f t="shared" ref="GX56:HC56" si="168">FJ56*(CH56-0.5*$AO56)</f>
        <v>36680554.411867827</v>
      </c>
      <c r="GY56" s="77">
        <f t="shared" si="168"/>
        <v>55020831.617801771</v>
      </c>
      <c r="GZ56" s="77">
        <f t="shared" si="168"/>
        <v>73361108.823735714</v>
      </c>
      <c r="HA56" s="77">
        <f t="shared" si="168"/>
        <v>385779284.84652787</v>
      </c>
      <c r="HB56" s="77">
        <f t="shared" si="168"/>
        <v>452292954.6476534</v>
      </c>
      <c r="HC56" s="77">
        <f t="shared" si="168"/>
        <v>518806624.44877887</v>
      </c>
      <c r="IC56" s="82">
        <v>56</v>
      </c>
    </row>
    <row r="57" spans="1:237" s="77" customFormat="1">
      <c r="A57" s="77">
        <v>56</v>
      </c>
      <c r="B57" s="69">
        <v>87</v>
      </c>
      <c r="C57" s="69" t="s">
        <v>64</v>
      </c>
      <c r="D57" s="70" t="s">
        <v>67</v>
      </c>
      <c r="E57" s="70">
        <v>4</v>
      </c>
      <c r="F57" s="70">
        <v>9.9517340896651249E-2</v>
      </c>
      <c r="G57" s="70"/>
      <c r="H57" s="70">
        <v>1.3976377999999999E-2</v>
      </c>
      <c r="I57" s="87">
        <f>(1.87+1.92)/2/100</f>
        <v>1.8950000000000002E-2</v>
      </c>
      <c r="J57" s="71">
        <v>1</v>
      </c>
      <c r="K57" s="72">
        <v>10</v>
      </c>
      <c r="L57" s="71">
        <v>7.5104545454545465E-2</v>
      </c>
      <c r="M57" s="71">
        <v>7.5104545454545465E-2</v>
      </c>
      <c r="N57" s="71">
        <v>0.46375000000000005</v>
      </c>
      <c r="O57" s="71">
        <v>0.5184045454545454</v>
      </c>
      <c r="P57" s="71">
        <v>0</v>
      </c>
      <c r="Q57" s="73" t="s">
        <v>3</v>
      </c>
      <c r="R57" s="74">
        <v>0</v>
      </c>
      <c r="S57" s="75">
        <f t="shared" si="45"/>
        <v>0.66012335977616565</v>
      </c>
      <c r="T57" s="59">
        <f t="shared" si="0"/>
        <v>1.0342820615545734</v>
      </c>
      <c r="U57" s="59">
        <f t="shared" si="1"/>
        <v>0.80972496255376647</v>
      </c>
      <c r="V57" s="59">
        <f t="shared" si="2"/>
        <v>0.91774730600166243</v>
      </c>
      <c r="W57" s="59">
        <f t="shared" si="3"/>
        <v>0.88732787709983685</v>
      </c>
      <c r="X57" s="59">
        <f t="shared" si="4"/>
        <v>1.1334062162381751</v>
      </c>
      <c r="Y57" s="76">
        <v>1808000</v>
      </c>
      <c r="Z57" s="57">
        <f t="shared" si="5"/>
        <v>2049198.4389586204</v>
      </c>
      <c r="AA57" s="57">
        <f t="shared" si="6"/>
        <v>1604288.801796505</v>
      </c>
      <c r="AB57" s="57">
        <f t="shared" si="107"/>
        <v>3194665.5070442483</v>
      </c>
      <c r="AC57" s="57">
        <f t="shared" si="8"/>
        <v>0.25</v>
      </c>
      <c r="AD57" s="57">
        <f t="shared" si="9"/>
        <v>1.5</v>
      </c>
      <c r="AE57" s="57">
        <f t="shared" si="10"/>
        <v>0</v>
      </c>
      <c r="AF57" s="57">
        <f t="shared" si="11"/>
        <v>574799.80407266121</v>
      </c>
      <c r="AG57" s="57">
        <f t="shared" si="108"/>
        <v>1029488.9977238438</v>
      </c>
      <c r="AH57" s="57">
        <f t="shared" si="109"/>
        <v>4009354464.4649754</v>
      </c>
      <c r="AI57" s="57">
        <f t="shared" si="110"/>
        <v>2482205845.848937</v>
      </c>
      <c r="AJ57" s="77">
        <v>0</v>
      </c>
      <c r="AK57" s="77">
        <v>44</v>
      </c>
      <c r="AL57" s="78">
        <f t="shared" si="15"/>
        <v>3.6817016482108738</v>
      </c>
      <c r="AM57" s="57">
        <f t="shared" si="16"/>
        <v>0.98421052631578942</v>
      </c>
      <c r="AN57" s="57">
        <f t="shared" si="17"/>
        <v>0.78421052631578947</v>
      </c>
      <c r="AO57" s="77">
        <f>80*25.4</f>
        <v>2032</v>
      </c>
      <c r="AP57" s="79">
        <f>10*25.4</f>
        <v>254</v>
      </c>
      <c r="AQ57" s="57">
        <f t="shared" si="46"/>
        <v>111.19036931903578</v>
      </c>
      <c r="AR57" s="57">
        <f t="shared" si="111"/>
        <v>1524</v>
      </c>
      <c r="AS57" s="57">
        <f t="shared" si="18"/>
        <v>1920.8096306809641</v>
      </c>
      <c r="AT57" s="77">
        <v>203.2</v>
      </c>
      <c r="AU57" s="77">
        <v>2032</v>
      </c>
      <c r="AV57" s="77">
        <f t="shared" si="48"/>
        <v>412902</v>
      </c>
      <c r="AW57" s="77">
        <v>0</v>
      </c>
      <c r="AX57" s="77">
        <f t="shared" si="19"/>
        <v>412902.39999999997</v>
      </c>
      <c r="AY57" s="77">
        <v>412902</v>
      </c>
      <c r="AZ57" s="77">
        <v>806</v>
      </c>
      <c r="BA57" s="77">
        <v>806</v>
      </c>
      <c r="BB57" s="77">
        <v>770</v>
      </c>
      <c r="BC57" s="77">
        <v>453</v>
      </c>
      <c r="BD57" s="77">
        <v>4.1000000000000003E-3</v>
      </c>
      <c r="BE57" s="77">
        <f>BD57</f>
        <v>4.1000000000000003E-3</v>
      </c>
      <c r="BF57" s="77">
        <v>2.6499999999999999E-2</v>
      </c>
      <c r="BG57" s="77">
        <f>PI()*3/8*3/8*2/(4*8*2.5)</f>
        <v>1.1044661672776616E-2</v>
      </c>
      <c r="BH57" s="79">
        <f>12*25.4</f>
        <v>304.79999999999995</v>
      </c>
      <c r="BI57" s="79">
        <f>PI()*4/8*25.4*4/8*25.4/4</f>
        <v>126.67686977437442</v>
      </c>
      <c r="BJ57" s="79">
        <v>2</v>
      </c>
      <c r="BK57" s="57">
        <f t="shared" si="112"/>
        <v>253.35373954874885</v>
      </c>
      <c r="BL57" s="57"/>
      <c r="BM57" s="80">
        <f>PI()*5/8*25.4*5/8*25.4/4</f>
        <v>197.93260902246001</v>
      </c>
      <c r="BN57" s="80">
        <v>9</v>
      </c>
      <c r="BO57" s="57">
        <f t="shared" si="113"/>
        <v>1781.39348120214</v>
      </c>
      <c r="BP57" s="57">
        <f t="shared" si="24"/>
        <v>1659287.1292510056</v>
      </c>
      <c r="BQ57" s="77">
        <f t="shared" si="25"/>
        <v>1.862645149230957E-9</v>
      </c>
      <c r="BR57" s="57">
        <f t="shared" si="114"/>
        <v>3371671446.6380434</v>
      </c>
      <c r="BS57" s="57">
        <v>222.38073863807156</v>
      </c>
      <c r="BT57" s="57">
        <f t="shared" si="49"/>
        <v>30.505055812263127</v>
      </c>
      <c r="BU57" s="57"/>
      <c r="BV57" s="57">
        <v>3.3E-3</v>
      </c>
      <c r="BW57" s="57">
        <v>30000</v>
      </c>
      <c r="BX57" s="57">
        <v>200000</v>
      </c>
      <c r="BY57" s="77">
        <f t="shared" si="130"/>
        <v>25.4</v>
      </c>
      <c r="BZ57" s="77">
        <f t="shared" si="161"/>
        <v>152.4</v>
      </c>
      <c r="CA57" s="77">
        <f t="shared" si="161"/>
        <v>279.39999999999998</v>
      </c>
      <c r="CB57" s="77">
        <f>CA57+5*25.4</f>
        <v>406.4</v>
      </c>
      <c r="CC57" s="77">
        <f>CB57+12*25.4*1</f>
        <v>711.19999999999993</v>
      </c>
      <c r="CD57" s="77">
        <f>CB57+12*25.4*2</f>
        <v>1015.9999999999999</v>
      </c>
      <c r="CE57" s="77">
        <f>CB57+12*25.4*3</f>
        <v>1320.7999999999997</v>
      </c>
      <c r="CF57" s="77">
        <f>CB57+12*25.4*4</f>
        <v>1625.6</v>
      </c>
      <c r="CG57" s="77">
        <f>CF57+5*25.4</f>
        <v>1752.6</v>
      </c>
      <c r="CH57" s="77">
        <f>CG57+5*25.4</f>
        <v>1879.6</v>
      </c>
      <c r="CI57" s="77">
        <f>CH57+5*25.4</f>
        <v>2006.6</v>
      </c>
      <c r="DM57" s="77">
        <f>PI()*5/8*25.4*5/8*25.4/4*3</f>
        <v>593.79782706738001</v>
      </c>
      <c r="DN57" s="77">
        <f>PI()*5/8*25.4*5/8*25.4/4*3</f>
        <v>593.79782706738001</v>
      </c>
      <c r="DO57" s="77">
        <f>PI()*5/8*25.4*5/8*25.4/4*3</f>
        <v>593.79782706738001</v>
      </c>
      <c r="DP57" s="77">
        <f t="shared" ref="DP57:DT58" si="169">PI()*4/8*25.4*4/8*25.4/4*2</f>
        <v>253.35373954874885</v>
      </c>
      <c r="DQ57" s="77">
        <f t="shared" si="169"/>
        <v>253.35373954874885</v>
      </c>
      <c r="DR57" s="77">
        <f t="shared" si="169"/>
        <v>253.35373954874885</v>
      </c>
      <c r="DS57" s="77">
        <f t="shared" si="169"/>
        <v>253.35373954874885</v>
      </c>
      <c r="DT57" s="77">
        <f t="shared" si="169"/>
        <v>253.35373954874885</v>
      </c>
      <c r="DU57" s="77">
        <f>PI()*5/8*25.4*5/8*25.4/4*3</f>
        <v>593.79782706738001</v>
      </c>
      <c r="DV57" s="77">
        <f>PI()*5/8*25.4*5/8*25.4/4*3</f>
        <v>593.79782706738001</v>
      </c>
      <c r="DW57" s="77">
        <f>PI()*5/8*25.4*5/8*25.4/4*3</f>
        <v>593.79782706738001</v>
      </c>
      <c r="FA57" s="77">
        <f t="shared" si="160"/>
        <v>-347143.5758954584</v>
      </c>
      <c r="FB57" s="77">
        <f t="shared" si="164"/>
        <v>-123328.62605039659</v>
      </c>
      <c r="FC57" s="77">
        <f>IF(ABS(-$BV57*($BS57-CA57)/$BS57*$BX57)&gt;$BB57,$BB57*SIGN(-($BS57-CA57)),-$BV57*($BS57-CA57)/$BS57*$BX57)*DO57</f>
        <v>100486.32379466521</v>
      </c>
      <c r="FD57" s="77">
        <f t="shared" si="163"/>
        <v>138368.54341961691</v>
      </c>
      <c r="FE57" s="77">
        <f t="shared" si="163"/>
        <v>204203.11407629156</v>
      </c>
      <c r="FF57" s="77">
        <f t="shared" si="163"/>
        <v>204203.11407629156</v>
      </c>
      <c r="FG57" s="77">
        <f>IF(ABS(-$BV57*($BS57-CE57)/$BS57*$BX57)&gt;$BA57,$BA57*SIGN(-($BS57-CE57)),-$BV57*($BS57-CE57)/$BS57*$BX57)*DS57</f>
        <v>204203.11407629156</v>
      </c>
      <c r="FH57" s="77">
        <f>IF(ABS(-$BV57*($BS57-CF57)/$BS57*$BX57)&gt;$BA57,$BA57*SIGN(-($BS57-CF57)),-$BV57*($BS57-CF57)/$BS57*$BX57)*DT57</f>
        <v>204203.11407629156</v>
      </c>
      <c r="FI57" s="77">
        <f>IF(ABS(-$BV57*($BS57-CG57)/$BS57*$BX57)&gt;$BB57,$BB57*SIGN(-($BS57-CG57)),-$BV57*($BS57-CG57)/$BS57*$BX57)*DU57</f>
        <v>457224.3268418826</v>
      </c>
      <c r="FJ57" s="77">
        <f>IF(ABS(-$BV57*($BS57-CH57)/$BS57*$BX57)&gt;$BB57,$BB57*SIGN(-($BS57-CH57)),-$BV57*($BS57-CH57)/$BS57*$BX57)*DV57</f>
        <v>457224.3268418826</v>
      </c>
      <c r="FK57" s="77">
        <f>IF(ABS(-$BV57*($BS57-CI57)/$BS57*$BX57)&gt;$BB57,$BB57*SIGN(-($BS57-CI57)),-$BV57*($BS57-CI57)/$BS57*$BX57)*DW57</f>
        <v>457224.3268418826</v>
      </c>
      <c r="GO57" s="77">
        <f t="shared" si="154"/>
        <v>343880426.28204107</v>
      </c>
      <c r="GP57" s="77">
        <f t="shared" si="155"/>
        <v>106506601.4571225</v>
      </c>
      <c r="GQ57" s="77">
        <f t="shared" si="156"/>
        <v>-74018226.107150391</v>
      </c>
      <c r="GR57" s="77">
        <f t="shared" si="157"/>
        <v>-84349464.068598464</v>
      </c>
      <c r="GS57" s="77">
        <f t="shared" si="158"/>
        <v>-62241109.170453683</v>
      </c>
      <c r="GT57" s="77">
        <f t="shared" si="159"/>
        <v>-2.3215206292240005E-8</v>
      </c>
      <c r="GU57" s="77">
        <f t="shared" si="121"/>
        <v>62241109.170453615</v>
      </c>
      <c r="GV57" s="77">
        <f t="shared" si="165"/>
        <v>124482218.34090732</v>
      </c>
      <c r="GW57" s="77">
        <f t="shared" si="165"/>
        <v>336791439.15173066</v>
      </c>
      <c r="GX57" s="77">
        <f>FJ57*(CH57-0.5*$AO57)</f>
        <v>394858928.66064978</v>
      </c>
      <c r="GY57" s="77">
        <f>FK57*(CI57-0.5*$AO57)</f>
        <v>452926418.1695689</v>
      </c>
      <c r="IC57" s="82">
        <v>57</v>
      </c>
    </row>
    <row r="58" spans="1:237" s="77" customFormat="1">
      <c r="A58" s="77">
        <v>57</v>
      </c>
      <c r="B58" s="69">
        <v>88</v>
      </c>
      <c r="C58" s="69" t="s">
        <v>64</v>
      </c>
      <c r="D58" s="70" t="s">
        <v>68</v>
      </c>
      <c r="E58" s="70">
        <v>4</v>
      </c>
      <c r="F58" s="70">
        <v>0.11267518569493372</v>
      </c>
      <c r="G58" s="70"/>
      <c r="H58" s="70">
        <v>8.9074800000000006E-3</v>
      </c>
      <c r="I58" s="87">
        <f>(1.57+1.56)/2/100</f>
        <v>1.5650000000000001E-2</v>
      </c>
      <c r="J58" s="71">
        <v>1</v>
      </c>
      <c r="K58" s="72">
        <v>10</v>
      </c>
      <c r="L58" s="71">
        <v>9.2738095238095244E-2</v>
      </c>
      <c r="M58" s="71">
        <v>9.2738095238095244E-2</v>
      </c>
      <c r="N58" s="71">
        <v>0.55714285714285716</v>
      </c>
      <c r="O58" s="71">
        <v>0.1594642857142857</v>
      </c>
      <c r="P58" s="71">
        <v>0</v>
      </c>
      <c r="Q58" s="73" t="s">
        <v>3</v>
      </c>
      <c r="R58" s="74">
        <v>0</v>
      </c>
      <c r="S58" s="75">
        <f t="shared" si="45"/>
        <v>0.7302186616338201</v>
      </c>
      <c r="T58" s="59">
        <f t="shared" si="0"/>
        <v>1.0586433691315609</v>
      </c>
      <c r="U58" s="59">
        <f t="shared" si="1"/>
        <v>0.82153687010578258</v>
      </c>
      <c r="V58" s="59">
        <f t="shared" si="2"/>
        <v>0.9574365565773576</v>
      </c>
      <c r="W58" s="59">
        <f t="shared" si="3"/>
        <v>0.90439952159032899</v>
      </c>
      <c r="X58" s="59">
        <f t="shared" si="4"/>
        <v>1.1654212871226051</v>
      </c>
      <c r="Y58" s="76">
        <v>1954000</v>
      </c>
      <c r="Z58" s="57">
        <f t="shared" si="5"/>
        <v>2277233.1950375703</v>
      </c>
      <c r="AA58" s="57">
        <f t="shared" si="6"/>
        <v>1767196.6651875027</v>
      </c>
      <c r="AB58" s="57">
        <f t="shared" si="107"/>
        <v>3274414.6798947235</v>
      </c>
      <c r="AC58" s="57">
        <f t="shared" si="8"/>
        <v>0.25</v>
      </c>
      <c r="AD58" s="57">
        <f t="shared" si="9"/>
        <v>1.5</v>
      </c>
      <c r="AE58" s="57">
        <f t="shared" si="10"/>
        <v>0</v>
      </c>
      <c r="AF58" s="57">
        <f t="shared" si="11"/>
        <v>558226.15717574325</v>
      </c>
      <c r="AG58" s="57">
        <f t="shared" si="108"/>
        <v>1208970.5080117595</v>
      </c>
      <c r="AH58" s="57">
        <f t="shared" si="109"/>
        <v>3832477623.6192007</v>
      </c>
      <c r="AI58" s="57">
        <f t="shared" si="110"/>
        <v>2821133005.9268765</v>
      </c>
      <c r="AJ58" s="77">
        <v>0</v>
      </c>
      <c r="AK58" s="77">
        <v>42</v>
      </c>
      <c r="AL58" s="78">
        <f t="shared" si="15"/>
        <v>3.5886964873191838</v>
      </c>
      <c r="AM58" s="57">
        <f t="shared" si="16"/>
        <v>0.98947368421052628</v>
      </c>
      <c r="AN58" s="57">
        <f t="shared" si="17"/>
        <v>0.78947368421052633</v>
      </c>
      <c r="AO58" s="77">
        <f>80*25.4</f>
        <v>2032</v>
      </c>
      <c r="AP58" s="79">
        <f>10*25.4</f>
        <v>254</v>
      </c>
      <c r="AQ58" s="57">
        <f t="shared" si="46"/>
        <v>118.2299305191079</v>
      </c>
      <c r="AR58" s="57">
        <f t="shared" si="111"/>
        <v>1524</v>
      </c>
      <c r="AS58" s="57">
        <f t="shared" si="18"/>
        <v>1913.7700694808921</v>
      </c>
      <c r="AT58" s="77">
        <v>203.2</v>
      </c>
      <c r="AU58" s="77">
        <v>2032</v>
      </c>
      <c r="AV58" s="77">
        <f t="shared" si="48"/>
        <v>412902</v>
      </c>
      <c r="AW58" s="77">
        <v>0</v>
      </c>
      <c r="AX58" s="77">
        <f t="shared" si="19"/>
        <v>412902.39999999997</v>
      </c>
      <c r="AY58" s="77">
        <v>412902</v>
      </c>
      <c r="AZ58" s="77">
        <v>475</v>
      </c>
      <c r="BA58" s="77">
        <v>475</v>
      </c>
      <c r="BB58" s="77">
        <v>450</v>
      </c>
      <c r="BC58" s="77">
        <v>453</v>
      </c>
      <c r="BD58" s="77">
        <v>8.2000000000000007E-3</v>
      </c>
      <c r="BE58" s="77">
        <f>BD58</f>
        <v>8.2000000000000007E-3</v>
      </c>
      <c r="BF58" s="77">
        <v>5.1999999999999998E-2</v>
      </c>
      <c r="BG58" s="77">
        <f>PI()*3/8*3/8*2/(4*8*5)</f>
        <v>5.5223308363883082E-3</v>
      </c>
      <c r="BH58" s="79">
        <f>6*25.4</f>
        <v>152.39999999999998</v>
      </c>
      <c r="BI58" s="79">
        <f>PI()*4/8*25.4*4/8*25.4/4</f>
        <v>126.67686977437442</v>
      </c>
      <c r="BJ58" s="79">
        <v>2</v>
      </c>
      <c r="BK58" s="57">
        <f t="shared" si="112"/>
        <v>253.35373954874885</v>
      </c>
      <c r="BL58" s="57"/>
      <c r="BM58" s="80">
        <f>PI()*7/8*25.4*7/8*25.4/4</f>
        <v>387.94791368402161</v>
      </c>
      <c r="BN58" s="80">
        <v>9</v>
      </c>
      <c r="BO58" s="57">
        <f t="shared" si="113"/>
        <v>3491.5312231561948</v>
      </c>
      <c r="BP58" s="57">
        <f t="shared" si="24"/>
        <v>1870831.0315521567</v>
      </c>
      <c r="BQ58" s="77">
        <f t="shared" si="25"/>
        <v>0</v>
      </c>
      <c r="BR58" s="57">
        <f t="shared" si="114"/>
        <v>3801528656.1139822</v>
      </c>
      <c r="BS58" s="57">
        <v>236.45986103821579</v>
      </c>
      <c r="BT58" s="57">
        <f t="shared" si="49"/>
        <v>36.949766573295989</v>
      </c>
      <c r="BU58" s="57"/>
      <c r="BV58" s="57">
        <v>3.3E-3</v>
      </c>
      <c r="BW58" s="57">
        <v>30000</v>
      </c>
      <c r="BX58" s="57">
        <v>200000</v>
      </c>
      <c r="BY58" s="77">
        <f t="shared" si="130"/>
        <v>25.4</v>
      </c>
      <c r="BZ58" s="77">
        <f t="shared" si="161"/>
        <v>152.4</v>
      </c>
      <c r="CA58" s="77">
        <f t="shared" si="161"/>
        <v>279.39999999999998</v>
      </c>
      <c r="CB58" s="77">
        <f>CA58+5*25.4</f>
        <v>406.4</v>
      </c>
      <c r="CC58" s="77">
        <f>CB58+6*25.4*1</f>
        <v>558.79999999999995</v>
      </c>
      <c r="CD58" s="77">
        <f>CB58+6*25.4*2</f>
        <v>711.19999999999993</v>
      </c>
      <c r="CE58" s="77">
        <f>CB58+6*25.4*3</f>
        <v>863.59999999999991</v>
      </c>
      <c r="CF58" s="77">
        <f>CB58+6*25.4*4</f>
        <v>1015.9999999999999</v>
      </c>
      <c r="CG58" s="77">
        <f>CB58+6*25.4*5</f>
        <v>1168.3999999999999</v>
      </c>
      <c r="CH58" s="77">
        <f>CB58+6*25.4*6</f>
        <v>1320.7999999999997</v>
      </c>
      <c r="CI58" s="77">
        <f>CB58+6*25.4*7</f>
        <v>1473.1999999999998</v>
      </c>
      <c r="CJ58" s="77">
        <f>CB58+6*25.4*8</f>
        <v>1625.6</v>
      </c>
      <c r="CK58" s="77">
        <f>CJ58+5*25.4</f>
        <v>1752.6</v>
      </c>
      <c r="CL58" s="77">
        <f>CK58+5*25.4</f>
        <v>1879.6</v>
      </c>
      <c r="CM58" s="77">
        <f>CL58+5*25.4</f>
        <v>2006.6</v>
      </c>
      <c r="DM58" s="77">
        <f>PI()*7/8*25.4*7/8*25.4/4*3</f>
        <v>1163.8437410520648</v>
      </c>
      <c r="DN58" s="77">
        <f>PI()*7/8*25.4*7/8*25.4/4*3</f>
        <v>1163.8437410520648</v>
      </c>
      <c r="DO58" s="77">
        <f>PI()*7/8*25.4*7/8*25.4/4*3</f>
        <v>1163.8437410520648</v>
      </c>
      <c r="DP58" s="77">
        <f t="shared" si="169"/>
        <v>253.35373954874885</v>
      </c>
      <c r="DQ58" s="77">
        <f t="shared" si="169"/>
        <v>253.35373954874885</v>
      </c>
      <c r="DR58" s="77">
        <f t="shared" si="169"/>
        <v>253.35373954874885</v>
      </c>
      <c r="DS58" s="77">
        <f t="shared" si="169"/>
        <v>253.35373954874885</v>
      </c>
      <c r="DT58" s="77">
        <f t="shared" si="169"/>
        <v>253.35373954874885</v>
      </c>
      <c r="DU58" s="77">
        <f>PI()*4/8*25.4*4/8*25.4/4*2</f>
        <v>253.35373954874885</v>
      </c>
      <c r="DV58" s="77">
        <f>PI()*4/8*25.4*4/8*25.4/4*2</f>
        <v>253.35373954874885</v>
      </c>
      <c r="DW58" s="77">
        <f>PI()*4/8*25.4*4/8*25.4/4*2</f>
        <v>253.35373954874885</v>
      </c>
      <c r="DX58" s="77">
        <f>PI()*4/8*25.4*4/8*25.4/4*2</f>
        <v>253.35373954874885</v>
      </c>
      <c r="DY58" s="77">
        <f>PI()*7/8*25.4*7/8*25.4/4*3</f>
        <v>1163.8437410520648</v>
      </c>
      <c r="DZ58" s="77">
        <f>PI()*7/8*25.4*7/8*25.4/4*3</f>
        <v>1163.8437410520648</v>
      </c>
      <c r="EA58" s="77">
        <f>PI()*7/8*25.4*7/8*25.4/4*3</f>
        <v>1163.8437410520648</v>
      </c>
      <c r="FA58" s="77">
        <f t="shared" si="160"/>
        <v>-523729.68347342918</v>
      </c>
      <c r="FB58" s="77">
        <f t="shared" si="164"/>
        <v>-273067.39584003564</v>
      </c>
      <c r="FC58" s="77">
        <f>IF(ABS(-$BV58*($BS58-CA58)/$BS58*$BX58)&gt;$BB58,$BB58*SIGN(-($BS58-CA58)),-$BV58*($BS58-CA58)/$BS58*$BX58)*DO58</f>
        <v>139490.49853857027</v>
      </c>
      <c r="FD58" s="77">
        <f t="shared" si="163"/>
        <v>120173.79981870504</v>
      </c>
      <c r="FE58" s="77">
        <f t="shared" si="163"/>
        <v>120343.02628565571</v>
      </c>
      <c r="FF58" s="77">
        <f t="shared" si="163"/>
        <v>120343.02628565571</v>
      </c>
      <c r="FG58" s="77">
        <f>IF(ABS(-$BV58*($BS58-CE58)/$BS58*$BX58)&gt;$BA58,$BA58*SIGN(-($BS58-CE58)),-$BV58*($BS58-CE58)/$BS58*$BX58)*DS58</f>
        <v>120343.02628565571</v>
      </c>
      <c r="FH58" s="77">
        <f>IF(ABS(-$BV58*($BS58-CF58)/$BS58*$BX58)&gt;$BA58,$BA58*SIGN(-($BS58-CF58)),-$BV58*($BS58-CF58)/$BS58*$BX58)*DT58</f>
        <v>120343.02628565571</v>
      </c>
      <c r="FI58" s="77">
        <f>IF(ABS(-$BV58*($BS58-CG58)/$BS58*$BX58)&gt;$BA58,$BA58*SIGN(-($BS58-CG58)),-$BV58*($BS58-CG58)/$BS58*$BX58)*DU58</f>
        <v>120343.02628565571</v>
      </c>
      <c r="FJ58" s="77">
        <f>IF(ABS(-$BV58*($BS58-CH58)/$BS58*$BX58)&gt;$BA58,$BA58*SIGN(-($BS58-CH58)),-$BV58*($BS58-CH58)/$BS58*$BX58)*DV58</f>
        <v>120343.02628565571</v>
      </c>
      <c r="FK58" s="77">
        <f>IF(ABS(-$BV58*($BS58-CI58)/$BS58*$BX58)&gt;$BA58,$BA58*SIGN(-($BS58-CI58)),-$BV58*($BS58-CI58)/$BS58*$BX58)*DW58</f>
        <v>120343.02628565571</v>
      </c>
      <c r="FL58" s="77">
        <f>IF(ABS(-$BV58*($BS58-CJ58)/$BS58*$BX58)&gt;$BA58,$BA58*SIGN(-($BS58-CJ58)),-$BV58*($BS58-CJ58)/$BS58*$BX58)*DX58</f>
        <v>120343.02628565571</v>
      </c>
      <c r="FM58" s="77">
        <f>IF(ABS(-$BV58*($BS58-CK58)/$BS58*$BX58)&gt;$BB58,$BB58*SIGN(-($BS58-CK58)),-$BV58*($BS58-CK58)/$BS58*$BX58)*DY58</f>
        <v>523729.68347342918</v>
      </c>
      <c r="FN58" s="77">
        <f>IF(ABS(-$BV58*($BS58-CL58)/$BS58*$BX58)&gt;$BB58,$BB58*SIGN(-($BS58-CL58)),-$BV58*($BS58-CL58)/$BS58*$BX58)*DZ58</f>
        <v>523729.68347342918</v>
      </c>
      <c r="FO58" s="77">
        <f>IF(ABS(-$BV58*($BS58-CM58)/$BS58*$BX58)&gt;$BB58,$BB58*SIGN(-($BS58-CM58)),-$BV58*($BS58-CM58)/$BS58*$BX58)*EA58</f>
        <v>523729.68347342918</v>
      </c>
      <c r="GO58" s="77">
        <f t="shared" si="154"/>
        <v>518806624.44877893</v>
      </c>
      <c r="GP58" s="77">
        <f t="shared" si="155"/>
        <v>235821003.04745477</v>
      </c>
      <c r="GQ58" s="77">
        <f t="shared" si="156"/>
        <v>-102748701.22351086</v>
      </c>
      <c r="GR58" s="77">
        <f t="shared" si="157"/>
        <v>-73257948.369482592</v>
      </c>
      <c r="GS58" s="77">
        <f t="shared" si="158"/>
        <v>-55020831.617801793</v>
      </c>
      <c r="GT58" s="77">
        <f t="shared" si="159"/>
        <v>-36680554.411867872</v>
      </c>
      <c r="GU58" s="77">
        <f t="shared" si="121"/>
        <v>-18340277.20593394</v>
      </c>
      <c r="GV58" s="77">
        <f t="shared" si="165"/>
        <v>-1.3681418100265513E-8</v>
      </c>
      <c r="GW58" s="77">
        <f t="shared" si="165"/>
        <v>18340277.205933914</v>
      </c>
      <c r="GX58" s="77">
        <f>FJ58*(CH58-0.5*$AO58)</f>
        <v>36680554.411867827</v>
      </c>
      <c r="GY58" s="77">
        <f>FK58*(CI58-0.5*$AO58)</f>
        <v>55020831.617801771</v>
      </c>
      <c r="GZ58" s="77">
        <f>FL58*(CJ58-0.5*$AO58)</f>
        <v>73361108.823735714</v>
      </c>
      <c r="HA58" s="77">
        <f>FM58*(CK58-0.5*$AO58)</f>
        <v>385779284.84652787</v>
      </c>
      <c r="HB58" s="77">
        <f>FN58*(CL58-0.5*$AO58)</f>
        <v>452292954.6476534</v>
      </c>
      <c r="HC58" s="77">
        <f>FO58*(CM58-0.5*$AO58)</f>
        <v>518806624.44877887</v>
      </c>
      <c r="IC58" s="82">
        <v>58</v>
      </c>
    </row>
    <row r="59" spans="1:237" s="77" customFormat="1">
      <c r="A59" s="77">
        <v>58</v>
      </c>
      <c r="B59" s="69">
        <v>89</v>
      </c>
      <c r="C59" s="69" t="s">
        <v>70</v>
      </c>
      <c r="D59" s="70" t="s">
        <v>69</v>
      </c>
      <c r="E59" s="70">
        <v>1</v>
      </c>
      <c r="F59" s="70">
        <v>7.5234619395203345E-2</v>
      </c>
      <c r="G59" s="70">
        <v>6.2857140000000004E-3</v>
      </c>
      <c r="H59" s="70">
        <v>1.7999999999999999E-2</v>
      </c>
      <c r="I59" s="70">
        <v>1.7999999999999999E-2</v>
      </c>
      <c r="J59" s="71">
        <v>2.5</v>
      </c>
      <c r="K59" s="72">
        <v>7</v>
      </c>
      <c r="L59" s="71">
        <v>0.11709197080291972</v>
      </c>
      <c r="M59" s="71">
        <v>9.777956204379562E-2</v>
      </c>
      <c r="N59" s="71">
        <v>7.7058394160583937E-2</v>
      </c>
      <c r="O59" s="71">
        <v>0</v>
      </c>
      <c r="P59" s="71">
        <v>0.14984358706986445</v>
      </c>
      <c r="Q59" s="73" t="s">
        <v>3</v>
      </c>
      <c r="R59" s="74">
        <v>0</v>
      </c>
      <c r="S59" s="75">
        <f t="shared" si="45"/>
        <v>0.3938156852917698</v>
      </c>
      <c r="T59" s="59">
        <f t="shared" si="0"/>
        <v>0.60130658144885818</v>
      </c>
      <c r="U59" s="59">
        <f t="shared" si="1"/>
        <v>0.46191713908193494</v>
      </c>
      <c r="V59" s="59">
        <f t="shared" si="2"/>
        <v>0.79472950327967329</v>
      </c>
      <c r="W59" s="59">
        <f t="shared" si="3"/>
        <v>1.3216710539983771</v>
      </c>
      <c r="X59" s="59">
        <f t="shared" si="4"/>
        <v>1.7205023066673957</v>
      </c>
      <c r="Y59" s="76">
        <v>144300</v>
      </c>
      <c r="Z59" s="57">
        <f t="shared" si="5"/>
        <v>248268.4828521052</v>
      </c>
      <c r="AA59" s="57">
        <f t="shared" si="6"/>
        <v>190717.13309196581</v>
      </c>
      <c r="AB59" s="57">
        <f t="shared" si="107"/>
        <v>118807.44399458502</v>
      </c>
      <c r="AC59" s="57">
        <f t="shared" si="8"/>
        <v>0.17</v>
      </c>
      <c r="AD59" s="57">
        <f t="shared" si="9"/>
        <v>2.2000000000000002</v>
      </c>
      <c r="AE59" s="57">
        <f t="shared" si="10"/>
        <v>287400</v>
      </c>
      <c r="AF59" s="57">
        <f t="shared" si="11"/>
        <v>58450.914516298173</v>
      </c>
      <c r="AG59" s="57">
        <f t="shared" si="108"/>
        <v>132266.21857566765</v>
      </c>
      <c r="AH59" s="57">
        <f t="shared" si="109"/>
        <v>127638840.56180826</v>
      </c>
      <c r="AI59" s="57">
        <f t="shared" si="110"/>
        <v>80274186.428715527</v>
      </c>
      <c r="AJ59" s="77">
        <v>287400</v>
      </c>
      <c r="AK59" s="77">
        <v>27.4</v>
      </c>
      <c r="AL59" s="78">
        <f t="shared" si="15"/>
        <v>2.8373468518132152</v>
      </c>
      <c r="AM59" s="57">
        <f t="shared" si="16"/>
        <v>1</v>
      </c>
      <c r="AN59" s="57">
        <f t="shared" si="17"/>
        <v>0.8</v>
      </c>
      <c r="AO59" s="77">
        <v>700</v>
      </c>
      <c r="AP59" s="79">
        <f>20+60</f>
        <v>80</v>
      </c>
      <c r="AQ59" s="57">
        <f t="shared" si="46"/>
        <v>77.706019334816304</v>
      </c>
      <c r="AR59" s="57">
        <f t="shared" si="111"/>
        <v>540</v>
      </c>
      <c r="AS59" s="57">
        <f t="shared" si="18"/>
        <v>622.29398066518365</v>
      </c>
      <c r="AT59" s="77">
        <v>100</v>
      </c>
      <c r="AU59" s="77">
        <v>1750</v>
      </c>
      <c r="AV59" s="77">
        <f t="shared" si="48"/>
        <v>70000</v>
      </c>
      <c r="AW59" s="77">
        <v>0</v>
      </c>
      <c r="AX59" s="77">
        <f t="shared" si="19"/>
        <v>70000</v>
      </c>
      <c r="AY59" s="77">
        <v>70000</v>
      </c>
      <c r="AZ59" s="77">
        <v>608.9</v>
      </c>
      <c r="BA59" s="77">
        <v>445.6</v>
      </c>
      <c r="BB59" s="77">
        <v>469.2</v>
      </c>
      <c r="BC59" s="77">
        <v>0</v>
      </c>
      <c r="BD59" s="77">
        <v>7.1999999999999998E-3</v>
      </c>
      <c r="BE59" s="77">
        <f>PI()*5*5*2/(4*100*90)</f>
        <v>4.3633231299858239E-3</v>
      </c>
      <c r="BF59" s="77">
        <v>4.4999999999999997E-3</v>
      </c>
      <c r="BG59" s="77">
        <v>0</v>
      </c>
      <c r="BH59" s="79">
        <v>90</v>
      </c>
      <c r="BI59" s="79">
        <f>PI()*5*5/4</f>
        <v>19.634954084936208</v>
      </c>
      <c r="BJ59" s="79">
        <v>2</v>
      </c>
      <c r="BK59" s="57">
        <f t="shared" si="112"/>
        <v>39.269908169872416</v>
      </c>
      <c r="BL59" s="57"/>
      <c r="BM59" s="80">
        <f>PI()*10*10/4</f>
        <v>78.539816339744831</v>
      </c>
      <c r="BN59" s="80">
        <v>4</v>
      </c>
      <c r="BO59" s="57">
        <f t="shared" si="113"/>
        <v>314.15926535897933</v>
      </c>
      <c r="BP59" s="57">
        <f t="shared" si="24"/>
        <v>114679.46732325686</v>
      </c>
      <c r="BQ59" s="77">
        <f t="shared" si="25"/>
        <v>4.3655745685100555E-10</v>
      </c>
      <c r="BR59" s="57">
        <f t="shared" si="114"/>
        <v>200689067.81569952</v>
      </c>
      <c r="BS59" s="57">
        <v>155.41203866963261</v>
      </c>
      <c r="BT59" s="57">
        <f t="shared" si="49"/>
        <v>157.34902228840662</v>
      </c>
      <c r="BU59" s="57"/>
      <c r="BV59" s="57">
        <v>3.3E-3</v>
      </c>
      <c r="BW59" s="57">
        <v>30000</v>
      </c>
      <c r="BX59" s="57">
        <v>200000</v>
      </c>
      <c r="BY59" s="77">
        <f>20</f>
        <v>20</v>
      </c>
      <c r="BZ59" s="77">
        <f>BY59+60</f>
        <v>80</v>
      </c>
      <c r="CA59" s="77">
        <f t="shared" ref="CA59:CD61" si="170">BZ59+135</f>
        <v>215</v>
      </c>
      <c r="CB59" s="77">
        <f t="shared" si="170"/>
        <v>350</v>
      </c>
      <c r="CC59" s="77">
        <f t="shared" si="170"/>
        <v>485</v>
      </c>
      <c r="CD59" s="77">
        <f t="shared" si="170"/>
        <v>620</v>
      </c>
      <c r="CE59" s="77">
        <f>CD59+60</f>
        <v>680</v>
      </c>
      <c r="DM59" s="77">
        <f t="shared" ref="DM59:DN61" si="171">PI()*10*10/4*2</f>
        <v>157.07963267948966</v>
      </c>
      <c r="DN59" s="77">
        <f t="shared" si="171"/>
        <v>157.07963267948966</v>
      </c>
      <c r="DO59" s="77">
        <f t="shared" ref="DO59:DQ61" si="172">PI()*8*8/4*2</f>
        <v>100.53096491487338</v>
      </c>
      <c r="DP59" s="77">
        <f t="shared" si="172"/>
        <v>100.53096491487338</v>
      </c>
      <c r="DQ59" s="77">
        <f t="shared" si="172"/>
        <v>100.53096491487338</v>
      </c>
      <c r="DR59" s="77">
        <f t="shared" ref="DR59:DS61" si="173">PI()*10*10/4*2</f>
        <v>157.07963267948966</v>
      </c>
      <c r="DS59" s="77">
        <f t="shared" si="173"/>
        <v>157.07963267948966</v>
      </c>
      <c r="FA59" s="77">
        <f t="shared" si="160"/>
        <v>-73701.763653216549</v>
      </c>
      <c r="FB59" s="77">
        <f t="shared" si="164"/>
        <v>-50306.005810477283</v>
      </c>
      <c r="FC59" s="77">
        <f t="shared" ref="FC59:FE61" si="174">IF(ABS(-$BV59*($BS59-CA59)/$BS59*$BX59)&gt;$BA59,$BA59*SIGN(-($BS59-CA59)),-$BV59*($BS59-CA59)/$BS59*$BX59)*DO59</f>
        <v>25440.032179919308</v>
      </c>
      <c r="FD59" s="77">
        <f t="shared" si="174"/>
        <v>44796.59796606758</v>
      </c>
      <c r="FE59" s="77">
        <f t="shared" si="174"/>
        <v>44796.59796606758</v>
      </c>
      <c r="FF59" s="77">
        <f t="shared" ref="FF59:FG61" si="175">IF(ABS(-$BV59*($BS59-CD59)/$BS59*$BX59)&gt;$BB59,$BB59*SIGN(-($BS59-CD59)),-$BV59*($BS59-CD59)/$BS59*$BX59)*DR59</f>
        <v>73701.763653216549</v>
      </c>
      <c r="FG59" s="77">
        <f t="shared" si="175"/>
        <v>73701.763653216549</v>
      </c>
      <c r="GO59" s="77">
        <f t="shared" si="154"/>
        <v>24321582.00556146</v>
      </c>
      <c r="GP59" s="77">
        <f t="shared" si="155"/>
        <v>13582621.568828866</v>
      </c>
      <c r="GQ59" s="77">
        <f t="shared" si="156"/>
        <v>-3434404.3442891068</v>
      </c>
      <c r="GR59" s="77">
        <f t="shared" si="157"/>
        <v>0</v>
      </c>
      <c r="GS59" s="77">
        <f t="shared" si="158"/>
        <v>6047540.7254191237</v>
      </c>
      <c r="GT59" s="77">
        <f t="shared" si="159"/>
        <v>19899476.186368469</v>
      </c>
      <c r="GU59" s="77">
        <f t="shared" si="121"/>
        <v>24321582.00556146</v>
      </c>
      <c r="IC59" s="82">
        <v>59</v>
      </c>
    </row>
    <row r="60" spans="1:237" s="77" customFormat="1">
      <c r="A60" s="77">
        <v>59</v>
      </c>
      <c r="B60" s="69">
        <v>90</v>
      </c>
      <c r="C60" s="69" t="s">
        <v>70</v>
      </c>
      <c r="D60" s="70" t="s">
        <v>71</v>
      </c>
      <c r="E60" s="70">
        <v>1</v>
      </c>
      <c r="F60" s="70">
        <v>8.6548488008342028E-2</v>
      </c>
      <c r="G60" s="70">
        <v>2.8571429999999999E-3</v>
      </c>
      <c r="H60" s="70">
        <v>1.7999999999999999E-2</v>
      </c>
      <c r="I60" s="70">
        <v>1.7999999999999999E-2</v>
      </c>
      <c r="J60" s="71">
        <v>2.5</v>
      </c>
      <c r="K60" s="72">
        <v>7</v>
      </c>
      <c r="L60" s="71">
        <v>0.11709197080291972</v>
      </c>
      <c r="M60" s="71">
        <v>9.777956204379562E-2</v>
      </c>
      <c r="N60" s="71">
        <v>7.7058394160583937E-2</v>
      </c>
      <c r="O60" s="71">
        <v>0</v>
      </c>
      <c r="P60" s="71">
        <v>0.2497393117831074</v>
      </c>
      <c r="Q60" s="73" t="s">
        <v>3</v>
      </c>
      <c r="R60" s="74">
        <v>0</v>
      </c>
      <c r="S60" s="75">
        <f t="shared" si="45"/>
        <v>0.45303814108408724</v>
      </c>
      <c r="T60" s="59">
        <f t="shared" si="0"/>
        <v>0.70635210287193795</v>
      </c>
      <c r="U60" s="59">
        <f t="shared" si="1"/>
        <v>0.53662934930879325</v>
      </c>
      <c r="V60" s="59">
        <f t="shared" si="2"/>
        <v>0.80257924341449705</v>
      </c>
      <c r="W60" s="59">
        <f t="shared" si="3"/>
        <v>1.1362311234741311</v>
      </c>
      <c r="X60" s="59">
        <f t="shared" si="4"/>
        <v>1.4955932701934047</v>
      </c>
      <c r="Y60" s="76">
        <v>166000</v>
      </c>
      <c r="Z60" s="57">
        <f t="shared" si="5"/>
        <v>248268.4828521052</v>
      </c>
      <c r="AA60" s="57">
        <f t="shared" si="6"/>
        <v>188614.36649670577</v>
      </c>
      <c r="AB60" s="57">
        <f t="shared" si="107"/>
        <v>110645.39023288053</v>
      </c>
      <c r="AC60" s="57">
        <f t="shared" si="8"/>
        <v>0.17</v>
      </c>
      <c r="AD60" s="57">
        <f t="shared" si="9"/>
        <v>2.2000000000000002</v>
      </c>
      <c r="AE60" s="57">
        <f t="shared" si="10"/>
        <v>383600</v>
      </c>
      <c r="AF60" s="57">
        <f t="shared" si="11"/>
        <v>62254.532988515755</v>
      </c>
      <c r="AG60" s="57">
        <f t="shared" si="108"/>
        <v>126359.83350819001</v>
      </c>
      <c r="AH60" s="57">
        <f t="shared" si="109"/>
        <v>121547554.85883676</v>
      </c>
      <c r="AI60" s="57">
        <f t="shared" si="110"/>
        <v>72081878.048704177</v>
      </c>
      <c r="AJ60" s="77">
        <v>479000</v>
      </c>
      <c r="AK60" s="77">
        <v>27.4</v>
      </c>
      <c r="AL60" s="78">
        <f t="shared" si="15"/>
        <v>2.8373468518132152</v>
      </c>
      <c r="AM60" s="57">
        <f t="shared" si="16"/>
        <v>1</v>
      </c>
      <c r="AN60" s="57">
        <f t="shared" si="17"/>
        <v>0.8</v>
      </c>
      <c r="AO60" s="77">
        <v>700</v>
      </c>
      <c r="AP60" s="79">
        <f>20+60</f>
        <v>80</v>
      </c>
      <c r="AQ60" s="57">
        <f t="shared" si="46"/>
        <v>105.49473148340894</v>
      </c>
      <c r="AR60" s="57">
        <f t="shared" si="111"/>
        <v>540</v>
      </c>
      <c r="AS60" s="57">
        <f t="shared" si="18"/>
        <v>594.50526851659106</v>
      </c>
      <c r="AT60" s="77">
        <v>100</v>
      </c>
      <c r="AU60" s="77">
        <v>1750</v>
      </c>
      <c r="AV60" s="77">
        <f t="shared" si="48"/>
        <v>70000</v>
      </c>
      <c r="AW60" s="77">
        <v>0</v>
      </c>
      <c r="AX60" s="77">
        <f t="shared" si="19"/>
        <v>70000</v>
      </c>
      <c r="AY60" s="77">
        <v>70000</v>
      </c>
      <c r="AZ60" s="77">
        <v>608.9</v>
      </c>
      <c r="BA60" s="77">
        <v>445.6</v>
      </c>
      <c r="BB60" s="77">
        <v>469.2</v>
      </c>
      <c r="BC60" s="77">
        <v>0</v>
      </c>
      <c r="BD60" s="77">
        <v>7.1999999999999998E-3</v>
      </c>
      <c r="BE60" s="77">
        <f>PI()*5*5*2/(4*100*90)</f>
        <v>4.3633231299858239E-3</v>
      </c>
      <c r="BF60" s="77">
        <v>4.4999999999999997E-3</v>
      </c>
      <c r="BG60" s="77">
        <v>0</v>
      </c>
      <c r="BH60" s="79">
        <v>90</v>
      </c>
      <c r="BI60" s="79">
        <f>PI()*5*5/4</f>
        <v>19.634954084936208</v>
      </c>
      <c r="BJ60" s="79">
        <v>2</v>
      </c>
      <c r="BK60" s="57">
        <f t="shared" si="112"/>
        <v>39.269908169872416</v>
      </c>
      <c r="BL60" s="57"/>
      <c r="BM60" s="80">
        <f>PI()*10*10/4</f>
        <v>78.539816339744831</v>
      </c>
      <c r="BN60" s="80">
        <v>4</v>
      </c>
      <c r="BO60" s="57">
        <f t="shared" si="113"/>
        <v>314.15926535897933</v>
      </c>
      <c r="BP60" s="57">
        <f t="shared" si="24"/>
        <v>133228.15440680651</v>
      </c>
      <c r="BQ60" s="77">
        <f t="shared" si="25"/>
        <v>3.2014213502407074E-10</v>
      </c>
      <c r="BR60" s="57">
        <f t="shared" si="114"/>
        <v>233149270.21191141</v>
      </c>
      <c r="BS60" s="57">
        <v>210.98946296681788</v>
      </c>
      <c r="BT60" s="57">
        <f t="shared" si="49"/>
        <v>205.69968594326875</v>
      </c>
      <c r="BU60" s="57"/>
      <c r="BV60" s="57">
        <v>3.3E-3</v>
      </c>
      <c r="BW60" s="57">
        <v>30000</v>
      </c>
      <c r="BX60" s="57">
        <v>200000</v>
      </c>
      <c r="BY60" s="77">
        <f>20</f>
        <v>20</v>
      </c>
      <c r="BZ60" s="77">
        <f>BY60+60</f>
        <v>80</v>
      </c>
      <c r="CA60" s="77">
        <f t="shared" si="170"/>
        <v>215</v>
      </c>
      <c r="CB60" s="77">
        <f t="shared" si="170"/>
        <v>350</v>
      </c>
      <c r="CC60" s="77">
        <f t="shared" si="170"/>
        <v>485</v>
      </c>
      <c r="CD60" s="77">
        <f t="shared" si="170"/>
        <v>620</v>
      </c>
      <c r="CE60" s="77">
        <f>CD60+60</f>
        <v>680</v>
      </c>
      <c r="DM60" s="77">
        <f t="shared" si="171"/>
        <v>157.07963267948966</v>
      </c>
      <c r="DN60" s="77">
        <f t="shared" si="171"/>
        <v>157.07963267948966</v>
      </c>
      <c r="DO60" s="77">
        <f t="shared" si="172"/>
        <v>100.53096491487338</v>
      </c>
      <c r="DP60" s="77">
        <f t="shared" si="172"/>
        <v>100.53096491487338</v>
      </c>
      <c r="DQ60" s="77">
        <f t="shared" si="172"/>
        <v>100.53096491487338</v>
      </c>
      <c r="DR60" s="77">
        <f t="shared" si="173"/>
        <v>157.07963267948966</v>
      </c>
      <c r="DS60" s="77">
        <f t="shared" si="173"/>
        <v>157.07963267948966</v>
      </c>
      <c r="FA60" s="77">
        <f t="shared" si="160"/>
        <v>-73701.763653216549</v>
      </c>
      <c r="FB60" s="77">
        <f t="shared" si="164"/>
        <v>-64363.463697830353</v>
      </c>
      <c r="FC60" s="77">
        <f t="shared" si="174"/>
        <v>1261.2046136720412</v>
      </c>
      <c r="FD60" s="77">
        <f t="shared" si="174"/>
        <v>43715.025993955496</v>
      </c>
      <c r="FE60" s="77">
        <f t="shared" si="174"/>
        <v>44796.59796606758</v>
      </c>
      <c r="FF60" s="77">
        <f t="shared" si="175"/>
        <v>73701.763653216549</v>
      </c>
      <c r="FG60" s="77">
        <f t="shared" si="175"/>
        <v>73701.763653216549</v>
      </c>
      <c r="GO60" s="77">
        <f t="shared" si="154"/>
        <v>24321582.00556146</v>
      </c>
      <c r="GP60" s="77">
        <f t="shared" si="155"/>
        <v>17378135.198414195</v>
      </c>
      <c r="GQ60" s="77">
        <f t="shared" si="156"/>
        <v>-170262.62284572556</v>
      </c>
      <c r="GR60" s="77">
        <f t="shared" si="157"/>
        <v>0</v>
      </c>
      <c r="GS60" s="77">
        <f t="shared" si="158"/>
        <v>6047540.7254191237</v>
      </c>
      <c r="GT60" s="77">
        <f t="shared" si="159"/>
        <v>19899476.186368469</v>
      </c>
      <c r="GU60" s="77">
        <f t="shared" si="121"/>
        <v>24321582.00556146</v>
      </c>
      <c r="IC60" s="82">
        <v>60</v>
      </c>
    </row>
    <row r="61" spans="1:237" s="77" customFormat="1">
      <c r="A61" s="77">
        <v>60</v>
      </c>
      <c r="B61" s="69">
        <v>91</v>
      </c>
      <c r="C61" s="69" t="s">
        <v>70</v>
      </c>
      <c r="D61" s="70" t="s">
        <v>72</v>
      </c>
      <c r="E61" s="70">
        <v>1</v>
      </c>
      <c r="F61" s="70">
        <v>9.6767466110531802E-2</v>
      </c>
      <c r="G61" s="70">
        <v>2.8571429999999999E-3</v>
      </c>
      <c r="H61" s="70">
        <v>1.2E-2</v>
      </c>
      <c r="I61" s="70">
        <v>1.2E-2</v>
      </c>
      <c r="J61" s="71">
        <v>2.5</v>
      </c>
      <c r="K61" s="72">
        <v>7</v>
      </c>
      <c r="L61" s="71">
        <v>0.11709197080291972</v>
      </c>
      <c r="M61" s="71">
        <v>9.777956204379562E-2</v>
      </c>
      <c r="N61" s="71">
        <v>7.7058394160583937E-2</v>
      </c>
      <c r="O61" s="71">
        <v>0</v>
      </c>
      <c r="P61" s="71">
        <v>0.35015641293013555</v>
      </c>
      <c r="Q61" s="73" t="s">
        <v>3</v>
      </c>
      <c r="R61" s="74">
        <v>0</v>
      </c>
      <c r="S61" s="75">
        <f t="shared" si="45"/>
        <v>0.50652939147714815</v>
      </c>
      <c r="T61" s="59">
        <f t="shared" si="0"/>
        <v>0.80095819669869606</v>
      </c>
      <c r="U61" s="59">
        <f t="shared" si="1"/>
        <v>0.58411778202322051</v>
      </c>
      <c r="V61" s="59">
        <f t="shared" si="2"/>
        <v>0.78134717429871581</v>
      </c>
      <c r="W61" s="59">
        <f t="shared" si="3"/>
        <v>0.97551554815118835</v>
      </c>
      <c r="X61" s="59">
        <f t="shared" si="4"/>
        <v>1.3376534636428081</v>
      </c>
      <c r="Y61" s="76">
        <v>185600</v>
      </c>
      <c r="Z61" s="57">
        <f t="shared" si="5"/>
        <v>248268.4828521052</v>
      </c>
      <c r="AA61" s="57">
        <f t="shared" si="6"/>
        <v>181055.68573686056</v>
      </c>
      <c r="AB61" s="57">
        <f t="shared" si="107"/>
        <v>102696.71505956653</v>
      </c>
      <c r="AC61" s="57">
        <f t="shared" si="8"/>
        <v>0.17</v>
      </c>
      <c r="AD61" s="57">
        <f t="shared" si="9"/>
        <v>2.2000000000000002</v>
      </c>
      <c r="AE61" s="57">
        <f t="shared" si="10"/>
        <v>383600</v>
      </c>
      <c r="AF61" s="57">
        <f t="shared" si="11"/>
        <v>60447.828106380002</v>
      </c>
      <c r="AG61" s="57">
        <f t="shared" si="108"/>
        <v>120607.85763048056</v>
      </c>
      <c r="AH61" s="57">
        <f t="shared" si="109"/>
        <v>115615512.15802258</v>
      </c>
      <c r="AI61" s="57">
        <f t="shared" si="110"/>
        <v>64103739.196218863</v>
      </c>
      <c r="AJ61" s="77">
        <v>671600</v>
      </c>
      <c r="AK61" s="77">
        <v>27.4</v>
      </c>
      <c r="AL61" s="78">
        <f t="shared" si="15"/>
        <v>2.8373468518132152</v>
      </c>
      <c r="AM61" s="57">
        <f t="shared" si="16"/>
        <v>1</v>
      </c>
      <c r="AN61" s="57">
        <f t="shared" si="17"/>
        <v>0.8</v>
      </c>
      <c r="AO61" s="77">
        <v>700</v>
      </c>
      <c r="AP61" s="79">
        <f>20+60</f>
        <v>80</v>
      </c>
      <c r="AQ61" s="57">
        <f t="shared" si="46"/>
        <v>132.55697008201375</v>
      </c>
      <c r="AR61" s="57">
        <f t="shared" si="111"/>
        <v>540</v>
      </c>
      <c r="AS61" s="57">
        <f t="shared" si="18"/>
        <v>567.44302991798622</v>
      </c>
      <c r="AT61" s="77">
        <v>100</v>
      </c>
      <c r="AU61" s="77">
        <v>1750</v>
      </c>
      <c r="AV61" s="77">
        <f t="shared" si="48"/>
        <v>70000</v>
      </c>
      <c r="AW61" s="77">
        <v>0</v>
      </c>
      <c r="AX61" s="77">
        <f t="shared" si="19"/>
        <v>70000</v>
      </c>
      <c r="AY61" s="77">
        <v>70000</v>
      </c>
      <c r="AZ61" s="77">
        <v>608.9</v>
      </c>
      <c r="BA61" s="77">
        <v>445.6</v>
      </c>
      <c r="BB61" s="77">
        <v>469.2</v>
      </c>
      <c r="BC61" s="77">
        <v>0</v>
      </c>
      <c r="BD61" s="77">
        <v>7.1999999999999998E-3</v>
      </c>
      <c r="BE61" s="77">
        <f>PI()*5*5*2/(4*100*90)</f>
        <v>4.3633231299858239E-3</v>
      </c>
      <c r="BF61" s="77">
        <v>4.4999999999999997E-3</v>
      </c>
      <c r="BG61" s="77">
        <v>0</v>
      </c>
      <c r="BH61" s="79">
        <v>90</v>
      </c>
      <c r="BI61" s="79">
        <f>PI()*5*5/4</f>
        <v>19.634954084936208</v>
      </c>
      <c r="BJ61" s="79">
        <v>2</v>
      </c>
      <c r="BK61" s="57">
        <f t="shared" si="112"/>
        <v>39.269908169872416</v>
      </c>
      <c r="BL61" s="57"/>
      <c r="BM61" s="80">
        <f>PI()*10*10/4</f>
        <v>78.539816339744831</v>
      </c>
      <c r="BN61" s="80">
        <v>4</v>
      </c>
      <c r="BO61" s="57">
        <f t="shared" si="113"/>
        <v>314.15926535897933</v>
      </c>
      <c r="BP61" s="57">
        <f t="shared" si="24"/>
        <v>145018.03554984165</v>
      </c>
      <c r="BQ61" s="77">
        <f t="shared" si="25"/>
        <v>2.9103830456733704E-10</v>
      </c>
      <c r="BR61" s="57">
        <f t="shared" si="114"/>
        <v>253781562.21222287</v>
      </c>
      <c r="BS61" s="57">
        <v>265.1139401640275</v>
      </c>
      <c r="BT61" s="57">
        <f t="shared" si="49"/>
        <v>205.69968594326875</v>
      </c>
      <c r="BU61" s="57"/>
      <c r="BV61" s="57">
        <v>3.3E-3</v>
      </c>
      <c r="BW61" s="57">
        <v>30000</v>
      </c>
      <c r="BX61" s="57">
        <v>200000</v>
      </c>
      <c r="BY61" s="77">
        <f>20</f>
        <v>20</v>
      </c>
      <c r="BZ61" s="77">
        <f>BY61+60</f>
        <v>80</v>
      </c>
      <c r="CA61" s="77">
        <f t="shared" si="170"/>
        <v>215</v>
      </c>
      <c r="CB61" s="77">
        <f t="shared" si="170"/>
        <v>350</v>
      </c>
      <c r="CC61" s="77">
        <f t="shared" si="170"/>
        <v>485</v>
      </c>
      <c r="CD61" s="77">
        <f t="shared" si="170"/>
        <v>620</v>
      </c>
      <c r="CE61" s="77">
        <f>CD61+60</f>
        <v>680</v>
      </c>
      <c r="DM61" s="77">
        <f t="shared" si="171"/>
        <v>157.07963267948966</v>
      </c>
      <c r="DN61" s="77">
        <f t="shared" si="171"/>
        <v>157.07963267948966</v>
      </c>
      <c r="DO61" s="77">
        <f t="shared" si="172"/>
        <v>100.53096491487338</v>
      </c>
      <c r="DP61" s="77">
        <f t="shared" si="172"/>
        <v>100.53096491487338</v>
      </c>
      <c r="DQ61" s="77">
        <f t="shared" si="172"/>
        <v>100.53096491487338</v>
      </c>
      <c r="DR61" s="77">
        <f t="shared" si="173"/>
        <v>157.07963267948966</v>
      </c>
      <c r="DS61" s="77">
        <f t="shared" si="173"/>
        <v>157.07963267948966</v>
      </c>
      <c r="FA61" s="77">
        <f t="shared" si="160"/>
        <v>-73701.763653216549</v>
      </c>
      <c r="FB61" s="77">
        <f t="shared" si="164"/>
        <v>-72388.632625302387</v>
      </c>
      <c r="FC61" s="77">
        <f t="shared" si="174"/>
        <v>-12542.085941579891</v>
      </c>
      <c r="FD61" s="77">
        <f t="shared" si="174"/>
        <v>21244.552997033745</v>
      </c>
      <c r="FE61" s="77">
        <f t="shared" si="174"/>
        <v>44796.59796606758</v>
      </c>
      <c r="FF61" s="77">
        <f t="shared" si="175"/>
        <v>73701.763653216549</v>
      </c>
      <c r="FG61" s="77">
        <f t="shared" si="175"/>
        <v>73701.763653216549</v>
      </c>
      <c r="GO61" s="77">
        <f t="shared" si="154"/>
        <v>24321582.00556146</v>
      </c>
      <c r="GP61" s="77">
        <f t="shared" si="155"/>
        <v>19544930.808831643</v>
      </c>
      <c r="GQ61" s="77">
        <f t="shared" si="156"/>
        <v>1693181.6021132853</v>
      </c>
      <c r="GR61" s="77">
        <f t="shared" si="157"/>
        <v>0</v>
      </c>
      <c r="GS61" s="77">
        <f t="shared" si="158"/>
        <v>6047540.7254191237</v>
      </c>
      <c r="GT61" s="77">
        <f t="shared" si="159"/>
        <v>19899476.186368469</v>
      </c>
      <c r="GU61" s="77">
        <f t="shared" si="121"/>
        <v>24321582.00556146</v>
      </c>
      <c r="IC61" s="82">
        <v>61</v>
      </c>
    </row>
    <row r="62" spans="1:237" s="77" customFormat="1">
      <c r="A62" s="77">
        <v>61</v>
      </c>
      <c r="B62" s="69">
        <v>92</v>
      </c>
      <c r="C62" s="69" t="s">
        <v>77</v>
      </c>
      <c r="D62" s="70" t="s">
        <v>76</v>
      </c>
      <c r="E62" s="70">
        <v>2</v>
      </c>
      <c r="F62" s="70">
        <v>5.5115896469566716E-2</v>
      </c>
      <c r="G62" s="70">
        <v>6.152584E-3</v>
      </c>
      <c r="H62" s="70">
        <v>2.2969646999999999E-2</v>
      </c>
      <c r="I62" s="70">
        <v>3.1173092698933553E-2</v>
      </c>
      <c r="J62" s="71">
        <v>2</v>
      </c>
      <c r="K62" s="72">
        <v>8.0197368421052637</v>
      </c>
      <c r="L62" s="71">
        <v>2.5796178343949046E-2</v>
      </c>
      <c r="M62" s="71">
        <v>2.9579617834394903E-2</v>
      </c>
      <c r="N62" s="71">
        <v>0.32368577494692147</v>
      </c>
      <c r="O62" s="71">
        <v>0.14242038216560507</v>
      </c>
      <c r="P62" s="84">
        <v>0.1</v>
      </c>
      <c r="Q62" s="73" t="s">
        <v>3</v>
      </c>
      <c r="R62" s="74">
        <v>0</v>
      </c>
      <c r="S62" s="75">
        <f t="shared" si="45"/>
        <v>0.37825730958651976</v>
      </c>
      <c r="T62" s="59">
        <f t="shared" si="0"/>
        <v>0.89186441862229227</v>
      </c>
      <c r="U62" s="59">
        <f t="shared" si="1"/>
        <v>0.80899691588168721</v>
      </c>
      <c r="V62" s="59">
        <f t="shared" si="2"/>
        <v>0.78991148498674224</v>
      </c>
      <c r="W62" s="59">
        <f t="shared" si="3"/>
        <v>0.8856856137471637</v>
      </c>
      <c r="X62" s="59">
        <f t="shared" si="4"/>
        <v>0.97640852453171012</v>
      </c>
      <c r="Y62" s="76">
        <v>481000</v>
      </c>
      <c r="Z62" s="57">
        <f t="shared" si="5"/>
        <v>469652.50029975257</v>
      </c>
      <c r="AA62" s="57">
        <f t="shared" si="6"/>
        <v>426014.78021238575</v>
      </c>
      <c r="AB62" s="57">
        <f t="shared" si="107"/>
        <v>754582.2756940166</v>
      </c>
      <c r="AC62" s="57">
        <f t="shared" si="8"/>
        <v>0.17</v>
      </c>
      <c r="AD62" s="57">
        <f t="shared" si="9"/>
        <v>2</v>
      </c>
      <c r="AE62" s="57">
        <f t="shared" si="10"/>
        <v>872706.48</v>
      </c>
      <c r="AF62" s="57">
        <f t="shared" si="11"/>
        <v>235146.82512305051</v>
      </c>
      <c r="AG62" s="57">
        <f t="shared" si="108"/>
        <v>190867.95508933524</v>
      </c>
      <c r="AH62" s="57">
        <f t="shared" si="109"/>
        <v>1330089073.3268301</v>
      </c>
      <c r="AI62" s="57">
        <f t="shared" si="110"/>
        <v>509582514.81518239</v>
      </c>
      <c r="AJ62" s="77">
        <v>641000</v>
      </c>
      <c r="AK62" s="77">
        <v>47.1</v>
      </c>
      <c r="AL62" s="78">
        <f t="shared" si="15"/>
        <v>3.8221798514959469</v>
      </c>
      <c r="AM62" s="57">
        <f t="shared" si="16"/>
        <v>0.97605263157894728</v>
      </c>
      <c r="AN62" s="57">
        <f t="shared" si="17"/>
        <v>0.77605263157894733</v>
      </c>
      <c r="AO62" s="77">
        <f>48*25.4</f>
        <v>1219.1999999999998</v>
      </c>
      <c r="AP62" s="79">
        <f>(1.125+3*2)*25.4</f>
        <v>180.97499999999999</v>
      </c>
      <c r="AQ62" s="57">
        <f t="shared" si="46"/>
        <v>76.933709979476347</v>
      </c>
      <c r="AR62" s="57">
        <f t="shared" si="111"/>
        <v>857.24999999999977</v>
      </c>
      <c r="AS62" s="57">
        <f t="shared" si="18"/>
        <v>1142.2662900205235</v>
      </c>
      <c r="AT62" s="77">
        <v>152</v>
      </c>
      <c r="AU62" s="77">
        <v>2438</v>
      </c>
      <c r="AV62" s="77">
        <f t="shared" si="48"/>
        <v>185288</v>
      </c>
      <c r="AW62" s="77">
        <v>0</v>
      </c>
      <c r="AX62" s="77">
        <f t="shared" si="19"/>
        <v>185318.39999999997</v>
      </c>
      <c r="AY62" s="77">
        <v>185288</v>
      </c>
      <c r="AZ62" s="77">
        <v>516</v>
      </c>
      <c r="BA62" s="77">
        <v>450</v>
      </c>
      <c r="BB62" s="77">
        <v>472</v>
      </c>
      <c r="BC62" s="77">
        <v>423</v>
      </c>
      <c r="BD62" s="77">
        <v>2.7000000000000001E-3</v>
      </c>
      <c r="BE62" s="77">
        <f>PI()*6*6*2/(4*6*25.4*140)</f>
        <v>2.6503875030285096E-3</v>
      </c>
      <c r="BF62" s="77">
        <v>3.2300000000000002E-2</v>
      </c>
      <c r="BG62" s="77">
        <f>PI()*2/8*2/8*2/(4*6*2)</f>
        <v>8.181230868723419E-3</v>
      </c>
      <c r="BH62" s="79">
        <f>5.5*25.4</f>
        <v>139.69999999999999</v>
      </c>
      <c r="BI62" s="79">
        <f>PI()*6*6/4</f>
        <v>28.274333882308138</v>
      </c>
      <c r="BJ62" s="79">
        <v>2</v>
      </c>
      <c r="BK62" s="57">
        <f t="shared" si="112"/>
        <v>56.548667764616276</v>
      </c>
      <c r="BL62" s="57"/>
      <c r="BM62" s="80">
        <f>PI()*4/8*25.4*4/8*25.4/4</f>
        <v>126.67686977437442</v>
      </c>
      <c r="BN62" s="80">
        <v>8</v>
      </c>
      <c r="BO62" s="57">
        <f t="shared" si="113"/>
        <v>1013.4149581949954</v>
      </c>
      <c r="BP62" s="57">
        <f t="shared" si="24"/>
        <v>379947.42427862302</v>
      </c>
      <c r="BQ62" s="77">
        <f t="shared" si="25"/>
        <v>3.0267983675003052E-9</v>
      </c>
      <c r="BR62" s="57">
        <f t="shared" si="114"/>
        <v>926311820.39128292</v>
      </c>
      <c r="BS62" s="57">
        <v>153.86741995895269</v>
      </c>
      <c r="BT62" s="57">
        <f t="shared" si="49"/>
        <v>208.6743787624267</v>
      </c>
      <c r="BU62" s="57"/>
      <c r="BV62" s="57">
        <v>3.3E-3</v>
      </c>
      <c r="BW62" s="57">
        <v>30000</v>
      </c>
      <c r="BX62" s="57">
        <v>200000</v>
      </c>
      <c r="BY62" s="77">
        <f>1.125*25.4</f>
        <v>28.574999999999999</v>
      </c>
      <c r="BZ62" s="77">
        <f>BY62+2*25.4*1</f>
        <v>79.375</v>
      </c>
      <c r="CA62" s="77">
        <f>BY62+2*25.4*2</f>
        <v>130.17499999999998</v>
      </c>
      <c r="CB62" s="77">
        <f>BY62+2*25.4*3</f>
        <v>180.97499999999997</v>
      </c>
      <c r="CC62" s="77">
        <f>CB62+3.125*25.4</f>
        <v>260.34999999999997</v>
      </c>
      <c r="CD62" s="77">
        <f>CC62+5.5*25.4*1</f>
        <v>400.04999999999995</v>
      </c>
      <c r="CE62" s="77">
        <f>CC62+5.5*25.4*2</f>
        <v>539.75</v>
      </c>
      <c r="CF62" s="77">
        <f>CC62+5.5*25.4*3</f>
        <v>679.44999999999993</v>
      </c>
      <c r="CG62" s="77">
        <f>CC62+5.5*25.4*4</f>
        <v>819.14999999999986</v>
      </c>
      <c r="CH62" s="77">
        <f>CC62+5.5*25.4*5</f>
        <v>958.84999999999991</v>
      </c>
      <c r="CI62" s="77">
        <f>CH62+3.125*25.4</f>
        <v>1038.2249999999999</v>
      </c>
      <c r="CJ62" s="77">
        <f>CI62+2*25.4*1</f>
        <v>1089.0249999999999</v>
      </c>
      <c r="CK62" s="77">
        <f>CI62+2*25.4*2</f>
        <v>1139.8249999999998</v>
      </c>
      <c r="CL62" s="77">
        <f>CI62+2*25.4*3</f>
        <v>1190.625</v>
      </c>
      <c r="DM62" s="77">
        <f>PI()*4/8*25.4*4/8*25.4/4*2</f>
        <v>253.35373954874885</v>
      </c>
      <c r="DN62" s="77">
        <f>PI()*4/8*25.4*4/8*25.4/4*2</f>
        <v>253.35373954874885</v>
      </c>
      <c r="DO62" s="77">
        <f>PI()*4/8*25.4*4/8*25.4/4*2</f>
        <v>253.35373954874885</v>
      </c>
      <c r="DP62" s="77">
        <f>PI()*4/8*25.4*4/8*25.4/4*2</f>
        <v>253.35373954874885</v>
      </c>
      <c r="DQ62" s="77">
        <f t="shared" ref="DQ62:DV62" si="176">PI()*6*6/4*2</f>
        <v>56.548667764616276</v>
      </c>
      <c r="DR62" s="77">
        <f t="shared" si="176"/>
        <v>56.548667764616276</v>
      </c>
      <c r="DS62" s="77">
        <f t="shared" si="176"/>
        <v>56.548667764616276</v>
      </c>
      <c r="DT62" s="77">
        <f t="shared" si="176"/>
        <v>56.548667764616276</v>
      </c>
      <c r="DU62" s="77">
        <f t="shared" si="176"/>
        <v>56.548667764616276</v>
      </c>
      <c r="DV62" s="77">
        <f t="shared" si="176"/>
        <v>56.548667764616276</v>
      </c>
      <c r="DW62" s="77">
        <f>PI()*4/8*25.4*4/8*25.4/4*2</f>
        <v>253.35373954874885</v>
      </c>
      <c r="DX62" s="77">
        <f>PI()*4/8*25.4*4/8*25.4/4*2</f>
        <v>253.35373954874885</v>
      </c>
      <c r="DY62" s="77">
        <f>PI()*4/8*25.4*4/8*25.4/4*2</f>
        <v>253.35373954874885</v>
      </c>
      <c r="DZ62" s="77">
        <f>PI()*4/8*25.4*4/8*25.4/4*2</f>
        <v>253.35373954874885</v>
      </c>
      <c r="FA62" s="77">
        <f t="shared" si="160"/>
        <v>-119582.96506700946</v>
      </c>
      <c r="FB62" s="77">
        <f t="shared" si="164"/>
        <v>-80953.693068896828</v>
      </c>
      <c r="FC62" s="77">
        <f t="shared" ref="FC62:FD66" si="177">IF(ABS(-$BV62*($BS62-CA62)/$BS62*$BX62)&gt;$BB62,$BB62*SIGN(-($BS62-CA62)),-$BV62*($BS62-CA62)/$BS62*$BX62)*DO62</f>
        <v>-25747.43704759928</v>
      </c>
      <c r="FD62" s="77">
        <f t="shared" si="177"/>
        <v>29458.818973698253</v>
      </c>
      <c r="FE62" s="77">
        <f t="shared" ref="FE62:FJ62" si="178">IF(ABS(-$BV62*($BS62-CC62)/$BS62*$BX62)&gt;$BA62,$BA62*SIGN(-($BS62-CC62)),-$BV62*($BS62-CC62)/$BS62*$BX62)*DQ62</f>
        <v>25446.900494077323</v>
      </c>
      <c r="FF62" s="77">
        <f t="shared" si="178"/>
        <v>25446.900494077323</v>
      </c>
      <c r="FG62" s="77">
        <f t="shared" si="178"/>
        <v>25446.900494077323</v>
      </c>
      <c r="FH62" s="77">
        <f t="shared" si="178"/>
        <v>25446.900494077323</v>
      </c>
      <c r="FI62" s="77">
        <f t="shared" si="178"/>
        <v>25446.900494077323</v>
      </c>
      <c r="FJ62" s="77">
        <f t="shared" si="178"/>
        <v>25446.900494077323</v>
      </c>
      <c r="FK62" s="77">
        <f>IF(ABS(-$BV62*($BS62-CI62)/$BS62*$BX62)&gt;$BB62,$BB62*SIGN(-($BS62-CI62)),-$BV62*($BS62-CI62)/$BS62*$BX62)*DW62</f>
        <v>119582.96506700946</v>
      </c>
      <c r="FL62" s="77">
        <f>IF(ABS(-$BV62*($BS62-CJ62)/$BS62*$BX62)&gt;$BB62,$BB62*SIGN(-($BS62-CJ62)),-$BV62*($BS62-CJ62)/$BS62*$BX62)*DX62</f>
        <v>119582.96506700946</v>
      </c>
      <c r="FM62" s="77">
        <f>IF(ABS(-$BV62*($BS62-CK62)/$BS62*$BX62)&gt;$BB62,$BB62*SIGN(-($BS62-CK62)),-$BV62*($BS62-CK62)/$BS62*$BX62)*DY62</f>
        <v>119582.96506700946</v>
      </c>
      <c r="FN62" s="77">
        <f>IF(ABS(-$BV62*($BS62-CL62)/$BS62*$BX62)&gt;$BB62,$BB62*SIGN(-($BS62-CL62)),-$BV62*($BS62-CL62)/$BS62*$BX62)*DZ62</f>
        <v>119582.96506700946</v>
      </c>
      <c r="GO62" s="77">
        <f t="shared" si="154"/>
        <v>69480692.278059155</v>
      </c>
      <c r="GP62" s="77">
        <f t="shared" si="155"/>
        <v>42923671.907455809</v>
      </c>
      <c r="GQ62" s="77">
        <f t="shared" si="156"/>
        <v>12343965.006545283</v>
      </c>
      <c r="GR62" s="77">
        <f t="shared" si="157"/>
        <v>-12626786.282601412</v>
      </c>
      <c r="GS62" s="77">
        <f t="shared" si="158"/>
        <v>-8887329.9975565039</v>
      </c>
      <c r="GT62" s="77">
        <f t="shared" si="159"/>
        <v>-5332397.9985339018</v>
      </c>
      <c r="GU62" s="77">
        <f t="shared" si="121"/>
        <v>-1777465.9995112987</v>
      </c>
      <c r="GV62" s="77">
        <f t="shared" ref="GV62:HB62" si="179">FH62*(CF62-0.5*$AO62)</f>
        <v>1777465.9995113015</v>
      </c>
      <c r="GW62" s="77">
        <f t="shared" si="179"/>
        <v>5332397.9985339018</v>
      </c>
      <c r="GX62" s="77">
        <f t="shared" si="179"/>
        <v>8887329.9975565057</v>
      </c>
      <c r="GY62" s="77">
        <f t="shared" si="179"/>
        <v>51256248.40184693</v>
      </c>
      <c r="GZ62" s="77">
        <f t="shared" si="179"/>
        <v>57331063.027251005</v>
      </c>
      <c r="HA62" s="77">
        <f t="shared" si="179"/>
        <v>63405877.65265508</v>
      </c>
      <c r="HB62" s="77">
        <f t="shared" si="179"/>
        <v>69480692.278059185</v>
      </c>
      <c r="IC62" s="82">
        <v>62</v>
      </c>
    </row>
    <row r="63" spans="1:237" s="77" customFormat="1">
      <c r="A63" s="77">
        <v>62</v>
      </c>
      <c r="B63" s="69">
        <v>93</v>
      </c>
      <c r="C63" s="69" t="s">
        <v>77</v>
      </c>
      <c r="D63" s="70" t="s">
        <v>78</v>
      </c>
      <c r="E63" s="70">
        <v>1</v>
      </c>
      <c r="F63" s="70">
        <v>8.2398696688043241E-2</v>
      </c>
      <c r="G63" s="70">
        <v>8.2034450000000002E-3</v>
      </c>
      <c r="H63" s="70">
        <v>2.8301887000000001E-2</v>
      </c>
      <c r="I63" s="70">
        <v>3.0352748154224774E-2</v>
      </c>
      <c r="J63" s="71">
        <v>2</v>
      </c>
      <c r="K63" s="72">
        <v>8.0197368421052637</v>
      </c>
      <c r="L63" s="71">
        <v>5.5602880658436216E-2</v>
      </c>
      <c r="M63" s="71">
        <v>5.5602880658436216E-2</v>
      </c>
      <c r="N63" s="71">
        <v>0.69783333333333319</v>
      </c>
      <c r="O63" s="71">
        <v>0.11849794238683126</v>
      </c>
      <c r="P63" s="84">
        <v>0.1</v>
      </c>
      <c r="Q63" s="73" t="s">
        <v>3</v>
      </c>
      <c r="R63" s="74">
        <v>0</v>
      </c>
      <c r="S63" s="75">
        <f t="shared" si="45"/>
        <v>0.57443180403957794</v>
      </c>
      <c r="T63" s="59">
        <f t="shared" si="0"/>
        <v>1.0911100542682499</v>
      </c>
      <c r="U63" s="59">
        <f t="shared" si="1"/>
        <v>0.91784763891443599</v>
      </c>
      <c r="V63" s="59">
        <f t="shared" si="2"/>
        <v>0.89479258620638591</v>
      </c>
      <c r="W63" s="59">
        <f t="shared" si="3"/>
        <v>0.82007546599547765</v>
      </c>
      <c r="X63" s="59">
        <f t="shared" si="4"/>
        <v>0.97488139454679212</v>
      </c>
      <c r="Y63" s="76">
        <v>742000</v>
      </c>
      <c r="Z63" s="57">
        <f t="shared" si="5"/>
        <v>723361.99475371977</v>
      </c>
      <c r="AA63" s="57">
        <f t="shared" si="6"/>
        <v>608495.99576864438</v>
      </c>
      <c r="AB63" s="57">
        <f t="shared" si="107"/>
        <v>1006396.7143311506</v>
      </c>
      <c r="AC63" s="57">
        <f t="shared" si="8"/>
        <v>0.17</v>
      </c>
      <c r="AD63" s="57">
        <f t="shared" si="9"/>
        <v>2</v>
      </c>
      <c r="AE63" s="57">
        <f t="shared" si="10"/>
        <v>900499.67999999993</v>
      </c>
      <c r="AF63" s="57">
        <f t="shared" si="11"/>
        <v>236811.24175077211</v>
      </c>
      <c r="AG63" s="57">
        <f t="shared" si="108"/>
        <v>371684.75401787227</v>
      </c>
      <c r="AH63" s="57">
        <f t="shared" si="109"/>
        <v>1339966763.8701215</v>
      </c>
      <c r="AI63" s="57">
        <f t="shared" si="110"/>
        <v>1113628425.6692238</v>
      </c>
      <c r="AJ63" s="77">
        <v>658000</v>
      </c>
      <c r="AK63" s="77">
        <v>48.6</v>
      </c>
      <c r="AL63" s="78">
        <f t="shared" si="15"/>
        <v>3.8886563748968346</v>
      </c>
      <c r="AM63" s="57">
        <f t="shared" si="16"/>
        <v>0.97210526315789469</v>
      </c>
      <c r="AN63" s="57">
        <f t="shared" si="17"/>
        <v>0.77210526315789474</v>
      </c>
      <c r="AO63" s="77">
        <f>48*25.4</f>
        <v>1219.1999999999998</v>
      </c>
      <c r="AP63" s="79">
        <f>(1.125+3*2)*25.4</f>
        <v>180.97499999999999</v>
      </c>
      <c r="AQ63" s="57">
        <f t="shared" si="46"/>
        <v>97.656415656276664</v>
      </c>
      <c r="AR63" s="57">
        <f t="shared" si="111"/>
        <v>857.24999999999977</v>
      </c>
      <c r="AS63" s="57">
        <f t="shared" si="18"/>
        <v>1121.5435843437231</v>
      </c>
      <c r="AT63" s="77">
        <v>152</v>
      </c>
      <c r="AU63" s="77">
        <v>2438</v>
      </c>
      <c r="AV63" s="77">
        <f t="shared" si="48"/>
        <v>185288</v>
      </c>
      <c r="AW63" s="77">
        <v>0</v>
      </c>
      <c r="AX63" s="77">
        <f t="shared" si="19"/>
        <v>185318.39999999997</v>
      </c>
      <c r="AY63" s="77">
        <v>185288</v>
      </c>
      <c r="AZ63" s="77">
        <v>443</v>
      </c>
      <c r="BA63" s="77">
        <v>443</v>
      </c>
      <c r="BB63" s="77">
        <v>477</v>
      </c>
      <c r="BC63" s="77">
        <v>423</v>
      </c>
      <c r="BD63" s="77">
        <v>6.1000000000000004E-3</v>
      </c>
      <c r="BE63" s="77">
        <f>PI()*3/8*3/8*2/(4*6*6)</f>
        <v>6.1359231515425647E-3</v>
      </c>
      <c r="BF63" s="77">
        <v>7.1099999999999997E-2</v>
      </c>
      <c r="BG63" s="77">
        <f>PI()*2/8*2/8*2/(4*6*2)</f>
        <v>8.181230868723419E-3</v>
      </c>
      <c r="BH63" s="79">
        <f>6*25.4</f>
        <v>152.39999999999998</v>
      </c>
      <c r="BI63" s="79">
        <f>PI()*3/8*25.4*3/8*25.4/4</f>
        <v>71.255739248085618</v>
      </c>
      <c r="BJ63" s="79">
        <v>2</v>
      </c>
      <c r="BK63" s="57">
        <f t="shared" si="112"/>
        <v>142.51147849617124</v>
      </c>
      <c r="BL63" s="57"/>
      <c r="BM63" s="80">
        <f>PI()*6/8*25.4*6/8*25.4/4</f>
        <v>285.02295699234247</v>
      </c>
      <c r="BN63" s="80">
        <v>8</v>
      </c>
      <c r="BO63" s="57">
        <f t="shared" si="113"/>
        <v>2280.1836559387398</v>
      </c>
      <c r="BP63" s="57">
        <f t="shared" si="24"/>
        <v>663936.09896513831</v>
      </c>
      <c r="BQ63" s="77">
        <f t="shared" si="25"/>
        <v>0</v>
      </c>
      <c r="BR63" s="57">
        <f t="shared" si="114"/>
        <v>1618676209.2770071</v>
      </c>
      <c r="BS63" s="57">
        <v>195.31283131255333</v>
      </c>
      <c r="BT63" s="57">
        <f t="shared" si="49"/>
        <v>220.88453354617965</v>
      </c>
      <c r="BU63" s="57"/>
      <c r="BV63" s="57">
        <v>3.3E-3</v>
      </c>
      <c r="BW63" s="57">
        <v>30000</v>
      </c>
      <c r="BX63" s="57">
        <v>200000</v>
      </c>
      <c r="BY63" s="77">
        <f>1.125*25.4</f>
        <v>28.574999999999999</v>
      </c>
      <c r="BZ63" s="77">
        <f>BY63+2*25.4*1</f>
        <v>79.375</v>
      </c>
      <c r="CA63" s="77">
        <f>BY63+2*25.4*2</f>
        <v>130.17499999999998</v>
      </c>
      <c r="CB63" s="77">
        <f>BY63+2*25.4*3</f>
        <v>180.97499999999997</v>
      </c>
      <c r="CC63" s="77">
        <f>CB63+4.875*25.4</f>
        <v>304.79999999999995</v>
      </c>
      <c r="CD63" s="77">
        <f>CC63+6*25.4*1</f>
        <v>457.19999999999993</v>
      </c>
      <c r="CE63" s="77">
        <f>CC63+6*25.4*2</f>
        <v>609.59999999999991</v>
      </c>
      <c r="CF63" s="77">
        <f>CC63+6*25.4*3</f>
        <v>761.99999999999989</v>
      </c>
      <c r="CG63" s="77">
        <f>CC63+6*25.4*4</f>
        <v>914.39999999999986</v>
      </c>
      <c r="CH63" s="77">
        <f>CG63+4.875*25.4</f>
        <v>1038.2249999999999</v>
      </c>
      <c r="CI63" s="77">
        <f>CH63+2*25.4*1</f>
        <v>1089.0249999999999</v>
      </c>
      <c r="CJ63" s="77">
        <f>CH63+2*25.4*2</f>
        <v>1139.8249999999998</v>
      </c>
      <c r="CK63" s="77">
        <f>CH63+2*25.4*3</f>
        <v>1190.625</v>
      </c>
      <c r="DM63" s="77">
        <f>PI()*6/8*25.4*6/8*25.4/4*2</f>
        <v>570.04591398468494</v>
      </c>
      <c r="DN63" s="77">
        <f>PI()*6/8*25.4*6/8*25.4/4*2</f>
        <v>570.04591398468494</v>
      </c>
      <c r="DO63" s="77">
        <f>PI()*6/8*25.4*6/8*25.4/4*2</f>
        <v>570.04591398468494</v>
      </c>
      <c r="DP63" s="77">
        <f>PI()*6/8*25.4*6/8*25.4/4*2</f>
        <v>570.04591398468494</v>
      </c>
      <c r="DQ63" s="77">
        <f>PI()*3/8*25.4*3/8*25.4/4*2</f>
        <v>142.51147849617124</v>
      </c>
      <c r="DR63" s="77">
        <f>PI()*3/8*25.4*3/8*25.4/4*2</f>
        <v>142.51147849617124</v>
      </c>
      <c r="DS63" s="77">
        <f>PI()*3/8*25.4*3/8*25.4/4*2</f>
        <v>142.51147849617124</v>
      </c>
      <c r="DT63" s="77">
        <f>PI()*3/8*25.4*3/8*25.4/4*2</f>
        <v>142.51147849617124</v>
      </c>
      <c r="DU63" s="77">
        <f>PI()*3/8*25.4*3/8*25.4/4*2</f>
        <v>142.51147849617124</v>
      </c>
      <c r="DV63" s="77">
        <f>PI()*6/8*25.4*6/8*25.4/4*2</f>
        <v>570.04591398468494</v>
      </c>
      <c r="DW63" s="77">
        <f>PI()*6/8*25.4*6/8*25.4/4*2</f>
        <v>570.04591398468494</v>
      </c>
      <c r="DX63" s="77">
        <f>PI()*6/8*25.4*6/8*25.4/4*2</f>
        <v>570.04591398468494</v>
      </c>
      <c r="DY63" s="77">
        <f>PI()*6/8*25.4*6/8*25.4/4*2</f>
        <v>570.04591398468494</v>
      </c>
      <c r="FA63" s="77">
        <f t="shared" si="160"/>
        <v>-271911.90097069473</v>
      </c>
      <c r="FB63" s="77">
        <f t="shared" si="164"/>
        <v>-223330.56736418561</v>
      </c>
      <c r="FC63" s="77">
        <f t="shared" si="177"/>
        <v>-125474.73641013353</v>
      </c>
      <c r="FD63" s="77">
        <f t="shared" si="177"/>
        <v>-27618.90545608144</v>
      </c>
      <c r="FE63" s="77">
        <f t="shared" ref="FE63:FE71" si="180">IF(ABS(-$BV63*($BS63-CC63)/$BS63*$BX63)&gt;$BA63,$BA63*SIGN(-($BS63-CC63)),-$BV63*($BS63-CC63)/$BS63*$BX63)*DQ63</f>
        <v>52726.17062360514</v>
      </c>
      <c r="FF63" s="77">
        <f t="shared" ref="FF63:FF71" si="181">IF(ABS(-$BV63*($BS63-CD63)/$BS63*$BX63)&gt;$BA63,$BA63*SIGN(-($BS63-CD63)),-$BV63*($BS63-CD63)/$BS63*$BX63)*DR63</f>
        <v>63132.58497380386</v>
      </c>
      <c r="FG63" s="77">
        <f t="shared" ref="FG63:FG71" si="182">IF(ABS(-$BV63*($BS63-CE63)/$BS63*$BX63)&gt;$BA63,$BA63*SIGN(-($BS63-CE63)),-$BV63*($BS63-CE63)/$BS63*$BX63)*DS63</f>
        <v>63132.58497380386</v>
      </c>
      <c r="FH63" s="77">
        <f t="shared" ref="FH63:FH71" si="183">IF(ABS(-$BV63*($BS63-CF63)/$BS63*$BX63)&gt;$BA63,$BA63*SIGN(-($BS63-CF63)),-$BV63*($BS63-CF63)/$BS63*$BX63)*DT63</f>
        <v>63132.58497380386</v>
      </c>
      <c r="FI63" s="77">
        <f t="shared" ref="FI63:FI71" si="184">IF(ABS(-$BV63*($BS63-CG63)/$BS63*$BX63)&gt;$BA63,$BA63*SIGN(-($BS63-CG63)),-$BV63*($BS63-CG63)/$BS63*$BX63)*DU63</f>
        <v>63132.58497380386</v>
      </c>
      <c r="FJ63" s="77">
        <f>IF(ABS(-$BV63*($BS63-CH63)/$BS63*$BX63)&gt;$BB63,$BB63*SIGN(-($BS63-CH63)),-$BV63*($BS63-CH63)/$BS63*$BX63)*DV63</f>
        <v>271911.90097069473</v>
      </c>
      <c r="FK63" s="77">
        <f>IF(ABS(-$BV63*($BS63-CI63)/$BS63*$BX63)&gt;$BB63,$BB63*SIGN(-($BS63-CI63)),-$BV63*($BS63-CI63)/$BS63*$BX63)*DW63</f>
        <v>271911.90097069473</v>
      </c>
      <c r="FL63" s="77">
        <f>IF(ABS(-$BV63*($BS63-CJ63)/$BS63*$BX63)&gt;$BB63,$BB63*SIGN(-($BS63-CJ63)),-$BV63*($BS63-CJ63)/$BS63*$BX63)*DX63</f>
        <v>271911.90097069473</v>
      </c>
      <c r="FM63" s="77">
        <f>IF(ABS(-$BV63*($BS63-CK63)/$BS63*$BX63)&gt;$BB63,$BB63*SIGN(-($BS63-CK63)),-$BV63*($BS63-CK63)/$BS63*$BX63)*DY63</f>
        <v>271911.90097069473</v>
      </c>
      <c r="GO63" s="77">
        <f t="shared" si="154"/>
        <v>157987612.26149786</v>
      </c>
      <c r="GP63" s="77">
        <f t="shared" si="155"/>
        <v>118415450.08067529</v>
      </c>
      <c r="GQ63" s="77">
        <f t="shared" si="156"/>
        <v>60155725.503428258</v>
      </c>
      <c r="GR63" s="77">
        <f t="shared" si="157"/>
        <v>11838153.351112906</v>
      </c>
      <c r="GS63" s="77">
        <f t="shared" si="158"/>
        <v>-16070936.806074845</v>
      </c>
      <c r="GT63" s="77">
        <f t="shared" si="159"/>
        <v>-9621405.9500077069</v>
      </c>
      <c r="GU63" s="77">
        <f t="shared" si="121"/>
        <v>0</v>
      </c>
      <c r="GV63" s="77">
        <f t="shared" ref="GV63:HA70" si="185">FH63*(CF63-0.5*$AO63)</f>
        <v>9621405.9500077069</v>
      </c>
      <c r="GW63" s="77">
        <f t="shared" si="185"/>
        <v>19242811.900015414</v>
      </c>
      <c r="GX63" s="77">
        <f t="shared" si="185"/>
        <v>116548238.55356403</v>
      </c>
      <c r="GY63" s="77">
        <f t="shared" si="185"/>
        <v>130361363.1228753</v>
      </c>
      <c r="GZ63" s="77">
        <f t="shared" si="185"/>
        <v>144174487.69218659</v>
      </c>
      <c r="HA63" s="77">
        <f t="shared" si="185"/>
        <v>157987612.26149791</v>
      </c>
      <c r="IC63" s="82">
        <v>63</v>
      </c>
    </row>
    <row r="64" spans="1:237" s="77" customFormat="1">
      <c r="A64" s="77">
        <v>63</v>
      </c>
      <c r="B64" s="69">
        <v>94</v>
      </c>
      <c r="C64" s="69" t="s">
        <v>77</v>
      </c>
      <c r="D64" s="70" t="s">
        <v>79</v>
      </c>
      <c r="E64" s="70">
        <v>2</v>
      </c>
      <c r="F64" s="70">
        <v>6.6688384445021703E-2</v>
      </c>
      <c r="G64" s="70">
        <v>4.9207219999999998E-3</v>
      </c>
      <c r="H64" s="70">
        <v>2.8430837E-2</v>
      </c>
      <c r="I64" s="70">
        <v>2.8977583378895572E-2</v>
      </c>
      <c r="J64" s="71">
        <v>1.5004101722723544</v>
      </c>
      <c r="K64" s="72">
        <v>8.0197368421052637</v>
      </c>
      <c r="L64" s="71">
        <v>2.950819672131148E-2</v>
      </c>
      <c r="M64" s="71">
        <v>3.3836065573770495E-2</v>
      </c>
      <c r="N64" s="71">
        <v>0.31240983606557382</v>
      </c>
      <c r="O64" s="71">
        <v>0.13745901639344263</v>
      </c>
      <c r="P64" s="84">
        <v>0.1</v>
      </c>
      <c r="Q64" s="73" t="s">
        <v>3</v>
      </c>
      <c r="R64" s="74">
        <v>0</v>
      </c>
      <c r="S64" s="75">
        <f t="shared" si="45"/>
        <v>0.46586502578588807</v>
      </c>
      <c r="T64" s="59">
        <f t="shared" si="0"/>
        <v>0.89091232100426543</v>
      </c>
      <c r="U64" s="59">
        <f t="shared" si="1"/>
        <v>0.8324486127653441</v>
      </c>
      <c r="V64" s="59">
        <f t="shared" si="2"/>
        <v>0.87635382894225777</v>
      </c>
      <c r="W64" s="59">
        <f t="shared" si="3"/>
        <v>0.98365889468719347</v>
      </c>
      <c r="X64" s="59">
        <f t="shared" si="4"/>
        <v>1.0527422540005962</v>
      </c>
      <c r="Y64" s="76">
        <v>603000</v>
      </c>
      <c r="Z64" s="57">
        <f t="shared" si="5"/>
        <v>634803.57916235947</v>
      </c>
      <c r="AA64" s="57">
        <f t="shared" si="6"/>
        <v>593146.31349637767</v>
      </c>
      <c r="AB64" s="57">
        <f t="shared" si="107"/>
        <v>1025584.7985051775</v>
      </c>
      <c r="AC64" s="57">
        <f t="shared" si="8"/>
        <v>0.2499343724364233</v>
      </c>
      <c r="AD64" s="57">
        <f t="shared" si="9"/>
        <v>1.5004101722723544</v>
      </c>
      <c r="AE64" s="57">
        <f t="shared" si="10"/>
        <v>904205.44</v>
      </c>
      <c r="AF64" s="57">
        <f t="shared" si="11"/>
        <v>360366.21704706986</v>
      </c>
      <c r="AG64" s="57">
        <f t="shared" si="108"/>
        <v>232780.09644930781</v>
      </c>
      <c r="AH64" s="57">
        <f t="shared" si="109"/>
        <v>1368568089.4194036</v>
      </c>
      <c r="AI64" s="57">
        <f t="shared" si="110"/>
        <v>507226507.04656589</v>
      </c>
      <c r="AJ64" s="77">
        <v>698000</v>
      </c>
      <c r="AK64" s="77">
        <v>48.8</v>
      </c>
      <c r="AL64" s="78">
        <f t="shared" si="15"/>
        <v>3.8974497271641786</v>
      </c>
      <c r="AM64" s="57">
        <f t="shared" si="16"/>
        <v>0.97157894736842099</v>
      </c>
      <c r="AN64" s="57">
        <f t="shared" si="17"/>
        <v>0.77157894736842103</v>
      </c>
      <c r="AO64" s="77">
        <f>48*25.4</f>
        <v>1219.1999999999998</v>
      </c>
      <c r="AP64" s="79">
        <f>(1.125+3*2)*25.4</f>
        <v>180.97499999999999</v>
      </c>
      <c r="AQ64" s="57">
        <f t="shared" si="46"/>
        <v>79.39644345419849</v>
      </c>
      <c r="AR64" s="57">
        <f t="shared" si="111"/>
        <v>857.24999999999977</v>
      </c>
      <c r="AS64" s="57">
        <f t="shared" si="18"/>
        <v>1139.8035565458013</v>
      </c>
      <c r="AT64" s="77">
        <v>152</v>
      </c>
      <c r="AU64" s="77">
        <v>1829</v>
      </c>
      <c r="AV64" s="77">
        <f t="shared" si="48"/>
        <v>185288</v>
      </c>
      <c r="AW64" s="77">
        <v>0</v>
      </c>
      <c r="AX64" s="77">
        <f t="shared" si="19"/>
        <v>185318.39999999997</v>
      </c>
      <c r="AY64" s="77">
        <v>185288</v>
      </c>
      <c r="AZ64" s="77">
        <v>516</v>
      </c>
      <c r="BA64" s="77">
        <v>450</v>
      </c>
      <c r="BB64" s="77">
        <v>472</v>
      </c>
      <c r="BC64" s="77">
        <v>423</v>
      </c>
      <c r="BD64" s="77">
        <v>3.2000000000000002E-3</v>
      </c>
      <c r="BE64" s="77">
        <f>PI()*6*6*2/(4*6*25.4*114)</f>
        <v>3.2548618458244855E-3</v>
      </c>
      <c r="BF64" s="77">
        <v>3.2300000000000002E-2</v>
      </c>
      <c r="BG64" s="77">
        <f>PI()*2/8*2/8*2/(4*6*2)</f>
        <v>8.181230868723419E-3</v>
      </c>
      <c r="BH64" s="79">
        <f>4.5*25.4</f>
        <v>114.3</v>
      </c>
      <c r="BI64" s="79">
        <f>PI()*6*6/4</f>
        <v>28.274333882308138</v>
      </c>
      <c r="BJ64" s="79">
        <v>2</v>
      </c>
      <c r="BK64" s="57">
        <f t="shared" si="112"/>
        <v>56.548667764616276</v>
      </c>
      <c r="BL64" s="57"/>
      <c r="BM64" s="80">
        <f>PI()*4/8*25.4*4/8*25.4/4</f>
        <v>126.67686977437442</v>
      </c>
      <c r="BN64" s="80">
        <v>8</v>
      </c>
      <c r="BO64" s="57">
        <f t="shared" si="113"/>
        <v>1013.4149581949954</v>
      </c>
      <c r="BP64" s="57">
        <f t="shared" si="24"/>
        <v>528441.35885218147</v>
      </c>
      <c r="BQ64" s="77">
        <f t="shared" si="25"/>
        <v>-3.3760443329811096E-9</v>
      </c>
      <c r="BR64" s="57">
        <f t="shared" si="114"/>
        <v>966519245.34063995</v>
      </c>
      <c r="BS64" s="57">
        <v>158.79288690839698</v>
      </c>
      <c r="BT64" s="57">
        <f t="shared" si="49"/>
        <v>213.41361478650424</v>
      </c>
      <c r="BU64" s="57"/>
      <c r="BV64" s="57">
        <v>3.3E-3</v>
      </c>
      <c r="BW64" s="57">
        <v>30000</v>
      </c>
      <c r="BX64" s="57">
        <v>200000</v>
      </c>
      <c r="BY64" s="77">
        <f>1.125*25.4</f>
        <v>28.574999999999999</v>
      </c>
      <c r="BZ64" s="77">
        <f>BY64+2*25.4*1</f>
        <v>79.375</v>
      </c>
      <c r="CA64" s="77">
        <f>BY64+2*25.4*2</f>
        <v>130.17499999999998</v>
      </c>
      <c r="CB64" s="77">
        <f>BY64+2*25.4*3</f>
        <v>180.97499999999997</v>
      </c>
      <c r="CC64" s="77">
        <f>CB64+3.375*25.4</f>
        <v>266.69999999999993</v>
      </c>
      <c r="CD64" s="77">
        <f>CC64+4.5*25.4*1</f>
        <v>380.99999999999994</v>
      </c>
      <c r="CE64" s="77">
        <f>CC64+4.5*25.4*2</f>
        <v>495.29999999999995</v>
      </c>
      <c r="CF64" s="77">
        <f>CC64+4.5*25.4*3</f>
        <v>609.59999999999991</v>
      </c>
      <c r="CG64" s="77">
        <f>CC64+4.5*25.4*4</f>
        <v>723.89999999999986</v>
      </c>
      <c r="CH64" s="77">
        <f>CC64+4.5*25.4*5</f>
        <v>838.19999999999993</v>
      </c>
      <c r="CI64" s="77">
        <f>CC64+4.5*25.4*6</f>
        <v>952.49999999999989</v>
      </c>
      <c r="CJ64" s="77">
        <f>CI64+3.375*25.4</f>
        <v>1038.2249999999999</v>
      </c>
      <c r="CK64" s="77">
        <f>CJ64+2*25.4*1</f>
        <v>1089.0249999999999</v>
      </c>
      <c r="CL64" s="77">
        <f>CJ64+2*25.4*2</f>
        <v>1139.8249999999998</v>
      </c>
      <c r="CM64" s="77">
        <f>CJ64+2*25.4*3</f>
        <v>1190.625</v>
      </c>
      <c r="DM64" s="77">
        <f>PI()*4/8*25.4*4/8*25.4/4*2</f>
        <v>253.35373954874885</v>
      </c>
      <c r="DN64" s="77">
        <f>PI()*4/8*25.4*4/8*25.4/4*2</f>
        <v>253.35373954874885</v>
      </c>
      <c r="DO64" s="77">
        <f>PI()*4/8*25.4*4/8*25.4/4*2</f>
        <v>253.35373954874885</v>
      </c>
      <c r="DP64" s="77">
        <f>PI()*4/8*25.4*4/8*25.4/4*2</f>
        <v>253.35373954874885</v>
      </c>
      <c r="DQ64" s="77">
        <f t="shared" ref="DQ64:DW64" si="186">PI()*6*6/4*2</f>
        <v>56.548667764616276</v>
      </c>
      <c r="DR64" s="77">
        <f t="shared" si="186"/>
        <v>56.548667764616276</v>
      </c>
      <c r="DS64" s="77">
        <f t="shared" si="186"/>
        <v>56.548667764616276</v>
      </c>
      <c r="DT64" s="77">
        <f t="shared" si="186"/>
        <v>56.548667764616276</v>
      </c>
      <c r="DU64" s="77">
        <f t="shared" si="186"/>
        <v>56.548667764616276</v>
      </c>
      <c r="DV64" s="77">
        <f t="shared" si="186"/>
        <v>56.548667764616276</v>
      </c>
      <c r="DW64" s="77">
        <f t="shared" si="186"/>
        <v>56.548667764616276</v>
      </c>
      <c r="DX64" s="77">
        <f>PI()*4/8*25.4*4/8*25.4/4*2</f>
        <v>253.35373954874885</v>
      </c>
      <c r="DY64" s="77">
        <f>PI()*4/8*25.4*4/8*25.4/4*2</f>
        <v>253.35373954874885</v>
      </c>
      <c r="DZ64" s="77">
        <f>PI()*4/8*25.4*4/8*25.4/4*2</f>
        <v>253.35373954874885</v>
      </c>
      <c r="EA64" s="77">
        <f>PI()*4/8*25.4*4/8*25.4/4*2</f>
        <v>253.35373954874885</v>
      </c>
      <c r="FA64" s="77">
        <f t="shared" si="160"/>
        <v>-119582.96506700946</v>
      </c>
      <c r="FB64" s="77">
        <f t="shared" si="164"/>
        <v>-83629.31462389759</v>
      </c>
      <c r="FC64" s="77">
        <f t="shared" si="177"/>
        <v>-30135.45639780055</v>
      </c>
      <c r="FD64" s="77">
        <f t="shared" si="177"/>
        <v>23358.40182829649</v>
      </c>
      <c r="FE64" s="77">
        <f t="shared" si="180"/>
        <v>25362.10771315065</v>
      </c>
      <c r="FF64" s="77">
        <f t="shared" si="181"/>
        <v>25446.900494077323</v>
      </c>
      <c r="FG64" s="77">
        <f t="shared" si="182"/>
        <v>25446.900494077323</v>
      </c>
      <c r="FH64" s="77">
        <f t="shared" si="183"/>
        <v>25446.900494077323</v>
      </c>
      <c r="FI64" s="77">
        <f t="shared" si="184"/>
        <v>25446.900494077323</v>
      </c>
      <c r="FJ64" s="77">
        <f>IF(ABS(-$BV64*($BS64-CH64)/$BS64*$BX64)&gt;$BA64,$BA64*SIGN(-($BS64-CH64)),-$BV64*($BS64-CH64)/$BS64*$BX64)*DV64</f>
        <v>25446.900494077323</v>
      </c>
      <c r="FK64" s="77">
        <f>IF(ABS(-$BV64*($BS64-CI64)/$BS64*$BX64)&gt;$BA64,$BA64*SIGN(-($BS64-CI64)),-$BV64*($BS64-CI64)/$BS64*$BX64)*DW64</f>
        <v>25446.900494077323</v>
      </c>
      <c r="FL64" s="77">
        <f>IF(ABS(-$BV64*($BS64-CJ64)/$BS64*$BX64)&gt;$BB64,$BB64*SIGN(-($BS64-CJ64)),-$BV64*($BS64-CJ64)/$BS64*$BX64)*DX64</f>
        <v>119582.96506700946</v>
      </c>
      <c r="FM64" s="77">
        <f>IF(ABS(-$BV64*($BS64-CK64)/$BS64*$BX64)&gt;$BB64,$BB64*SIGN(-($BS64-CK64)),-$BV64*($BS64-CK64)/$BS64*$BX64)*DY64</f>
        <v>119582.96506700946</v>
      </c>
      <c r="FN64" s="77">
        <f>IF(ABS(-$BV64*($BS64-CL64)/$BS64*$BX64)&gt;$BB64,$BB64*SIGN(-($BS64-CL64)),-$BV64*($BS64-CL64)/$BS64*$BX64)*DZ64</f>
        <v>119582.96506700946</v>
      </c>
      <c r="FO64" s="77">
        <f>IF(ABS(-$BV64*($BS64-CM64)/$BS64*$BX64)&gt;$BB64,$BB64*SIGN(-($BS64-CM64)),-$BV64*($BS64-CM64)/$BS64*$BX64)*EA64</f>
        <v>119582.96506700946</v>
      </c>
      <c r="GO64" s="77">
        <f t="shared" si="154"/>
        <v>69480692.278059155</v>
      </c>
      <c r="GP64" s="77">
        <f t="shared" si="155"/>
        <v>44342353.346456096</v>
      </c>
      <c r="GQ64" s="77">
        <f t="shared" si="156"/>
        <v>14447691.183515526</v>
      </c>
      <c r="GR64" s="77">
        <f t="shared" si="157"/>
        <v>-10011994.983653581</v>
      </c>
      <c r="GS64" s="77">
        <f t="shared" si="158"/>
        <v>-8696666.7348393574</v>
      </c>
      <c r="GT64" s="77">
        <f t="shared" si="159"/>
        <v>-5817161.4529460752</v>
      </c>
      <c r="GU64" s="77">
        <f t="shared" si="121"/>
        <v>-2908580.7264730367</v>
      </c>
      <c r="GV64" s="77">
        <f t="shared" si="185"/>
        <v>0</v>
      </c>
      <c r="GW64" s="77">
        <f t="shared" si="185"/>
        <v>2908580.7264730367</v>
      </c>
      <c r="GX64" s="77">
        <f t="shared" si="185"/>
        <v>5817161.4529460762</v>
      </c>
      <c r="GY64" s="77">
        <f t="shared" si="185"/>
        <v>8725742.1794191133</v>
      </c>
      <c r="GZ64" s="77">
        <f t="shared" si="185"/>
        <v>51256248.40184693</v>
      </c>
      <c r="HA64" s="77">
        <f t="shared" si="185"/>
        <v>57331063.027251005</v>
      </c>
      <c r="HB64" s="77">
        <f>FN64*(CL64-0.5*$AO64)</f>
        <v>63405877.65265508</v>
      </c>
      <c r="HC64" s="77">
        <f>FO64*(CM64-0.5*$AO64)</f>
        <v>69480692.278059185</v>
      </c>
      <c r="IC64" s="82">
        <v>64</v>
      </c>
    </row>
    <row r="65" spans="1:237" s="77" customFormat="1">
      <c r="A65" s="77">
        <v>64</v>
      </c>
      <c r="B65" s="69">
        <v>95</v>
      </c>
      <c r="C65" s="69" t="s">
        <v>77</v>
      </c>
      <c r="D65" s="70" t="s">
        <v>80</v>
      </c>
      <c r="E65" s="70">
        <v>4</v>
      </c>
      <c r="F65" s="70">
        <v>8.308290462941427E-2</v>
      </c>
      <c r="G65" s="70">
        <v>6.560962E-3</v>
      </c>
      <c r="H65" s="70">
        <v>1.4762165000000001E-2</v>
      </c>
      <c r="I65" s="70">
        <v>2.9524330235101148E-2</v>
      </c>
      <c r="J65" s="71">
        <v>1.5004101722723544</v>
      </c>
      <c r="K65" s="72">
        <v>8.0197368421052637</v>
      </c>
      <c r="L65" s="71">
        <v>5.7955197132616494E-2</v>
      </c>
      <c r="M65" s="71">
        <v>5.7955197132616494E-2</v>
      </c>
      <c r="N65" s="71">
        <v>0.51803225806451614</v>
      </c>
      <c r="O65" s="71">
        <v>0.10320788530465949</v>
      </c>
      <c r="P65" s="84">
        <v>0.1</v>
      </c>
      <c r="Q65" s="73" t="s">
        <v>3</v>
      </c>
      <c r="R65" s="74">
        <v>0</v>
      </c>
      <c r="S65" s="75">
        <f t="shared" si="45"/>
        <v>0.62062429256728857</v>
      </c>
      <c r="T65" s="59">
        <f t="shared" si="0"/>
        <v>0.97544505861714903</v>
      </c>
      <c r="U65" s="59">
        <f t="shared" si="1"/>
        <v>0.86202758918318456</v>
      </c>
      <c r="V65" s="59">
        <f t="shared" si="2"/>
        <v>0.95382052689946251</v>
      </c>
      <c r="W65" s="59">
        <f t="shared" si="3"/>
        <v>0.97783111255046717</v>
      </c>
      <c r="X65" s="59">
        <f t="shared" si="4"/>
        <v>1.1064849186593395</v>
      </c>
      <c r="Y65" s="76">
        <v>859000</v>
      </c>
      <c r="Z65" s="57">
        <f t="shared" si="5"/>
        <v>950470.54512837261</v>
      </c>
      <c r="AA65" s="57">
        <f t="shared" si="6"/>
        <v>839956.92568085133</v>
      </c>
      <c r="AB65" s="57">
        <f t="shared" si="107"/>
        <v>1353365.3779681444</v>
      </c>
      <c r="AC65" s="57">
        <f t="shared" si="8"/>
        <v>0.2499343724364233</v>
      </c>
      <c r="AD65" s="57">
        <f t="shared" si="9"/>
        <v>1.5004101722723544</v>
      </c>
      <c r="AE65" s="57">
        <f t="shared" si="10"/>
        <v>1033907.0399999999</v>
      </c>
      <c r="AF65" s="57">
        <f t="shared" si="11"/>
        <v>391129.92768238706</v>
      </c>
      <c r="AG65" s="57">
        <f t="shared" si="108"/>
        <v>448826.99799846427</v>
      </c>
      <c r="AH65" s="57">
        <f t="shared" si="109"/>
        <v>1518814209.2745299</v>
      </c>
      <c r="AI65" s="57">
        <f t="shared" si="110"/>
        <v>956491067.0292064</v>
      </c>
      <c r="AJ65" s="77">
        <v>663000</v>
      </c>
      <c r="AK65" s="77">
        <v>55.8</v>
      </c>
      <c r="AL65" s="78">
        <f t="shared" si="15"/>
        <v>4.1956420489864907</v>
      </c>
      <c r="AM65" s="57">
        <f t="shared" si="16"/>
        <v>0.95315789473684209</v>
      </c>
      <c r="AN65" s="57">
        <f t="shared" si="17"/>
        <v>0.75315789473684214</v>
      </c>
      <c r="AO65" s="77">
        <f>48*25.4</f>
        <v>1219.1999999999998</v>
      </c>
      <c r="AP65" s="79">
        <f>(1.125+3*2)*25.4</f>
        <v>180.97499999999999</v>
      </c>
      <c r="AQ65" s="57">
        <f t="shared" si="46"/>
        <v>90.602367544096083</v>
      </c>
      <c r="AR65" s="57">
        <f t="shared" si="111"/>
        <v>857.24999999999977</v>
      </c>
      <c r="AS65" s="57">
        <f t="shared" si="18"/>
        <v>1128.5976324559037</v>
      </c>
      <c r="AT65" s="77">
        <v>152</v>
      </c>
      <c r="AU65" s="77">
        <v>1829</v>
      </c>
      <c r="AV65" s="77">
        <f t="shared" si="48"/>
        <v>185288</v>
      </c>
      <c r="AW65" s="77">
        <v>0</v>
      </c>
      <c r="AX65" s="77">
        <f t="shared" si="19"/>
        <v>185318.39999999997</v>
      </c>
      <c r="AY65" s="77">
        <v>185288</v>
      </c>
      <c r="AZ65" s="77">
        <v>443</v>
      </c>
      <c r="BA65" s="77">
        <v>443</v>
      </c>
      <c r="BB65" s="77">
        <v>477</v>
      </c>
      <c r="BC65" s="77">
        <v>423</v>
      </c>
      <c r="BD65" s="77">
        <v>7.3000000000000001E-3</v>
      </c>
      <c r="BE65" s="77">
        <f>PI()*3/8*3/8*2/(4*6*5)</f>
        <v>7.3631077818510776E-3</v>
      </c>
      <c r="BF65" s="77">
        <v>6.0600000000000001E-2</v>
      </c>
      <c r="BG65" s="77">
        <f>PI()*2/8*2/8*2/(4*6*2)</f>
        <v>8.181230868723419E-3</v>
      </c>
      <c r="BH65" s="79">
        <f>5*25.4</f>
        <v>127</v>
      </c>
      <c r="BI65" s="79">
        <f>PI()*3/8*25.4*3/8*25.4/4</f>
        <v>71.255739248085618</v>
      </c>
      <c r="BJ65" s="79">
        <v>2</v>
      </c>
      <c r="BK65" s="57">
        <f t="shared" si="112"/>
        <v>142.51147849617124</v>
      </c>
      <c r="BL65" s="57"/>
      <c r="BM65" s="80">
        <f>PI()*6/8*25.4*6/8*25.4/4+PI()*5/8*25.4*5/8*25.4/4</f>
        <v>482.95556601480246</v>
      </c>
      <c r="BN65" s="80">
        <v>4</v>
      </c>
      <c r="BO65" s="57">
        <f t="shared" si="113"/>
        <v>1931.8222640592098</v>
      </c>
      <c r="BP65" s="57">
        <f t="shared" si="24"/>
        <v>819331.83260663832</v>
      </c>
      <c r="BQ65" s="77">
        <f t="shared" si="25"/>
        <v>9.3132257461547852E-10</v>
      </c>
      <c r="BR65" s="57">
        <f t="shared" si="114"/>
        <v>1498557921.8375416</v>
      </c>
      <c r="BS65" s="57">
        <v>181.20473508819217</v>
      </c>
      <c r="BT65" s="57">
        <f t="shared" si="49"/>
        <v>239.09161315983667</v>
      </c>
      <c r="BU65" s="57"/>
      <c r="BV65" s="57">
        <v>3.3E-3</v>
      </c>
      <c r="BW65" s="57">
        <v>30000</v>
      </c>
      <c r="BX65" s="57">
        <v>200000</v>
      </c>
      <c r="BY65" s="77">
        <f>1.125*25.4</f>
        <v>28.574999999999999</v>
      </c>
      <c r="BZ65" s="77">
        <f>BY65+2*25.4*1</f>
        <v>79.375</v>
      </c>
      <c r="CA65" s="77">
        <f>BY65+2*25.4*2</f>
        <v>130.17499999999998</v>
      </c>
      <c r="CB65" s="77">
        <f>BY65+2*25.4*3</f>
        <v>180.97499999999997</v>
      </c>
      <c r="CC65" s="77">
        <f>CB65+4.375*25.4</f>
        <v>292.09999999999997</v>
      </c>
      <c r="CD65" s="77">
        <f>CC65+5*25.4*1</f>
        <v>419.09999999999997</v>
      </c>
      <c r="CE65" s="77">
        <f>CC65+5*25.4*2</f>
        <v>546.09999999999991</v>
      </c>
      <c r="CF65" s="77">
        <f>CC65+5*25.4*3</f>
        <v>673.09999999999991</v>
      </c>
      <c r="CG65" s="77">
        <f>CC65+5*25.4*4</f>
        <v>800.09999999999991</v>
      </c>
      <c r="CH65" s="77">
        <f>CC65+5*25.4*5</f>
        <v>927.09999999999991</v>
      </c>
      <c r="CI65" s="77">
        <f>CH65+4.375*25.4</f>
        <v>1038.2249999999999</v>
      </c>
      <c r="CJ65" s="77">
        <f>CI65+2*25.4*1</f>
        <v>1089.0249999999999</v>
      </c>
      <c r="CK65" s="77">
        <f>CI65+2*25.4*2</f>
        <v>1139.8249999999998</v>
      </c>
      <c r="CL65" s="77">
        <f>CI65+2*25.4*3</f>
        <v>1190.625</v>
      </c>
      <c r="DM65" s="77">
        <f>PI()*6/8*25.4*6/8*25.4/4*2</f>
        <v>570.04591398468494</v>
      </c>
      <c r="DN65" s="77">
        <f>PI()*5/8*25.4*5/8*25.4/4*2</f>
        <v>395.86521804492003</v>
      </c>
      <c r="DO65" s="77">
        <f>PI()*5/8*25.4*5/8*25.4/4*2</f>
        <v>395.86521804492003</v>
      </c>
      <c r="DP65" s="77">
        <f>PI()*6/8*25.4*6/8*25.4/4*2</f>
        <v>570.04591398468494</v>
      </c>
      <c r="DQ65" s="77">
        <f t="shared" ref="DQ65:DV65" si="187">PI()*3/8*25.4*3/8*25.4/4*2</f>
        <v>142.51147849617124</v>
      </c>
      <c r="DR65" s="77">
        <f t="shared" si="187"/>
        <v>142.51147849617124</v>
      </c>
      <c r="DS65" s="77">
        <f t="shared" si="187"/>
        <v>142.51147849617124</v>
      </c>
      <c r="DT65" s="77">
        <f t="shared" si="187"/>
        <v>142.51147849617124</v>
      </c>
      <c r="DU65" s="77">
        <f t="shared" si="187"/>
        <v>142.51147849617124</v>
      </c>
      <c r="DV65" s="77">
        <f t="shared" si="187"/>
        <v>142.51147849617124</v>
      </c>
      <c r="DW65" s="77">
        <f>PI()*6/8*25.4*6/8*25.4/4*2</f>
        <v>570.04591398468494</v>
      </c>
      <c r="DX65" s="77">
        <f>PI()*5/8*25.4*5/8*25.4/4*2</f>
        <v>395.86521804492003</v>
      </c>
      <c r="DY65" s="77">
        <f>PI()*5/8*25.4*5/8*25.4/4*2</f>
        <v>395.86521804492003</v>
      </c>
      <c r="DZ65" s="77">
        <f>PI()*6/8*25.4*6/8*25.4/4*2</f>
        <v>570.04591398468494</v>
      </c>
      <c r="FA65" s="77">
        <f t="shared" si="160"/>
        <v>-271911.90097069473</v>
      </c>
      <c r="FB65" s="77">
        <f t="shared" si="164"/>
        <v>-146823.76359859522</v>
      </c>
      <c r="FC65" s="77">
        <f t="shared" si="177"/>
        <v>-73577.504199521965</v>
      </c>
      <c r="FD65" s="77">
        <f t="shared" si="177"/>
        <v>-476.99251264615356</v>
      </c>
      <c r="FE65" s="77">
        <f t="shared" si="180"/>
        <v>57562.181148608681</v>
      </c>
      <c r="FF65" s="77">
        <f t="shared" si="181"/>
        <v>63132.58497380386</v>
      </c>
      <c r="FG65" s="77">
        <f t="shared" si="182"/>
        <v>63132.58497380386</v>
      </c>
      <c r="FH65" s="77">
        <f t="shared" si="183"/>
        <v>63132.58497380386</v>
      </c>
      <c r="FI65" s="77">
        <f t="shared" si="184"/>
        <v>63132.58497380386</v>
      </c>
      <c r="FJ65" s="77">
        <f>IF(ABS(-$BV65*($BS65-CH65)/$BS65*$BX65)&gt;$BA65,$BA65*SIGN(-($BS65-CH65)),-$BV65*($BS65-CH65)/$BS65*$BX65)*DV65</f>
        <v>63132.58497380386</v>
      </c>
      <c r="FK65" s="77">
        <f>IF(ABS(-$BV65*($BS65-CI65)/$BS65*$BX65)&gt;$BB65,$BB65*SIGN(-($BS65-CI65)),-$BV65*($BS65-CI65)/$BS65*$BX65)*DW65</f>
        <v>271911.90097069473</v>
      </c>
      <c r="FL65" s="77">
        <f>IF(ABS(-$BV65*($BS65-CJ65)/$BS65*$BX65)&gt;$BB65,$BB65*SIGN(-($BS65-CJ65)),-$BV65*($BS65-CJ65)/$BS65*$BX65)*DX65</f>
        <v>188827.70900742686</v>
      </c>
      <c r="FM65" s="77">
        <f>IF(ABS(-$BV65*($BS65-CK65)/$BS65*$BX65)&gt;$BB65,$BB65*SIGN(-($BS65-CK65)),-$BV65*($BS65-CK65)/$BS65*$BX65)*DY65</f>
        <v>188827.70900742686</v>
      </c>
      <c r="FN65" s="77">
        <f>IF(ABS(-$BV65*($BS65-CL65)/$BS65*$BX65)&gt;$BB65,$BB65*SIGN(-($BS65-CL65)),-$BV65*($BS65-CL65)/$BS65*$BX65)*DZ65</f>
        <v>271911.90097069473</v>
      </c>
      <c r="GO65" s="77">
        <f t="shared" si="154"/>
        <v>157987612.26149786</v>
      </c>
      <c r="GP65" s="77">
        <f t="shared" si="155"/>
        <v>77849630.054065138</v>
      </c>
      <c r="GQ65" s="77">
        <f t="shared" si="156"/>
        <v>35274894.950855814</v>
      </c>
      <c r="GR65" s="77">
        <f t="shared" si="157"/>
        <v>204450.91573295754</v>
      </c>
      <c r="GS65" s="77">
        <f t="shared" si="158"/>
        <v>-18275992.514683254</v>
      </c>
      <c r="GT65" s="77">
        <f t="shared" si="159"/>
        <v>-12026757.437509632</v>
      </c>
      <c r="GU65" s="77">
        <f t="shared" si="121"/>
        <v>-4008919.1458365452</v>
      </c>
      <c r="GV65" s="77">
        <f t="shared" si="185"/>
        <v>4008919.1458365452</v>
      </c>
      <c r="GW65" s="77">
        <f t="shared" si="185"/>
        <v>12026757.437509635</v>
      </c>
      <c r="GX65" s="77">
        <f t="shared" si="185"/>
        <v>20044595.729182724</v>
      </c>
      <c r="GY65" s="77">
        <f t="shared" si="185"/>
        <v>116548238.55356403</v>
      </c>
      <c r="GZ65" s="77">
        <f t="shared" si="185"/>
        <v>90528724.390885621</v>
      </c>
      <c r="HA65" s="77">
        <f t="shared" si="185"/>
        <v>100121172.00846289</v>
      </c>
      <c r="HB65" s="77">
        <f>FN65*(CL65-0.5*$AO65)</f>
        <v>157987612.26149791</v>
      </c>
      <c r="IC65" s="82">
        <v>65</v>
      </c>
    </row>
    <row r="66" spans="1:237" s="77" customFormat="1">
      <c r="A66" s="77">
        <v>65</v>
      </c>
      <c r="B66" s="69">
        <v>96</v>
      </c>
      <c r="C66" s="69" t="s">
        <v>77</v>
      </c>
      <c r="D66" s="70" t="s">
        <v>81</v>
      </c>
      <c r="E66" s="70">
        <v>4</v>
      </c>
      <c r="F66" s="70">
        <v>6.2886824365547031E-2</v>
      </c>
      <c r="G66" s="70">
        <v>6.560962E-3</v>
      </c>
      <c r="H66" s="70">
        <v>1.4762165000000001E-2</v>
      </c>
      <c r="I66" s="70">
        <v>3.0071077091306724E-2</v>
      </c>
      <c r="J66" s="71">
        <v>1.5004101722723544</v>
      </c>
      <c r="K66" s="72">
        <v>8.0197368421052637</v>
      </c>
      <c r="L66" s="71">
        <v>4.6996521739130437E-2</v>
      </c>
      <c r="M66" s="71">
        <v>4.6996521739130437E-2</v>
      </c>
      <c r="N66" s="71">
        <v>0.50271652173913051</v>
      </c>
      <c r="O66" s="71">
        <v>0.10015652173913042</v>
      </c>
      <c r="P66" s="84">
        <v>2.5000000000000001E-2</v>
      </c>
      <c r="Q66" s="73" t="s">
        <v>3</v>
      </c>
      <c r="R66" s="74">
        <v>0</v>
      </c>
      <c r="S66" s="75">
        <f t="shared" si="45"/>
        <v>0.47686295623588931</v>
      </c>
      <c r="T66" s="59">
        <f t="shared" ref="T66:T127" si="188">BP66/AA66</f>
        <v>0.96661024540697793</v>
      </c>
      <c r="U66" s="59">
        <f t="shared" ref="U66:U127" si="189">BP66/Z66</f>
        <v>0.79859722711187209</v>
      </c>
      <c r="V66" s="59">
        <f t="shared" ref="V66:V127" si="190">BP66/Y66</f>
        <v>1.0190510935858357</v>
      </c>
      <c r="W66" s="59">
        <f t="shared" ref="W66:W127" si="191">AA66/Y66</f>
        <v>1.0542523198238793</v>
      </c>
      <c r="X66" s="59">
        <f t="shared" ref="X66:X127" si="192">Z66/Y66</f>
        <v>1.2760513798316524</v>
      </c>
      <c r="Y66" s="76">
        <v>670000</v>
      </c>
      <c r="Z66" s="57">
        <f t="shared" ref="Z66:Z127" si="193">(AC66*1*AK66^0.5+BE66*AZ66)*AX66</f>
        <v>854954.42448720708</v>
      </c>
      <c r="AA66" s="57">
        <f t="shared" ref="AA66:AA127" si="194">IF(AF66&lt;0,AG66,AF66+AG66)</f>
        <v>706349.05428199912</v>
      </c>
      <c r="AB66" s="57">
        <f t="shared" ref="AB66:AB96" si="195">(AH66+AI66)/AU66</f>
        <v>1415289.7212473559</v>
      </c>
      <c r="AC66" s="57">
        <f t="shared" ref="AC66:AC127" si="196">IF(J66&lt;=1.5,0.25,IF(J66&gt;=2,0.17,0.25-(J66-1.5)/(2-1.5)*(0.25-0.17)))</f>
        <v>0.2499343724364233</v>
      </c>
      <c r="AD66" s="57">
        <f t="shared" ref="AD66:AD127" si="197">IF(J66&lt;1.5,1.5,IF(J66&gt;2.2,2.2,J66))</f>
        <v>1.5004101722723544</v>
      </c>
      <c r="AE66" s="57">
        <f t="shared" ref="AE66:AE127" si="198">IF(P66&gt;0.2,0.2*AY66*AK66,P66*AY66*AK66)</f>
        <v>266351.5</v>
      </c>
      <c r="AF66" s="57">
        <f t="shared" ref="AF66:AF127" si="199">(1/(AD66-0.5))*(0.4*AL66*AT66*AS66+0.1*AE66*AV66/AY66)</f>
        <v>324958.73540433595</v>
      </c>
      <c r="AG66" s="57">
        <f t="shared" ref="AG66:AG89" si="200">0.8*AZ66*BK66/BH66*AS66</f>
        <v>381390.31887766311</v>
      </c>
      <c r="AH66" s="57">
        <f t="shared" ref="AH66:AH96" si="201">AM66*AK66*AT66*AP66*(AS66-0.5*AP66)</f>
        <v>1591101000.5501442</v>
      </c>
      <c r="AI66" s="57">
        <f t="shared" ref="AI66:AI95" si="202">BB66*BO66*(AS66-AQ66)</f>
        <v>997463899.61126995</v>
      </c>
      <c r="AJ66" s="77">
        <v>169000</v>
      </c>
      <c r="AK66" s="77">
        <v>57.5</v>
      </c>
      <c r="AL66" s="78">
        <f t="shared" ref="AL66:AL127" si="203">0.395*(AK66/0.76)^0.55</f>
        <v>4.2654704187754406</v>
      </c>
      <c r="AM66" s="57">
        <f t="shared" ref="AM66:AM127" si="204">IF(AK66&lt;=38,1,IF(AK66&gt;=60.8,0.94,(1-(AK66-38)*(1-0.94)/(60.8-38))))</f>
        <v>0.94868421052631569</v>
      </c>
      <c r="AN66" s="57">
        <f t="shared" ref="AN66:AN127" si="205">IF(AK66&lt;=38,0.8,IF(AK66&gt;=60.8,0.74,0.8-(AK66-38)*(0.8-0.74)/(60.8-38)))</f>
        <v>0.74868421052631573</v>
      </c>
      <c r="AO66" s="77">
        <f>48*25.4</f>
        <v>1219.1999999999998</v>
      </c>
      <c r="AP66" s="79">
        <f>(1.125+3*2)*25.4</f>
        <v>180.97499999999999</v>
      </c>
      <c r="AQ66" s="57">
        <f t="shared" ref="AQ66:AQ127" si="206">0.5*BS66</f>
        <v>68.370269578821848</v>
      </c>
      <c r="AR66" s="57">
        <f t="shared" ref="AR66:AR96" si="207">AO66-2*AP66</f>
        <v>857.24999999999977</v>
      </c>
      <c r="AS66" s="57">
        <f t="shared" ref="AS66:AS127" si="208">AO66-AQ66</f>
        <v>1150.8297304211781</v>
      </c>
      <c r="AT66" s="77">
        <v>152</v>
      </c>
      <c r="AU66" s="77">
        <v>1829</v>
      </c>
      <c r="AV66" s="77">
        <f t="shared" ref="AV66:AV127" si="209">IF(Q66="R",AY66,AR66*AT66)</f>
        <v>185288</v>
      </c>
      <c r="AW66" s="77">
        <v>0</v>
      </c>
      <c r="AX66" s="77">
        <f t="shared" ref="AX66:AX127" si="210">AO66*AT66</f>
        <v>185318.39999999997</v>
      </c>
      <c r="AY66" s="77">
        <v>185288</v>
      </c>
      <c r="AZ66" s="77">
        <v>443</v>
      </c>
      <c r="BA66" s="77">
        <v>443</v>
      </c>
      <c r="BB66" s="77">
        <v>477</v>
      </c>
      <c r="BC66" s="77">
        <v>423</v>
      </c>
      <c r="BD66" s="77">
        <v>6.1000000000000004E-3</v>
      </c>
      <c r="BE66" s="77">
        <f>PI()*3/8*3/8*2/(4*6*6)</f>
        <v>6.1359231515425647E-3</v>
      </c>
      <c r="BF66" s="77">
        <v>6.0600000000000001E-2</v>
      </c>
      <c r="BG66" s="77">
        <f>PI()*2/8*2/8*2/(4*6*2)</f>
        <v>8.181230868723419E-3</v>
      </c>
      <c r="BH66" s="79">
        <f>6*25.4</f>
        <v>152.39999999999998</v>
      </c>
      <c r="BI66" s="79">
        <f>PI()*3/8*25.4*3/8*25.4/4</f>
        <v>71.255739248085618</v>
      </c>
      <c r="BJ66" s="79">
        <v>2</v>
      </c>
      <c r="BK66" s="57">
        <f t="shared" ref="BK66:BK89" si="211">BI66*BJ66</f>
        <v>142.51147849617124</v>
      </c>
      <c r="BL66" s="57"/>
      <c r="BM66" s="80">
        <f>PI()*6/8*25.4*6/8*25.4/4+PI()*5/8*25.4*5/8*25.4/4</f>
        <v>482.95556601480246</v>
      </c>
      <c r="BN66" s="80">
        <v>4</v>
      </c>
      <c r="BO66" s="57">
        <f t="shared" ref="BO66:BO96" si="212">BM66*BN66</f>
        <v>1931.8222640592098</v>
      </c>
      <c r="BP66" s="57">
        <f t="shared" ref="BP66:BP127" si="213">BR66/AU66</f>
        <v>682764.23270250997</v>
      </c>
      <c r="BQ66" s="77">
        <f t="shared" ref="BQ66:BQ127" si="214">AJ66-AM66*AT66*BS66*AK66+SUM(FA66:GN66)</f>
        <v>8.2654878497123718E-9</v>
      </c>
      <c r="BR66" s="57">
        <f t="shared" ref="BR66:BR96" si="215">-AM66*AT66*BS66*AK66*(BS66/2-0.5*AO66)+SUM(GO66:IB66)</f>
        <v>1248775781.6128907</v>
      </c>
      <c r="BS66" s="57">
        <v>136.7405391576437</v>
      </c>
      <c r="BT66" s="57">
        <f t="shared" si="49"/>
        <v>71.734832376516309</v>
      </c>
      <c r="BU66" s="57"/>
      <c r="BV66" s="57">
        <v>3.3E-3</v>
      </c>
      <c r="BW66" s="57">
        <v>30000</v>
      </c>
      <c r="BX66" s="57">
        <v>200000</v>
      </c>
      <c r="BY66" s="77">
        <f>1.125*25.4</f>
        <v>28.574999999999999</v>
      </c>
      <c r="BZ66" s="77">
        <f>BY66+2*25.4*1</f>
        <v>79.375</v>
      </c>
      <c r="CA66" s="77">
        <f>BY66+2*25.4*2</f>
        <v>130.17499999999998</v>
      </c>
      <c r="CB66" s="77">
        <f>BY66+2*25.4*3</f>
        <v>180.97499999999997</v>
      </c>
      <c r="CC66" s="77">
        <f>CB66+4.875*25.4</f>
        <v>304.79999999999995</v>
      </c>
      <c r="CD66" s="77">
        <f>CC66+6*25.4*1</f>
        <v>457.19999999999993</v>
      </c>
      <c r="CE66" s="77">
        <f>CC66+6*25.4*2</f>
        <v>609.59999999999991</v>
      </c>
      <c r="CF66" s="77">
        <f>CC66+6*25.4*3</f>
        <v>761.99999999999989</v>
      </c>
      <c r="CG66" s="77">
        <f>CC66+6*25.4*4</f>
        <v>914.39999999999986</v>
      </c>
      <c r="CH66" s="77">
        <f>CG66+4.875*25.4</f>
        <v>1038.2249999999999</v>
      </c>
      <c r="CI66" s="77">
        <f>CH66+2*25.4*1</f>
        <v>1089.0249999999999</v>
      </c>
      <c r="CJ66" s="77">
        <f>CH66+2*25.4*2</f>
        <v>1139.8249999999998</v>
      </c>
      <c r="CK66" s="77">
        <f>CH66+2*25.4*3</f>
        <v>1190.625</v>
      </c>
      <c r="DM66" s="77">
        <f>PI()*6/8*25.4*6/8*25.4/4*2</f>
        <v>570.04591398468494</v>
      </c>
      <c r="DN66" s="77">
        <f>PI()*5/8*25.4*5/8*25.4/4*2</f>
        <v>395.86521804492003</v>
      </c>
      <c r="DO66" s="77">
        <f>PI()*5/8*25.4*5/8*25.4/4*2</f>
        <v>395.86521804492003</v>
      </c>
      <c r="DP66" s="77">
        <f>PI()*6/8*25.4*6/8*25.4/4*2</f>
        <v>570.04591398468494</v>
      </c>
      <c r="DQ66" s="77">
        <f>PI()*3/8*25.4*3/8*25.4/4*2</f>
        <v>142.51147849617124</v>
      </c>
      <c r="DR66" s="77">
        <f>PI()*3/8*25.4*3/8*25.4/4*2</f>
        <v>142.51147849617124</v>
      </c>
      <c r="DS66" s="77">
        <f>PI()*3/8*25.4*3/8*25.4/4*2</f>
        <v>142.51147849617124</v>
      </c>
      <c r="DT66" s="77">
        <f>PI()*3/8*25.4*3/8*25.4/4*2</f>
        <v>142.51147849617124</v>
      </c>
      <c r="DU66" s="77">
        <f>PI()*3/8*25.4*3/8*25.4/4*2</f>
        <v>142.51147849617124</v>
      </c>
      <c r="DV66" s="77">
        <f>PI()*6/8*25.4*6/8*25.4/4*2</f>
        <v>570.04591398468494</v>
      </c>
      <c r="DW66" s="77">
        <f>PI()*5/8*25.4*5/8*25.4/4*2</f>
        <v>395.86521804492003</v>
      </c>
      <c r="DX66" s="77">
        <f>PI()*5/8*25.4*5/8*25.4/4*2</f>
        <v>395.86521804492003</v>
      </c>
      <c r="DY66" s="77">
        <f>PI()*6/8*25.4*6/8*25.4/4*2</f>
        <v>570.04591398468494</v>
      </c>
      <c r="FA66" s="77">
        <f t="shared" si="160"/>
        <v>-271911.90097069473</v>
      </c>
      <c r="FB66" s="77">
        <f t="shared" si="164"/>
        <v>-109608.71145080238</v>
      </c>
      <c r="FC66" s="77">
        <f t="shared" si="177"/>
        <v>-12544.818677141729</v>
      </c>
      <c r="FD66" s="77">
        <f t="shared" si="177"/>
        <v>121707.46669898728</v>
      </c>
      <c r="FE66" s="77">
        <f t="shared" si="180"/>
        <v>63132.58497380386</v>
      </c>
      <c r="FF66" s="77">
        <f t="shared" si="181"/>
        <v>63132.58497380386</v>
      </c>
      <c r="FG66" s="77">
        <f t="shared" si="182"/>
        <v>63132.58497380386</v>
      </c>
      <c r="FH66" s="77">
        <f t="shared" si="183"/>
        <v>63132.58497380386</v>
      </c>
      <c r="FI66" s="77">
        <f t="shared" si="184"/>
        <v>63132.58497380386</v>
      </c>
      <c r="FJ66" s="77">
        <f>IF(ABS(-$BV66*($BS66-CH66)/$BS66*$BX66)&gt;$BB66,$BB66*SIGN(-($BS66-CH66)),-$BV66*($BS66-CH66)/$BS66*$BX66)*DV66</f>
        <v>271911.90097069473</v>
      </c>
      <c r="FK66" s="77">
        <f>IF(ABS(-$BV66*($BS66-CI66)/$BS66*$BX66)&gt;$BB66,$BB66*SIGN(-($BS66-CI66)),-$BV66*($BS66-CI66)/$BS66*$BX66)*DW66</f>
        <v>188827.70900742686</v>
      </c>
      <c r="FL66" s="77">
        <f>IF(ABS(-$BV66*($BS66-CJ66)/$BS66*$BX66)&gt;$BB66,$BB66*SIGN(-($BS66-CJ66)),-$BV66*($BS66-CJ66)/$BS66*$BX66)*DX66</f>
        <v>188827.70900742686</v>
      </c>
      <c r="FM66" s="77">
        <f>IF(ABS(-$BV66*($BS66-CK66)/$BS66*$BX66)&gt;$BB66,$BB66*SIGN(-($BS66-CK66)),-$BV66*($BS66-CK66)/$BS66*$BX66)*DY66</f>
        <v>271911.90097069473</v>
      </c>
      <c r="GO66" s="77">
        <f t="shared" si="154"/>
        <v>157987612.26149786</v>
      </c>
      <c r="GP66" s="77">
        <f t="shared" si="155"/>
        <v>58117279.029001683</v>
      </c>
      <c r="GQ66" s="77">
        <f t="shared" si="156"/>
        <v>6014299.6942886729</v>
      </c>
      <c r="GR66" s="77">
        <f t="shared" si="157"/>
        <v>-52166862.913853414</v>
      </c>
      <c r="GS66" s="77">
        <f t="shared" si="158"/>
        <v>-19242811.900015414</v>
      </c>
      <c r="GT66" s="77">
        <f t="shared" si="159"/>
        <v>-9621405.9500077069</v>
      </c>
      <c r="GU66" s="77">
        <f t="shared" si="121"/>
        <v>0</v>
      </c>
      <c r="GV66" s="77">
        <f t="shared" si="185"/>
        <v>9621405.9500077069</v>
      </c>
      <c r="GW66" s="77">
        <f t="shared" si="185"/>
        <v>19242811.900015414</v>
      </c>
      <c r="GX66" s="77">
        <f t="shared" si="185"/>
        <v>116548238.55356403</v>
      </c>
      <c r="GY66" s="77">
        <f t="shared" si="185"/>
        <v>90528724.390885621</v>
      </c>
      <c r="GZ66" s="77">
        <f t="shared" si="185"/>
        <v>100121172.00846289</v>
      </c>
      <c r="HA66" s="77">
        <f t="shared" si="185"/>
        <v>157987612.26149791</v>
      </c>
      <c r="IC66" s="82">
        <v>66</v>
      </c>
    </row>
    <row r="67" spans="1:237" s="77" customFormat="1">
      <c r="A67" s="77">
        <v>66</v>
      </c>
      <c r="B67" s="69">
        <v>97</v>
      </c>
      <c r="C67" s="69" t="s">
        <v>83</v>
      </c>
      <c r="D67" s="70" t="s">
        <v>82</v>
      </c>
      <c r="E67" s="70">
        <v>3</v>
      </c>
      <c r="F67" s="70">
        <v>7.5475778546712807E-2</v>
      </c>
      <c r="G67" s="70"/>
      <c r="H67" s="70"/>
      <c r="I67" s="70">
        <v>5.0000000000000001E-3</v>
      </c>
      <c r="J67" s="71">
        <v>1.09375</v>
      </c>
      <c r="K67" s="72">
        <v>16</v>
      </c>
      <c r="L67" s="71">
        <v>3.0865051903114189E-2</v>
      </c>
      <c r="M67" s="71">
        <v>4.1799307958477507E-2</v>
      </c>
      <c r="N67" s="71">
        <v>3.0311418685121109E-2</v>
      </c>
      <c r="O67" s="71">
        <v>0.16719723183391003</v>
      </c>
      <c r="P67" s="71">
        <v>0</v>
      </c>
      <c r="Q67" s="73" t="s">
        <v>3</v>
      </c>
      <c r="R67" s="74">
        <v>0</v>
      </c>
      <c r="S67" s="75">
        <f t="shared" ref="S67:S128" si="216">Y67/AY67/SQRT(AK67)</f>
        <v>0.4057481262495457</v>
      </c>
      <c r="T67" s="59">
        <f t="shared" si="188"/>
        <v>2.2863476488926326</v>
      </c>
      <c r="U67" s="59">
        <f t="shared" si="189"/>
        <v>1.788975200345865</v>
      </c>
      <c r="V67" s="59">
        <f t="shared" si="190"/>
        <v>2.093023483802233</v>
      </c>
      <c r="W67" s="59">
        <f t="shared" si="191"/>
        <v>0.91544410790544739</v>
      </c>
      <c r="X67" s="59">
        <f t="shared" si="192"/>
        <v>1.1699566787720626</v>
      </c>
      <c r="Y67" s="76">
        <v>349000</v>
      </c>
      <c r="Z67" s="57">
        <f t="shared" si="193"/>
        <v>408314.88089144981</v>
      </c>
      <c r="AA67" s="57">
        <f t="shared" si="194"/>
        <v>319489.99365900113</v>
      </c>
      <c r="AB67" s="57">
        <f t="shared" si="195"/>
        <v>1012889.1495212284</v>
      </c>
      <c r="AC67" s="57">
        <f t="shared" si="196"/>
        <v>0.25</v>
      </c>
      <c r="AD67" s="57">
        <f t="shared" si="197"/>
        <v>1.5</v>
      </c>
      <c r="AE67" s="57">
        <f t="shared" si="198"/>
        <v>0</v>
      </c>
      <c r="AF67" s="57">
        <f t="shared" si="199"/>
        <v>176337.6541616866</v>
      </c>
      <c r="AG67" s="57">
        <f t="shared" si="200"/>
        <v>143152.33949731453</v>
      </c>
      <c r="AH67" s="57">
        <f t="shared" si="201"/>
        <v>621567298.70286727</v>
      </c>
      <c r="AI67" s="57">
        <f t="shared" si="202"/>
        <v>1150988712.9592824</v>
      </c>
      <c r="AJ67" s="77">
        <v>0</v>
      </c>
      <c r="AK67" s="77">
        <v>28.9</v>
      </c>
      <c r="AL67" s="78">
        <f t="shared" si="203"/>
        <v>2.92175256102876</v>
      </c>
      <c r="AM67" s="57">
        <f t="shared" si="204"/>
        <v>1</v>
      </c>
      <c r="AN67" s="57">
        <f t="shared" si="205"/>
        <v>0.8</v>
      </c>
      <c r="AO67" s="77">
        <v>1600</v>
      </c>
      <c r="AP67" s="79">
        <v>150</v>
      </c>
      <c r="AQ67" s="57">
        <f t="shared" si="206"/>
        <v>91.165400916107743</v>
      </c>
      <c r="AR67" s="57">
        <f t="shared" si="207"/>
        <v>1300</v>
      </c>
      <c r="AS67" s="57">
        <f t="shared" si="208"/>
        <v>1508.8345990838923</v>
      </c>
      <c r="AT67" s="77">
        <v>100</v>
      </c>
      <c r="AU67" s="77">
        <v>1750</v>
      </c>
      <c r="AV67" s="77">
        <f t="shared" si="209"/>
        <v>160000</v>
      </c>
      <c r="AW67" s="77">
        <v>0</v>
      </c>
      <c r="AX67" s="77">
        <f t="shared" si="210"/>
        <v>160000</v>
      </c>
      <c r="AY67" s="77">
        <v>160000</v>
      </c>
      <c r="AZ67" s="77">
        <v>604</v>
      </c>
      <c r="BA67" s="77">
        <v>604</v>
      </c>
      <c r="BB67" s="77">
        <v>673</v>
      </c>
      <c r="BC67" s="77">
        <v>280</v>
      </c>
      <c r="BD67" s="77">
        <v>2E-3</v>
      </c>
      <c r="BE67" s="77">
        <f t="shared" ref="BE67:BE75" si="217">BD67</f>
        <v>2E-3</v>
      </c>
      <c r="BF67" s="77">
        <v>8.0000000000000002E-3</v>
      </c>
      <c r="BG67" s="77">
        <f t="shared" ref="BG67:BG75" si="218">PI()*6*6*2/(4*AT67*100)</f>
        <v>5.6548667764616273E-3</v>
      </c>
      <c r="BH67" s="79">
        <v>100</v>
      </c>
      <c r="BI67" s="79">
        <f>PI()*5*5/4</f>
        <v>19.634954084936208</v>
      </c>
      <c r="BJ67" s="79">
        <v>1</v>
      </c>
      <c r="BK67" s="57">
        <f t="shared" si="211"/>
        <v>19.634954084936208</v>
      </c>
      <c r="BL67" s="57"/>
      <c r="BM67" s="80">
        <f t="shared" ref="BM67:BM75" si="219">PI()*16*16/4</f>
        <v>201.06192982974676</v>
      </c>
      <c r="BN67" s="80">
        <v>6</v>
      </c>
      <c r="BO67" s="57">
        <f t="shared" si="212"/>
        <v>1206.3715789784806</v>
      </c>
      <c r="BP67" s="57">
        <f t="shared" si="213"/>
        <v>730465.19584697939</v>
      </c>
      <c r="BQ67" s="77">
        <f t="shared" si="214"/>
        <v>1.280568540096283E-9</v>
      </c>
      <c r="BR67" s="57">
        <f t="shared" si="215"/>
        <v>1278314092.732214</v>
      </c>
      <c r="BS67" s="57">
        <v>182.33080183221549</v>
      </c>
      <c r="BT67" s="57">
        <f t="shared" ref="BT67:BT128" si="220">(AE67 + BD67*MAX(AW67/2,AT67*AP67) * BA67)/(0.85 * AK67  * AT67 * (1.05 - AK67/140))</f>
        <v>8.7441895415453263</v>
      </c>
      <c r="BU67" s="57"/>
      <c r="BV67" s="57">
        <v>3.3E-3</v>
      </c>
      <c r="BW67" s="57">
        <v>30000</v>
      </c>
      <c r="BX67" s="57">
        <v>200000</v>
      </c>
      <c r="BY67" s="77">
        <f>20</f>
        <v>20</v>
      </c>
      <c r="BZ67" s="77">
        <f>BY67+130/2*1</f>
        <v>85</v>
      </c>
      <c r="CA67" s="77">
        <f>BY67+130/2*2</f>
        <v>150</v>
      </c>
      <c r="CB67" s="77">
        <f>CA67+50</f>
        <v>200</v>
      </c>
      <c r="CC67" s="77">
        <f>CB67+100*1</f>
        <v>300</v>
      </c>
      <c r="CD67" s="77">
        <f>CB67+100*2</f>
        <v>400</v>
      </c>
      <c r="CE67" s="77">
        <f>CB67+100*3</f>
        <v>500</v>
      </c>
      <c r="CF67" s="77">
        <f>CB67+100*4</f>
        <v>600</v>
      </c>
      <c r="CG67" s="77">
        <f>CB67+100*5</f>
        <v>700</v>
      </c>
      <c r="CH67" s="77">
        <f>CB67+100*6</f>
        <v>800</v>
      </c>
      <c r="CI67" s="77">
        <f>CB67+100*7</f>
        <v>900</v>
      </c>
      <c r="CJ67" s="77">
        <f>CB67+100*8</f>
        <v>1000</v>
      </c>
      <c r="CK67" s="77">
        <f>CB67+100*9</f>
        <v>1100</v>
      </c>
      <c r="CL67" s="77">
        <f>CB67+100*10</f>
        <v>1200</v>
      </c>
      <c r="CM67" s="77">
        <f>CB67+100*11</f>
        <v>1300</v>
      </c>
      <c r="CN67" s="77">
        <f>CB67+100*12</f>
        <v>1400</v>
      </c>
      <c r="CO67" s="77">
        <f>CN67+50</f>
        <v>1450</v>
      </c>
      <c r="CP67" s="77">
        <f>CO67+130/2*1</f>
        <v>1515</v>
      </c>
      <c r="CQ67" s="77">
        <f>CO67+130/2*2</f>
        <v>1580</v>
      </c>
      <c r="DM67" s="77">
        <f>PI()*16*16/4*2</f>
        <v>402.12385965949352</v>
      </c>
      <c r="DN67" s="77">
        <f>PI()*16*16/4*2</f>
        <v>402.12385965949352</v>
      </c>
      <c r="DO67" s="77">
        <f>PI()*16*16/4*2</f>
        <v>402.12385965949352</v>
      </c>
      <c r="DP67" s="77">
        <f t="shared" ref="DP67:EB67" si="221">PI()*5*5/4</f>
        <v>19.634954084936208</v>
      </c>
      <c r="DQ67" s="77">
        <f t="shared" si="221"/>
        <v>19.634954084936208</v>
      </c>
      <c r="DR67" s="77">
        <f t="shared" si="221"/>
        <v>19.634954084936208</v>
      </c>
      <c r="DS67" s="77">
        <f t="shared" si="221"/>
        <v>19.634954084936208</v>
      </c>
      <c r="DT67" s="77">
        <f t="shared" si="221"/>
        <v>19.634954084936208</v>
      </c>
      <c r="DU67" s="77">
        <f t="shared" si="221"/>
        <v>19.634954084936208</v>
      </c>
      <c r="DV67" s="77">
        <f t="shared" si="221"/>
        <v>19.634954084936208</v>
      </c>
      <c r="DW67" s="77">
        <f t="shared" si="221"/>
        <v>19.634954084936208</v>
      </c>
      <c r="DX67" s="77">
        <f t="shared" si="221"/>
        <v>19.634954084936208</v>
      </c>
      <c r="DY67" s="77">
        <f t="shared" si="221"/>
        <v>19.634954084936208</v>
      </c>
      <c r="DZ67" s="77">
        <f t="shared" si="221"/>
        <v>19.634954084936208</v>
      </c>
      <c r="EA67" s="77">
        <f t="shared" si="221"/>
        <v>19.634954084936208</v>
      </c>
      <c r="EB67" s="77">
        <f t="shared" si="221"/>
        <v>19.634954084936208</v>
      </c>
      <c r="EC67" s="77">
        <f>PI()*16*16/4*2</f>
        <v>402.12385965949352</v>
      </c>
      <c r="ED67" s="77">
        <f>PI()*16*16/4*2</f>
        <v>402.12385965949352</v>
      </c>
      <c r="EE67" s="77">
        <f>PI()*16*16/4*2</f>
        <v>402.12385965949352</v>
      </c>
      <c r="FA67" s="77">
        <f t="shared" si="160"/>
        <v>-236289.63414938372</v>
      </c>
      <c r="FB67" s="77">
        <f t="shared" si="164"/>
        <v>-141675.26616526712</v>
      </c>
      <c r="FC67" s="77">
        <f>IF(ABS(-$BV67*($BS67-CA67)/$BS67*$BX67)&gt;$BB67,$BB67*SIGN(-($BS67-CA67)),-$BV67*($BS67-CA67)/$BS67*$BX67)*DO67</f>
        <v>-47060.898181150551</v>
      </c>
      <c r="FD67" s="77">
        <f t="shared" ref="FD67:FD77" si="222">IF(ABS(-$BV67*($BS67-CB67)/$BS67*$BX67)&gt;$BA67,$BA67*SIGN(-($BS67-CB67)),-$BV67*($BS67-CB67)/$BS67*$BX67)*DP67</f>
        <v>1255.8293400173095</v>
      </c>
      <c r="FE67" s="77">
        <f t="shared" si="180"/>
        <v>8363.2788580549131</v>
      </c>
      <c r="FF67" s="77">
        <f t="shared" si="181"/>
        <v>11859.51226730147</v>
      </c>
      <c r="FG67" s="77">
        <f t="shared" si="182"/>
        <v>11859.51226730147</v>
      </c>
      <c r="FH67" s="77">
        <f t="shared" si="183"/>
        <v>11859.51226730147</v>
      </c>
      <c r="FI67" s="77">
        <f t="shared" si="184"/>
        <v>11859.51226730147</v>
      </c>
      <c r="FJ67" s="77">
        <f t="shared" ref="FJ67:FP67" si="223">IF(ABS(-$BV67*($BS67-CH67)/$BS67*$BX67)&gt;$BA67,$BA67*SIGN(-($BS67-CH67)),-$BV67*($BS67-CH67)/$BS67*$BX67)*DV67</f>
        <v>11859.51226730147</v>
      </c>
      <c r="FK67" s="77">
        <f t="shared" si="223"/>
        <v>11859.51226730147</v>
      </c>
      <c r="FL67" s="77">
        <f t="shared" si="223"/>
        <v>11859.51226730147</v>
      </c>
      <c r="FM67" s="77">
        <f t="shared" si="223"/>
        <v>11859.51226730147</v>
      </c>
      <c r="FN67" s="77">
        <f t="shared" si="223"/>
        <v>11859.51226730147</v>
      </c>
      <c r="FO67" s="77">
        <f t="shared" si="223"/>
        <v>11859.51226730147</v>
      </c>
      <c r="FP67" s="77">
        <f t="shared" si="223"/>
        <v>11859.51226730147</v>
      </c>
      <c r="FQ67" s="77">
        <f>IF(ABS(-$BV67*($BS67-CO67)/$BS67*$BX67)&gt;$BB67,$BB67*SIGN(-($BS67-CO67)),-$BV67*($BS67-CO67)/$BS67*$BX67)*EC67</f>
        <v>270629.35755083914</v>
      </c>
      <c r="FR67" s="77">
        <f>IF(ABS(-$BV67*($BS67-CP67)/$BS67*$BX67)&gt;$BB67,$BB67*SIGN(-($BS67-CP67)),-$BV67*($BS67-CP67)/$BS67*$BX67)*ED67</f>
        <v>270629.35755083914</v>
      </c>
      <c r="FS67" s="77">
        <f>IF(ABS(-$BV67*($BS67-CQ67)/$BS67*$BX67)&gt;$BB67,$BB67*SIGN(-($BS67-CQ67)),-$BV67*($BS67-CQ67)/$BS67*$BX67)*EE67</f>
        <v>270629.35755083914</v>
      </c>
      <c r="GO67" s="77">
        <f t="shared" si="154"/>
        <v>184305914.63651931</v>
      </c>
      <c r="GP67" s="77">
        <f t="shared" si="155"/>
        <v>101297815.308166</v>
      </c>
      <c r="GQ67" s="77">
        <f t="shared" si="156"/>
        <v>30589583.817747857</v>
      </c>
      <c r="GR67" s="77">
        <f t="shared" si="157"/>
        <v>-753497.60401038569</v>
      </c>
      <c r="GS67" s="77">
        <f t="shared" si="158"/>
        <v>-4181639.4290274568</v>
      </c>
      <c r="GT67" s="77">
        <f t="shared" si="159"/>
        <v>-4743804.9069205876</v>
      </c>
      <c r="GU67" s="77">
        <f t="shared" si="121"/>
        <v>-3557853.6801904412</v>
      </c>
      <c r="GV67" s="77">
        <f t="shared" si="185"/>
        <v>-2371902.4534602938</v>
      </c>
      <c r="GW67" s="77">
        <f t="shared" si="185"/>
        <v>-1185951.2267301469</v>
      </c>
      <c r="GX67" s="77">
        <f t="shared" si="185"/>
        <v>0</v>
      </c>
      <c r="GY67" s="77">
        <f t="shared" si="185"/>
        <v>1185951.2267301469</v>
      </c>
      <c r="GZ67" s="77">
        <f t="shared" si="185"/>
        <v>2371902.4534602938</v>
      </c>
      <c r="HA67" s="77">
        <f t="shared" si="185"/>
        <v>3557853.6801904412</v>
      </c>
      <c r="HB67" s="77">
        <f t="shared" ref="HB67:HG67" si="224">FN67*(CL67-0.5*$AO67)</f>
        <v>4743804.9069205876</v>
      </c>
      <c r="HC67" s="77">
        <f t="shared" si="224"/>
        <v>5929756.133650735</v>
      </c>
      <c r="HD67" s="77">
        <f t="shared" si="224"/>
        <v>7115707.3603808824</v>
      </c>
      <c r="HE67" s="77">
        <f t="shared" si="224"/>
        <v>175909082.40804544</v>
      </c>
      <c r="HF67" s="77">
        <f t="shared" si="224"/>
        <v>193499990.64884999</v>
      </c>
      <c r="HG67" s="77">
        <f t="shared" si="224"/>
        <v>211090898.88965452</v>
      </c>
      <c r="IC67" s="82">
        <v>67</v>
      </c>
    </row>
    <row r="68" spans="1:237" s="77" customFormat="1">
      <c r="A68" s="77">
        <v>67</v>
      </c>
      <c r="B68" s="69">
        <v>98</v>
      </c>
      <c r="C68" s="69" t="s">
        <v>83</v>
      </c>
      <c r="D68" s="70" t="s">
        <v>84</v>
      </c>
      <c r="E68" s="70">
        <v>4</v>
      </c>
      <c r="F68" s="70">
        <v>5.0389273356401386E-2</v>
      </c>
      <c r="G68" s="70"/>
      <c r="H68" s="70"/>
      <c r="I68" s="70">
        <v>7.4999999999999997E-3</v>
      </c>
      <c r="J68" s="71">
        <v>1.09375</v>
      </c>
      <c r="K68" s="72">
        <v>16</v>
      </c>
      <c r="L68" s="71">
        <v>3.0865051903114189E-2</v>
      </c>
      <c r="M68" s="71">
        <v>4.1799307958477507E-2</v>
      </c>
      <c r="N68" s="71">
        <v>3.0311418685121109E-2</v>
      </c>
      <c r="O68" s="71">
        <v>6.2698961937716263E-2</v>
      </c>
      <c r="P68" s="71">
        <v>0</v>
      </c>
      <c r="Q68" s="73" t="s">
        <v>3</v>
      </c>
      <c r="R68" s="74">
        <v>0</v>
      </c>
      <c r="S68" s="75">
        <f t="shared" si="216"/>
        <v>0.27088628486001193</v>
      </c>
      <c r="T68" s="59">
        <f t="shared" si="188"/>
        <v>0.90228855354365511</v>
      </c>
      <c r="U68" s="59">
        <f t="shared" si="189"/>
        <v>0.72071953964956892</v>
      </c>
      <c r="V68" s="59">
        <f t="shared" si="190"/>
        <v>1.2630064935113916</v>
      </c>
      <c r="W68" s="59">
        <f t="shared" si="191"/>
        <v>1.3997811327108718</v>
      </c>
      <c r="X68" s="59">
        <f t="shared" si="192"/>
        <v>1.7524243815083682</v>
      </c>
      <c r="Y68" s="76">
        <v>233000</v>
      </c>
      <c r="Z68" s="57">
        <f t="shared" si="193"/>
        <v>408314.88089144981</v>
      </c>
      <c r="AA68" s="57">
        <f t="shared" si="194"/>
        <v>326149.00392163312</v>
      </c>
      <c r="AB68" s="57">
        <f t="shared" si="195"/>
        <v>591933.99290540407</v>
      </c>
      <c r="AC68" s="57">
        <f t="shared" si="196"/>
        <v>0.25</v>
      </c>
      <c r="AD68" s="57">
        <f t="shared" si="197"/>
        <v>1.5</v>
      </c>
      <c r="AE68" s="57">
        <f t="shared" si="198"/>
        <v>0</v>
      </c>
      <c r="AF68" s="57">
        <f t="shared" si="199"/>
        <v>180012.99383446647</v>
      </c>
      <c r="AG68" s="57">
        <f t="shared" si="200"/>
        <v>146136.01008716662</v>
      </c>
      <c r="AH68" s="57">
        <f t="shared" si="201"/>
        <v>635200038.94070828</v>
      </c>
      <c r="AI68" s="57">
        <f t="shared" si="202"/>
        <v>400684448.64374876</v>
      </c>
      <c r="AJ68" s="77">
        <v>0</v>
      </c>
      <c r="AK68" s="77">
        <v>28.9</v>
      </c>
      <c r="AL68" s="78">
        <f t="shared" si="203"/>
        <v>2.92175256102876</v>
      </c>
      <c r="AM68" s="57">
        <f t="shared" si="204"/>
        <v>1</v>
      </c>
      <c r="AN68" s="57">
        <f t="shared" si="205"/>
        <v>0.8</v>
      </c>
      <c r="AO68" s="77">
        <v>1600</v>
      </c>
      <c r="AP68" s="79">
        <v>150</v>
      </c>
      <c r="AQ68" s="57">
        <f t="shared" si="206"/>
        <v>59.717326549692494</v>
      </c>
      <c r="AR68" s="57">
        <f t="shared" si="207"/>
        <v>1300</v>
      </c>
      <c r="AS68" s="57">
        <f t="shared" si="208"/>
        <v>1540.2826734503076</v>
      </c>
      <c r="AT68" s="77">
        <v>100</v>
      </c>
      <c r="AU68" s="77">
        <v>1750</v>
      </c>
      <c r="AV68" s="77">
        <f t="shared" si="209"/>
        <v>160000</v>
      </c>
      <c r="AW68" s="77">
        <v>0</v>
      </c>
      <c r="AX68" s="77">
        <f t="shared" si="210"/>
        <v>160000</v>
      </c>
      <c r="AY68" s="77">
        <v>160000</v>
      </c>
      <c r="AZ68" s="77">
        <v>604</v>
      </c>
      <c r="BA68" s="77">
        <v>604</v>
      </c>
      <c r="BB68" s="77">
        <v>673</v>
      </c>
      <c r="BC68" s="77">
        <v>280</v>
      </c>
      <c r="BD68" s="77">
        <v>2E-3</v>
      </c>
      <c r="BE68" s="77">
        <f t="shared" si="217"/>
        <v>2E-3</v>
      </c>
      <c r="BF68" s="77">
        <v>3.0000000000000001E-3</v>
      </c>
      <c r="BG68" s="77">
        <f t="shared" si="218"/>
        <v>5.6548667764616273E-3</v>
      </c>
      <c r="BH68" s="79">
        <v>100</v>
      </c>
      <c r="BI68" s="79">
        <f>PI()*5*5/4</f>
        <v>19.634954084936208</v>
      </c>
      <c r="BJ68" s="79">
        <v>1</v>
      </c>
      <c r="BK68" s="57">
        <f t="shared" si="211"/>
        <v>19.634954084936208</v>
      </c>
      <c r="BL68" s="57"/>
      <c r="BM68" s="80">
        <f t="shared" si="219"/>
        <v>201.06192982974676</v>
      </c>
      <c r="BN68" s="80">
        <v>2</v>
      </c>
      <c r="BO68" s="57">
        <f t="shared" si="212"/>
        <v>402.12385965949352</v>
      </c>
      <c r="BP68" s="57">
        <f t="shared" si="213"/>
        <v>294280.51298815425</v>
      </c>
      <c r="BQ68" s="77">
        <f t="shared" si="214"/>
        <v>1.9790604710578918E-9</v>
      </c>
      <c r="BR68" s="57">
        <f t="shared" si="215"/>
        <v>514990897.72926998</v>
      </c>
      <c r="BS68" s="57">
        <v>119.43465309938499</v>
      </c>
      <c r="BT68" s="57">
        <f t="shared" si="220"/>
        <v>8.7441895415453263</v>
      </c>
      <c r="BU68" s="57"/>
      <c r="BV68" s="57">
        <v>3.3E-3</v>
      </c>
      <c r="BW68" s="57">
        <v>30000</v>
      </c>
      <c r="BX68" s="57">
        <v>200000</v>
      </c>
      <c r="BY68" s="77">
        <f>20</f>
        <v>20</v>
      </c>
      <c r="BZ68" s="77">
        <f>BY68+130</f>
        <v>150</v>
      </c>
      <c r="CA68" s="77">
        <f>BZ68+50</f>
        <v>200</v>
      </c>
      <c r="CB68" s="77">
        <f>CA68+100*1</f>
        <v>300</v>
      </c>
      <c r="CC68" s="77">
        <f>CA68+100*2</f>
        <v>400</v>
      </c>
      <c r="CD68" s="77">
        <f>CA68+100*3</f>
        <v>500</v>
      </c>
      <c r="CE68" s="77">
        <f>CA68+100*4</f>
        <v>600</v>
      </c>
      <c r="CF68" s="77">
        <f>CA68+100*5</f>
        <v>700</v>
      </c>
      <c r="CG68" s="77">
        <f>CA68+100*6</f>
        <v>800</v>
      </c>
      <c r="CH68" s="77">
        <f>CA68+100*7</f>
        <v>900</v>
      </c>
      <c r="CI68" s="77">
        <f>CA68+100*8</f>
        <v>1000</v>
      </c>
      <c r="CJ68" s="77">
        <f>CA68+100*9</f>
        <v>1100</v>
      </c>
      <c r="CK68" s="77">
        <f>CA68+100*10</f>
        <v>1200</v>
      </c>
      <c r="CL68" s="77">
        <f>CA68+100*11</f>
        <v>1300</v>
      </c>
      <c r="CM68" s="77">
        <f>CA68+100*12</f>
        <v>1400</v>
      </c>
      <c r="CN68" s="77">
        <f>CM68+50</f>
        <v>1450</v>
      </c>
      <c r="CO68" s="77">
        <f>CN68+130</f>
        <v>1580</v>
      </c>
      <c r="DM68" s="77">
        <f>PI()*16*16/4</f>
        <v>201.06192982974676</v>
      </c>
      <c r="DN68" s="77">
        <f>PI()*16*16/4</f>
        <v>201.06192982974676</v>
      </c>
      <c r="DO68" s="77">
        <f t="shared" ref="DO68:EA68" si="225">PI()*5*5/4</f>
        <v>19.634954084936208</v>
      </c>
      <c r="DP68" s="77">
        <f t="shared" si="225"/>
        <v>19.634954084936208</v>
      </c>
      <c r="DQ68" s="77">
        <f t="shared" si="225"/>
        <v>19.634954084936208</v>
      </c>
      <c r="DR68" s="77">
        <f t="shared" si="225"/>
        <v>19.634954084936208</v>
      </c>
      <c r="DS68" s="77">
        <f t="shared" si="225"/>
        <v>19.634954084936208</v>
      </c>
      <c r="DT68" s="77">
        <f t="shared" si="225"/>
        <v>19.634954084936208</v>
      </c>
      <c r="DU68" s="77">
        <f t="shared" si="225"/>
        <v>19.634954084936208</v>
      </c>
      <c r="DV68" s="77">
        <f t="shared" si="225"/>
        <v>19.634954084936208</v>
      </c>
      <c r="DW68" s="77">
        <f t="shared" si="225"/>
        <v>19.634954084936208</v>
      </c>
      <c r="DX68" s="77">
        <f t="shared" si="225"/>
        <v>19.634954084936208</v>
      </c>
      <c r="DY68" s="77">
        <f t="shared" si="225"/>
        <v>19.634954084936208</v>
      </c>
      <c r="DZ68" s="77">
        <f t="shared" si="225"/>
        <v>19.634954084936208</v>
      </c>
      <c r="EA68" s="77">
        <f t="shared" si="225"/>
        <v>19.634954084936208</v>
      </c>
      <c r="EB68" s="77">
        <f>PI()*16*16/4</f>
        <v>201.06192982974676</v>
      </c>
      <c r="EC68" s="77">
        <f>PI()*16*16/4</f>
        <v>201.06192982974676</v>
      </c>
      <c r="FA68" s="77">
        <f t="shared" si="160"/>
        <v>-110479.37092541381</v>
      </c>
      <c r="FB68" s="77">
        <f t="shared" si="164"/>
        <v>33960.397029009997</v>
      </c>
      <c r="FC68" s="77">
        <f>IF(ABS(-$BV68*($BS68-CA68)/$BS68*$BX68)&gt;$BA68,$BA68*SIGN(-($BS68-CA68)),-$BV68*($BS68-CA68)/$BS68*$BX68)*DO68</f>
        <v>8741.616595171643</v>
      </c>
      <c r="FD68" s="77">
        <f t="shared" si="222"/>
        <v>11859.51226730147</v>
      </c>
      <c r="FE68" s="77">
        <f t="shared" si="180"/>
        <v>11859.51226730147</v>
      </c>
      <c r="FF68" s="77">
        <f t="shared" si="181"/>
        <v>11859.51226730147</v>
      </c>
      <c r="FG68" s="77">
        <f t="shared" si="182"/>
        <v>11859.51226730147</v>
      </c>
      <c r="FH68" s="77">
        <f t="shared" si="183"/>
        <v>11859.51226730147</v>
      </c>
      <c r="FI68" s="77">
        <f t="shared" si="184"/>
        <v>11859.51226730147</v>
      </c>
      <c r="FJ68" s="77">
        <f t="shared" ref="FJ68:FO68" si="226">IF(ABS(-$BV68*($BS68-CH68)/$BS68*$BX68)&gt;$BA68,$BA68*SIGN(-($BS68-CH68)),-$BV68*($BS68-CH68)/$BS68*$BX68)*DV68</f>
        <v>11859.51226730147</v>
      </c>
      <c r="FK68" s="77">
        <f t="shared" si="226"/>
        <v>11859.51226730147</v>
      </c>
      <c r="FL68" s="77">
        <f t="shared" si="226"/>
        <v>11859.51226730147</v>
      </c>
      <c r="FM68" s="77">
        <f t="shared" si="226"/>
        <v>11859.51226730147</v>
      </c>
      <c r="FN68" s="77">
        <f t="shared" si="226"/>
        <v>11859.51226730147</v>
      </c>
      <c r="FO68" s="77">
        <f t="shared" si="226"/>
        <v>11859.51226730147</v>
      </c>
      <c r="FP68" s="77">
        <f>IF(ABS(-$BV68*($BS68-CN68)/$BS68*$BX68)&gt;$BB68,$BB68*SIGN(-($BS68-CN68)),-$BV68*($BS68-CN68)/$BS68*$BX68)*EB68</f>
        <v>135314.67877541957</v>
      </c>
      <c r="FQ68" s="77">
        <f>IF(ABS(-$BV68*($BS68-CO68)/$BS68*$BX68)&gt;$BB68,$BB68*SIGN(-($BS68-CO68)),-$BV68*($BS68-CO68)/$BS68*$BX68)*EC68</f>
        <v>135314.67877541957</v>
      </c>
      <c r="GO68" s="77">
        <f t="shared" si="154"/>
        <v>86173909.321822777</v>
      </c>
      <c r="GP68" s="77">
        <f t="shared" si="155"/>
        <v>-22074258.068856496</v>
      </c>
      <c r="GQ68" s="77">
        <f t="shared" si="156"/>
        <v>-5244969.9571029861</v>
      </c>
      <c r="GR68" s="77">
        <f t="shared" si="157"/>
        <v>-5929756.133650735</v>
      </c>
      <c r="GS68" s="77">
        <f t="shared" si="158"/>
        <v>-4743804.9069205876</v>
      </c>
      <c r="GT68" s="77">
        <f t="shared" si="159"/>
        <v>-3557853.6801904412</v>
      </c>
      <c r="GU68" s="77">
        <f t="shared" si="121"/>
        <v>-2371902.4534602938</v>
      </c>
      <c r="GV68" s="77">
        <f t="shared" si="185"/>
        <v>-1185951.2267301469</v>
      </c>
      <c r="GW68" s="77">
        <f t="shared" si="185"/>
        <v>0</v>
      </c>
      <c r="GX68" s="77">
        <f t="shared" si="185"/>
        <v>1185951.2267301469</v>
      </c>
      <c r="GY68" s="77">
        <f t="shared" si="185"/>
        <v>2371902.4534602938</v>
      </c>
      <c r="GZ68" s="77">
        <f t="shared" si="185"/>
        <v>3557853.6801904412</v>
      </c>
      <c r="HA68" s="77">
        <f t="shared" si="185"/>
        <v>4743804.9069205876</v>
      </c>
      <c r="HB68" s="77">
        <f>FN68*(CL68-0.5*$AO68)</f>
        <v>5929756.133650735</v>
      </c>
      <c r="HC68" s="77">
        <f>FO68*(CM68-0.5*$AO68)</f>
        <v>7115707.3603808824</v>
      </c>
      <c r="HD68" s="77">
        <f>FP68*(CN68-0.5*$AO68)</f>
        <v>87954541.20402272</v>
      </c>
      <c r="HE68" s="77">
        <f>FQ68*(CO68-0.5*$AO68)</f>
        <v>105545449.44482726</v>
      </c>
      <c r="IC68" s="82">
        <v>68</v>
      </c>
    </row>
    <row r="69" spans="1:237" s="77" customFormat="1">
      <c r="A69" s="77">
        <v>68</v>
      </c>
      <c r="B69" s="69">
        <v>99</v>
      </c>
      <c r="C69" s="69" t="s">
        <v>83</v>
      </c>
      <c r="D69" s="70" t="s">
        <v>85</v>
      </c>
      <c r="E69" s="70">
        <v>3</v>
      </c>
      <c r="F69" s="70">
        <v>0.10185986159169551</v>
      </c>
      <c r="G69" s="70"/>
      <c r="H69" s="70"/>
      <c r="I69" s="70">
        <v>7.4999999999999997E-3</v>
      </c>
      <c r="J69" s="71">
        <v>1.09375</v>
      </c>
      <c r="K69" s="72">
        <v>16</v>
      </c>
      <c r="L69" s="71">
        <v>4.0124567474048446E-2</v>
      </c>
      <c r="M69" s="71">
        <v>5.406920415224914E-2</v>
      </c>
      <c r="N69" s="71">
        <v>3.9404844290657444E-2</v>
      </c>
      <c r="O69" s="71">
        <v>0.16636678200692043</v>
      </c>
      <c r="P69" s="71">
        <v>0</v>
      </c>
      <c r="Q69" s="73" t="s">
        <v>3</v>
      </c>
      <c r="R69" s="74">
        <v>0</v>
      </c>
      <c r="S69" s="75">
        <f t="shared" si="216"/>
        <v>0.54758558012474512</v>
      </c>
      <c r="T69" s="59">
        <f t="shared" si="188"/>
        <v>2.0755106747537289</v>
      </c>
      <c r="U69" s="59">
        <f t="shared" si="189"/>
        <v>1.6127696425845353</v>
      </c>
      <c r="V69" s="59">
        <f t="shared" si="190"/>
        <v>1.5923990296367869</v>
      </c>
      <c r="W69" s="59">
        <f t="shared" si="191"/>
        <v>0.76723239682963051</v>
      </c>
      <c r="X69" s="59">
        <f t="shared" si="192"/>
        <v>0.98736917386719691</v>
      </c>
      <c r="Y69" s="76">
        <v>471000</v>
      </c>
      <c r="Z69" s="57">
        <f t="shared" si="193"/>
        <v>465050.88089144975</v>
      </c>
      <c r="AA69" s="57">
        <f t="shared" si="194"/>
        <v>361366.45890675596</v>
      </c>
      <c r="AB69" s="57">
        <f t="shared" si="195"/>
        <v>1007532.9397498134</v>
      </c>
      <c r="AC69" s="57">
        <f t="shared" si="196"/>
        <v>0.25</v>
      </c>
      <c r="AD69" s="57">
        <f t="shared" si="197"/>
        <v>1.5</v>
      </c>
      <c r="AE69" s="57">
        <f t="shared" si="198"/>
        <v>0</v>
      </c>
      <c r="AF69" s="57">
        <f t="shared" si="199"/>
        <v>175805.17028698034</v>
      </c>
      <c r="AG69" s="57">
        <f t="shared" si="200"/>
        <v>185561.28861977562</v>
      </c>
      <c r="AH69" s="57">
        <f t="shared" si="201"/>
        <v>619592184.83829796</v>
      </c>
      <c r="AI69" s="57">
        <f t="shared" si="202"/>
        <v>1143590459.7238753</v>
      </c>
      <c r="AJ69" s="77">
        <v>0</v>
      </c>
      <c r="AK69" s="77">
        <v>28.9</v>
      </c>
      <c r="AL69" s="78">
        <f t="shared" si="203"/>
        <v>2.92175256102876</v>
      </c>
      <c r="AM69" s="57">
        <f t="shared" si="204"/>
        <v>1</v>
      </c>
      <c r="AN69" s="57">
        <f t="shared" si="205"/>
        <v>0.8</v>
      </c>
      <c r="AO69" s="77">
        <v>1600</v>
      </c>
      <c r="AP69" s="79">
        <v>150</v>
      </c>
      <c r="AQ69" s="57">
        <f t="shared" si="206"/>
        <v>95.721603602542331</v>
      </c>
      <c r="AR69" s="57">
        <f t="shared" si="207"/>
        <v>1300</v>
      </c>
      <c r="AS69" s="57">
        <f t="shared" si="208"/>
        <v>1504.2783963974578</v>
      </c>
      <c r="AT69" s="77">
        <v>100</v>
      </c>
      <c r="AU69" s="77">
        <v>1750</v>
      </c>
      <c r="AV69" s="77">
        <f t="shared" si="209"/>
        <v>160000</v>
      </c>
      <c r="AW69" s="77">
        <v>0</v>
      </c>
      <c r="AX69" s="77">
        <f t="shared" si="210"/>
        <v>160000</v>
      </c>
      <c r="AY69" s="77">
        <v>160000</v>
      </c>
      <c r="AZ69" s="77">
        <v>601</v>
      </c>
      <c r="BA69" s="77">
        <v>601</v>
      </c>
      <c r="BB69" s="77">
        <v>673</v>
      </c>
      <c r="BC69" s="77">
        <v>280</v>
      </c>
      <c r="BD69" s="77">
        <v>2.5999999999999999E-3</v>
      </c>
      <c r="BE69" s="77">
        <f t="shared" si="217"/>
        <v>2.5999999999999999E-3</v>
      </c>
      <c r="BF69" s="77">
        <v>8.0000000000000002E-3</v>
      </c>
      <c r="BG69" s="77">
        <f t="shared" si="218"/>
        <v>5.6548667764616273E-3</v>
      </c>
      <c r="BH69" s="79">
        <v>150</v>
      </c>
      <c r="BI69" s="79">
        <f>PI()*7*7/4</f>
        <v>38.484510006474963</v>
      </c>
      <c r="BJ69" s="79">
        <v>1</v>
      </c>
      <c r="BK69" s="57">
        <f t="shared" si="211"/>
        <v>38.484510006474963</v>
      </c>
      <c r="BL69" s="57"/>
      <c r="BM69" s="80">
        <f t="shared" si="219"/>
        <v>201.06192982974676</v>
      </c>
      <c r="BN69" s="80">
        <v>6</v>
      </c>
      <c r="BO69" s="57">
        <f t="shared" si="212"/>
        <v>1206.3715789784806</v>
      </c>
      <c r="BP69" s="57">
        <f t="shared" si="213"/>
        <v>750019.94295892667</v>
      </c>
      <c r="BQ69" s="77">
        <f t="shared" si="214"/>
        <v>0</v>
      </c>
      <c r="BR69" s="57">
        <f t="shared" si="215"/>
        <v>1312534900.1781216</v>
      </c>
      <c r="BS69" s="57">
        <v>191.44320720508466</v>
      </c>
      <c r="BT69" s="57">
        <f t="shared" si="220"/>
        <v>11.310985577498947</v>
      </c>
      <c r="BU69" s="57"/>
      <c r="BV69" s="57">
        <v>3.3E-3</v>
      </c>
      <c r="BW69" s="57">
        <v>30000</v>
      </c>
      <c r="BX69" s="57">
        <v>200000</v>
      </c>
      <c r="BY69" s="77">
        <f>20</f>
        <v>20</v>
      </c>
      <c r="BZ69" s="77">
        <f>BY69+130/2*1</f>
        <v>85</v>
      </c>
      <c r="CA69" s="77">
        <f>BY69+130/2*2</f>
        <v>150</v>
      </c>
      <c r="CB69" s="77">
        <f>CA69+50</f>
        <v>200</v>
      </c>
      <c r="CC69" s="77">
        <f>CB69+150*1</f>
        <v>350</v>
      </c>
      <c r="CD69" s="77">
        <f>CB69+150*2</f>
        <v>500</v>
      </c>
      <c r="CE69" s="77">
        <f>CB69+150*3</f>
        <v>650</v>
      </c>
      <c r="CF69" s="77">
        <f>CB69+150*4</f>
        <v>800</v>
      </c>
      <c r="CG69" s="77">
        <f>CB69+150*5</f>
        <v>950</v>
      </c>
      <c r="CH69" s="77">
        <f>CB69+150*6</f>
        <v>1100</v>
      </c>
      <c r="CI69" s="77">
        <f>CB69+150*7</f>
        <v>1250</v>
      </c>
      <c r="CJ69" s="77">
        <f>CB69+150*8</f>
        <v>1400</v>
      </c>
      <c r="CK69" s="77">
        <f>CJ69+50</f>
        <v>1450</v>
      </c>
      <c r="CL69" s="77">
        <f>CK69+130/2*1</f>
        <v>1515</v>
      </c>
      <c r="CM69" s="77">
        <f>CK69+130/2*2</f>
        <v>1580</v>
      </c>
      <c r="DM69" s="77">
        <f t="shared" ref="DM69:DO72" si="227">PI()*16*16/4*2</f>
        <v>402.12385965949352</v>
      </c>
      <c r="DN69" s="77">
        <f t="shared" si="227"/>
        <v>402.12385965949352</v>
      </c>
      <c r="DO69" s="77">
        <f t="shared" si="227"/>
        <v>402.12385965949352</v>
      </c>
      <c r="DP69" s="77">
        <f t="shared" ref="DP69:DX69" si="228">PI()*7*7/4</f>
        <v>38.484510006474963</v>
      </c>
      <c r="DQ69" s="77">
        <f t="shared" si="228"/>
        <v>38.484510006474963</v>
      </c>
      <c r="DR69" s="77">
        <f t="shared" si="228"/>
        <v>38.484510006474963</v>
      </c>
      <c r="DS69" s="77">
        <f t="shared" si="228"/>
        <v>38.484510006474963</v>
      </c>
      <c r="DT69" s="77">
        <f t="shared" si="228"/>
        <v>38.484510006474963</v>
      </c>
      <c r="DU69" s="77">
        <f t="shared" si="228"/>
        <v>38.484510006474963</v>
      </c>
      <c r="DV69" s="77">
        <f t="shared" si="228"/>
        <v>38.484510006474963</v>
      </c>
      <c r="DW69" s="77">
        <f t="shared" si="228"/>
        <v>38.484510006474963</v>
      </c>
      <c r="DX69" s="77">
        <f t="shared" si="228"/>
        <v>38.484510006474963</v>
      </c>
      <c r="DY69" s="77">
        <f>PI()*16*16/4*2</f>
        <v>402.12385965949352</v>
      </c>
      <c r="DZ69" s="77">
        <f>PI()*16*16/4*2</f>
        <v>402.12385965949352</v>
      </c>
      <c r="EA69" s="77">
        <f>PI()*16*16/4*2</f>
        <v>402.12385965949352</v>
      </c>
      <c r="FA69" s="77">
        <f t="shared" si="160"/>
        <v>-237675.32644344831</v>
      </c>
      <c r="FB69" s="77">
        <f t="shared" si="164"/>
        <v>-147564.45841504179</v>
      </c>
      <c r="FC69" s="77">
        <f>IF(ABS(-$BV69*($BS69-CA69)/$BS69*$BX69)&gt;$BB69,$BB69*SIGN(-($BS69-CA69)),-$BV69*($BS69-CA69)/$BS69*$BX69)*DO69</f>
        <v>-57453.590386635246</v>
      </c>
      <c r="FD69" s="77">
        <f t="shared" si="222"/>
        <v>1135.2746781298906</v>
      </c>
      <c r="FE69" s="77">
        <f t="shared" si="180"/>
        <v>21036.563139932412</v>
      </c>
      <c r="FF69" s="77">
        <f t="shared" si="181"/>
        <v>23129.190513891452</v>
      </c>
      <c r="FG69" s="77">
        <f t="shared" si="182"/>
        <v>23129.190513891452</v>
      </c>
      <c r="FH69" s="77">
        <f t="shared" si="183"/>
        <v>23129.190513891452</v>
      </c>
      <c r="FI69" s="77">
        <f t="shared" si="184"/>
        <v>23129.190513891452</v>
      </c>
      <c r="FJ69" s="77">
        <f t="shared" ref="FJ69:FL70" si="229">IF(ABS(-$BV69*($BS69-CH69)/$BS69*$BX69)&gt;$BA69,$BA69*SIGN(-($BS69-CH69)),-$BV69*($BS69-CH69)/$BS69*$BX69)*DV69</f>
        <v>23129.190513891452</v>
      </c>
      <c r="FK69" s="77">
        <f t="shared" si="229"/>
        <v>23129.190513891452</v>
      </c>
      <c r="FL69" s="77">
        <f t="shared" si="229"/>
        <v>23129.190513891452</v>
      </c>
      <c r="FM69" s="77">
        <f>IF(ABS(-$BV69*($BS69-CK69)/$BS69*$BX69)&gt;$BB69,$BB69*SIGN(-($BS69-CK69)),-$BV69*($BS69-CK69)/$BS69*$BX69)*DY69</f>
        <v>270629.35755083914</v>
      </c>
      <c r="FN69" s="77">
        <f>IF(ABS(-$BV69*($BS69-CL69)/$BS69*$BX69)&gt;$BB69,$BB69*SIGN(-($BS69-CL69)),-$BV69*($BS69-CL69)/$BS69*$BX69)*DZ69</f>
        <v>270629.35755083914</v>
      </c>
      <c r="FO69" s="77">
        <f>IF(ABS(-$BV69*($BS69-CM69)/$BS69*$BX69)&gt;$BB69,$BB69*SIGN(-($BS69-CM69)),-$BV69*($BS69-CM69)/$BS69*$BX69)*EA69</f>
        <v>270629.35755083914</v>
      </c>
      <c r="GO69" s="77">
        <f t="shared" si="154"/>
        <v>185386754.62588969</v>
      </c>
      <c r="GP69" s="77">
        <f t="shared" si="155"/>
        <v>105508587.76675488</v>
      </c>
      <c r="GQ69" s="77">
        <f t="shared" si="156"/>
        <v>37344833.751312912</v>
      </c>
      <c r="GR69" s="77">
        <f t="shared" si="157"/>
        <v>-681164.80687793437</v>
      </c>
      <c r="GS69" s="77">
        <f t="shared" si="158"/>
        <v>-9466453.4129695855</v>
      </c>
      <c r="GT69" s="77">
        <f t="shared" si="159"/>
        <v>-6938757.1541674351</v>
      </c>
      <c r="GU69" s="77">
        <f t="shared" si="121"/>
        <v>-3469378.5770837176</v>
      </c>
      <c r="GV69" s="77">
        <f t="shared" si="185"/>
        <v>0</v>
      </c>
      <c r="GW69" s="77">
        <f t="shared" si="185"/>
        <v>3469378.5770837176</v>
      </c>
      <c r="GX69" s="77">
        <f t="shared" si="185"/>
        <v>6938757.1541674351</v>
      </c>
      <c r="GY69" s="77">
        <f t="shared" si="185"/>
        <v>10408135.731251154</v>
      </c>
      <c r="GZ69" s="77">
        <f t="shared" si="185"/>
        <v>13877514.30833487</v>
      </c>
      <c r="HA69" s="77">
        <f t="shared" si="185"/>
        <v>175909082.40804544</v>
      </c>
      <c r="HB69" s="77">
        <f>FN69*(CL69-0.5*$AO69)</f>
        <v>193499990.64884999</v>
      </c>
      <c r="HC69" s="77">
        <f>FO69*(CM69-0.5*$AO69)</f>
        <v>211090898.88965452</v>
      </c>
      <c r="IC69" s="82">
        <v>69</v>
      </c>
    </row>
    <row r="70" spans="1:237" s="77" customFormat="1">
      <c r="A70" s="77">
        <v>69</v>
      </c>
      <c r="B70" s="69">
        <v>100</v>
      </c>
      <c r="C70" s="69" t="s">
        <v>83</v>
      </c>
      <c r="D70" s="70" t="s">
        <v>86</v>
      </c>
      <c r="E70" s="70">
        <v>3</v>
      </c>
      <c r="F70" s="70">
        <v>8.7153979238754328E-2</v>
      </c>
      <c r="G70" s="70"/>
      <c r="H70" s="70"/>
      <c r="I70" s="70">
        <v>3.5000000000000001E-3</v>
      </c>
      <c r="J70" s="71">
        <v>1.09375</v>
      </c>
      <c r="K70" s="72">
        <v>16</v>
      </c>
      <c r="L70" s="71">
        <v>2.1605536332179931E-2</v>
      </c>
      <c r="M70" s="71">
        <v>3.0615916955017305E-2</v>
      </c>
      <c r="N70" s="71">
        <v>2.1217993079584774E-2</v>
      </c>
      <c r="O70" s="71">
        <v>0.17494809688581317</v>
      </c>
      <c r="P70" s="71">
        <v>0</v>
      </c>
      <c r="Q70" s="73" t="s">
        <v>3</v>
      </c>
      <c r="R70" s="74">
        <v>0</v>
      </c>
      <c r="S70" s="75">
        <f t="shared" si="216"/>
        <v>0.46852863862053556</v>
      </c>
      <c r="T70" s="59">
        <f t="shared" si="188"/>
        <v>2.5318125238069125</v>
      </c>
      <c r="U70" s="59">
        <f t="shared" si="189"/>
        <v>2.0071095244630599</v>
      </c>
      <c r="V70" s="59">
        <f t="shared" si="190"/>
        <v>1.776032354065</v>
      </c>
      <c r="W70" s="59">
        <f t="shared" si="191"/>
        <v>0.70148651899173886</v>
      </c>
      <c r="X70" s="59">
        <f t="shared" si="192"/>
        <v>0.88487067218722049</v>
      </c>
      <c r="Y70" s="76">
        <v>403000</v>
      </c>
      <c r="Z70" s="57">
        <f t="shared" si="193"/>
        <v>356602.88089144987</v>
      </c>
      <c r="AA70" s="57">
        <f t="shared" si="194"/>
        <v>282699.06715367077</v>
      </c>
      <c r="AB70" s="57">
        <f t="shared" si="195"/>
        <v>1017106.8808925456</v>
      </c>
      <c r="AC70" s="57">
        <f t="shared" si="196"/>
        <v>0.25</v>
      </c>
      <c r="AD70" s="57">
        <f t="shared" si="197"/>
        <v>1.5</v>
      </c>
      <c r="AE70" s="57">
        <f t="shared" si="198"/>
        <v>0</v>
      </c>
      <c r="AF70" s="57">
        <f t="shared" si="199"/>
        <v>176756.95699688449</v>
      </c>
      <c r="AG70" s="57">
        <f t="shared" si="200"/>
        <v>105942.11015678628</v>
      </c>
      <c r="AH70" s="57">
        <f t="shared" si="201"/>
        <v>623122596.2106266</v>
      </c>
      <c r="AI70" s="57">
        <f t="shared" si="202"/>
        <v>1156814445.3513281</v>
      </c>
      <c r="AJ70" s="77">
        <v>0</v>
      </c>
      <c r="AK70" s="77">
        <v>28.9</v>
      </c>
      <c r="AL70" s="78">
        <f t="shared" si="203"/>
        <v>2.92175256102876</v>
      </c>
      <c r="AM70" s="57">
        <f t="shared" si="204"/>
        <v>1</v>
      </c>
      <c r="AN70" s="57">
        <f t="shared" si="205"/>
        <v>0.8</v>
      </c>
      <c r="AO70" s="77">
        <v>1600</v>
      </c>
      <c r="AP70" s="79">
        <v>150</v>
      </c>
      <c r="AQ70" s="57">
        <f t="shared" si="206"/>
        <v>87.577632732118744</v>
      </c>
      <c r="AR70" s="57">
        <f t="shared" si="207"/>
        <v>1300</v>
      </c>
      <c r="AS70" s="57">
        <f t="shared" si="208"/>
        <v>1512.4223672678813</v>
      </c>
      <c r="AT70" s="77">
        <v>100</v>
      </c>
      <c r="AU70" s="77">
        <v>1750</v>
      </c>
      <c r="AV70" s="77">
        <f t="shared" si="209"/>
        <v>160000</v>
      </c>
      <c r="AW70" s="77">
        <v>0</v>
      </c>
      <c r="AX70" s="77">
        <f t="shared" si="210"/>
        <v>160000</v>
      </c>
      <c r="AY70" s="77">
        <v>160000</v>
      </c>
      <c r="AZ70" s="77">
        <v>632</v>
      </c>
      <c r="BA70" s="77">
        <v>632</v>
      </c>
      <c r="BB70" s="77">
        <v>673</v>
      </c>
      <c r="BC70" s="77">
        <v>280</v>
      </c>
      <c r="BD70" s="77">
        <v>1.4E-3</v>
      </c>
      <c r="BE70" s="77">
        <f t="shared" si="217"/>
        <v>1.4E-3</v>
      </c>
      <c r="BF70" s="77">
        <v>8.0000000000000002E-3</v>
      </c>
      <c r="BG70" s="77">
        <f t="shared" si="218"/>
        <v>5.6548667764616273E-3</v>
      </c>
      <c r="BH70" s="79">
        <v>100</v>
      </c>
      <c r="BI70" s="79">
        <f>PI()*4.2*4.2/4</f>
        <v>13.854423602330987</v>
      </c>
      <c r="BJ70" s="79">
        <v>1</v>
      </c>
      <c r="BK70" s="57">
        <f t="shared" si="211"/>
        <v>13.854423602330987</v>
      </c>
      <c r="BL70" s="57"/>
      <c r="BM70" s="80">
        <f t="shared" si="219"/>
        <v>201.06192982974676</v>
      </c>
      <c r="BN70" s="80">
        <v>6</v>
      </c>
      <c r="BO70" s="57">
        <f t="shared" si="212"/>
        <v>1206.3715789784806</v>
      </c>
      <c r="BP70" s="57">
        <f t="shared" si="213"/>
        <v>715741.03868819505</v>
      </c>
      <c r="BQ70" s="77">
        <f t="shared" si="214"/>
        <v>5.8207660913467407E-10</v>
      </c>
      <c r="BR70" s="57">
        <f t="shared" si="215"/>
        <v>1252546817.7043414</v>
      </c>
      <c r="BS70" s="57">
        <v>175.15526546423749</v>
      </c>
      <c r="BT70" s="57">
        <f t="shared" si="220"/>
        <v>6.4046845251318754</v>
      </c>
      <c r="BU70" s="57"/>
      <c r="BV70" s="57">
        <v>3.3E-3</v>
      </c>
      <c r="BW70" s="57">
        <v>30000</v>
      </c>
      <c r="BX70" s="57">
        <v>200000</v>
      </c>
      <c r="BY70" s="77">
        <f>20</f>
        <v>20</v>
      </c>
      <c r="BZ70" s="77">
        <f>BY70+130/2*1</f>
        <v>85</v>
      </c>
      <c r="CA70" s="77">
        <f>BY70+130/2*2</f>
        <v>150</v>
      </c>
      <c r="CB70" s="77">
        <f>CA70+50</f>
        <v>200</v>
      </c>
      <c r="CC70" s="77">
        <f>CB70+100*1</f>
        <v>300</v>
      </c>
      <c r="CD70" s="77">
        <f>CB70+100*2</f>
        <v>400</v>
      </c>
      <c r="CE70" s="77">
        <f>CB70+100*3</f>
        <v>500</v>
      </c>
      <c r="CF70" s="77">
        <f>CB70+100*4</f>
        <v>600</v>
      </c>
      <c r="CG70" s="77">
        <f>CB70+100*5</f>
        <v>700</v>
      </c>
      <c r="CH70" s="77">
        <f>CB70+100*6</f>
        <v>800</v>
      </c>
      <c r="CI70" s="77">
        <f>CB70+100*7</f>
        <v>900</v>
      </c>
      <c r="CJ70" s="77">
        <f>CB70+100*8</f>
        <v>1000</v>
      </c>
      <c r="CK70" s="77">
        <f>CB70+100*9</f>
        <v>1100</v>
      </c>
      <c r="CL70" s="77">
        <f>CB70+100*10</f>
        <v>1200</v>
      </c>
      <c r="CM70" s="77">
        <f>CB70+100*11</f>
        <v>1300</v>
      </c>
      <c r="CN70" s="77">
        <f>CB70+100*12</f>
        <v>1400</v>
      </c>
      <c r="CO70" s="77">
        <f>CN70+50</f>
        <v>1450</v>
      </c>
      <c r="CP70" s="77">
        <f>CO70+130/2*1</f>
        <v>1515</v>
      </c>
      <c r="CQ70" s="77">
        <f>CO70+130/2*2</f>
        <v>1580</v>
      </c>
      <c r="DM70" s="77">
        <f t="shared" si="227"/>
        <v>402.12385965949352</v>
      </c>
      <c r="DN70" s="77">
        <f t="shared" si="227"/>
        <v>402.12385965949352</v>
      </c>
      <c r="DO70" s="77">
        <f t="shared" si="227"/>
        <v>402.12385965949352</v>
      </c>
      <c r="DP70" s="77">
        <f t="shared" ref="DP70:EB70" si="230">PI()*4.2*4.2/4</f>
        <v>13.854423602330987</v>
      </c>
      <c r="DQ70" s="77">
        <f t="shared" si="230"/>
        <v>13.854423602330987</v>
      </c>
      <c r="DR70" s="77">
        <f t="shared" si="230"/>
        <v>13.854423602330987</v>
      </c>
      <c r="DS70" s="77">
        <f t="shared" si="230"/>
        <v>13.854423602330987</v>
      </c>
      <c r="DT70" s="77">
        <f t="shared" si="230"/>
        <v>13.854423602330987</v>
      </c>
      <c r="DU70" s="77">
        <f t="shared" si="230"/>
        <v>13.854423602330987</v>
      </c>
      <c r="DV70" s="77">
        <f t="shared" si="230"/>
        <v>13.854423602330987</v>
      </c>
      <c r="DW70" s="77">
        <f t="shared" si="230"/>
        <v>13.854423602330987</v>
      </c>
      <c r="DX70" s="77">
        <f t="shared" si="230"/>
        <v>13.854423602330987</v>
      </c>
      <c r="DY70" s="77">
        <f t="shared" si="230"/>
        <v>13.854423602330987</v>
      </c>
      <c r="DZ70" s="77">
        <f t="shared" si="230"/>
        <v>13.854423602330987</v>
      </c>
      <c r="EA70" s="77">
        <f t="shared" si="230"/>
        <v>13.854423602330987</v>
      </c>
      <c r="EB70" s="77">
        <f t="shared" si="230"/>
        <v>13.854423602330987</v>
      </c>
      <c r="EC70" s="77">
        <f>PI()*16*16/4*2</f>
        <v>402.12385965949352</v>
      </c>
      <c r="ED70" s="77">
        <f>PI()*16*16/4*2</f>
        <v>402.12385965949352</v>
      </c>
      <c r="EE70" s="77">
        <f>PI()*16*16/4*2</f>
        <v>402.12385965949352</v>
      </c>
      <c r="FA70" s="77">
        <f t="shared" si="160"/>
        <v>-235097.00641622735</v>
      </c>
      <c r="FB70" s="77">
        <f t="shared" si="164"/>
        <v>-136606.59829935268</v>
      </c>
      <c r="FC70" s="77">
        <f>IF(ABS(-$BV70*($BS70-CA70)/$BS70*$BX70)&gt;$BB70,$BB70*SIGN(-($BS70-CA70)),-$BV70*($BS70-CA70)/$BS70*$BX70)*DO70</f>
        <v>-38116.190182478036</v>
      </c>
      <c r="FD70" s="77">
        <f t="shared" si="222"/>
        <v>1297.0107060052321</v>
      </c>
      <c r="FE70" s="77">
        <f t="shared" si="180"/>
        <v>6517.4758477770738</v>
      </c>
      <c r="FF70" s="77">
        <f t="shared" si="181"/>
        <v>8755.9957166731838</v>
      </c>
      <c r="FG70" s="77">
        <f t="shared" si="182"/>
        <v>8755.9957166731838</v>
      </c>
      <c r="FH70" s="77">
        <f t="shared" si="183"/>
        <v>8755.9957166731838</v>
      </c>
      <c r="FI70" s="77">
        <f t="shared" si="184"/>
        <v>8755.9957166731838</v>
      </c>
      <c r="FJ70" s="77">
        <f t="shared" si="229"/>
        <v>8755.9957166731838</v>
      </c>
      <c r="FK70" s="77">
        <f t="shared" si="229"/>
        <v>8755.9957166731838</v>
      </c>
      <c r="FL70" s="77">
        <f t="shared" si="229"/>
        <v>8755.9957166731838</v>
      </c>
      <c r="FM70" s="77">
        <f>IF(ABS(-$BV70*($BS70-CK70)/$BS70*$BX70)&gt;$BA70,$BA70*SIGN(-($BS70-CK70)),-$BV70*($BS70-CK70)/$BS70*$BX70)*DY70</f>
        <v>8755.9957166731838</v>
      </c>
      <c r="FN70" s="77">
        <f>IF(ABS(-$BV70*($BS70-CL70)/$BS70*$BX70)&gt;$BA70,$BA70*SIGN(-($BS70-CL70)),-$BV70*($BS70-CL70)/$BS70*$BX70)*DZ70</f>
        <v>8755.9957166731838</v>
      </c>
      <c r="FO70" s="77">
        <f>IF(ABS(-$BV70*($BS70-CM70)/$BS70*$BX70)&gt;$BA70,$BA70*SIGN(-($BS70-CM70)),-$BV70*($BS70-CM70)/$BS70*$BX70)*EA70</f>
        <v>8755.9957166731838</v>
      </c>
      <c r="FP70" s="77">
        <f>IF(ABS(-$BV70*($BS70-CN70)/$BS70*$BX70)&gt;$BA70,$BA70*SIGN(-($BS70-CN70)),-$BV70*($BS70-CN70)/$BS70*$BX70)*EB70</f>
        <v>8755.9957166731838</v>
      </c>
      <c r="FQ70" s="77">
        <f>IF(ABS(-$BV70*($BS70-CO70)/$BS70*$BX70)&gt;$BB70,$BB70*SIGN(-($BS70-CO70)),-$BV70*($BS70-CO70)/$BS70*$BX70)*EC70</f>
        <v>270629.35755083914</v>
      </c>
      <c r="FR70" s="77">
        <f>IF(ABS(-$BV70*($BS70-CP70)/$BS70*$BX70)&gt;$BB70,$BB70*SIGN(-($BS70-CP70)),-$BV70*($BS70-CP70)/$BS70*$BX70)*ED70</f>
        <v>270629.35755083914</v>
      </c>
      <c r="FS70" s="77">
        <f>IF(ABS(-$BV70*($BS70-CQ70)/$BS70*$BX70)&gt;$BB70,$BB70*SIGN(-($BS70-CQ70)),-$BV70*($BS70-CQ70)/$BS70*$BX70)*EE70</f>
        <v>270629.35755083914</v>
      </c>
      <c r="GO70" s="77">
        <f t="shared" si="154"/>
        <v>183375665.00465733</v>
      </c>
      <c r="GP70" s="77">
        <f t="shared" si="155"/>
        <v>97673717.784037173</v>
      </c>
      <c r="GQ70" s="77">
        <f t="shared" si="156"/>
        <v>24775523.618610725</v>
      </c>
      <c r="GR70" s="77">
        <f t="shared" si="157"/>
        <v>-778206.42360313924</v>
      </c>
      <c r="GS70" s="77">
        <f t="shared" si="158"/>
        <v>-3258737.9238885371</v>
      </c>
      <c r="GT70" s="77">
        <f t="shared" si="159"/>
        <v>-3502398.2866692734</v>
      </c>
      <c r="GU70" s="77">
        <f t="shared" si="121"/>
        <v>-2626798.7150019552</v>
      </c>
      <c r="GV70" s="77">
        <f t="shared" si="185"/>
        <v>-1751199.1433346367</v>
      </c>
      <c r="GW70" s="77">
        <f t="shared" si="185"/>
        <v>-875599.57166731835</v>
      </c>
      <c r="GX70" s="77">
        <f t="shared" si="185"/>
        <v>0</v>
      </c>
      <c r="GY70" s="77">
        <f t="shared" si="185"/>
        <v>875599.57166731835</v>
      </c>
      <c r="GZ70" s="77">
        <f t="shared" si="185"/>
        <v>1751199.1433346367</v>
      </c>
      <c r="HA70" s="77">
        <f t="shared" si="185"/>
        <v>2626798.7150019552</v>
      </c>
      <c r="HB70" s="77">
        <f>FN70*(CL70-0.5*$AO70)</f>
        <v>3502398.2866692734</v>
      </c>
      <c r="HC70" s="77">
        <f>FO70*(CM70-0.5*$AO70)</f>
        <v>4377997.8583365921</v>
      </c>
      <c r="HD70" s="77">
        <f>FP70*(CN70-0.5*$AO70)</f>
        <v>5253597.4300039103</v>
      </c>
      <c r="HE70" s="77">
        <f>FQ70*(CO70-0.5*$AO70)</f>
        <v>175909082.40804544</v>
      </c>
      <c r="HF70" s="77">
        <f>FR70*(CP70-0.5*$AO70)</f>
        <v>193499990.64884999</v>
      </c>
      <c r="HG70" s="77">
        <f>FS70*(CQ70-0.5*$AO70)</f>
        <v>211090898.88965452</v>
      </c>
      <c r="IC70" s="82">
        <v>70</v>
      </c>
    </row>
    <row r="71" spans="1:237" s="77" customFormat="1">
      <c r="A71" s="77">
        <v>70</v>
      </c>
      <c r="B71" s="69">
        <v>101</v>
      </c>
      <c r="C71" s="69" t="s">
        <v>83</v>
      </c>
      <c r="D71" s="70" t="s">
        <v>87</v>
      </c>
      <c r="E71" s="70">
        <v>3</v>
      </c>
      <c r="F71" s="70">
        <v>7.720588235294118E-2</v>
      </c>
      <c r="G71" s="70"/>
      <c r="H71" s="70"/>
      <c r="I71" s="70">
        <v>8.0000000000000002E-3</v>
      </c>
      <c r="J71" s="71">
        <v>1.09375</v>
      </c>
      <c r="K71" s="72">
        <v>16</v>
      </c>
      <c r="L71" s="71">
        <v>3.0865051903114189E-2</v>
      </c>
      <c r="M71" s="71">
        <v>3.0865051903114189E-2</v>
      </c>
      <c r="N71" s="71">
        <v>3.0311418685121109E-2</v>
      </c>
      <c r="O71" s="71">
        <v>0.12346020761245675</v>
      </c>
      <c r="P71" s="71">
        <v>0</v>
      </c>
      <c r="Q71" s="73" t="s">
        <v>3</v>
      </c>
      <c r="R71" s="74">
        <v>0</v>
      </c>
      <c r="S71" s="75">
        <f t="shared" si="216"/>
        <v>0.41504894289709982</v>
      </c>
      <c r="T71" s="59">
        <f t="shared" si="188"/>
        <v>2.5375741940310976</v>
      </c>
      <c r="U71" s="59">
        <f t="shared" si="189"/>
        <v>2.0223313319825253</v>
      </c>
      <c r="V71" s="59">
        <f t="shared" si="190"/>
        <v>2.0266075764606595</v>
      </c>
      <c r="W71" s="59">
        <f t="shared" si="191"/>
        <v>0.79863973287073231</v>
      </c>
      <c r="X71" s="59">
        <f t="shared" si="192"/>
        <v>1.0021145123009798</v>
      </c>
      <c r="Y71" s="76">
        <v>357000</v>
      </c>
      <c r="Z71" s="57">
        <f t="shared" si="193"/>
        <v>357754.88089144981</v>
      </c>
      <c r="AA71" s="57">
        <f t="shared" si="194"/>
        <v>285114.38463485142</v>
      </c>
      <c r="AB71" s="57">
        <f t="shared" si="195"/>
        <v>1016221.2807128845</v>
      </c>
      <c r="AC71" s="57">
        <f t="shared" si="196"/>
        <v>0.25</v>
      </c>
      <c r="AD71" s="57">
        <f t="shared" si="197"/>
        <v>1.5</v>
      </c>
      <c r="AE71" s="57">
        <f t="shared" si="198"/>
        <v>0</v>
      </c>
      <c r="AF71" s="57">
        <f t="shared" si="199"/>
        <v>176668.91567004492</v>
      </c>
      <c r="AG71" s="57">
        <f t="shared" si="200"/>
        <v>108445.46896480651</v>
      </c>
      <c r="AH71" s="57">
        <f t="shared" si="201"/>
        <v>622796029.24107862</v>
      </c>
      <c r="AI71" s="57">
        <f t="shared" si="202"/>
        <v>1155591212.0064692</v>
      </c>
      <c r="AJ71" s="77">
        <v>0</v>
      </c>
      <c r="AK71" s="77">
        <v>28.9</v>
      </c>
      <c r="AL71" s="78">
        <f t="shared" si="203"/>
        <v>2.92175256102876</v>
      </c>
      <c r="AM71" s="57">
        <f t="shared" si="204"/>
        <v>1</v>
      </c>
      <c r="AN71" s="57">
        <f t="shared" si="205"/>
        <v>0.8</v>
      </c>
      <c r="AO71" s="77">
        <v>1600</v>
      </c>
      <c r="AP71" s="79">
        <v>150</v>
      </c>
      <c r="AQ71" s="57">
        <f t="shared" si="206"/>
        <v>88.33095907478959</v>
      </c>
      <c r="AR71" s="57">
        <f t="shared" si="207"/>
        <v>1300</v>
      </c>
      <c r="AS71" s="57">
        <f t="shared" si="208"/>
        <v>1511.6690409252103</v>
      </c>
      <c r="AT71" s="77">
        <v>100</v>
      </c>
      <c r="AU71" s="77">
        <v>1750</v>
      </c>
      <c r="AV71" s="77">
        <f t="shared" si="209"/>
        <v>160000</v>
      </c>
      <c r="AW71" s="77">
        <v>0</v>
      </c>
      <c r="AX71" s="77">
        <f t="shared" si="210"/>
        <v>160000</v>
      </c>
      <c r="AY71" s="77">
        <v>160000</v>
      </c>
      <c r="AZ71" s="77">
        <v>446</v>
      </c>
      <c r="BA71" s="77">
        <v>446</v>
      </c>
      <c r="BB71" s="77">
        <v>673</v>
      </c>
      <c r="BC71" s="77">
        <v>280</v>
      </c>
      <c r="BD71" s="77">
        <v>2E-3</v>
      </c>
      <c r="BE71" s="77">
        <f t="shared" si="217"/>
        <v>2E-3</v>
      </c>
      <c r="BF71" s="77">
        <v>8.0000000000000002E-3</v>
      </c>
      <c r="BG71" s="77">
        <f t="shared" si="218"/>
        <v>5.6548667764616273E-3</v>
      </c>
      <c r="BH71" s="79">
        <v>250</v>
      </c>
      <c r="BI71" s="79">
        <f>PI()*8*8/4</f>
        <v>50.26548245743669</v>
      </c>
      <c r="BJ71" s="79">
        <v>1</v>
      </c>
      <c r="BK71" s="57">
        <f t="shared" si="211"/>
        <v>50.26548245743669</v>
      </c>
      <c r="BL71" s="57"/>
      <c r="BM71" s="80">
        <f t="shared" si="219"/>
        <v>201.06192982974676</v>
      </c>
      <c r="BN71" s="80">
        <v>6</v>
      </c>
      <c r="BO71" s="57">
        <f t="shared" si="212"/>
        <v>1206.3715789784806</v>
      </c>
      <c r="BP71" s="57">
        <f t="shared" si="213"/>
        <v>723498.9047964554</v>
      </c>
      <c r="BQ71" s="77">
        <f t="shared" si="214"/>
        <v>4.6566128730773926E-10</v>
      </c>
      <c r="BR71" s="57">
        <f t="shared" si="215"/>
        <v>1266123083.3937969</v>
      </c>
      <c r="BS71" s="57">
        <v>176.66191814957918</v>
      </c>
      <c r="BT71" s="57">
        <f t="shared" si="220"/>
        <v>6.4568022111410857</v>
      </c>
      <c r="BU71" s="57"/>
      <c r="BV71" s="57">
        <v>3.3E-3</v>
      </c>
      <c r="BW71" s="57">
        <v>30000</v>
      </c>
      <c r="BX71" s="57">
        <v>200000</v>
      </c>
      <c r="BY71" s="77">
        <f>20</f>
        <v>20</v>
      </c>
      <c r="BZ71" s="77">
        <f>BY71+130/2*1</f>
        <v>85</v>
      </c>
      <c r="CA71" s="77">
        <f>BY71+130/2*2</f>
        <v>150</v>
      </c>
      <c r="CB71" s="77">
        <f>CA71+25</f>
        <v>175</v>
      </c>
      <c r="CC71" s="77">
        <f>CB71+250*1</f>
        <v>425</v>
      </c>
      <c r="CD71" s="77">
        <f>CB71+250*2</f>
        <v>675</v>
      </c>
      <c r="CE71" s="77">
        <f>CB71+250*3</f>
        <v>925</v>
      </c>
      <c r="CF71" s="77">
        <f>CB71+250*4</f>
        <v>1175</v>
      </c>
      <c r="CG71" s="77">
        <f>CB71+250*5</f>
        <v>1425</v>
      </c>
      <c r="CH71" s="77">
        <f>CG71+25</f>
        <v>1450</v>
      </c>
      <c r="CI71" s="77">
        <f>CH71+130/2*1</f>
        <v>1515</v>
      </c>
      <c r="CJ71" s="77">
        <f>CH71+130/2*2</f>
        <v>1580</v>
      </c>
      <c r="DM71" s="77">
        <f t="shared" si="227"/>
        <v>402.12385965949352</v>
      </c>
      <c r="DN71" s="77">
        <f t="shared" si="227"/>
        <v>402.12385965949352</v>
      </c>
      <c r="DO71" s="77">
        <f t="shared" si="227"/>
        <v>402.12385965949352</v>
      </c>
      <c r="DP71" s="77">
        <f t="shared" ref="DP71:DU71" si="231">PI()*8*8/4</f>
        <v>50.26548245743669</v>
      </c>
      <c r="DQ71" s="77">
        <f t="shared" si="231"/>
        <v>50.26548245743669</v>
      </c>
      <c r="DR71" s="77">
        <f t="shared" si="231"/>
        <v>50.26548245743669</v>
      </c>
      <c r="DS71" s="77">
        <f t="shared" si="231"/>
        <v>50.26548245743669</v>
      </c>
      <c r="DT71" s="77">
        <f t="shared" si="231"/>
        <v>50.26548245743669</v>
      </c>
      <c r="DU71" s="77">
        <f t="shared" si="231"/>
        <v>50.26548245743669</v>
      </c>
      <c r="DV71" s="77">
        <f>PI()*16*16/4*2</f>
        <v>402.12385965949352</v>
      </c>
      <c r="DW71" s="77">
        <f>PI()*16*16/4*2</f>
        <v>402.12385965949352</v>
      </c>
      <c r="DX71" s="77">
        <f>PI()*16*16/4*2</f>
        <v>402.12385965949352</v>
      </c>
      <c r="FA71" s="77">
        <f t="shared" si="160"/>
        <v>-235355.45894421282</v>
      </c>
      <c r="FB71" s="77">
        <f t="shared" si="164"/>
        <v>-137705.02154329093</v>
      </c>
      <c r="FC71" s="77">
        <f>IF(ABS(-$BV71*($BS71-CA71)/$BS71*$BX71)&gt;$BB71,$BB71*SIGN(-($BS71-CA71)),-$BV71*($BS71-CA71)/$BS71*$BX71)*DO71</f>
        <v>-40054.584142369007</v>
      </c>
      <c r="FD71" s="77">
        <f t="shared" si="222"/>
        <v>-312.09045044411084</v>
      </c>
      <c r="FE71" s="77">
        <f t="shared" si="180"/>
        <v>22418.405176016764</v>
      </c>
      <c r="FF71" s="77">
        <f t="shared" si="181"/>
        <v>22418.405176016764</v>
      </c>
      <c r="FG71" s="77">
        <f t="shared" si="182"/>
        <v>22418.405176016764</v>
      </c>
      <c r="FH71" s="77">
        <f t="shared" si="183"/>
        <v>22418.405176016764</v>
      </c>
      <c r="FI71" s="77">
        <f t="shared" si="184"/>
        <v>22418.405176016764</v>
      </c>
      <c r="FJ71" s="77">
        <f>IF(ABS(-$BV71*($BS71-CH71)/$BS71*$BX71)&gt;$BB71,$BB71*SIGN(-($BS71-CH71)),-$BV71*($BS71-CH71)/$BS71*$BX71)*DV71</f>
        <v>270629.35755083914</v>
      </c>
      <c r="FK71" s="77">
        <f>IF(ABS(-$BV71*($BS71-CI71)/$BS71*$BX71)&gt;$BB71,$BB71*SIGN(-($BS71-CI71)),-$BV71*($BS71-CI71)/$BS71*$BX71)*DW71</f>
        <v>270629.35755083914</v>
      </c>
      <c r="FL71" s="77">
        <f>IF(ABS(-$BV71*($BS71-CJ71)/$BS71*$BX71)&gt;$BB71,$BB71*SIGN(-($BS71-CJ71)),-$BV71*($BS71-CJ71)/$BS71*$BX71)*DX71</f>
        <v>270629.35755083914</v>
      </c>
      <c r="GO71" s="77">
        <f t="shared" si="154"/>
        <v>183577257.976486</v>
      </c>
      <c r="GP71" s="77">
        <f t="shared" si="155"/>
        <v>98459090.403453022</v>
      </c>
      <c r="GQ71" s="77">
        <f t="shared" si="156"/>
        <v>26035479.692539856</v>
      </c>
      <c r="GR71" s="77">
        <f t="shared" si="157"/>
        <v>195056.53152756928</v>
      </c>
      <c r="GS71" s="77">
        <f t="shared" si="158"/>
        <v>-8406901.9410062861</v>
      </c>
      <c r="GT71" s="77">
        <f t="shared" si="159"/>
        <v>-2802300.6470020954</v>
      </c>
      <c r="GU71" s="77">
        <f t="shared" ref="GU71:GU89" si="232">FG71*(CE71-0.5*$AO71)</f>
        <v>2802300.6470020954</v>
      </c>
      <c r="GV71" s="77">
        <f>FH71*(CF71-0.5*$AO71)</f>
        <v>8406901.9410062861</v>
      </c>
      <c r="GW71" s="77">
        <f>FI71*(CG71-0.5*$AO71)</f>
        <v>14011503.235010477</v>
      </c>
      <c r="GX71" s="77">
        <f>FJ71*(CH71-0.5*$AO71)</f>
        <v>175909082.40804544</v>
      </c>
      <c r="GY71" s="77">
        <f>FK71*(CI71-0.5*$AO71)</f>
        <v>193499990.64884999</v>
      </c>
      <c r="GZ71" s="77">
        <f>FL71*(CJ71-0.5*$AO71)</f>
        <v>211090898.88965452</v>
      </c>
      <c r="IC71" s="82">
        <v>71</v>
      </c>
    </row>
    <row r="72" spans="1:237" s="77" customFormat="1">
      <c r="A72" s="77">
        <v>71</v>
      </c>
      <c r="B72" s="69">
        <v>102</v>
      </c>
      <c r="C72" s="69" t="s">
        <v>83</v>
      </c>
      <c r="D72" s="70" t="s">
        <v>88</v>
      </c>
      <c r="E72" s="70">
        <v>3</v>
      </c>
      <c r="F72" s="70">
        <v>8.9965397923875437E-2</v>
      </c>
      <c r="G72" s="70"/>
      <c r="H72" s="70"/>
      <c r="I72" s="70">
        <v>0.01</v>
      </c>
      <c r="J72" s="71">
        <v>1.09375</v>
      </c>
      <c r="K72" s="72">
        <v>16</v>
      </c>
      <c r="L72" s="71">
        <v>2.1605536332179931E-2</v>
      </c>
      <c r="M72" s="71">
        <v>2.1605536332179931E-2</v>
      </c>
      <c r="N72" s="71">
        <v>2.1217993079584774E-2</v>
      </c>
      <c r="O72" s="71">
        <v>0.12346020761245675</v>
      </c>
      <c r="P72" s="71">
        <v>0</v>
      </c>
      <c r="Q72" s="73" t="s">
        <v>3</v>
      </c>
      <c r="R72" s="74">
        <v>0</v>
      </c>
      <c r="S72" s="75">
        <f t="shared" si="216"/>
        <v>0.48364246567281094</v>
      </c>
      <c r="T72" s="59">
        <f t="shared" si="188"/>
        <v>2.8001974640323639</v>
      </c>
      <c r="U72" s="59">
        <f t="shared" si="189"/>
        <v>2.2443538671204881</v>
      </c>
      <c r="V72" s="59">
        <f t="shared" si="190"/>
        <v>1.6991209020079909</v>
      </c>
      <c r="W72" s="59">
        <f t="shared" si="191"/>
        <v>0.60678610127773225</v>
      </c>
      <c r="X72" s="59">
        <f t="shared" si="192"/>
        <v>0.75706461752752363</v>
      </c>
      <c r="Y72" s="76">
        <v>416000</v>
      </c>
      <c r="Z72" s="57">
        <f t="shared" si="193"/>
        <v>314938.88089144981</v>
      </c>
      <c r="AA72" s="57">
        <f t="shared" si="194"/>
        <v>252423.01813153661</v>
      </c>
      <c r="AB72" s="57">
        <f t="shared" si="195"/>
        <v>1019357.909801635</v>
      </c>
      <c r="AC72" s="57">
        <f t="shared" si="196"/>
        <v>0.25</v>
      </c>
      <c r="AD72" s="57">
        <f t="shared" si="197"/>
        <v>1.5</v>
      </c>
      <c r="AE72" s="57">
        <f t="shared" si="198"/>
        <v>0</v>
      </c>
      <c r="AF72" s="57">
        <f t="shared" si="199"/>
        <v>176980.74147261292</v>
      </c>
      <c r="AG72" s="57">
        <f t="shared" si="200"/>
        <v>75442.2766589237</v>
      </c>
      <c r="AH72" s="57">
        <f t="shared" si="201"/>
        <v>623952667.95867801</v>
      </c>
      <c r="AI72" s="57">
        <f t="shared" si="202"/>
        <v>1159923674.1941831</v>
      </c>
      <c r="AJ72" s="77">
        <v>0</v>
      </c>
      <c r="AK72" s="77">
        <v>28.9</v>
      </c>
      <c r="AL72" s="78">
        <f t="shared" si="203"/>
        <v>2.92175256102876</v>
      </c>
      <c r="AM72" s="57">
        <f t="shared" si="204"/>
        <v>1</v>
      </c>
      <c r="AN72" s="57">
        <f t="shared" si="205"/>
        <v>0.8</v>
      </c>
      <c r="AO72" s="77">
        <v>1600</v>
      </c>
      <c r="AP72" s="79">
        <v>150</v>
      </c>
      <c r="AQ72" s="57">
        <f t="shared" si="206"/>
        <v>85.662819011123531</v>
      </c>
      <c r="AR72" s="57">
        <f t="shared" si="207"/>
        <v>1300</v>
      </c>
      <c r="AS72" s="57">
        <f t="shared" si="208"/>
        <v>1514.3371809888765</v>
      </c>
      <c r="AT72" s="77">
        <v>100</v>
      </c>
      <c r="AU72" s="77">
        <v>1750</v>
      </c>
      <c r="AV72" s="77">
        <f t="shared" si="209"/>
        <v>160000</v>
      </c>
      <c r="AW72" s="77">
        <v>0</v>
      </c>
      <c r="AX72" s="77">
        <f t="shared" si="210"/>
        <v>160000</v>
      </c>
      <c r="AY72" s="77">
        <v>160000</v>
      </c>
      <c r="AZ72" s="77">
        <v>446</v>
      </c>
      <c r="BA72" s="77">
        <v>446</v>
      </c>
      <c r="BB72" s="77">
        <v>673</v>
      </c>
      <c r="BC72" s="77">
        <v>280</v>
      </c>
      <c r="BD72" s="77">
        <v>1.4E-3</v>
      </c>
      <c r="BE72" s="77">
        <f t="shared" si="217"/>
        <v>1.4E-3</v>
      </c>
      <c r="BF72" s="77">
        <v>8.0000000000000002E-3</v>
      </c>
      <c r="BG72" s="77">
        <f t="shared" si="218"/>
        <v>5.6548667764616273E-3</v>
      </c>
      <c r="BH72" s="79">
        <v>360</v>
      </c>
      <c r="BI72" s="79">
        <f>PI()*8*8/4</f>
        <v>50.26548245743669</v>
      </c>
      <c r="BJ72" s="79">
        <v>1</v>
      </c>
      <c r="BK72" s="57">
        <f t="shared" si="211"/>
        <v>50.26548245743669</v>
      </c>
      <c r="BL72" s="57"/>
      <c r="BM72" s="80">
        <f t="shared" si="219"/>
        <v>201.06192982974676</v>
      </c>
      <c r="BN72" s="80">
        <v>6</v>
      </c>
      <c r="BO72" s="57">
        <f t="shared" si="212"/>
        <v>1206.3715789784806</v>
      </c>
      <c r="BP72" s="57">
        <f t="shared" si="213"/>
        <v>706834.29523532419</v>
      </c>
      <c r="BQ72" s="77">
        <f t="shared" si="214"/>
        <v>1.9208528101444244E-9</v>
      </c>
      <c r="BR72" s="57">
        <f t="shared" si="215"/>
        <v>1236960016.6618173</v>
      </c>
      <c r="BS72" s="57">
        <v>171.32563802224706</v>
      </c>
      <c r="BT72" s="57">
        <f t="shared" si="220"/>
        <v>4.51976154779876</v>
      </c>
      <c r="BU72" s="57"/>
      <c r="BV72" s="57">
        <v>3.3E-3</v>
      </c>
      <c r="BW72" s="57">
        <v>30000</v>
      </c>
      <c r="BX72" s="57">
        <v>200000</v>
      </c>
      <c r="BY72" s="77">
        <f>20</f>
        <v>20</v>
      </c>
      <c r="BZ72" s="77">
        <f>BY72+130/2*1</f>
        <v>85</v>
      </c>
      <c r="CA72" s="77">
        <f>BY72+130/2*2</f>
        <v>150</v>
      </c>
      <c r="CB72" s="77">
        <f>CA72+110</f>
        <v>260</v>
      </c>
      <c r="CC72" s="77">
        <f>CB72+360*1</f>
        <v>620</v>
      </c>
      <c r="CD72" s="77">
        <f>CB72+360*2</f>
        <v>980</v>
      </c>
      <c r="CE72" s="77">
        <f>CB72+360*3</f>
        <v>1340</v>
      </c>
      <c r="CF72" s="77">
        <f>CE72+110</f>
        <v>1450</v>
      </c>
      <c r="CG72" s="77">
        <f>CF72+130/2*1</f>
        <v>1515</v>
      </c>
      <c r="CH72" s="77">
        <f>CF72+130/2*2</f>
        <v>1580</v>
      </c>
      <c r="DM72" s="77">
        <f t="shared" si="227"/>
        <v>402.12385965949352</v>
      </c>
      <c r="DN72" s="77">
        <f t="shared" si="227"/>
        <v>402.12385965949352</v>
      </c>
      <c r="DO72" s="77">
        <f t="shared" si="227"/>
        <v>402.12385965949352</v>
      </c>
      <c r="DP72" s="77">
        <f>PI()*8*8/4</f>
        <v>50.26548245743669</v>
      </c>
      <c r="DQ72" s="77">
        <f>PI()*8*8/4</f>
        <v>50.26548245743669</v>
      </c>
      <c r="DR72" s="77">
        <f>PI()*8*8/4</f>
        <v>50.26548245743669</v>
      </c>
      <c r="DS72" s="77">
        <f>PI()*8*8/4</f>
        <v>50.26548245743669</v>
      </c>
      <c r="DT72" s="77">
        <f>PI()*16*16/4*2</f>
        <v>402.12385965949352</v>
      </c>
      <c r="DU72" s="77">
        <f>PI()*16*16/4*2</f>
        <v>402.12385965949352</v>
      </c>
      <c r="DV72" s="77">
        <f>PI()*16*16/4*2</f>
        <v>402.12385965949352</v>
      </c>
      <c r="FA72" s="77">
        <f t="shared" si="160"/>
        <v>-234419.60711429641</v>
      </c>
      <c r="FB72" s="77">
        <f t="shared" si="164"/>
        <v>-133727.65126614619</v>
      </c>
      <c r="FC72" s="77">
        <f>IF(ABS(-$BV72*($BS72-CA72)/$BS72*$BX72)&gt;$BB72,$BB72*SIGN(-($BS72-CA72)),-$BV72*($BS72-CA72)/$BS72*$BX72)*DO72</f>
        <v>-33035.695417995921</v>
      </c>
      <c r="FD72" s="77">
        <f t="shared" si="222"/>
        <v>17170.759502166908</v>
      </c>
      <c r="FE72" s="77">
        <f t="shared" ref="FE72:FG79" si="233">IF(ABS(-$BV72*($BS72-CC72)/$BS72*$BX72)&gt;$BA72,$BA72*SIGN(-($BS72-CC72)),-$BV72*($BS72-CC72)/$BS72*$BX72)*DQ72</f>
        <v>22418.405176016764</v>
      </c>
      <c r="FF72" s="77">
        <f t="shared" si="233"/>
        <v>22418.405176016764</v>
      </c>
      <c r="FG72" s="77">
        <f t="shared" si="233"/>
        <v>22418.405176016764</v>
      </c>
      <c r="FH72" s="77">
        <f>IF(ABS(-$BV72*($BS72-CF72)/$BS72*$BX72)&gt;$BB72,$BB72*SIGN(-($BS72-CF72)),-$BV72*($BS72-CF72)/$BS72*$BX72)*DT72</f>
        <v>270629.35755083914</v>
      </c>
      <c r="FI72" s="77">
        <f>IF(ABS(-$BV72*($BS72-CG72)/$BS72*$BX72)&gt;$BB72,$BB72*SIGN(-($BS72-CG72)),-$BV72*($BS72-CG72)/$BS72*$BX72)*DU72</f>
        <v>270629.35755083914</v>
      </c>
      <c r="FJ72" s="77">
        <f>IF(ABS(-$BV72*($BS72-CH72)/$BS72*$BX72)&gt;$BB72,$BB72*SIGN(-($BS72-CH72)),-$BV72*($BS72-CH72)/$BS72*$BX72)*DV72</f>
        <v>270629.35755083914</v>
      </c>
      <c r="GO72" s="77">
        <f t="shared" si="154"/>
        <v>182847293.54915118</v>
      </c>
      <c r="GP72" s="77">
        <f t="shared" si="155"/>
        <v>95615270.655294523</v>
      </c>
      <c r="GQ72" s="77">
        <f t="shared" si="156"/>
        <v>21473202.02169735</v>
      </c>
      <c r="GR72" s="77">
        <f t="shared" si="157"/>
        <v>-9272210.1311701294</v>
      </c>
      <c r="GS72" s="77">
        <f t="shared" si="158"/>
        <v>-4035312.9316830174</v>
      </c>
      <c r="GT72" s="77">
        <f t="shared" si="159"/>
        <v>4035312.9316830174</v>
      </c>
      <c r="GU72" s="77">
        <f t="shared" si="232"/>
        <v>12105938.795049053</v>
      </c>
      <c r="GV72" s="77">
        <f t="shared" ref="GV72:GX79" si="234">FH72*(CF72-0.5*$AO72)</f>
        <v>175909082.40804544</v>
      </c>
      <c r="GW72" s="77">
        <f t="shared" si="234"/>
        <v>193499990.64884999</v>
      </c>
      <c r="GX72" s="77">
        <f t="shared" si="234"/>
        <v>211090898.88965452</v>
      </c>
      <c r="IC72" s="82">
        <v>72</v>
      </c>
    </row>
    <row r="73" spans="1:237" s="77" customFormat="1">
      <c r="A73" s="77">
        <v>72</v>
      </c>
      <c r="B73" s="69">
        <v>103</v>
      </c>
      <c r="C73" s="69" t="s">
        <v>83</v>
      </c>
      <c r="D73" s="70" t="s">
        <v>89</v>
      </c>
      <c r="E73" s="70">
        <v>3</v>
      </c>
      <c r="F73" s="70">
        <v>8.2434357826175461E-2</v>
      </c>
      <c r="G73" s="70"/>
      <c r="H73" s="70"/>
      <c r="I73" s="70">
        <v>6.0000000000000001E-3</v>
      </c>
      <c r="J73" s="71">
        <v>1.09375</v>
      </c>
      <c r="K73" s="72">
        <v>18.823529411764707</v>
      </c>
      <c r="L73" s="71">
        <v>3.8581314878892735E-2</v>
      </c>
      <c r="M73" s="71">
        <v>5.2249134948096888E-2</v>
      </c>
      <c r="N73" s="71">
        <v>3.7889273356401382E-2</v>
      </c>
      <c r="O73" s="71">
        <v>0.12539792387543253</v>
      </c>
      <c r="P73" s="71">
        <v>0</v>
      </c>
      <c r="Q73" s="73" t="s">
        <v>3</v>
      </c>
      <c r="R73" s="74">
        <v>0</v>
      </c>
      <c r="S73" s="75">
        <f t="shared" si="216"/>
        <v>0.44315655791286973</v>
      </c>
      <c r="T73" s="59">
        <f t="shared" si="188"/>
        <v>1.7936234922447605</v>
      </c>
      <c r="U73" s="59">
        <f t="shared" si="189"/>
        <v>1.3982847786063706</v>
      </c>
      <c r="V73" s="59">
        <f t="shared" si="190"/>
        <v>1.576557045262339</v>
      </c>
      <c r="W73" s="59">
        <f t="shared" si="191"/>
        <v>0.87897881137208012</v>
      </c>
      <c r="X73" s="59">
        <f t="shared" si="192"/>
        <v>1.1274935330653082</v>
      </c>
      <c r="Y73" s="76">
        <v>324000</v>
      </c>
      <c r="Z73" s="57">
        <f t="shared" si="193"/>
        <v>365307.90471315983</v>
      </c>
      <c r="AA73" s="57">
        <f t="shared" si="194"/>
        <v>284789.13488455396</v>
      </c>
      <c r="AB73" s="57">
        <f t="shared" si="195"/>
        <v>945240.31585670554</v>
      </c>
      <c r="AC73" s="57">
        <f t="shared" si="196"/>
        <v>0.25</v>
      </c>
      <c r="AD73" s="57">
        <f t="shared" si="197"/>
        <v>1.5</v>
      </c>
      <c r="AE73" s="57">
        <f t="shared" si="198"/>
        <v>0</v>
      </c>
      <c r="AF73" s="57">
        <f t="shared" si="199"/>
        <v>141351.3836361485</v>
      </c>
      <c r="AG73" s="57">
        <f t="shared" si="200"/>
        <v>143437.75124840543</v>
      </c>
      <c r="AH73" s="57">
        <f t="shared" si="201"/>
        <v>498297102.72651327</v>
      </c>
      <c r="AI73" s="57">
        <f t="shared" si="202"/>
        <v>1155873450.0227213</v>
      </c>
      <c r="AJ73" s="77">
        <v>0</v>
      </c>
      <c r="AK73" s="77">
        <v>28.9</v>
      </c>
      <c r="AL73" s="78">
        <f t="shared" si="203"/>
        <v>2.92175256102876</v>
      </c>
      <c r="AM73" s="57">
        <f t="shared" si="204"/>
        <v>1</v>
      </c>
      <c r="AN73" s="57">
        <f t="shared" si="205"/>
        <v>0.8</v>
      </c>
      <c r="AO73" s="77">
        <v>1600</v>
      </c>
      <c r="AP73" s="79">
        <v>150</v>
      </c>
      <c r="AQ73" s="57">
        <f t="shared" si="206"/>
        <v>88.157143233814097</v>
      </c>
      <c r="AR73" s="57">
        <f t="shared" si="207"/>
        <v>1300</v>
      </c>
      <c r="AS73" s="57">
        <f t="shared" si="208"/>
        <v>1511.8428567661858</v>
      </c>
      <c r="AT73" s="77">
        <v>80</v>
      </c>
      <c r="AU73" s="77">
        <v>1750</v>
      </c>
      <c r="AV73" s="77">
        <f t="shared" si="209"/>
        <v>136000</v>
      </c>
      <c r="AW73" s="77">
        <v>0</v>
      </c>
      <c r="AX73" s="77">
        <f t="shared" si="210"/>
        <v>128000</v>
      </c>
      <c r="AY73" s="77">
        <v>136000</v>
      </c>
      <c r="AZ73" s="77">
        <v>604</v>
      </c>
      <c r="BA73" s="77">
        <v>604</v>
      </c>
      <c r="BB73" s="77">
        <v>673</v>
      </c>
      <c r="BC73" s="77">
        <v>280</v>
      </c>
      <c r="BD73" s="77">
        <v>2.5000000000000001E-3</v>
      </c>
      <c r="BE73" s="77">
        <f t="shared" si="217"/>
        <v>2.5000000000000001E-3</v>
      </c>
      <c r="BF73" s="77">
        <v>6.0000000000000001E-3</v>
      </c>
      <c r="BG73" s="77">
        <f t="shared" si="218"/>
        <v>7.0685834705770346E-3</v>
      </c>
      <c r="BH73" s="79">
        <v>100</v>
      </c>
      <c r="BI73" s="79">
        <f>PI()*5*5/4</f>
        <v>19.634954084936208</v>
      </c>
      <c r="BJ73" s="79">
        <v>1</v>
      </c>
      <c r="BK73" s="57">
        <f t="shared" si="211"/>
        <v>19.634954084936208</v>
      </c>
      <c r="BL73" s="57"/>
      <c r="BM73" s="80">
        <f t="shared" si="219"/>
        <v>201.06192982974676</v>
      </c>
      <c r="BN73" s="80">
        <v>6</v>
      </c>
      <c r="BO73" s="57">
        <f t="shared" si="212"/>
        <v>1206.3715789784806</v>
      </c>
      <c r="BP73" s="57">
        <f t="shared" si="213"/>
        <v>510804.48266499781</v>
      </c>
      <c r="BQ73" s="77">
        <f t="shared" si="214"/>
        <v>1.6880221664905548E-9</v>
      </c>
      <c r="BR73" s="57">
        <f t="shared" si="215"/>
        <v>893907844.66374612</v>
      </c>
      <c r="BS73" s="57">
        <v>176.31428646762819</v>
      </c>
      <c r="BT73" s="57">
        <f t="shared" si="220"/>
        <v>10.930236926931659</v>
      </c>
      <c r="BU73" s="57"/>
      <c r="BV73" s="57">
        <v>3.3E-3</v>
      </c>
      <c r="BW73" s="57">
        <v>30000</v>
      </c>
      <c r="BX73" s="57">
        <v>200000</v>
      </c>
      <c r="BY73" s="77">
        <f>20</f>
        <v>20</v>
      </c>
      <c r="BZ73" s="77">
        <f>BY73+130</f>
        <v>150</v>
      </c>
      <c r="CA73" s="77">
        <f>BZ73+50</f>
        <v>200</v>
      </c>
      <c r="CB73" s="77">
        <f>CA73+100*1</f>
        <v>300</v>
      </c>
      <c r="CC73" s="77">
        <f>CA73+100*2</f>
        <v>400</v>
      </c>
      <c r="CD73" s="77">
        <f>CA73+100*3</f>
        <v>500</v>
      </c>
      <c r="CE73" s="77">
        <f>CA73+100*4</f>
        <v>600</v>
      </c>
      <c r="CF73" s="77">
        <f>CA73+100*5</f>
        <v>700</v>
      </c>
      <c r="CG73" s="77">
        <f>CA73+100*6</f>
        <v>800</v>
      </c>
      <c r="CH73" s="77">
        <f>CA73+100*7</f>
        <v>900</v>
      </c>
      <c r="CI73" s="77">
        <f>CA73+100*8</f>
        <v>1000</v>
      </c>
      <c r="CJ73" s="77">
        <f>CA73+100*9</f>
        <v>1100</v>
      </c>
      <c r="CK73" s="77">
        <f>CA73+100*10</f>
        <v>1200</v>
      </c>
      <c r="CL73" s="77">
        <f>CA73+100*11</f>
        <v>1300</v>
      </c>
      <c r="CM73" s="77">
        <f>CA73+100*12</f>
        <v>1400</v>
      </c>
      <c r="CN73" s="77">
        <f>CM73+50</f>
        <v>1450</v>
      </c>
      <c r="CO73" s="77">
        <f>CN73+130</f>
        <v>1580</v>
      </c>
      <c r="DM73" s="77">
        <f t="shared" ref="DM73:DN75" si="235">PI()*16*16/4*2</f>
        <v>402.12385965949352</v>
      </c>
      <c r="DN73" s="77">
        <f t="shared" si="235"/>
        <v>402.12385965949352</v>
      </c>
      <c r="DO73" s="77">
        <f t="shared" ref="DO73:EA73" si="236">PI()*5*5/4</f>
        <v>19.634954084936208</v>
      </c>
      <c r="DP73" s="77">
        <f t="shared" si="236"/>
        <v>19.634954084936208</v>
      </c>
      <c r="DQ73" s="77">
        <f t="shared" si="236"/>
        <v>19.634954084936208</v>
      </c>
      <c r="DR73" s="77">
        <f t="shared" si="236"/>
        <v>19.634954084936208</v>
      </c>
      <c r="DS73" s="77">
        <f t="shared" si="236"/>
        <v>19.634954084936208</v>
      </c>
      <c r="DT73" s="77">
        <f t="shared" si="236"/>
        <v>19.634954084936208</v>
      </c>
      <c r="DU73" s="77">
        <f t="shared" si="236"/>
        <v>19.634954084936208</v>
      </c>
      <c r="DV73" s="77">
        <f t="shared" si="236"/>
        <v>19.634954084936208</v>
      </c>
      <c r="DW73" s="77">
        <f t="shared" si="236"/>
        <v>19.634954084936208</v>
      </c>
      <c r="DX73" s="77">
        <f t="shared" si="236"/>
        <v>19.634954084936208</v>
      </c>
      <c r="DY73" s="77">
        <f t="shared" si="236"/>
        <v>19.634954084936208</v>
      </c>
      <c r="DZ73" s="77">
        <f t="shared" si="236"/>
        <v>19.634954084936208</v>
      </c>
      <c r="EA73" s="77">
        <f t="shared" si="236"/>
        <v>19.634954084936208</v>
      </c>
      <c r="EB73" s="77">
        <f>PI()*16*16/4*2</f>
        <v>402.12385965949352</v>
      </c>
      <c r="EC73" s="77">
        <f>PI()*16*16/4*2</f>
        <v>402.12385965949352</v>
      </c>
      <c r="FA73" s="77">
        <f t="shared" si="160"/>
        <v>-235296.2179037224</v>
      </c>
      <c r="FB73" s="77">
        <f t="shared" si="164"/>
        <v>-39610.276338690725</v>
      </c>
      <c r="FC73" s="77">
        <f>IF(ABS(-$BV73*($BS73-CA73)/$BS73*$BX73)&gt;$BA73,$BA73*SIGN(-($BS73-CA73)),-$BV73*($BS73-CA73)/$BS73*$BX73)*DO73</f>
        <v>1740.8958662191214</v>
      </c>
      <c r="FD73" s="77">
        <f t="shared" si="222"/>
        <v>9090.8786473576329</v>
      </c>
      <c r="FE73" s="77">
        <f t="shared" si="233"/>
        <v>11859.51226730147</v>
      </c>
      <c r="FF73" s="77">
        <f t="shared" si="233"/>
        <v>11859.51226730147</v>
      </c>
      <c r="FG73" s="77">
        <f t="shared" si="233"/>
        <v>11859.51226730147</v>
      </c>
      <c r="FH73" s="77">
        <f t="shared" ref="FH73:FO74" si="237">IF(ABS(-$BV73*($BS73-CF73)/$BS73*$BX73)&gt;$BA73,$BA73*SIGN(-($BS73-CF73)),-$BV73*($BS73-CF73)/$BS73*$BX73)*DT73</f>
        <v>11859.51226730147</v>
      </c>
      <c r="FI73" s="77">
        <f t="shared" si="237"/>
        <v>11859.51226730147</v>
      </c>
      <c r="FJ73" s="77">
        <f t="shared" si="237"/>
        <v>11859.51226730147</v>
      </c>
      <c r="FK73" s="77">
        <f t="shared" si="237"/>
        <v>11859.51226730147</v>
      </c>
      <c r="FL73" s="77">
        <f t="shared" si="237"/>
        <v>11859.51226730147</v>
      </c>
      <c r="FM73" s="77">
        <f t="shared" si="237"/>
        <v>11859.51226730147</v>
      </c>
      <c r="FN73" s="77">
        <f t="shared" si="237"/>
        <v>11859.51226730147</v>
      </c>
      <c r="FO73" s="77">
        <f t="shared" si="237"/>
        <v>11859.51226730147</v>
      </c>
      <c r="FP73" s="77">
        <f>IF(ABS(-$BV73*($BS73-CN73)/$BS73*$BX73)&gt;$BB73,$BB73*SIGN(-($BS73-CN73)),-$BV73*($BS73-CN73)/$BS73*$BX73)*EB73</f>
        <v>270629.35755083914</v>
      </c>
      <c r="FQ73" s="77">
        <f>IF(ABS(-$BV73*($BS73-CO73)/$BS73*$BX73)&gt;$BB73,$BB73*SIGN(-($BS73-CO73)),-$BV73*($BS73-CO73)/$BS73*$BX73)*EC73</f>
        <v>270629.35755083914</v>
      </c>
      <c r="GO73" s="77">
        <f t="shared" si="154"/>
        <v>183531049.96490347</v>
      </c>
      <c r="GP73" s="77">
        <f t="shared" si="155"/>
        <v>25746679.620148972</v>
      </c>
      <c r="GQ73" s="77">
        <f t="shared" si="156"/>
        <v>-1044537.5197314728</v>
      </c>
      <c r="GR73" s="77">
        <f t="shared" si="157"/>
        <v>-4545439.3236788167</v>
      </c>
      <c r="GS73" s="77">
        <f t="shared" si="158"/>
        <v>-4743804.9069205876</v>
      </c>
      <c r="GT73" s="77">
        <f t="shared" si="159"/>
        <v>-3557853.6801904412</v>
      </c>
      <c r="GU73" s="77">
        <f t="shared" si="232"/>
        <v>-2371902.4534602938</v>
      </c>
      <c r="GV73" s="77">
        <f t="shared" si="234"/>
        <v>-1185951.2267301469</v>
      </c>
      <c r="GW73" s="77">
        <f t="shared" si="234"/>
        <v>0</v>
      </c>
      <c r="GX73" s="77">
        <f t="shared" si="234"/>
        <v>1185951.2267301469</v>
      </c>
      <c r="GY73" s="77">
        <f t="shared" ref="GY73:HE74" si="238">FK73*(CI73-0.5*$AO73)</f>
        <v>2371902.4534602938</v>
      </c>
      <c r="GZ73" s="77">
        <f t="shared" si="238"/>
        <v>3557853.6801904412</v>
      </c>
      <c r="HA73" s="77">
        <f t="shared" si="238"/>
        <v>4743804.9069205876</v>
      </c>
      <c r="HB73" s="77">
        <f t="shared" si="238"/>
        <v>5929756.133650735</v>
      </c>
      <c r="HC73" s="77">
        <f t="shared" si="238"/>
        <v>7115707.3603808824</v>
      </c>
      <c r="HD73" s="77">
        <f t="shared" si="238"/>
        <v>175909082.40804544</v>
      </c>
      <c r="HE73" s="77">
        <f t="shared" si="238"/>
        <v>211090898.88965452</v>
      </c>
      <c r="IC73" s="82">
        <v>73</v>
      </c>
    </row>
    <row r="74" spans="1:237" s="77" customFormat="1">
      <c r="A74" s="77">
        <v>73</v>
      </c>
      <c r="B74" s="69">
        <v>104</v>
      </c>
      <c r="C74" s="69" t="s">
        <v>83</v>
      </c>
      <c r="D74" s="70" t="s">
        <v>90</v>
      </c>
      <c r="E74" s="70">
        <v>3</v>
      </c>
      <c r="F74" s="70">
        <v>7.4292692855688985E-2</v>
      </c>
      <c r="G74" s="70"/>
      <c r="H74" s="70"/>
      <c r="I74" s="70">
        <v>1.2E-2</v>
      </c>
      <c r="J74" s="71">
        <v>1.09375</v>
      </c>
      <c r="K74" s="72">
        <v>18.823529411764707</v>
      </c>
      <c r="L74" s="71">
        <v>2.6235294117647058E-2</v>
      </c>
      <c r="M74" s="71">
        <v>3.7176470588235297E-2</v>
      </c>
      <c r="N74" s="71">
        <v>2.576470588235294E-2</v>
      </c>
      <c r="O74" s="71">
        <v>0.13121107266435988</v>
      </c>
      <c r="P74" s="71">
        <v>0</v>
      </c>
      <c r="Q74" s="73" t="s">
        <v>3</v>
      </c>
      <c r="R74" s="74">
        <v>0</v>
      </c>
      <c r="S74" s="75">
        <f t="shared" si="216"/>
        <v>0.39938800898320359</v>
      </c>
      <c r="T74" s="59">
        <f t="shared" si="188"/>
        <v>2.0005262797451326</v>
      </c>
      <c r="U74" s="59">
        <f t="shared" si="189"/>
        <v>1.602845474473376</v>
      </c>
      <c r="V74" s="59">
        <f t="shared" si="190"/>
        <v>1.6991869428346655</v>
      </c>
      <c r="W74" s="59">
        <f t="shared" si="191"/>
        <v>0.84936996831210931</v>
      </c>
      <c r="X74" s="59">
        <f t="shared" si="192"/>
        <v>1.0601065229902733</v>
      </c>
      <c r="Y74" s="76">
        <v>292000</v>
      </c>
      <c r="Z74" s="57">
        <f t="shared" si="193"/>
        <v>309551.10471315979</v>
      </c>
      <c r="AA74" s="57">
        <f t="shared" si="194"/>
        <v>248016.03074713593</v>
      </c>
      <c r="AB74" s="57">
        <f t="shared" si="195"/>
        <v>950494.66870161402</v>
      </c>
      <c r="AC74" s="57">
        <f t="shared" si="196"/>
        <v>0.25</v>
      </c>
      <c r="AD74" s="57">
        <f t="shared" si="197"/>
        <v>1.5</v>
      </c>
      <c r="AE74" s="57">
        <f t="shared" si="198"/>
        <v>0</v>
      </c>
      <c r="AF74" s="57">
        <f t="shared" si="199"/>
        <v>141787.65576873941</v>
      </c>
      <c r="AG74" s="57">
        <f t="shared" si="200"/>
        <v>106228.37497839652</v>
      </c>
      <c r="AH74" s="57">
        <f t="shared" si="201"/>
        <v>499915343.5385583</v>
      </c>
      <c r="AI74" s="57">
        <f t="shared" si="202"/>
        <v>1163450326.6892662</v>
      </c>
      <c r="AJ74" s="77">
        <v>0</v>
      </c>
      <c r="AK74" s="77">
        <v>28.9</v>
      </c>
      <c r="AL74" s="78">
        <f t="shared" si="203"/>
        <v>2.92175256102876</v>
      </c>
      <c r="AM74" s="57">
        <f t="shared" si="204"/>
        <v>1</v>
      </c>
      <c r="AN74" s="57">
        <f t="shared" si="205"/>
        <v>0.8</v>
      </c>
      <c r="AO74" s="77">
        <v>1600</v>
      </c>
      <c r="AP74" s="79">
        <v>150</v>
      </c>
      <c r="AQ74" s="57">
        <f t="shared" si="206"/>
        <v>83.490935586625568</v>
      </c>
      <c r="AR74" s="57">
        <f t="shared" si="207"/>
        <v>1300</v>
      </c>
      <c r="AS74" s="57">
        <f t="shared" si="208"/>
        <v>1516.5090644133745</v>
      </c>
      <c r="AT74" s="77">
        <v>80</v>
      </c>
      <c r="AU74" s="77">
        <v>1750</v>
      </c>
      <c r="AV74" s="77">
        <f t="shared" si="209"/>
        <v>136000</v>
      </c>
      <c r="AW74" s="77">
        <v>0</v>
      </c>
      <c r="AX74" s="77">
        <f t="shared" si="210"/>
        <v>128000</v>
      </c>
      <c r="AY74" s="77">
        <v>136000</v>
      </c>
      <c r="AZ74" s="77">
        <v>632</v>
      </c>
      <c r="BA74" s="77">
        <v>632</v>
      </c>
      <c r="BB74" s="77">
        <v>673</v>
      </c>
      <c r="BC74" s="77">
        <v>280</v>
      </c>
      <c r="BD74" s="77">
        <v>1.6999999999999999E-3</v>
      </c>
      <c r="BE74" s="77">
        <f t="shared" si="217"/>
        <v>1.6999999999999999E-3</v>
      </c>
      <c r="BF74" s="77">
        <v>6.0000000000000001E-3</v>
      </c>
      <c r="BG74" s="77">
        <f t="shared" si="218"/>
        <v>7.0685834705770346E-3</v>
      </c>
      <c r="BH74" s="79">
        <v>100</v>
      </c>
      <c r="BI74" s="79">
        <f>PI()*4.2*4.2/4</f>
        <v>13.854423602330987</v>
      </c>
      <c r="BJ74" s="79">
        <v>1</v>
      </c>
      <c r="BK74" s="57">
        <f t="shared" si="211"/>
        <v>13.854423602330987</v>
      </c>
      <c r="BL74" s="57"/>
      <c r="BM74" s="80">
        <f t="shared" si="219"/>
        <v>201.06192982974676</v>
      </c>
      <c r="BN74" s="80">
        <v>6</v>
      </c>
      <c r="BO74" s="57">
        <f t="shared" si="212"/>
        <v>1206.3715789784806</v>
      </c>
      <c r="BP74" s="57">
        <f t="shared" si="213"/>
        <v>496162.58730772231</v>
      </c>
      <c r="BQ74" s="77">
        <f t="shared" si="214"/>
        <v>1.280568540096283E-9</v>
      </c>
      <c r="BR74" s="57">
        <f t="shared" si="215"/>
        <v>868284527.78851402</v>
      </c>
      <c r="BS74" s="57">
        <v>166.98187117325114</v>
      </c>
      <c r="BT74" s="57">
        <f t="shared" si="220"/>
        <v>7.7771169233744191</v>
      </c>
      <c r="BU74" s="57"/>
      <c r="BV74" s="57">
        <v>3.3E-3</v>
      </c>
      <c r="BW74" s="57">
        <v>30000</v>
      </c>
      <c r="BX74" s="57">
        <v>200000</v>
      </c>
      <c r="BY74" s="77">
        <f>20</f>
        <v>20</v>
      </c>
      <c r="BZ74" s="77">
        <f>BY74+130</f>
        <v>150</v>
      </c>
      <c r="CA74" s="77">
        <f>BZ74+50</f>
        <v>200</v>
      </c>
      <c r="CB74" s="77">
        <f>CA74+100*1</f>
        <v>300</v>
      </c>
      <c r="CC74" s="77">
        <f>CA74+100*2</f>
        <v>400</v>
      </c>
      <c r="CD74" s="77">
        <f>CA74+100*3</f>
        <v>500</v>
      </c>
      <c r="CE74" s="77">
        <f>CA74+100*4</f>
        <v>600</v>
      </c>
      <c r="CF74" s="77">
        <f>CA74+100*5</f>
        <v>700</v>
      </c>
      <c r="CG74" s="77">
        <f>CA74+100*6</f>
        <v>800</v>
      </c>
      <c r="CH74" s="77">
        <f>CA74+100*7</f>
        <v>900</v>
      </c>
      <c r="CI74" s="77">
        <f>CA74+100*8</f>
        <v>1000</v>
      </c>
      <c r="CJ74" s="77">
        <f>CA74+100*9</f>
        <v>1100</v>
      </c>
      <c r="CK74" s="77">
        <f>CA74+100*10</f>
        <v>1200</v>
      </c>
      <c r="CL74" s="77">
        <f>CA74+100*11</f>
        <v>1300</v>
      </c>
      <c r="CM74" s="77">
        <f>CA74+100*12</f>
        <v>1400</v>
      </c>
      <c r="CN74" s="77">
        <f>CM74+50</f>
        <v>1450</v>
      </c>
      <c r="CO74" s="77">
        <f>CN74+130</f>
        <v>1580</v>
      </c>
      <c r="DM74" s="77">
        <f t="shared" si="235"/>
        <v>402.12385965949352</v>
      </c>
      <c r="DN74" s="77">
        <f t="shared" si="235"/>
        <v>402.12385965949352</v>
      </c>
      <c r="DO74" s="77">
        <f t="shared" ref="DO74:EA74" si="239">PI()*4.2*4.2/4</f>
        <v>13.854423602330987</v>
      </c>
      <c r="DP74" s="77">
        <f t="shared" si="239"/>
        <v>13.854423602330987</v>
      </c>
      <c r="DQ74" s="77">
        <f t="shared" si="239"/>
        <v>13.854423602330987</v>
      </c>
      <c r="DR74" s="77">
        <f t="shared" si="239"/>
        <v>13.854423602330987</v>
      </c>
      <c r="DS74" s="77">
        <f t="shared" si="239"/>
        <v>13.854423602330987</v>
      </c>
      <c r="DT74" s="77">
        <f t="shared" si="239"/>
        <v>13.854423602330987</v>
      </c>
      <c r="DU74" s="77">
        <f t="shared" si="239"/>
        <v>13.854423602330987</v>
      </c>
      <c r="DV74" s="77">
        <f t="shared" si="239"/>
        <v>13.854423602330987</v>
      </c>
      <c r="DW74" s="77">
        <f t="shared" si="239"/>
        <v>13.854423602330987</v>
      </c>
      <c r="DX74" s="77">
        <f t="shared" si="239"/>
        <v>13.854423602330987</v>
      </c>
      <c r="DY74" s="77">
        <f t="shared" si="239"/>
        <v>13.854423602330987</v>
      </c>
      <c r="DZ74" s="77">
        <f t="shared" si="239"/>
        <v>13.854423602330987</v>
      </c>
      <c r="EA74" s="77">
        <f t="shared" si="239"/>
        <v>13.854423602330987</v>
      </c>
      <c r="EB74" s="77">
        <f>PI()*16*16/4*2</f>
        <v>402.12385965949352</v>
      </c>
      <c r="EC74" s="77">
        <f>PI()*16*16/4*2</f>
        <v>402.12385965949352</v>
      </c>
      <c r="FA74" s="77">
        <f t="shared" si="160"/>
        <v>-233613.65618782185</v>
      </c>
      <c r="FB74" s="77">
        <f t="shared" si="164"/>
        <v>-26991.063469436591</v>
      </c>
      <c r="FC74" s="77">
        <f>IF(ABS(-$BV74*($BS74-CA74)/$BS74*$BX74)&gt;$BA74,$BA74*SIGN(-($BS74-CA74)),-$BV74*($BS74-CA74)/$BS74*$BX74)*DO74</f>
        <v>1808.071214385574</v>
      </c>
      <c r="FD74" s="77">
        <f t="shared" si="222"/>
        <v>7284.0666103475869</v>
      </c>
      <c r="FE74" s="77">
        <f t="shared" si="233"/>
        <v>8755.9957166731838</v>
      </c>
      <c r="FF74" s="77">
        <f t="shared" si="233"/>
        <v>8755.9957166731838</v>
      </c>
      <c r="FG74" s="77">
        <f t="shared" si="233"/>
        <v>8755.9957166731838</v>
      </c>
      <c r="FH74" s="77">
        <f t="shared" si="237"/>
        <v>8755.9957166731838</v>
      </c>
      <c r="FI74" s="77">
        <f t="shared" si="237"/>
        <v>8755.9957166731838</v>
      </c>
      <c r="FJ74" s="77">
        <f t="shared" si="237"/>
        <v>8755.9957166731838</v>
      </c>
      <c r="FK74" s="77">
        <f t="shared" si="237"/>
        <v>8755.9957166731838</v>
      </c>
      <c r="FL74" s="77">
        <f t="shared" si="237"/>
        <v>8755.9957166731838</v>
      </c>
      <c r="FM74" s="77">
        <f t="shared" si="237"/>
        <v>8755.9957166731838</v>
      </c>
      <c r="FN74" s="77">
        <f t="shared" si="237"/>
        <v>8755.9957166731838</v>
      </c>
      <c r="FO74" s="77">
        <f t="shared" si="237"/>
        <v>8755.9957166731838</v>
      </c>
      <c r="FP74" s="77">
        <f>IF(ABS(-$BV74*($BS74-CN74)/$BS74*$BX74)&gt;$BB74,$BB74*SIGN(-($BS74-CN74)),-$BV74*($BS74-CN74)/$BS74*$BX74)*EB74</f>
        <v>270629.35755083914</v>
      </c>
      <c r="FQ74" s="77">
        <f>IF(ABS(-$BV74*($BS74-CO74)/$BS74*$BX74)&gt;$BB74,$BB74*SIGN(-($BS74-CO74)),-$BV74*($BS74-CO74)/$BS74*$BX74)*EC74</f>
        <v>270629.35755083914</v>
      </c>
      <c r="GO74" s="77">
        <f t="shared" si="154"/>
        <v>182218651.82650104</v>
      </c>
      <c r="GP74" s="77">
        <f t="shared" si="155"/>
        <v>17544191.255133785</v>
      </c>
      <c r="GQ74" s="77">
        <f t="shared" si="156"/>
        <v>-1084842.7286313444</v>
      </c>
      <c r="GR74" s="77">
        <f t="shared" si="157"/>
        <v>-3642033.3051737933</v>
      </c>
      <c r="GS74" s="77">
        <f t="shared" si="158"/>
        <v>-3502398.2866692734</v>
      </c>
      <c r="GT74" s="77">
        <f t="shared" si="159"/>
        <v>-2626798.7150019552</v>
      </c>
      <c r="GU74" s="77">
        <f t="shared" si="232"/>
        <v>-1751199.1433346367</v>
      </c>
      <c r="GV74" s="77">
        <f t="shared" si="234"/>
        <v>-875599.57166731835</v>
      </c>
      <c r="GW74" s="77">
        <f t="shared" si="234"/>
        <v>0</v>
      </c>
      <c r="GX74" s="77">
        <f t="shared" si="234"/>
        <v>875599.57166731835</v>
      </c>
      <c r="GY74" s="77">
        <f t="shared" si="238"/>
        <v>1751199.1433346367</v>
      </c>
      <c r="GZ74" s="77">
        <f t="shared" si="238"/>
        <v>2626798.7150019552</v>
      </c>
      <c r="HA74" s="77">
        <f t="shared" si="238"/>
        <v>3502398.2866692734</v>
      </c>
      <c r="HB74" s="77">
        <f t="shared" si="238"/>
        <v>4377997.8583365921</v>
      </c>
      <c r="HC74" s="77">
        <f t="shared" si="238"/>
        <v>5253597.4300039103</v>
      </c>
      <c r="HD74" s="77">
        <f t="shared" si="238"/>
        <v>175909082.40804544</v>
      </c>
      <c r="HE74" s="77">
        <f t="shared" si="238"/>
        <v>211090898.88965452</v>
      </c>
      <c r="IC74" s="82">
        <v>74</v>
      </c>
    </row>
    <row r="75" spans="1:237" s="77" customFormat="1">
      <c r="A75" s="77">
        <v>74</v>
      </c>
      <c r="B75" s="69">
        <v>105</v>
      </c>
      <c r="C75" s="69" t="s">
        <v>83</v>
      </c>
      <c r="D75" s="70" t="s">
        <v>91</v>
      </c>
      <c r="E75" s="70">
        <v>3</v>
      </c>
      <c r="F75" s="70">
        <v>8.5487482190107891E-2</v>
      </c>
      <c r="G75" s="70"/>
      <c r="H75" s="70"/>
      <c r="I75" s="70">
        <v>1.4999999999999999E-2</v>
      </c>
      <c r="J75" s="71">
        <v>1.09375</v>
      </c>
      <c r="K75" s="72">
        <v>18.823529411764707</v>
      </c>
      <c r="L75" s="71">
        <v>3.8581314878892735E-2</v>
      </c>
      <c r="M75" s="71">
        <v>3.8581314878892735E-2</v>
      </c>
      <c r="N75" s="71">
        <v>3.7889273356401382E-2</v>
      </c>
      <c r="O75" s="71">
        <v>9.2595155709342569E-2</v>
      </c>
      <c r="P75" s="71">
        <v>0</v>
      </c>
      <c r="Q75" s="73" t="s">
        <v>3</v>
      </c>
      <c r="R75" s="74">
        <v>0</v>
      </c>
      <c r="S75" s="75">
        <f t="shared" si="216"/>
        <v>0.45956976376149455</v>
      </c>
      <c r="T75" s="59">
        <f t="shared" si="188"/>
        <v>2.0120511145805722</v>
      </c>
      <c r="U75" s="59">
        <f t="shared" si="189"/>
        <v>1.6007929654826811</v>
      </c>
      <c r="V75" s="59">
        <f t="shared" si="190"/>
        <v>1.4995423564441654</v>
      </c>
      <c r="W75" s="59">
        <f t="shared" si="191"/>
        <v>0.74528044818421857</v>
      </c>
      <c r="X75" s="59">
        <f t="shared" si="192"/>
        <v>0.93674971640821392</v>
      </c>
      <c r="Y75" s="76">
        <v>336000</v>
      </c>
      <c r="Z75" s="57">
        <f t="shared" si="193"/>
        <v>314747.90471315989</v>
      </c>
      <c r="AA75" s="57">
        <f t="shared" si="194"/>
        <v>250414.23058989743</v>
      </c>
      <c r="AB75" s="57">
        <f t="shared" si="195"/>
        <v>949362.64786314336</v>
      </c>
      <c r="AC75" s="57">
        <f t="shared" si="196"/>
        <v>0.25</v>
      </c>
      <c r="AD75" s="57">
        <f t="shared" si="197"/>
        <v>1.5</v>
      </c>
      <c r="AE75" s="57">
        <f t="shared" si="198"/>
        <v>0</v>
      </c>
      <c r="AF75" s="57">
        <f t="shared" si="199"/>
        <v>141693.66338567829</v>
      </c>
      <c r="AG75" s="57">
        <f t="shared" si="200"/>
        <v>108720.56720421913</v>
      </c>
      <c r="AH75" s="57">
        <f t="shared" si="201"/>
        <v>499566702.63548803</v>
      </c>
      <c r="AI75" s="57">
        <f t="shared" si="202"/>
        <v>1161817931.1250129</v>
      </c>
      <c r="AJ75" s="77">
        <v>0</v>
      </c>
      <c r="AK75" s="77">
        <v>28.9</v>
      </c>
      <c r="AL75" s="78">
        <f t="shared" si="203"/>
        <v>2.92175256102876</v>
      </c>
      <c r="AM75" s="57">
        <f t="shared" si="204"/>
        <v>1</v>
      </c>
      <c r="AN75" s="57">
        <f t="shared" si="205"/>
        <v>0.8</v>
      </c>
      <c r="AO75" s="77">
        <v>1600</v>
      </c>
      <c r="AP75" s="79">
        <v>150</v>
      </c>
      <c r="AQ75" s="57">
        <f t="shared" si="206"/>
        <v>84.496243842306768</v>
      </c>
      <c r="AR75" s="57">
        <f t="shared" si="207"/>
        <v>1300</v>
      </c>
      <c r="AS75" s="57">
        <f t="shared" si="208"/>
        <v>1515.5037561576933</v>
      </c>
      <c r="AT75" s="77">
        <v>80</v>
      </c>
      <c r="AU75" s="77">
        <v>1750</v>
      </c>
      <c r="AV75" s="77">
        <f t="shared" si="209"/>
        <v>136000</v>
      </c>
      <c r="AW75" s="77">
        <v>0</v>
      </c>
      <c r="AX75" s="77">
        <f t="shared" si="210"/>
        <v>128000</v>
      </c>
      <c r="AY75" s="77">
        <v>136000</v>
      </c>
      <c r="AZ75" s="77">
        <v>446</v>
      </c>
      <c r="BA75" s="77">
        <v>446</v>
      </c>
      <c r="BB75" s="77">
        <v>673</v>
      </c>
      <c r="BC75" s="77">
        <v>280</v>
      </c>
      <c r="BD75" s="77">
        <v>2.5000000000000001E-3</v>
      </c>
      <c r="BE75" s="77">
        <f t="shared" si="217"/>
        <v>2.5000000000000001E-3</v>
      </c>
      <c r="BF75" s="77">
        <v>6.0000000000000001E-3</v>
      </c>
      <c r="BG75" s="77">
        <f t="shared" si="218"/>
        <v>7.0685834705770346E-3</v>
      </c>
      <c r="BH75" s="79">
        <v>250</v>
      </c>
      <c r="BI75" s="79">
        <f>PI()*8*8/4</f>
        <v>50.26548245743669</v>
      </c>
      <c r="BJ75" s="79">
        <v>1</v>
      </c>
      <c r="BK75" s="57">
        <f t="shared" si="211"/>
        <v>50.26548245743669</v>
      </c>
      <c r="BL75" s="57"/>
      <c r="BM75" s="80">
        <f t="shared" si="219"/>
        <v>201.06192982974676</v>
      </c>
      <c r="BN75" s="80">
        <v>6</v>
      </c>
      <c r="BO75" s="57">
        <f t="shared" si="212"/>
        <v>1206.3715789784806</v>
      </c>
      <c r="BP75" s="57">
        <f t="shared" si="213"/>
        <v>503846.23176523956</v>
      </c>
      <c r="BQ75" s="77">
        <f t="shared" si="214"/>
        <v>9.8953023552894592E-10</v>
      </c>
      <c r="BR75" s="57">
        <f t="shared" si="215"/>
        <v>881730905.58916926</v>
      </c>
      <c r="BS75" s="57">
        <v>168.99248768461354</v>
      </c>
      <c r="BT75" s="57">
        <f t="shared" si="220"/>
        <v>8.0710027639263568</v>
      </c>
      <c r="BU75" s="57"/>
      <c r="BV75" s="57">
        <v>3.3E-3</v>
      </c>
      <c r="BW75" s="57">
        <v>30000</v>
      </c>
      <c r="BX75" s="57">
        <v>200000</v>
      </c>
      <c r="BY75" s="77">
        <f>20</f>
        <v>20</v>
      </c>
      <c r="BZ75" s="77">
        <f>BY75+130</f>
        <v>150</v>
      </c>
      <c r="CA75" s="77">
        <f>BZ75+25</f>
        <v>175</v>
      </c>
      <c r="CB75" s="77">
        <f>CA75+250*1</f>
        <v>425</v>
      </c>
      <c r="CC75" s="77">
        <f>CA75+250*2</f>
        <v>675</v>
      </c>
      <c r="CD75" s="77">
        <f>CA75+250*3</f>
        <v>925</v>
      </c>
      <c r="CE75" s="77">
        <f>CA75+250*4</f>
        <v>1175</v>
      </c>
      <c r="CF75" s="77">
        <f>CA75+250*5</f>
        <v>1425</v>
      </c>
      <c r="CG75" s="77">
        <f>CF75+25</f>
        <v>1450</v>
      </c>
      <c r="CH75" s="77">
        <f>CG75+130</f>
        <v>1580</v>
      </c>
      <c r="DM75" s="77">
        <f t="shared" si="235"/>
        <v>402.12385965949352</v>
      </c>
      <c r="DN75" s="77">
        <f t="shared" si="235"/>
        <v>402.12385965949352</v>
      </c>
      <c r="DO75" s="77">
        <f t="shared" ref="DO75:DT75" si="240">PI()*8*8/4</f>
        <v>50.26548245743669</v>
      </c>
      <c r="DP75" s="77">
        <f t="shared" si="240"/>
        <v>50.26548245743669</v>
      </c>
      <c r="DQ75" s="77">
        <f t="shared" si="240"/>
        <v>50.26548245743669</v>
      </c>
      <c r="DR75" s="77">
        <f t="shared" si="240"/>
        <v>50.26548245743669</v>
      </c>
      <c r="DS75" s="77">
        <f t="shared" si="240"/>
        <v>50.26548245743669</v>
      </c>
      <c r="DT75" s="77">
        <f t="shared" si="240"/>
        <v>50.26548245743669</v>
      </c>
      <c r="DU75" s="77">
        <f>PI()*16*16/4*2</f>
        <v>402.12385965949352</v>
      </c>
      <c r="DV75" s="77">
        <f>PI()*16*16/4*2</f>
        <v>402.12385965949352</v>
      </c>
      <c r="FA75" s="77">
        <f t="shared" si="160"/>
        <v>-233991.86034282221</v>
      </c>
      <c r="FB75" s="77">
        <f t="shared" si="164"/>
        <v>-29827.594631939301</v>
      </c>
      <c r="FC75" s="77">
        <f>IF(ABS(-$BV75*($BS75-CA75)/$BS75*$BX75)&gt;$BA75,$BA75*SIGN(-($BS75-CA75)),-$BV75*($BS75-CA75)/$BS75*$BX75)*DO75</f>
        <v>1179.345519826888</v>
      </c>
      <c r="FD75" s="77">
        <f t="shared" si="222"/>
        <v>22418.405176016764</v>
      </c>
      <c r="FE75" s="77">
        <f t="shared" si="233"/>
        <v>22418.405176016764</v>
      </c>
      <c r="FF75" s="77">
        <f t="shared" si="233"/>
        <v>22418.405176016764</v>
      </c>
      <c r="FG75" s="77">
        <f t="shared" si="233"/>
        <v>22418.405176016764</v>
      </c>
      <c r="FH75" s="77">
        <f>IF(ABS(-$BV75*($BS75-CF75)/$BS75*$BX75)&gt;$BA75,$BA75*SIGN(-($BS75-CF75)),-$BV75*($BS75-CF75)/$BS75*$BX75)*DT75</f>
        <v>22418.405176016764</v>
      </c>
      <c r="FI75" s="77">
        <f t="shared" ref="FI75:FJ79" si="241">IF(ABS(-$BV75*($BS75-CG75)/$BS75*$BX75)&gt;$BB75,$BB75*SIGN(-($BS75-CG75)),-$BV75*($BS75-CG75)/$BS75*$BX75)*DU75</f>
        <v>270629.35755083914</v>
      </c>
      <c r="FJ75" s="77">
        <f t="shared" si="241"/>
        <v>270629.35755083914</v>
      </c>
      <c r="GO75" s="77">
        <f t="shared" si="154"/>
        <v>182513651.06740132</v>
      </c>
      <c r="GP75" s="77">
        <f t="shared" si="155"/>
        <v>19387936.510760546</v>
      </c>
      <c r="GQ75" s="77">
        <f t="shared" si="156"/>
        <v>-737090.94989180495</v>
      </c>
      <c r="GR75" s="77">
        <f t="shared" si="157"/>
        <v>-8406901.9410062861</v>
      </c>
      <c r="GS75" s="77">
        <f t="shared" si="158"/>
        <v>-2802300.6470020954</v>
      </c>
      <c r="GT75" s="77">
        <f t="shared" si="159"/>
        <v>2802300.6470020954</v>
      </c>
      <c r="GU75" s="77">
        <f t="shared" si="232"/>
        <v>8406901.9410062861</v>
      </c>
      <c r="GV75" s="77">
        <f t="shared" si="234"/>
        <v>14011503.235010477</v>
      </c>
      <c r="GW75" s="77">
        <f t="shared" si="234"/>
        <v>175909082.40804544</v>
      </c>
      <c r="GX75" s="77">
        <f t="shared" si="234"/>
        <v>211090898.88965452</v>
      </c>
      <c r="IC75" s="82">
        <v>75</v>
      </c>
    </row>
    <row r="76" spans="1:237" s="77" customFormat="1">
      <c r="A76" s="77">
        <v>75</v>
      </c>
      <c r="B76" s="69">
        <v>121</v>
      </c>
      <c r="C76" s="69" t="s">
        <v>93</v>
      </c>
      <c r="D76" s="70" t="s">
        <v>92</v>
      </c>
      <c r="E76" s="70">
        <v>2</v>
      </c>
      <c r="F76" s="70">
        <v>0.10550151819257887</v>
      </c>
      <c r="G76" s="70">
        <v>9.8425200000000004E-3</v>
      </c>
      <c r="H76" s="70">
        <v>1.4999999999999999E-2</v>
      </c>
      <c r="I76" s="70">
        <v>1.4960629921259842E-2</v>
      </c>
      <c r="J76" s="71">
        <v>2.5</v>
      </c>
      <c r="K76" s="72">
        <v>13.368421052631579</v>
      </c>
      <c r="L76" s="71">
        <v>0.14219607843137255</v>
      </c>
      <c r="M76" s="71">
        <v>0.183759477124183</v>
      </c>
      <c r="N76" s="71">
        <v>0.54049019607843141</v>
      </c>
      <c r="O76" s="71">
        <v>0.22570457516339867</v>
      </c>
      <c r="P76" s="71">
        <v>7.5151832253885678E-2</v>
      </c>
      <c r="Q76" s="73" t="s">
        <v>28</v>
      </c>
      <c r="R76" s="74">
        <v>0.38484848484848483</v>
      </c>
      <c r="S76" s="75">
        <f t="shared" si="216"/>
        <v>0.71476791943196671</v>
      </c>
      <c r="T76" s="59">
        <f t="shared" si="188"/>
        <v>1.2620906365658804</v>
      </c>
      <c r="U76" s="59">
        <f t="shared" si="189"/>
        <v>0.84155369497609911</v>
      </c>
      <c r="V76" s="59">
        <f t="shared" si="190"/>
        <v>0.7676310230147364</v>
      </c>
      <c r="W76" s="59">
        <f t="shared" si="191"/>
        <v>0.60822178754407275</v>
      </c>
      <c r="X76" s="59">
        <f t="shared" si="192"/>
        <v>0.9121592925054387</v>
      </c>
      <c r="Y76" s="76">
        <v>811800</v>
      </c>
      <c r="Z76" s="57">
        <f t="shared" si="193"/>
        <v>740490.91365591518</v>
      </c>
      <c r="AA76" s="57">
        <f t="shared" si="194"/>
        <v>493754.44712827826</v>
      </c>
      <c r="AB76" s="57">
        <f t="shared" si="195"/>
        <v>654103.7881327119</v>
      </c>
      <c r="AC76" s="57">
        <f t="shared" si="196"/>
        <v>0.17</v>
      </c>
      <c r="AD76" s="57">
        <f t="shared" si="197"/>
        <v>2.2000000000000002</v>
      </c>
      <c r="AE76" s="57">
        <f t="shared" si="198"/>
        <v>578269</v>
      </c>
      <c r="AF76" s="57">
        <f t="shared" si="199"/>
        <v>64117.573789182155</v>
      </c>
      <c r="AG76" s="57">
        <f t="shared" si="200"/>
        <v>429636.87333909608</v>
      </c>
      <c r="AH76" s="57">
        <f t="shared" si="201"/>
        <v>614491618.37840199</v>
      </c>
      <c r="AI76" s="57">
        <f t="shared" si="202"/>
        <v>1046932003.4786861</v>
      </c>
      <c r="AJ76" s="77">
        <v>578269</v>
      </c>
      <c r="AK76" s="77">
        <v>45.9</v>
      </c>
      <c r="AL76" s="78">
        <f t="shared" si="203"/>
        <v>3.768309775217825</v>
      </c>
      <c r="AM76" s="57">
        <f t="shared" si="204"/>
        <v>0.97921052631578942</v>
      </c>
      <c r="AN76" s="57">
        <f t="shared" si="205"/>
        <v>0.77921052631578946</v>
      </c>
      <c r="AO76" s="77">
        <f>40*25.4</f>
        <v>1016</v>
      </c>
      <c r="AP76" s="79">
        <f>10*25.4</f>
        <v>254</v>
      </c>
      <c r="AQ76" s="57">
        <f t="shared" si="206"/>
        <v>180.76090595962464</v>
      </c>
      <c r="AR76" s="57">
        <f t="shared" si="207"/>
        <v>508</v>
      </c>
      <c r="AS76" s="57">
        <f t="shared" si="208"/>
        <v>835.23909404037533</v>
      </c>
      <c r="AT76" s="77">
        <v>76</v>
      </c>
      <c r="AU76" s="77">
        <v>2540</v>
      </c>
      <c r="AV76" s="77">
        <f t="shared" si="209"/>
        <v>38608</v>
      </c>
      <c r="AW76" s="77">
        <f>10*25.4*10*25.4*2</f>
        <v>129032</v>
      </c>
      <c r="AX76" s="77">
        <f t="shared" si="210"/>
        <v>77216</v>
      </c>
      <c r="AY76" s="77">
        <v>167640</v>
      </c>
      <c r="AZ76" s="77">
        <v>458.4</v>
      </c>
      <c r="BA76" s="77">
        <v>444</v>
      </c>
      <c r="BB76" s="77">
        <v>447</v>
      </c>
      <c r="BC76" s="77">
        <v>458</v>
      </c>
      <c r="BD76" s="77">
        <v>1.47E-2</v>
      </c>
      <c r="BE76" s="77">
        <f>PI()*3/8*3/8*2/(4*3*4)</f>
        <v>1.8407769454627694E-2</v>
      </c>
      <c r="BF76" s="77">
        <v>5.5500000000000001E-2</v>
      </c>
      <c r="BG76" s="77">
        <f>PI()*3/8*3/8*4/(4*10*3)</f>
        <v>1.4726215563702155E-2</v>
      </c>
      <c r="BH76" s="79">
        <f>4*25.4</f>
        <v>101.6</v>
      </c>
      <c r="BI76" s="79">
        <f>PI()*3/8*25.4*3/8*25.4/4</f>
        <v>71.255739248085618</v>
      </c>
      <c r="BJ76" s="79">
        <v>2</v>
      </c>
      <c r="BK76" s="57">
        <f t="shared" si="211"/>
        <v>142.51147849617124</v>
      </c>
      <c r="BL76" s="57"/>
      <c r="BM76" s="80">
        <f>PI()*8/8*25.4*8/8*25.4/4+PI()*7/8*25.4*7/8*25.4/4</f>
        <v>894.65539278151937</v>
      </c>
      <c r="BN76" s="80">
        <v>4</v>
      </c>
      <c r="BO76" s="57">
        <f t="shared" si="212"/>
        <v>3578.6215711260775</v>
      </c>
      <c r="BP76" s="57">
        <f t="shared" si="213"/>
        <v>623162.864483363</v>
      </c>
      <c r="BQ76" s="77">
        <f t="shared" si="214"/>
        <v>4.0745362639427185E-9</v>
      </c>
      <c r="BR76" s="57">
        <f t="shared" si="215"/>
        <v>1582833675.7877421</v>
      </c>
      <c r="BS76" s="57">
        <v>361.52181191924927</v>
      </c>
      <c r="BT76" s="57">
        <f t="shared" si="220"/>
        <v>466.71329764491151</v>
      </c>
      <c r="BU76" s="57"/>
      <c r="BV76" s="57">
        <v>3.3E-3</v>
      </c>
      <c r="BW76" s="57">
        <v>30000</v>
      </c>
      <c r="BX76" s="57">
        <v>200000</v>
      </c>
      <c r="BY76" s="77">
        <f>1*25.4</f>
        <v>25.4</v>
      </c>
      <c r="BZ76" s="77">
        <f>BY76+4*25.4</f>
        <v>127</v>
      </c>
      <c r="CA76" s="77">
        <f>BZ76+4*25.4</f>
        <v>228.6</v>
      </c>
      <c r="CB76" s="77">
        <f>10*25.4+2.5*25.4</f>
        <v>317.5</v>
      </c>
      <c r="CC76" s="77">
        <f>CB76+5*25.4*1</f>
        <v>444.5</v>
      </c>
      <c r="CD76" s="77">
        <f>CB76+5*25.4*2</f>
        <v>571.5</v>
      </c>
      <c r="CE76" s="77">
        <f>CB76+5*25.4*3</f>
        <v>698.5</v>
      </c>
      <c r="CF76" s="77">
        <f>CE76+2.5*25.4+1*25.4</f>
        <v>787.4</v>
      </c>
      <c r="CG76" s="77">
        <f>CF76+4*25.4</f>
        <v>889</v>
      </c>
      <c r="CH76" s="77">
        <f>CG76+4*25.4</f>
        <v>990.6</v>
      </c>
      <c r="DM76" s="77">
        <f>PI()*8/8*25.4*8/8*25.4/4*2+PI()*7/8*25.4*7/8*25.4/4</f>
        <v>1401.3628718790169</v>
      </c>
      <c r="DN76" s="77">
        <f>PI()*7/8*25.4*7/8*25.4/4*2</f>
        <v>775.89582736804323</v>
      </c>
      <c r="DO76" s="77">
        <f>PI()*8/8*25.4*8/8*25.4/4*2+PI()*7/8*25.4*7/8*25.4/4</f>
        <v>1401.3628718790169</v>
      </c>
      <c r="DP76" s="77">
        <f t="shared" ref="DP76:DS77" si="242">PI()*5/8*25.4*5/8*25.4/4*2</f>
        <v>395.86521804492003</v>
      </c>
      <c r="DQ76" s="77">
        <f t="shared" si="242"/>
        <v>395.86521804492003</v>
      </c>
      <c r="DR76" s="77">
        <f t="shared" si="242"/>
        <v>395.86521804492003</v>
      </c>
      <c r="DS76" s="77">
        <f t="shared" si="242"/>
        <v>395.86521804492003</v>
      </c>
      <c r="DT76" s="77">
        <f>PI()*8/8*25.4*8/8*25.4/4*2+PI()*7/8*25.4*7/8*25.4/4</f>
        <v>1401.3628718790169</v>
      </c>
      <c r="DU76" s="77">
        <f>PI()*7/8*25.4*7/8*25.4/4*2</f>
        <v>775.89582736804323</v>
      </c>
      <c r="DV76" s="77">
        <f>PI()*8/8*25.4*8/8*25.4/4*2+PI()*7/8*25.4*7/8*25.4/4</f>
        <v>1401.3628718790169</v>
      </c>
      <c r="FA76" s="77">
        <f t="shared" si="160"/>
        <v>-626409.20372992055</v>
      </c>
      <c r="FB76" s="77">
        <f t="shared" si="164"/>
        <v>-332197.29193403304</v>
      </c>
      <c r="FC76" s="77">
        <f>IF(ABS(-$BV76*($BS76-CA76)/$BS76*$BX76)&gt;$BB76,$BB76*SIGN(-($BS76-CA76)),-$BV76*($BS76-CA76)/$BS76*$BX76)*DO76</f>
        <v>-340060.57926199061</v>
      </c>
      <c r="FD76" s="77">
        <f t="shared" si="222"/>
        <v>-31814.469765673362</v>
      </c>
      <c r="FE76" s="77">
        <f t="shared" si="233"/>
        <v>59968.159891916177</v>
      </c>
      <c r="FF76" s="77">
        <f t="shared" si="233"/>
        <v>151750.78954950572</v>
      </c>
      <c r="FG76" s="77">
        <f t="shared" si="233"/>
        <v>175764.1568119445</v>
      </c>
      <c r="FH76" s="77">
        <f>IF(ABS(-$BV76*($BS76-CF76)/$BS76*$BX76)&gt;$BB76,$BB76*SIGN(-($BS76-CF76)),-$BV76*($BS76-CF76)/$BS76*$BX76)*DT76</f>
        <v>626409.20372992055</v>
      </c>
      <c r="FI76" s="77">
        <f t="shared" si="241"/>
        <v>346825.43483351532</v>
      </c>
      <c r="FJ76" s="77">
        <f t="shared" si="241"/>
        <v>626409.20372992055</v>
      </c>
      <c r="GO76" s="77">
        <f t="shared" si="154"/>
        <v>302305081.72005969</v>
      </c>
      <c r="GP76" s="77">
        <f t="shared" si="155"/>
        <v>126567168.22686659</v>
      </c>
      <c r="GQ76" s="77">
        <f t="shared" si="156"/>
        <v>95012925.845800176</v>
      </c>
      <c r="GR76" s="77">
        <f t="shared" si="157"/>
        <v>6060656.490360776</v>
      </c>
      <c r="GS76" s="77">
        <f t="shared" si="158"/>
        <v>-3807978.1531366771</v>
      </c>
      <c r="GT76" s="77">
        <f t="shared" si="159"/>
        <v>9636175.1363936123</v>
      </c>
      <c r="GU76" s="77">
        <f t="shared" si="232"/>
        <v>33483071.872675426</v>
      </c>
      <c r="GV76" s="77">
        <f t="shared" si="234"/>
        <v>175018731.52213979</v>
      </c>
      <c r="GW76" s="77">
        <f t="shared" si="234"/>
        <v>132140490.67156933</v>
      </c>
      <c r="GX76" s="77">
        <f t="shared" si="234"/>
        <v>302305081.72005969</v>
      </c>
      <c r="IC76" s="82">
        <v>76</v>
      </c>
    </row>
    <row r="77" spans="1:237" s="77" customFormat="1">
      <c r="A77" s="77">
        <v>76</v>
      </c>
      <c r="B77" s="69">
        <v>123</v>
      </c>
      <c r="C77" s="69" t="s">
        <v>93</v>
      </c>
      <c r="D77" s="70" t="s">
        <v>94</v>
      </c>
      <c r="E77" s="70">
        <v>2</v>
      </c>
      <c r="F77" s="70">
        <v>7.8991455855252149E-2</v>
      </c>
      <c r="G77" s="70">
        <v>9.0551179999999992E-3</v>
      </c>
      <c r="H77" s="70">
        <v>1.7007873999999999E-2</v>
      </c>
      <c r="I77" s="70">
        <v>1.6929133858267716E-2</v>
      </c>
      <c r="J77" s="71">
        <v>2.5</v>
      </c>
      <c r="K77" s="72">
        <v>13.368421052631579</v>
      </c>
      <c r="L77" s="71">
        <v>0.12380319148936171</v>
      </c>
      <c r="M77" s="71">
        <v>0.17770354609929079</v>
      </c>
      <c r="N77" s="71">
        <v>0.44085106382978728</v>
      </c>
      <c r="O77" s="71">
        <v>0.2182663120567376</v>
      </c>
      <c r="P77" s="71">
        <v>6.116079965342823E-2</v>
      </c>
      <c r="Q77" s="73" t="s">
        <v>28</v>
      </c>
      <c r="R77" s="74">
        <v>0.38484848484848483</v>
      </c>
      <c r="S77" s="75">
        <f t="shared" si="216"/>
        <v>0.5932253075642161</v>
      </c>
      <c r="T77" s="59">
        <f t="shared" si="188"/>
        <v>1.0882161414206548</v>
      </c>
      <c r="U77" s="59">
        <f t="shared" si="189"/>
        <v>0.73535425069212745</v>
      </c>
      <c r="V77" s="59">
        <f t="shared" si="190"/>
        <v>0.85936279593647635</v>
      </c>
      <c r="W77" s="59">
        <f t="shared" si="191"/>
        <v>0.78969862991977602</v>
      </c>
      <c r="X77" s="59">
        <f t="shared" si="192"/>
        <v>1.1686378301718254</v>
      </c>
      <c r="Y77" s="76">
        <v>746856</v>
      </c>
      <c r="Z77" s="57">
        <f t="shared" si="193"/>
        <v>872804.17529080878</v>
      </c>
      <c r="AA77" s="57">
        <f t="shared" si="194"/>
        <v>589791.15994736424</v>
      </c>
      <c r="AB77" s="57">
        <f t="shared" si="195"/>
        <v>722409.94142629532</v>
      </c>
      <c r="AC77" s="57">
        <f t="shared" si="196"/>
        <v>0.17</v>
      </c>
      <c r="AD77" s="57">
        <f t="shared" si="197"/>
        <v>2.2000000000000002</v>
      </c>
      <c r="AE77" s="57">
        <f t="shared" si="198"/>
        <v>578269</v>
      </c>
      <c r="AF77" s="57">
        <f t="shared" si="199"/>
        <v>71793.063325453491</v>
      </c>
      <c r="AG77" s="57">
        <f t="shared" si="200"/>
        <v>517998.09662191075</v>
      </c>
      <c r="AH77" s="57">
        <f t="shared" si="201"/>
        <v>746427323.37577927</v>
      </c>
      <c r="AI77" s="57">
        <f t="shared" si="202"/>
        <v>1088493927.8470111</v>
      </c>
      <c r="AJ77" s="77">
        <v>578269</v>
      </c>
      <c r="AK77" s="77">
        <v>56.4</v>
      </c>
      <c r="AL77" s="78">
        <f t="shared" si="203"/>
        <v>4.2203952644874754</v>
      </c>
      <c r="AM77" s="57">
        <f t="shared" si="204"/>
        <v>0.95157894736842097</v>
      </c>
      <c r="AN77" s="57">
        <f t="shared" si="205"/>
        <v>0.75157894736842101</v>
      </c>
      <c r="AO77" s="77">
        <f>40*25.4</f>
        <v>1016</v>
      </c>
      <c r="AP77" s="79">
        <f>10*25.4</f>
        <v>254</v>
      </c>
      <c r="AQ77" s="57">
        <f t="shared" si="206"/>
        <v>168.52935497695867</v>
      </c>
      <c r="AR77" s="57">
        <f t="shared" si="207"/>
        <v>508</v>
      </c>
      <c r="AS77" s="57">
        <f t="shared" si="208"/>
        <v>847.47064502304136</v>
      </c>
      <c r="AT77" s="77">
        <v>76</v>
      </c>
      <c r="AU77" s="77">
        <v>2540</v>
      </c>
      <c r="AV77" s="77">
        <f t="shared" si="209"/>
        <v>38608</v>
      </c>
      <c r="AW77" s="77">
        <f>10*25.4*10*25.4*2</f>
        <v>129032</v>
      </c>
      <c r="AX77" s="77">
        <f t="shared" si="210"/>
        <v>77216</v>
      </c>
      <c r="AY77" s="77">
        <v>167640</v>
      </c>
      <c r="AZ77" s="77">
        <v>544.70000000000005</v>
      </c>
      <c r="BA77" s="77">
        <v>475</v>
      </c>
      <c r="BB77" s="77">
        <v>448</v>
      </c>
      <c r="BC77" s="77">
        <v>544.29999999999995</v>
      </c>
      <c r="BD77" s="77">
        <v>1.47E-2</v>
      </c>
      <c r="BE77" s="77">
        <f>PI()*3/8*3/8*2/(4*3*4)</f>
        <v>1.8407769454627694E-2</v>
      </c>
      <c r="BF77" s="77">
        <v>5.5500000000000001E-2</v>
      </c>
      <c r="BG77" s="77">
        <f>PI()*3/8*3/8*4/(4*10*3)</f>
        <v>1.4726215563702155E-2</v>
      </c>
      <c r="BH77" s="79">
        <f>4*25.4</f>
        <v>101.6</v>
      </c>
      <c r="BI77" s="79">
        <f>PI()*3/8*25.4*3/8*25.4/4</f>
        <v>71.255739248085618</v>
      </c>
      <c r="BJ77" s="79">
        <v>2</v>
      </c>
      <c r="BK77" s="57">
        <f t="shared" si="211"/>
        <v>142.51147849617124</v>
      </c>
      <c r="BL77" s="57"/>
      <c r="BM77" s="80">
        <f>PI()*8/8*25.4*8/8*25.4/4+PI()*7/8*25.4*7/8*25.4/4</f>
        <v>894.65539278151937</v>
      </c>
      <c r="BN77" s="80">
        <v>4</v>
      </c>
      <c r="BO77" s="57">
        <f t="shared" si="212"/>
        <v>3578.6215711260775</v>
      </c>
      <c r="BP77" s="57">
        <f t="shared" si="213"/>
        <v>641820.26032193296</v>
      </c>
      <c r="BQ77" s="77">
        <f t="shared" si="214"/>
        <v>1.1641532182693481E-9</v>
      </c>
      <c r="BR77" s="57">
        <f t="shared" si="215"/>
        <v>1630223461.2177098</v>
      </c>
      <c r="BS77" s="57">
        <v>337.05870995391734</v>
      </c>
      <c r="BT77" s="57">
        <f t="shared" si="220"/>
        <v>436.31374630840349</v>
      </c>
      <c r="BU77" s="57"/>
      <c r="BV77" s="57">
        <v>3.3E-3</v>
      </c>
      <c r="BW77" s="57">
        <v>30000</v>
      </c>
      <c r="BX77" s="57">
        <v>200000</v>
      </c>
      <c r="BY77" s="77">
        <f>1*25.4</f>
        <v>25.4</v>
      </c>
      <c r="BZ77" s="77">
        <f>BY77+4*25.4</f>
        <v>127</v>
      </c>
      <c r="CA77" s="77">
        <f>BZ77+4*25.4</f>
        <v>228.6</v>
      </c>
      <c r="CB77" s="77">
        <f>10*25.4+2.5*25.4</f>
        <v>317.5</v>
      </c>
      <c r="CC77" s="77">
        <f>CB77+5*25.4*1</f>
        <v>444.5</v>
      </c>
      <c r="CD77" s="77">
        <f>CB77+5*25.4*2</f>
        <v>571.5</v>
      </c>
      <c r="CE77" s="77">
        <f>CB77+5*25.4*3</f>
        <v>698.5</v>
      </c>
      <c r="CF77" s="77">
        <f>CE77+2.5*25.4+1*25.4</f>
        <v>787.4</v>
      </c>
      <c r="CG77" s="77">
        <f>CF77+4*25.4</f>
        <v>889</v>
      </c>
      <c r="CH77" s="77">
        <f>CG77+4*25.4</f>
        <v>990.6</v>
      </c>
      <c r="DM77" s="77">
        <f>PI()*8/8*25.4*8/8*25.4/4*2+PI()*7/8*25.4*7/8*25.4/4</f>
        <v>1401.3628718790169</v>
      </c>
      <c r="DN77" s="77">
        <f>PI()*7/8*25.4*7/8*25.4/4*2</f>
        <v>775.89582736804323</v>
      </c>
      <c r="DO77" s="77">
        <f>PI()*8/8*25.4*8/8*25.4/4*2+PI()*7/8*25.4*7/8*25.4/4</f>
        <v>1401.3628718790169</v>
      </c>
      <c r="DP77" s="77">
        <f t="shared" si="242"/>
        <v>395.86521804492003</v>
      </c>
      <c r="DQ77" s="77">
        <f t="shared" si="242"/>
        <v>395.86521804492003</v>
      </c>
      <c r="DR77" s="77">
        <f t="shared" si="242"/>
        <v>395.86521804492003</v>
      </c>
      <c r="DS77" s="77">
        <f t="shared" si="242"/>
        <v>395.86521804492003</v>
      </c>
      <c r="DT77" s="77">
        <f>PI()*8/8*25.4*8/8*25.4/4*2+PI()*7/8*25.4*7/8*25.4/4</f>
        <v>1401.3628718790169</v>
      </c>
      <c r="DU77" s="77">
        <f>PI()*7/8*25.4*7/8*25.4/4*2</f>
        <v>775.89582736804323</v>
      </c>
      <c r="DV77" s="77">
        <f>PI()*8/8*25.4*8/8*25.4/4*2+PI()*7/8*25.4*7/8*25.4/4</f>
        <v>1401.3628718790169</v>
      </c>
      <c r="FA77" s="77">
        <f t="shared" si="160"/>
        <v>-627810.56660179957</v>
      </c>
      <c r="FB77" s="77">
        <f t="shared" si="164"/>
        <v>-319140.91922257544</v>
      </c>
      <c r="FC77" s="77">
        <f>IF(ABS(-$BV77*($BS77-CA77)/$BS77*$BX77)&gt;$BB77,$BB77*SIGN(-($BS77-CA77)),-$BV77*($BS77-CA77)/$BS77*$BX77)*DO77</f>
        <v>-297614.04512045602</v>
      </c>
      <c r="FD77" s="77">
        <f t="shared" si="222"/>
        <v>-15160.933143916227</v>
      </c>
      <c r="FE77" s="77">
        <f t="shared" si="233"/>
        <v>83283.111162376183</v>
      </c>
      <c r="FF77" s="77">
        <f t="shared" si="233"/>
        <v>181727.15546866856</v>
      </c>
      <c r="FG77" s="77">
        <f t="shared" si="233"/>
        <v>188035.97857133701</v>
      </c>
      <c r="FH77" s="77">
        <f>IF(ABS(-$BV77*($BS77-CF77)/$BS77*$BX77)&gt;$BB77,$BB77*SIGN(-($BS77-CF77)),-$BV77*($BS77-CF77)/$BS77*$BX77)*DT77</f>
        <v>627810.56660179957</v>
      </c>
      <c r="FI77" s="77">
        <f t="shared" si="241"/>
        <v>347601.33066088334</v>
      </c>
      <c r="FJ77" s="77">
        <f t="shared" si="241"/>
        <v>627810.56660179957</v>
      </c>
      <c r="GO77" s="77">
        <f t="shared" si="154"/>
        <v>302981379.44202846</v>
      </c>
      <c r="GP77" s="77">
        <f t="shared" si="155"/>
        <v>121592690.22380124</v>
      </c>
      <c r="GQ77" s="77">
        <f t="shared" si="156"/>
        <v>83153364.206655413</v>
      </c>
      <c r="GR77" s="77">
        <f t="shared" si="157"/>
        <v>2888157.7639160412</v>
      </c>
      <c r="GS77" s="77">
        <f t="shared" si="158"/>
        <v>-5288477.5588108879</v>
      </c>
      <c r="GT77" s="77">
        <f t="shared" si="159"/>
        <v>11539674.372260453</v>
      </c>
      <c r="GU77" s="77">
        <f t="shared" si="232"/>
        <v>35820853.917839698</v>
      </c>
      <c r="GV77" s="77">
        <f t="shared" si="234"/>
        <v>175410272.30854279</v>
      </c>
      <c r="GW77" s="77">
        <f t="shared" si="234"/>
        <v>132436106.98179655</v>
      </c>
      <c r="GX77" s="77">
        <f t="shared" si="234"/>
        <v>302981379.44202846</v>
      </c>
      <c r="IC77" s="82">
        <v>77</v>
      </c>
    </row>
    <row r="78" spans="1:237" s="77" customFormat="1">
      <c r="A78" s="77">
        <v>77</v>
      </c>
      <c r="B78" s="69">
        <v>125</v>
      </c>
      <c r="C78" s="69" t="s">
        <v>93</v>
      </c>
      <c r="D78" s="70" t="s">
        <v>95</v>
      </c>
      <c r="E78" s="70">
        <v>1</v>
      </c>
      <c r="F78" s="70">
        <v>6.0886594572341725E-2</v>
      </c>
      <c r="G78" s="70">
        <v>7.8740159999999993E-3</v>
      </c>
      <c r="H78" s="70">
        <v>3.0984252E-2</v>
      </c>
      <c r="I78" s="70">
        <v>3.1102362204724409E-2</v>
      </c>
      <c r="J78" s="71">
        <v>2.5</v>
      </c>
      <c r="K78" s="72">
        <v>13.368421052631579</v>
      </c>
      <c r="L78" s="71">
        <v>8.8273408239700368E-2</v>
      </c>
      <c r="M78" s="71">
        <v>0.11561448189762796</v>
      </c>
      <c r="N78" s="71">
        <v>0.29047440699126093</v>
      </c>
      <c r="O78" s="71">
        <v>0.22494556803995006</v>
      </c>
      <c r="P78" s="71">
        <v>4.3064533089305274E-2</v>
      </c>
      <c r="Q78" s="73" t="s">
        <v>28</v>
      </c>
      <c r="R78" s="74">
        <v>0.38484848484848483</v>
      </c>
      <c r="S78" s="75">
        <f t="shared" si="216"/>
        <v>0.54492651764178135</v>
      </c>
      <c r="T78" s="59">
        <f t="shared" si="188"/>
        <v>1.102912311345944</v>
      </c>
      <c r="U78" s="59">
        <f t="shared" si="189"/>
        <v>0.77179537475252646</v>
      </c>
      <c r="V78" s="59">
        <f t="shared" si="190"/>
        <v>0.78621681564117329</v>
      </c>
      <c r="W78" s="59">
        <f t="shared" si="191"/>
        <v>0.71285523568207343</v>
      </c>
      <c r="X78" s="59">
        <f t="shared" si="192"/>
        <v>1.0186855756854867</v>
      </c>
      <c r="Y78" s="76">
        <v>817583</v>
      </c>
      <c r="Z78" s="57">
        <f t="shared" si="193"/>
        <v>832860.00902566721</v>
      </c>
      <c r="AA78" s="57">
        <f t="shared" si="194"/>
        <v>582818.32215465663</v>
      </c>
      <c r="AB78" s="57">
        <f t="shared" si="195"/>
        <v>863850.78751306061</v>
      </c>
      <c r="AC78" s="57">
        <f t="shared" si="196"/>
        <v>0.17</v>
      </c>
      <c r="AD78" s="57">
        <f t="shared" si="197"/>
        <v>2.2000000000000002</v>
      </c>
      <c r="AE78" s="57">
        <f t="shared" si="198"/>
        <v>578269</v>
      </c>
      <c r="AF78" s="57">
        <f t="shared" si="199"/>
        <v>88024.52735749686</v>
      </c>
      <c r="AG78" s="57">
        <f t="shared" si="200"/>
        <v>494793.79479715973</v>
      </c>
      <c r="AH78" s="57">
        <f t="shared" si="201"/>
        <v>1088791100.3759611</v>
      </c>
      <c r="AI78" s="57">
        <f t="shared" si="202"/>
        <v>1105389899.907213</v>
      </c>
      <c r="AJ78" s="77">
        <v>578269</v>
      </c>
      <c r="AK78" s="77">
        <v>80.099999999999994</v>
      </c>
      <c r="AL78" s="78">
        <f t="shared" si="203"/>
        <v>5.118556526047854</v>
      </c>
      <c r="AM78" s="57">
        <f t="shared" si="204"/>
        <v>0.94</v>
      </c>
      <c r="AN78" s="57">
        <f t="shared" si="205"/>
        <v>0.74</v>
      </c>
      <c r="AO78" s="77">
        <f>40*25.4</f>
        <v>1016</v>
      </c>
      <c r="AP78" s="79">
        <f>10*25.4</f>
        <v>254</v>
      </c>
      <c r="AQ78" s="57">
        <f t="shared" si="206"/>
        <v>139.90502504945016</v>
      </c>
      <c r="AR78" s="57">
        <f t="shared" si="207"/>
        <v>508</v>
      </c>
      <c r="AS78" s="57">
        <f t="shared" si="208"/>
        <v>876.09497495054984</v>
      </c>
      <c r="AT78" s="77">
        <v>76</v>
      </c>
      <c r="AU78" s="77">
        <v>2540</v>
      </c>
      <c r="AV78" s="77">
        <f t="shared" si="209"/>
        <v>38608</v>
      </c>
      <c r="AW78" s="77">
        <f>10*25.4*10*25.4*2</f>
        <v>129032</v>
      </c>
      <c r="AX78" s="77">
        <f t="shared" si="210"/>
        <v>77216</v>
      </c>
      <c r="AY78" s="77">
        <v>167640</v>
      </c>
      <c r="AZ78" s="77">
        <v>503.3</v>
      </c>
      <c r="BA78" s="77">
        <v>481</v>
      </c>
      <c r="BB78" s="77">
        <v>439</v>
      </c>
      <c r="BC78" s="77">
        <v>503</v>
      </c>
      <c r="BD78" s="77">
        <v>1.47E-2</v>
      </c>
      <c r="BE78" s="77">
        <f>PI()*3/8*3/8*2/(4*3*4)</f>
        <v>1.8407769454627694E-2</v>
      </c>
      <c r="BF78" s="77">
        <v>5.2999999999999999E-2</v>
      </c>
      <c r="BG78" s="77">
        <f>PI()*3/8*3/8*4/(4*10*4)</f>
        <v>1.1044661672776616E-2</v>
      </c>
      <c r="BH78" s="79">
        <f>4*25.4</f>
        <v>101.6</v>
      </c>
      <c r="BI78" s="79">
        <f>PI()*3/8*25.4*3/8*25.4/4</f>
        <v>71.255739248085618</v>
      </c>
      <c r="BJ78" s="79">
        <v>2</v>
      </c>
      <c r="BK78" s="57">
        <f t="shared" si="211"/>
        <v>142.51147849617124</v>
      </c>
      <c r="BL78" s="57"/>
      <c r="BM78" s="80">
        <f>PI()*6/8*25.4*6/8*25.4/4</f>
        <v>285.02295699234247</v>
      </c>
      <c r="BN78" s="80">
        <v>12</v>
      </c>
      <c r="BO78" s="57">
        <f t="shared" si="212"/>
        <v>3420.2754839081099</v>
      </c>
      <c r="BP78" s="57">
        <f t="shared" si="213"/>
        <v>642797.50278235739</v>
      </c>
      <c r="BQ78" s="77">
        <f t="shared" si="214"/>
        <v>2.5611370801925659E-9</v>
      </c>
      <c r="BR78" s="57">
        <f t="shared" si="215"/>
        <v>1632705657.0671878</v>
      </c>
      <c r="BS78" s="57">
        <v>279.81005009890032</v>
      </c>
      <c r="BT78" s="57">
        <f t="shared" si="220"/>
        <v>418.35324999461102</v>
      </c>
      <c r="BU78" s="57"/>
      <c r="BV78" s="57">
        <v>3.3E-3</v>
      </c>
      <c r="BW78" s="57">
        <v>30000</v>
      </c>
      <c r="BX78" s="57">
        <v>200000</v>
      </c>
      <c r="BY78" s="77">
        <f>1*25.4</f>
        <v>25.4</v>
      </c>
      <c r="BZ78" s="77">
        <f>BY78+8/3*25.4*1</f>
        <v>93.133333333333326</v>
      </c>
      <c r="CA78" s="77">
        <f>BY78+8/3*25.4*2</f>
        <v>160.86666666666665</v>
      </c>
      <c r="CB78" s="77">
        <f>BY78+8/3*25.4*3</f>
        <v>228.59999999999997</v>
      </c>
      <c r="CC78" s="77">
        <f>10*25.4+2.5*25.4</f>
        <v>317.5</v>
      </c>
      <c r="CD78" s="77">
        <f>CC78+5*25.4*1</f>
        <v>444.5</v>
      </c>
      <c r="CE78" s="77">
        <f>CC78+5*25.4*2</f>
        <v>571.5</v>
      </c>
      <c r="CF78" s="77">
        <f>CC78+5*25.4*3</f>
        <v>698.5</v>
      </c>
      <c r="CG78" s="77">
        <f>CF78+2.5*25.4+1*25.4</f>
        <v>787.4</v>
      </c>
      <c r="CH78" s="77">
        <f>CG78+8/3*25.4*1</f>
        <v>855.13333333333333</v>
      </c>
      <c r="CI78" s="77">
        <f>CG78+8/3*25.4*2</f>
        <v>922.86666666666656</v>
      </c>
      <c r="CJ78" s="77">
        <f>CG78+8/3*25.4*3</f>
        <v>990.59999999999991</v>
      </c>
      <c r="DM78" s="77">
        <f>PI()*6/8*25.4*6/8*25.4/4*4</f>
        <v>1140.0918279693699</v>
      </c>
      <c r="DN78" s="77">
        <f>PI()*6/8*25.4*6/8*25.4/4*2</f>
        <v>570.04591398468494</v>
      </c>
      <c r="DO78" s="77">
        <f>PI()*6/8*25.4*6/8*25.4/4*2</f>
        <v>570.04591398468494</v>
      </c>
      <c r="DP78" s="77">
        <f>PI()*6/8*25.4*6/8*25.4/4*4</f>
        <v>1140.0918279693699</v>
      </c>
      <c r="DQ78" s="77">
        <f>PI()*5/8*25.4*5/8*25.4/4*2</f>
        <v>395.86521804492003</v>
      </c>
      <c r="DR78" s="77">
        <f>PI()*5/8*25.4*5/8*25.4/4*2</f>
        <v>395.86521804492003</v>
      </c>
      <c r="DS78" s="77">
        <f>PI()*5/8*25.4*5/8*25.4/4*2</f>
        <v>395.86521804492003</v>
      </c>
      <c r="DT78" s="77">
        <f>PI()*5/8*25.4*5/8*25.4/4*2</f>
        <v>395.86521804492003</v>
      </c>
      <c r="DU78" s="77">
        <f>PI()*6/8*25.4*6/8*25.4/4*4</f>
        <v>1140.0918279693699</v>
      </c>
      <c r="DV78" s="77">
        <f>PI()*6/8*25.4*6/8*25.4/4*2</f>
        <v>570.04591398468494</v>
      </c>
      <c r="DW78" s="77">
        <f>PI()*6/8*25.4*6/8*25.4/4*2</f>
        <v>570.04591398468494</v>
      </c>
      <c r="DX78" s="77">
        <f>PI()*6/8*25.4*6/8*25.4/4*4</f>
        <v>1140.0918279693699</v>
      </c>
      <c r="FA78" s="77">
        <f t="shared" si="160"/>
        <v>-500500.31247855339</v>
      </c>
      <c r="FB78" s="77">
        <f t="shared" si="164"/>
        <v>-250250.15623927669</v>
      </c>
      <c r="FC78" s="77">
        <f>IF(ABS(-$BV78*($BS78-CA78)/$BS78*$BX78)&gt;$BB78,$BB78*SIGN(-($BS78-CA78)),-$BV78*($BS78-CA78)/$BS78*$BX78)*DO78</f>
        <v>-159930.29985907025</v>
      </c>
      <c r="FD78" s="77">
        <f>IF(ABS(-$BV78*($BS78-CB78)/$BS78*$BX78)&gt;$BB78,$BB78*SIGN(-($BS78-CB78)),-$BV78*($BS78-CB78)/$BS78*$BX78)*DP78</f>
        <v>-137713.22845850105</v>
      </c>
      <c r="FE78" s="77">
        <f t="shared" si="233"/>
        <v>35192.776499922147</v>
      </c>
      <c r="FF78" s="77">
        <f t="shared" si="233"/>
        <v>153778.30466374988</v>
      </c>
      <c r="FG78" s="77">
        <f t="shared" si="233"/>
        <v>190411.16987960655</v>
      </c>
      <c r="FH78" s="77">
        <f>IF(ABS(-$BV78*($BS78-CF78)/$BS78*$BX78)&gt;$BA78,$BA78*SIGN(-($BS78-CF78)),-$BV78*($BS78-CF78)/$BS78*$BX78)*DT78</f>
        <v>190411.16987960655</v>
      </c>
      <c r="FI78" s="77">
        <f t="shared" si="241"/>
        <v>500500.31247855339</v>
      </c>
      <c r="FJ78" s="77">
        <f t="shared" si="241"/>
        <v>250250.15623927669</v>
      </c>
      <c r="FK78" s="77">
        <f>IF(ABS(-$BV78*($BS78-CI78)/$BS78*$BX78)&gt;$BB78,$BB78*SIGN(-($BS78-CI78)),-$BV78*($BS78-CI78)/$BS78*$BX78)*DW78</f>
        <v>250250.15623927669</v>
      </c>
      <c r="FL78" s="77">
        <f>IF(ABS(-$BV78*($BS78-CJ78)/$BS78*$BX78)&gt;$BB78,$BB78*SIGN(-($BS78-CJ78)),-$BV78*($BS78-CJ78)/$BS78*$BX78)*DX78</f>
        <v>500500.31247855339</v>
      </c>
      <c r="GO78" s="77">
        <f t="shared" si="154"/>
        <v>241541450.80214986</v>
      </c>
      <c r="GP78" s="77">
        <f t="shared" si="155"/>
        <v>103820448.15180126</v>
      </c>
      <c r="GQ78" s="77">
        <f t="shared" si="156"/>
        <v>55517138.091078587</v>
      </c>
      <c r="GR78" s="77">
        <f t="shared" si="157"/>
        <v>38477076.031305201</v>
      </c>
      <c r="GS78" s="77">
        <f t="shared" si="158"/>
        <v>-6704223.9232351687</v>
      </c>
      <c r="GT78" s="77">
        <f t="shared" si="159"/>
        <v>-9764922.3461481165</v>
      </c>
      <c r="GU78" s="77">
        <f t="shared" si="232"/>
        <v>12091109.287355015</v>
      </c>
      <c r="GV78" s="77">
        <f t="shared" si="234"/>
        <v>36273327.862065047</v>
      </c>
      <c r="GW78" s="77">
        <f t="shared" si="234"/>
        <v>139839787.3065078</v>
      </c>
      <c r="GX78" s="77">
        <f t="shared" si="234"/>
        <v>86870170.902527586</v>
      </c>
      <c r="GY78" s="77">
        <f>FK78*(CI78-0.5*$AO78)</f>
        <v>103820448.15180123</v>
      </c>
      <c r="GZ78" s="77">
        <f>FL78*(CJ78-0.5*$AO78)</f>
        <v>241541450.80214983</v>
      </c>
      <c r="IC78" s="82">
        <v>78</v>
      </c>
    </row>
    <row r="79" spans="1:237" s="77" customFormat="1">
      <c r="A79" s="77">
        <v>78</v>
      </c>
      <c r="B79" s="69">
        <v>127</v>
      </c>
      <c r="C79" s="69" t="s">
        <v>93</v>
      </c>
      <c r="D79" s="70" t="s">
        <v>96</v>
      </c>
      <c r="E79" s="70">
        <v>1</v>
      </c>
      <c r="F79" s="70">
        <v>3.716433642208402E-2</v>
      </c>
      <c r="G79" s="70">
        <v>7.8740159999999993E-3</v>
      </c>
      <c r="H79" s="70">
        <v>0.03</v>
      </c>
      <c r="I79" s="70">
        <v>2.9921259842519685E-2</v>
      </c>
      <c r="J79" s="71">
        <v>2.5</v>
      </c>
      <c r="K79" s="72">
        <v>13.368421052631579</v>
      </c>
      <c r="L79" s="71">
        <v>4.9224770642201834E-2</v>
      </c>
      <c r="M79" s="71">
        <v>8.2977828746177359E-2</v>
      </c>
      <c r="N79" s="71">
        <v>0.18924311926605503</v>
      </c>
      <c r="O79" s="71">
        <v>7.6542813455657485E-2</v>
      </c>
      <c r="P79" s="71">
        <v>2.6372087923955293E-2</v>
      </c>
      <c r="Q79" s="73" t="s">
        <v>28</v>
      </c>
      <c r="R79" s="74">
        <v>0.38484848484848483</v>
      </c>
      <c r="S79" s="75">
        <f t="shared" si="216"/>
        <v>0.42504044224232879</v>
      </c>
      <c r="T79" s="59">
        <f t="shared" si="188"/>
        <v>0.98509840692379336</v>
      </c>
      <c r="U79" s="59">
        <f t="shared" si="189"/>
        <v>0.71479024197163044</v>
      </c>
      <c r="V79" s="59">
        <f t="shared" si="190"/>
        <v>0.86808891481104733</v>
      </c>
      <c r="W79" s="59">
        <f t="shared" si="191"/>
        <v>0.88122050417466791</v>
      </c>
      <c r="X79" s="59">
        <f t="shared" si="192"/>
        <v>1.2144666558633592</v>
      </c>
      <c r="Y79" s="76">
        <v>814914</v>
      </c>
      <c r="Z79" s="57">
        <f t="shared" si="193"/>
        <v>989685.88039623352</v>
      </c>
      <c r="AA79" s="57">
        <f t="shared" si="194"/>
        <v>718118.92593899532</v>
      </c>
      <c r="AB79" s="57">
        <f t="shared" si="195"/>
        <v>1231407.2463647933</v>
      </c>
      <c r="AC79" s="57">
        <f t="shared" si="196"/>
        <v>0.17</v>
      </c>
      <c r="AD79" s="57">
        <f t="shared" si="197"/>
        <v>2.2000000000000002</v>
      </c>
      <c r="AE79" s="57">
        <f t="shared" si="198"/>
        <v>578269</v>
      </c>
      <c r="AF79" s="57">
        <f t="shared" si="199"/>
        <v>116616.09504478307</v>
      </c>
      <c r="AG79" s="57">
        <f t="shared" si="200"/>
        <v>601502.83089421224</v>
      </c>
      <c r="AH79" s="57">
        <f t="shared" si="201"/>
        <v>1852501923.3923507</v>
      </c>
      <c r="AI79" s="57">
        <f t="shared" si="202"/>
        <v>1275272482.3742242</v>
      </c>
      <c r="AJ79" s="77">
        <v>578269</v>
      </c>
      <c r="AK79" s="77">
        <v>130.80000000000001</v>
      </c>
      <c r="AL79" s="78">
        <f t="shared" si="203"/>
        <v>6.7032262645345044</v>
      </c>
      <c r="AM79" s="57">
        <f t="shared" si="204"/>
        <v>0.94</v>
      </c>
      <c r="AN79" s="57">
        <f t="shared" si="205"/>
        <v>0.74</v>
      </c>
      <c r="AO79" s="77">
        <f>40*25.4</f>
        <v>1016</v>
      </c>
      <c r="AP79" s="79">
        <f>10*25.4</f>
        <v>254</v>
      </c>
      <c r="AQ79" s="57">
        <f t="shared" si="206"/>
        <v>108.49487144480392</v>
      </c>
      <c r="AR79" s="57">
        <f t="shared" si="207"/>
        <v>508</v>
      </c>
      <c r="AS79" s="57">
        <f t="shared" si="208"/>
        <v>907.50512855519605</v>
      </c>
      <c r="AT79" s="77">
        <v>76</v>
      </c>
      <c r="AU79" s="77">
        <v>2540</v>
      </c>
      <c r="AV79" s="77">
        <f t="shared" si="209"/>
        <v>38608</v>
      </c>
      <c r="AW79" s="77">
        <f>10*25.4*10*25.4*2</f>
        <v>129032</v>
      </c>
      <c r="AX79" s="77">
        <f t="shared" si="210"/>
        <v>77216</v>
      </c>
      <c r="AY79" s="77">
        <v>167640</v>
      </c>
      <c r="AZ79" s="77">
        <v>443</v>
      </c>
      <c r="BA79" s="77">
        <v>438</v>
      </c>
      <c r="BB79" s="77">
        <v>446</v>
      </c>
      <c r="BC79" s="77">
        <v>442.7</v>
      </c>
      <c r="BD79" s="77">
        <v>1.47E-2</v>
      </c>
      <c r="BE79" s="77">
        <f>PI()*3/8*3/8*2/(4*3*3)</f>
        <v>2.4543692606170259E-2</v>
      </c>
      <c r="BF79" s="77">
        <v>5.5500000000000001E-2</v>
      </c>
      <c r="BG79" s="77">
        <f>PI()*3/8*3/8*4/(4*10*3)</f>
        <v>1.4726215563702155E-2</v>
      </c>
      <c r="BH79" s="79">
        <f>3*25.4</f>
        <v>76.199999999999989</v>
      </c>
      <c r="BI79" s="79">
        <f>PI()*3/8*25.4*3/8*25.4/4</f>
        <v>71.255739248085618</v>
      </c>
      <c r="BJ79" s="79">
        <v>2</v>
      </c>
      <c r="BK79" s="57">
        <f t="shared" si="211"/>
        <v>142.51147849617124</v>
      </c>
      <c r="BL79" s="57"/>
      <c r="BM79" s="80">
        <f>PI()*8/8*25.4*8/8*25.4/4+PI()*7/8*25.4*7/8*25.4/4</f>
        <v>894.65539278151937</v>
      </c>
      <c r="BN79" s="80">
        <v>4</v>
      </c>
      <c r="BO79" s="57">
        <f t="shared" si="212"/>
        <v>3578.6215711260775</v>
      </c>
      <c r="BP79" s="57">
        <f t="shared" si="213"/>
        <v>707417.80992432986</v>
      </c>
      <c r="BQ79" s="77">
        <f t="shared" si="214"/>
        <v>2.7939677238464355E-9</v>
      </c>
      <c r="BR79" s="57">
        <f t="shared" si="215"/>
        <v>1796841237.2077978</v>
      </c>
      <c r="BS79" s="57">
        <v>216.98974288960784</v>
      </c>
      <c r="BT79" s="57">
        <f t="shared" si="220"/>
        <v>1016.2751759406248</v>
      </c>
      <c r="BU79" s="57"/>
      <c r="BV79" s="57">
        <v>3.3E-3</v>
      </c>
      <c r="BW79" s="57">
        <v>30000</v>
      </c>
      <c r="BX79" s="57">
        <v>200000</v>
      </c>
      <c r="BY79" s="77">
        <f>1*25.4</f>
        <v>25.4</v>
      </c>
      <c r="BZ79" s="77">
        <f>BY79+4*25.4</f>
        <v>127</v>
      </c>
      <c r="CA79" s="77">
        <f>BZ79+4*25.4</f>
        <v>228.6</v>
      </c>
      <c r="CB79" s="77">
        <f>10*25.4+2.5*25.4</f>
        <v>317.5</v>
      </c>
      <c r="CC79" s="77">
        <f>CB79+5*25.4*1</f>
        <v>444.5</v>
      </c>
      <c r="CD79" s="77">
        <f>CB79+5*25.4*2</f>
        <v>571.5</v>
      </c>
      <c r="CE79" s="77">
        <f>CB79+5*25.4*3</f>
        <v>698.5</v>
      </c>
      <c r="CF79" s="77">
        <f>CE79+2.5*25.4+1*25.4</f>
        <v>787.4</v>
      </c>
      <c r="CG79" s="77">
        <f>CF79+4*25.4</f>
        <v>889</v>
      </c>
      <c r="CH79" s="77">
        <f>CG79+4*25.4</f>
        <v>990.6</v>
      </c>
      <c r="DM79" s="77">
        <f>PI()*8/8*25.4*8/8*25.4/4*2+PI()*7/8*25.4*7/8*25.4/4</f>
        <v>1401.3628718790169</v>
      </c>
      <c r="DN79" s="77">
        <f>PI()*7/8*25.4*7/8*25.4/4*2</f>
        <v>775.89582736804323</v>
      </c>
      <c r="DO79" s="77">
        <f>PI()*8/8*25.4*8/8*25.4/4*2+PI()*7/8*25.4*7/8*25.4/4</f>
        <v>1401.3628718790169</v>
      </c>
      <c r="DP79" s="77">
        <f>PI()*5/8*25.4*5/8*25.4/4*2</f>
        <v>395.86521804492003</v>
      </c>
      <c r="DQ79" s="77">
        <f>PI()*5/8*25.4*5/8*25.4/4*2</f>
        <v>395.86521804492003</v>
      </c>
      <c r="DR79" s="77">
        <f>PI()*5/8*25.4*5/8*25.4/4*2</f>
        <v>395.86521804492003</v>
      </c>
      <c r="DS79" s="77">
        <f>PI()*5/8*25.4*5/8*25.4/4*2</f>
        <v>395.86521804492003</v>
      </c>
      <c r="DT79" s="77">
        <f>PI()*8/8*25.4*8/8*25.4/4*2+PI()*7/8*25.4*7/8*25.4/4</f>
        <v>1401.3628718790169</v>
      </c>
      <c r="DU79" s="77">
        <f>PI()*7/8*25.4*7/8*25.4/4*2</f>
        <v>775.89582736804323</v>
      </c>
      <c r="DV79" s="77">
        <f>PI()*8/8*25.4*8/8*25.4/4*2+PI()*7/8*25.4*7/8*25.4/4</f>
        <v>1401.3628718790169</v>
      </c>
      <c r="FA79" s="77">
        <f t="shared" si="160"/>
        <v>-625007.84085804154</v>
      </c>
      <c r="FB79" s="77">
        <f t="shared" si="164"/>
        <v>-212373.90742780158</v>
      </c>
      <c r="FC79" s="77">
        <f>IF(ABS(-$BV79*($BS79-CA79)/$BS79*$BX79)&gt;$BB79,$BB79*SIGN(-($BS79-CA79)),-$BV79*($BS79-CA79)/$BS79*$BX79)*DO79</f>
        <v>49487.689142961863</v>
      </c>
      <c r="FD79" s="77">
        <f>IF(ABS(-$BV79*($BS79-CB79)/$BS79*$BX79)&gt;$BA79,$BA79*SIGN(-($BS79-CB79)),-$BV79*($BS79-CB79)/$BS79*$BX79)*DP79</f>
        <v>121021.47985962186</v>
      </c>
      <c r="FE79" s="77">
        <f t="shared" si="233"/>
        <v>173388.96550367496</v>
      </c>
      <c r="FF79" s="77">
        <f t="shared" si="233"/>
        <v>173388.96550367496</v>
      </c>
      <c r="FG79" s="77">
        <f t="shared" si="233"/>
        <v>173388.96550367496</v>
      </c>
      <c r="FH79" s="77">
        <f>IF(ABS(-$BV79*($BS79-CF79)/$BS79*$BX79)&gt;$BB79,$BB79*SIGN(-($BS79-CF79)),-$BV79*($BS79-CF79)/$BS79*$BX79)*DT79</f>
        <v>625007.84085804154</v>
      </c>
      <c r="FI79" s="77">
        <f t="shared" si="241"/>
        <v>346049.5390061473</v>
      </c>
      <c r="FJ79" s="77">
        <f t="shared" si="241"/>
        <v>625007.84085804154</v>
      </c>
      <c r="GO79" s="77">
        <f t="shared" si="154"/>
        <v>301628783.99809086</v>
      </c>
      <c r="GP79" s="77">
        <f t="shared" si="155"/>
        <v>80914458.729992405</v>
      </c>
      <c r="GQ79" s="77">
        <f t="shared" si="156"/>
        <v>-13826860.346543543</v>
      </c>
      <c r="GR79" s="77">
        <f t="shared" si="157"/>
        <v>-23054591.913257964</v>
      </c>
      <c r="GS79" s="77">
        <f t="shared" si="158"/>
        <v>-11010199.30948336</v>
      </c>
      <c r="GT79" s="77">
        <f t="shared" si="159"/>
        <v>11010199.30948336</v>
      </c>
      <c r="GU79" s="77">
        <f t="shared" si="232"/>
        <v>33030597.928450081</v>
      </c>
      <c r="GV79" s="77">
        <f t="shared" si="234"/>
        <v>174627190.73573679</v>
      </c>
      <c r="GW79" s="77">
        <f t="shared" si="234"/>
        <v>131844874.36134212</v>
      </c>
      <c r="GX79" s="77">
        <f t="shared" si="234"/>
        <v>301628783.99809086</v>
      </c>
      <c r="IC79" s="82">
        <v>79</v>
      </c>
    </row>
    <row r="80" spans="1:237" s="77" customFormat="1">
      <c r="A80" s="77">
        <v>79</v>
      </c>
      <c r="B80" s="69">
        <v>132</v>
      </c>
      <c r="C80" s="69" t="s">
        <v>97</v>
      </c>
      <c r="D80" s="70" t="s">
        <v>98</v>
      </c>
      <c r="E80" s="70">
        <v>1</v>
      </c>
      <c r="F80" s="70">
        <v>3.7717517508634141E-2</v>
      </c>
      <c r="G80" s="70">
        <v>3.5087719999999998E-3</v>
      </c>
      <c r="H80" s="70">
        <v>1.1403508999999999E-2</v>
      </c>
      <c r="I80" s="70">
        <v>2.1929824561403508E-2</v>
      </c>
      <c r="J80" s="71">
        <v>2.0802919708029197</v>
      </c>
      <c r="K80" s="72">
        <v>6.5238095238095237</v>
      </c>
      <c r="L80" s="71">
        <v>6.7978723404255328E-2</v>
      </c>
      <c r="M80" s="71">
        <v>6.4148936170212764E-2</v>
      </c>
      <c r="N80" s="71">
        <v>0.34085106382978725</v>
      </c>
      <c r="O80" s="71">
        <v>0.25276595744680852</v>
      </c>
      <c r="P80" s="71">
        <v>0</v>
      </c>
      <c r="Q80" s="73" t="s">
        <v>3</v>
      </c>
      <c r="R80" s="74">
        <v>0</v>
      </c>
      <c r="S80" s="75">
        <f t="shared" si="216"/>
        <v>0.25857827242377457</v>
      </c>
      <c r="T80" s="59">
        <f t="shared" si="188"/>
        <v>0.51140740899989723</v>
      </c>
      <c r="U80" s="59">
        <f t="shared" si="189"/>
        <v>0.39444885175206684</v>
      </c>
      <c r="V80" s="59">
        <f t="shared" si="190"/>
        <v>0.92813126973476634</v>
      </c>
      <c r="W80" s="59">
        <f t="shared" si="191"/>
        <v>1.8148569093862168</v>
      </c>
      <c r="X80" s="59">
        <f t="shared" si="192"/>
        <v>2.3529825619017108</v>
      </c>
      <c r="Y80" s="76">
        <v>81602</v>
      </c>
      <c r="Z80" s="57">
        <f t="shared" si="193"/>
        <v>192008.0830163034</v>
      </c>
      <c r="AA80" s="57">
        <f t="shared" si="194"/>
        <v>148095.95351973406</v>
      </c>
      <c r="AB80" s="57">
        <f t="shared" si="195"/>
        <v>154483.91574775497</v>
      </c>
      <c r="AC80" s="57">
        <f t="shared" si="196"/>
        <v>0.17</v>
      </c>
      <c r="AD80" s="57">
        <f t="shared" si="197"/>
        <v>2.0802919708029197</v>
      </c>
      <c r="AE80" s="57">
        <f t="shared" si="198"/>
        <v>0</v>
      </c>
      <c r="AF80" s="57">
        <f t="shared" si="199"/>
        <v>42454.318232282123</v>
      </c>
      <c r="AG80" s="57">
        <f t="shared" si="200"/>
        <v>105641.63528745194</v>
      </c>
      <c r="AH80" s="57">
        <f t="shared" si="201"/>
        <v>112233448.3316884</v>
      </c>
      <c r="AI80" s="57">
        <f t="shared" si="202"/>
        <v>63878215.62075229</v>
      </c>
      <c r="AJ80" s="77">
        <v>0</v>
      </c>
      <c r="AK80" s="77">
        <v>47</v>
      </c>
      <c r="AL80" s="78">
        <f t="shared" si="203"/>
        <v>3.8177144498285425</v>
      </c>
      <c r="AM80" s="57">
        <f t="shared" si="204"/>
        <v>0.97631578947368414</v>
      </c>
      <c r="AN80" s="57">
        <f t="shared" si="205"/>
        <v>0.77631578947368418</v>
      </c>
      <c r="AO80" s="77">
        <v>548</v>
      </c>
      <c r="AP80" s="79">
        <f>24+35</f>
        <v>59</v>
      </c>
      <c r="AQ80" s="57">
        <f t="shared" si="206"/>
        <v>24.982180933320137</v>
      </c>
      <c r="AR80" s="57">
        <f t="shared" si="207"/>
        <v>430</v>
      </c>
      <c r="AS80" s="57">
        <f t="shared" si="208"/>
        <v>523.01781906667986</v>
      </c>
      <c r="AT80" s="77">
        <v>84</v>
      </c>
      <c r="AU80" s="77">
        <v>1140</v>
      </c>
      <c r="AV80" s="77">
        <f t="shared" si="209"/>
        <v>46032</v>
      </c>
      <c r="AW80" s="77">
        <v>0</v>
      </c>
      <c r="AX80" s="77">
        <f t="shared" si="210"/>
        <v>46032</v>
      </c>
      <c r="AY80" s="77">
        <v>46032</v>
      </c>
      <c r="AZ80" s="77">
        <v>450</v>
      </c>
      <c r="BA80" s="77">
        <v>450</v>
      </c>
      <c r="BB80" s="77">
        <v>450</v>
      </c>
      <c r="BC80" s="77">
        <v>400</v>
      </c>
      <c r="BD80" s="77">
        <v>7.1000000000000004E-3</v>
      </c>
      <c r="BE80" s="77">
        <f>PI()*3/8*25.4*3/8*25.4/(4*84*127)</f>
        <v>6.6793906306791915E-3</v>
      </c>
      <c r="BF80" s="77">
        <v>3.56E-2</v>
      </c>
      <c r="BG80" s="77">
        <f>PI()*4.8*4.8*2/(4*84*42)</f>
        <v>1.0258261726007488E-2</v>
      </c>
      <c r="BH80" s="79">
        <v>127</v>
      </c>
      <c r="BI80" s="79">
        <f>PI()*3/8*25.4*3/8*25.4/4</f>
        <v>71.255739248085618</v>
      </c>
      <c r="BJ80" s="79">
        <v>1</v>
      </c>
      <c r="BK80" s="57">
        <f t="shared" si="211"/>
        <v>71.255739248085618</v>
      </c>
      <c r="BL80" s="57"/>
      <c r="BM80" s="80">
        <f>PI()*3/8*25.4*3/8*25.4/4</f>
        <v>71.255739248085618</v>
      </c>
      <c r="BN80" s="80">
        <v>4</v>
      </c>
      <c r="BO80" s="57">
        <f t="shared" si="212"/>
        <v>285.02295699234247</v>
      </c>
      <c r="BP80" s="57">
        <f t="shared" si="213"/>
        <v>75737.367872896401</v>
      </c>
      <c r="BQ80" s="77">
        <f t="shared" si="214"/>
        <v>7.2759576141834259E-10</v>
      </c>
      <c r="BR80" s="57">
        <f t="shared" si="215"/>
        <v>86340599.375101894</v>
      </c>
      <c r="BS80" s="57">
        <v>49.964361866640274</v>
      </c>
      <c r="BT80" s="57">
        <f t="shared" si="220"/>
        <v>6.6059324155193986</v>
      </c>
      <c r="BU80" s="57"/>
      <c r="BV80" s="57">
        <v>3.3E-3</v>
      </c>
      <c r="BW80" s="57">
        <v>30000</v>
      </c>
      <c r="BX80" s="57">
        <v>200000</v>
      </c>
      <c r="BY80" s="77">
        <f>24</f>
        <v>24</v>
      </c>
      <c r="BZ80" s="77">
        <f>BY80+35</f>
        <v>59</v>
      </c>
      <c r="CA80" s="77">
        <f>BZ80+88</f>
        <v>147</v>
      </c>
      <c r="CB80" s="77">
        <f>CA80+127</f>
        <v>274</v>
      </c>
      <c r="CC80" s="77">
        <f>CB80+127</f>
        <v>401</v>
      </c>
      <c r="CD80" s="77">
        <f>CC80+88</f>
        <v>489</v>
      </c>
      <c r="CE80" s="77">
        <f>CD80+35</f>
        <v>524</v>
      </c>
      <c r="DM80" s="77">
        <f>PI()*3/8*25.4*3/8*25.4/4*2</f>
        <v>142.51147849617124</v>
      </c>
      <c r="DN80" s="77">
        <f>PI()*3/8*25.4*3/8*25.4/4*2</f>
        <v>142.51147849617124</v>
      </c>
      <c r="DO80" s="77">
        <f>PI()*3/8*25.4*3/8*25.4/4</f>
        <v>71.255739248085618</v>
      </c>
      <c r="DP80" s="77">
        <f>PI()*3/8*25.4*3/8*25.4/4</f>
        <v>71.255739248085618</v>
      </c>
      <c r="DQ80" s="77">
        <f>PI()*3/8*25.4*3/8*25.4/4</f>
        <v>71.255739248085618</v>
      </c>
      <c r="DR80" s="77">
        <f>PI()*3/8*25.4*3/8*25.4/4*2</f>
        <v>142.51147849617124</v>
      </c>
      <c r="DS80" s="77">
        <f>PI()*3/8*25.4*3/8*25.4/4*2</f>
        <v>142.51147849617124</v>
      </c>
      <c r="FA80" s="77">
        <f t="shared" si="160"/>
        <v>-48877.73691741527</v>
      </c>
      <c r="FB80" s="77">
        <f t="shared" si="164"/>
        <v>17009.528130585601</v>
      </c>
      <c r="FC80" s="77">
        <f>IF(ABS(-$BV80*($BS80-CA80)/$BS80*$BX80)&gt;$BA80,$BA80*SIGN(-($BS80-CA80)),-$BV80*($BS80-CA80)/$BS80*$BX80)*DO80</f>
        <v>32065.082661638527</v>
      </c>
      <c r="FD80" s="77">
        <f>IF(ABS(-$BV80*($BS80-CB80)/$BS80*$BX80)&gt;$BA80,$BA80*SIGN(-($BS80-CB80)),-$BV80*($BS80-CB80)/$BS80*$BX80)*DP80</f>
        <v>32065.082661638527</v>
      </c>
      <c r="FE80" s="77">
        <f>IF(ABS(-$BV80*($BS80-CC80)/$BS80*$BX80)&gt;$BA80,$BA80*SIGN(-($BS80-CC80)),-$BV80*($BS80-CC80)/$BS80*$BX80)*DQ80</f>
        <v>32065.082661638527</v>
      </c>
      <c r="FF80" s="77">
        <f>IF(ABS(-$BV80*($BS80-CD80)/$BS80*$BX80)&gt;$BB80,$BB80*SIGN(-($BS80-CD80)),-$BV80*($BS80-CD80)/$BS80*$BX80)*DR80</f>
        <v>64130.165323277055</v>
      </c>
      <c r="FG80" s="77">
        <f>IF(ABS(-$BV80*($BS80-CE80)/$BS80*$BX80)&gt;$BB80,$BB80*SIGN(-($BS80-CE80)),-$BV80*($BS80-CE80)/$BS80*$BX80)*DS80</f>
        <v>64130.165323277055</v>
      </c>
      <c r="GO80" s="77">
        <f t="shared" si="154"/>
        <v>12219434.229353817</v>
      </c>
      <c r="GP80" s="77">
        <f t="shared" si="155"/>
        <v>-3657048.5480759041</v>
      </c>
      <c r="GQ80" s="77">
        <f t="shared" si="156"/>
        <v>-4072265.498028093</v>
      </c>
      <c r="GR80" s="77">
        <f t="shared" si="157"/>
        <v>0</v>
      </c>
      <c r="GS80" s="77">
        <f t="shared" si="158"/>
        <v>4072265.498028093</v>
      </c>
      <c r="GT80" s="77">
        <f t="shared" si="159"/>
        <v>13787985.544504566</v>
      </c>
      <c r="GU80" s="77">
        <f t="shared" si="232"/>
        <v>16032541.330819264</v>
      </c>
      <c r="IC80" s="82">
        <v>81</v>
      </c>
    </row>
    <row r="81" spans="1:237" s="77" customFormat="1">
      <c r="A81" s="77">
        <v>80</v>
      </c>
      <c r="B81" s="69">
        <v>133</v>
      </c>
      <c r="C81" s="69" t="s">
        <v>236</v>
      </c>
      <c r="D81" s="70" t="s">
        <v>99</v>
      </c>
      <c r="E81" s="85">
        <v>2</v>
      </c>
      <c r="F81" s="70">
        <v>7.6095791001451377E-2</v>
      </c>
      <c r="G81" s="70">
        <v>2.6666670000000002E-3</v>
      </c>
      <c r="H81" s="70">
        <v>7.3066670000000002E-3</v>
      </c>
      <c r="I81" s="70">
        <v>7.4666666666666666E-3</v>
      </c>
      <c r="J81" s="71">
        <v>0.83333333333333337</v>
      </c>
      <c r="K81" s="72">
        <v>28.125</v>
      </c>
      <c r="L81" s="71">
        <v>3.8356923076923073E-2</v>
      </c>
      <c r="M81" s="71">
        <v>3.356230769230769E-2</v>
      </c>
      <c r="N81" s="71">
        <v>0.11174884615384614</v>
      </c>
      <c r="O81" s="71">
        <v>5.4225822488746647E-2</v>
      </c>
      <c r="P81" s="71">
        <v>5.3338171262699567E-2</v>
      </c>
      <c r="Q81" s="73" t="s">
        <v>28</v>
      </c>
      <c r="R81" s="74">
        <v>0.23584905660377359</v>
      </c>
      <c r="S81" s="75">
        <f t="shared" si="216"/>
        <v>0.38801392321867884</v>
      </c>
      <c r="T81" s="59">
        <f t="shared" si="188"/>
        <v>1.1726828908153495</v>
      </c>
      <c r="U81" s="59">
        <f t="shared" si="189"/>
        <v>1.2263506839979241</v>
      </c>
      <c r="V81" s="59">
        <f t="shared" si="190"/>
        <v>0.9040973434412467</v>
      </c>
      <c r="W81" s="59">
        <f t="shared" si="191"/>
        <v>0.77096489641171528</v>
      </c>
      <c r="X81" s="59">
        <f t="shared" si="192"/>
        <v>0.73722578316169241</v>
      </c>
      <c r="Y81" s="76">
        <v>524300</v>
      </c>
      <c r="Z81" s="57">
        <f t="shared" si="193"/>
        <v>386527.4781116753</v>
      </c>
      <c r="AA81" s="57">
        <f t="shared" si="194"/>
        <v>404216.89518866234</v>
      </c>
      <c r="AB81" s="57">
        <f t="shared" si="195"/>
        <v>751521.64947886788</v>
      </c>
      <c r="AC81" s="57">
        <f t="shared" si="196"/>
        <v>0.25</v>
      </c>
      <c r="AD81" s="57">
        <f t="shared" si="197"/>
        <v>1.5</v>
      </c>
      <c r="AE81" s="57">
        <f t="shared" si="198"/>
        <v>367500</v>
      </c>
      <c r="AF81" s="57">
        <f t="shared" si="199"/>
        <v>205714.71789583308</v>
      </c>
      <c r="AG81" s="57">
        <f t="shared" si="200"/>
        <v>198502.17729282929</v>
      </c>
      <c r="AH81" s="57">
        <f t="shared" si="201"/>
        <v>1033197324.7193656</v>
      </c>
      <c r="AI81" s="57">
        <f t="shared" si="202"/>
        <v>375905768.05351162</v>
      </c>
      <c r="AJ81" s="77">
        <v>367500</v>
      </c>
      <c r="AK81" s="77">
        <v>26</v>
      </c>
      <c r="AL81" s="78">
        <f t="shared" si="203"/>
        <v>2.7566711506623234</v>
      </c>
      <c r="AM81" s="57">
        <f t="shared" si="204"/>
        <v>1</v>
      </c>
      <c r="AN81" s="57">
        <f t="shared" si="205"/>
        <v>0.8</v>
      </c>
      <c r="AO81" s="77">
        <v>2250</v>
      </c>
      <c r="AP81" s="79">
        <v>250</v>
      </c>
      <c r="AQ81" s="77">
        <f t="shared" si="206"/>
        <v>138.08206784737359</v>
      </c>
      <c r="AR81" s="57">
        <f t="shared" si="207"/>
        <v>1750</v>
      </c>
      <c r="AS81" s="77">
        <f t="shared" si="208"/>
        <v>2111.9179321526262</v>
      </c>
      <c r="AT81" s="77">
        <v>80</v>
      </c>
      <c r="AU81" s="77">
        <v>1875</v>
      </c>
      <c r="AV81" s="77">
        <f t="shared" si="209"/>
        <v>140000</v>
      </c>
      <c r="AW81" s="77">
        <f>250*250*2</f>
        <v>125000</v>
      </c>
      <c r="AX81" s="77">
        <f t="shared" si="210"/>
        <v>180000</v>
      </c>
      <c r="AY81" s="77">
        <v>265000</v>
      </c>
      <c r="AZ81" s="77">
        <v>623.29999999999995</v>
      </c>
      <c r="BA81" s="77">
        <v>623.29999999999995</v>
      </c>
      <c r="BB81" s="77">
        <v>358.7</v>
      </c>
      <c r="BC81" s="77">
        <v>623.29999999999995</v>
      </c>
      <c r="BD81" s="77">
        <v>1.6000000000000001E-3</v>
      </c>
      <c r="BE81" s="77">
        <v>1.4E-3</v>
      </c>
      <c r="BF81" s="77">
        <v>8.0999999999999996E-3</v>
      </c>
      <c r="BH81" s="79">
        <v>150</v>
      </c>
      <c r="BI81" s="79">
        <f>PI()*6*6/4</f>
        <v>28.274333882308138</v>
      </c>
      <c r="BJ81" s="79">
        <v>1</v>
      </c>
      <c r="BK81" s="57">
        <f t="shared" si="211"/>
        <v>28.274333882308138</v>
      </c>
      <c r="BL81" s="57">
        <f t="shared" ref="BL81:BL142" si="243">IF(BF81=0,FALSE,BD81*AR81*AT81)</f>
        <v>224.00000000000003</v>
      </c>
      <c r="BM81" s="80">
        <f>PI()*13*13/4</f>
        <v>132.73228961416876</v>
      </c>
      <c r="BN81" s="80">
        <v>4</v>
      </c>
      <c r="BO81" s="57">
        <f t="shared" si="212"/>
        <v>530.92915845667505</v>
      </c>
      <c r="BP81" s="57">
        <f t="shared" si="213"/>
        <v>474018.23716624564</v>
      </c>
      <c r="BQ81" s="77">
        <f t="shared" si="214"/>
        <v>9.3132257461547852E-10</v>
      </c>
      <c r="BR81" s="57">
        <f t="shared" si="215"/>
        <v>888784194.6867106</v>
      </c>
      <c r="BS81" s="57">
        <v>276.16413569474719</v>
      </c>
      <c r="BT81" s="57">
        <f t="shared" si="220"/>
        <v>281.29183650574026</v>
      </c>
      <c r="BU81" s="57"/>
      <c r="BV81" s="57">
        <v>3.3E-3</v>
      </c>
      <c r="BW81" s="57">
        <v>30000</v>
      </c>
      <c r="BX81" s="57">
        <v>200000</v>
      </c>
      <c r="BY81" s="77">
        <f>20</f>
        <v>20</v>
      </c>
      <c r="BZ81" s="77">
        <f>BY81+210</f>
        <v>230</v>
      </c>
      <c r="CA81" s="77">
        <f>BZ81+20+350</f>
        <v>600</v>
      </c>
      <c r="CB81" s="77">
        <f>CA81+150*1</f>
        <v>750</v>
      </c>
      <c r="CC81" s="77">
        <f>CA81+150*2</f>
        <v>900</v>
      </c>
      <c r="CD81" s="77">
        <f>CA81+150*3</f>
        <v>1050</v>
      </c>
      <c r="CE81" s="77">
        <f>CA81+150*4</f>
        <v>1200</v>
      </c>
      <c r="CF81" s="77">
        <f>CA81+150*5</f>
        <v>1350</v>
      </c>
      <c r="CG81" s="77">
        <f>CA81+150*6</f>
        <v>1500</v>
      </c>
      <c r="CH81" s="77">
        <f>CA81+150*7</f>
        <v>1650</v>
      </c>
      <c r="CI81" s="77">
        <f>CH81+350+20</f>
        <v>2020</v>
      </c>
      <c r="CJ81" s="77">
        <f>CI81+210</f>
        <v>2230</v>
      </c>
      <c r="DM81" s="77">
        <f>PI()*13*13/4*2</f>
        <v>265.46457922833753</v>
      </c>
      <c r="DN81" s="77">
        <f>PI()*13*13/4*2</f>
        <v>265.46457922833753</v>
      </c>
      <c r="DO81" s="77">
        <f t="shared" ref="DO81:DV81" si="244">PI()*6*6/4</f>
        <v>28.274333882308138</v>
      </c>
      <c r="DP81" s="77">
        <f t="shared" si="244"/>
        <v>28.274333882308138</v>
      </c>
      <c r="DQ81" s="77">
        <f t="shared" si="244"/>
        <v>28.274333882308138</v>
      </c>
      <c r="DR81" s="77">
        <f t="shared" si="244"/>
        <v>28.274333882308138</v>
      </c>
      <c r="DS81" s="77">
        <f t="shared" si="244"/>
        <v>28.274333882308138</v>
      </c>
      <c r="DT81" s="77">
        <f t="shared" si="244"/>
        <v>28.274333882308138</v>
      </c>
      <c r="DU81" s="77">
        <f t="shared" si="244"/>
        <v>28.274333882308138</v>
      </c>
      <c r="DV81" s="77">
        <f t="shared" si="244"/>
        <v>28.274333882308138</v>
      </c>
      <c r="DW81" s="77">
        <f>PI()*13*13/4*2</f>
        <v>265.46457922833753</v>
      </c>
      <c r="DX81" s="77">
        <f>PI()*13*13/4*2</f>
        <v>265.46457922833753</v>
      </c>
      <c r="FA81" s="77">
        <f t="shared" si="160"/>
        <v>-95222.144569204669</v>
      </c>
      <c r="FB81" s="77">
        <f t="shared" si="164"/>
        <v>-29287.880794870944</v>
      </c>
      <c r="FC81" s="77">
        <f>IF(ABS(-$BV81*($BS81-CA81)/$BS81*$BX81)&gt;$BA81,$BA81*SIGN(-($BS81-CA81)),-$BV81*($BS81-CA81)/$BS81*$BX81)*DO81</f>
        <v>17623.39230884266</v>
      </c>
      <c r="FD81" s="77">
        <f>IF(ABS(-$BV81*($BS81-CB81)/$BS81*$BX81)&gt;$BA81,$BA81*SIGN(-($BS81-CB81)),-$BV81*($BS81-CB81)/$BS81*$BX81)*DP81</f>
        <v>17623.39230884266</v>
      </c>
      <c r="FE81" s="77">
        <f>IF(ABS(-$BV81*($BS81-CC81)/$BS81*$BX81)&gt;$BA81,$BA81*SIGN(-($BS81-CC81)),-$BV81*($BS81-CC81)/$BS81*$BX81)*DQ81</f>
        <v>17623.39230884266</v>
      </c>
      <c r="FF81" s="77">
        <f t="shared" ref="FF81:FJ82" si="245">IF(ABS(-$BV81*($BS81-CD81)/$BS81*$BX81)&gt;$BA81,$BA81*SIGN(-($BS81-CD81)),-$BV81*($BS81-CD81)/$BS81*$BX81)*DR81</f>
        <v>17623.39230884266</v>
      </c>
      <c r="FG81" s="77">
        <f t="shared" si="245"/>
        <v>17623.39230884266</v>
      </c>
      <c r="FH81" s="77">
        <f t="shared" si="245"/>
        <v>17623.39230884266</v>
      </c>
      <c r="FI81" s="77">
        <f t="shared" si="245"/>
        <v>17623.39230884266</v>
      </c>
      <c r="FJ81" s="77">
        <f t="shared" si="245"/>
        <v>17623.39230884266</v>
      </c>
      <c r="FK81" s="77">
        <f>IF(ABS(-$BV81*($BS81-CI81)/$BS81*$BX81)&gt;$BB81,$BB81*SIGN(-($BS81-CI81)),-$BV81*($BS81-CI81)/$BS81*$BX81)*DW81</f>
        <v>95222.144569204669</v>
      </c>
      <c r="FL81" s="77">
        <f>IF(ABS(-$BV81*($BS81-CJ81)/$BS81*$BX81)&gt;$BB81,$BB81*SIGN(-($BS81-CJ81)),-$BV81*($BS81-CJ81)/$BS81*$BX81)*DX81</f>
        <v>95222.144569204669</v>
      </c>
      <c r="GO81" s="77">
        <f t="shared" si="154"/>
        <v>105220469.74897116</v>
      </c>
      <c r="GP81" s="77">
        <f t="shared" si="155"/>
        <v>26212653.311409496</v>
      </c>
      <c r="GQ81" s="77">
        <f t="shared" si="156"/>
        <v>-9252280.9621423967</v>
      </c>
      <c r="GR81" s="77">
        <f t="shared" si="157"/>
        <v>-6608772.1158159971</v>
      </c>
      <c r="GS81" s="77">
        <f t="shared" si="158"/>
        <v>-3965263.2694895985</v>
      </c>
      <c r="GT81" s="77">
        <f t="shared" si="159"/>
        <v>-1321754.4231631996</v>
      </c>
      <c r="GU81" s="77">
        <f t="shared" si="232"/>
        <v>1321754.4231631996</v>
      </c>
      <c r="GV81" s="77">
        <f t="shared" ref="GV81:GV89" si="246">FH81*(CF81-0.5*$AO81)</f>
        <v>3965263.2694895985</v>
      </c>
      <c r="GW81" s="77">
        <f t="shared" ref="GW81:GW89" si="247">FI81*(CG81-0.5*$AO81)</f>
        <v>6608772.1158159971</v>
      </c>
      <c r="GX81" s="77">
        <f t="shared" ref="GX81:GX89" si="248">FJ81*(CH81-0.5*$AO81)</f>
        <v>9252280.9621423967</v>
      </c>
      <c r="GY81" s="77">
        <f t="shared" ref="GY81:GY89" si="249">FK81*(CI81-0.5*$AO81)</f>
        <v>85223819.389438182</v>
      </c>
      <c r="GZ81" s="77">
        <f t="shared" ref="GZ81:GZ89" si="250">FL81*(CJ81-0.5*$AO81)</f>
        <v>105220469.74897116</v>
      </c>
      <c r="IC81" s="82">
        <v>82</v>
      </c>
    </row>
    <row r="82" spans="1:237" s="77" customFormat="1">
      <c r="A82" s="77">
        <v>81</v>
      </c>
      <c r="B82" s="69">
        <v>134</v>
      </c>
      <c r="C82" s="69" t="s">
        <v>236</v>
      </c>
      <c r="D82" s="70" t="s">
        <v>100</v>
      </c>
      <c r="E82" s="85">
        <v>3</v>
      </c>
      <c r="F82" s="70">
        <v>0.14172307692307692</v>
      </c>
      <c r="G82" s="70">
        <v>4.5714290000000001E-3</v>
      </c>
      <c r="H82" s="70">
        <v>8.2285710000000005E-3</v>
      </c>
      <c r="I82" s="70">
        <v>8.0000000000000002E-3</v>
      </c>
      <c r="J82" s="84">
        <v>0.4</v>
      </c>
      <c r="K82" s="72">
        <v>45</v>
      </c>
      <c r="L82" s="71">
        <v>0.18938730769230772</v>
      </c>
      <c r="M82" s="71">
        <v>0.18219538461538459</v>
      </c>
      <c r="N82" s="71">
        <v>0.11174884615384614</v>
      </c>
      <c r="O82" s="71">
        <v>0.24401620119935991</v>
      </c>
      <c r="P82" s="71">
        <v>6.6515837104072398E-2</v>
      </c>
      <c r="Q82" s="73" t="s">
        <v>28</v>
      </c>
      <c r="R82" s="74">
        <v>0.29411764705882354</v>
      </c>
      <c r="S82" s="75">
        <f t="shared" si="216"/>
        <v>0.72264873475718061</v>
      </c>
      <c r="T82" s="59">
        <f t="shared" si="188"/>
        <v>1.8959799131081891</v>
      </c>
      <c r="U82" s="59">
        <f t="shared" si="189"/>
        <v>1.8633161113876422</v>
      </c>
      <c r="V82" s="59">
        <f t="shared" si="190"/>
        <v>1.6094342911307138</v>
      </c>
      <c r="W82" s="59">
        <f t="shared" si="191"/>
        <v>0.84886674167991327</v>
      </c>
      <c r="X82" s="59">
        <f t="shared" si="192"/>
        <v>0.86374731656892156</v>
      </c>
      <c r="Y82" s="76">
        <v>783020</v>
      </c>
      <c r="Z82" s="57">
        <f t="shared" si="193"/>
        <v>676331.423819797</v>
      </c>
      <c r="AA82" s="57">
        <f t="shared" si="194"/>
        <v>664679.63607020571</v>
      </c>
      <c r="AB82" s="57">
        <f t="shared" si="195"/>
        <v>1018284.0721111819</v>
      </c>
      <c r="AC82" s="57">
        <f t="shared" si="196"/>
        <v>0.25</v>
      </c>
      <c r="AD82" s="57">
        <f t="shared" si="197"/>
        <v>1.5</v>
      </c>
      <c r="AE82" s="57">
        <f t="shared" si="198"/>
        <v>367500</v>
      </c>
      <c r="AF82" s="57">
        <f t="shared" si="199"/>
        <v>121364.76807932663</v>
      </c>
      <c r="AG82" s="57">
        <f t="shared" si="200"/>
        <v>543314.86799087911</v>
      </c>
      <c r="AH82" s="57">
        <f t="shared" si="201"/>
        <v>585592873.53206098</v>
      </c>
      <c r="AI82" s="57">
        <f t="shared" si="202"/>
        <v>305405689.56522322</v>
      </c>
      <c r="AJ82" s="77">
        <v>367500</v>
      </c>
      <c r="AK82" s="77">
        <v>26</v>
      </c>
      <c r="AL82" s="78">
        <f t="shared" si="203"/>
        <v>2.7566711506623234</v>
      </c>
      <c r="AM82" s="57">
        <f t="shared" si="204"/>
        <v>1</v>
      </c>
      <c r="AN82" s="57">
        <f t="shared" si="205"/>
        <v>0.8</v>
      </c>
      <c r="AO82" s="77">
        <v>2250</v>
      </c>
      <c r="AP82" s="79">
        <v>250</v>
      </c>
      <c r="AQ82" s="77">
        <f t="shared" si="206"/>
        <v>323.17577374750454</v>
      </c>
      <c r="AR82" s="57">
        <f t="shared" si="207"/>
        <v>1750</v>
      </c>
      <c r="AS82" s="77">
        <f t="shared" si="208"/>
        <v>1926.8242262524955</v>
      </c>
      <c r="AT82" s="77">
        <v>50</v>
      </c>
      <c r="AU82" s="77">
        <v>875</v>
      </c>
      <c r="AV82" s="77">
        <f t="shared" si="209"/>
        <v>87500</v>
      </c>
      <c r="AW82" s="77">
        <f>250*250*2</f>
        <v>125000</v>
      </c>
      <c r="AX82" s="77">
        <f t="shared" si="210"/>
        <v>112500</v>
      </c>
      <c r="AY82" s="77">
        <v>212500</v>
      </c>
      <c r="AZ82" s="77">
        <v>623.29999999999995</v>
      </c>
      <c r="BA82" s="77">
        <v>623.29999999999995</v>
      </c>
      <c r="BB82" s="77">
        <v>358.7</v>
      </c>
      <c r="BC82" s="77">
        <v>356.7</v>
      </c>
      <c r="BD82" s="77">
        <v>7.9000000000000008E-3</v>
      </c>
      <c r="BE82" s="77">
        <v>7.6E-3</v>
      </c>
      <c r="BF82" s="77">
        <v>8.0999999999999996E-3</v>
      </c>
      <c r="BH82" s="79">
        <v>50</v>
      </c>
      <c r="BI82" s="79">
        <f>PI()*6*6/4</f>
        <v>28.274333882308138</v>
      </c>
      <c r="BJ82" s="79">
        <v>1</v>
      </c>
      <c r="BK82" s="57">
        <f t="shared" si="211"/>
        <v>28.274333882308138</v>
      </c>
      <c r="BL82" s="57">
        <f t="shared" si="243"/>
        <v>691.25</v>
      </c>
      <c r="BM82" s="80">
        <f>PI()*13*13/4</f>
        <v>132.73228961416876</v>
      </c>
      <c r="BN82" s="80">
        <v>4</v>
      </c>
      <c r="BO82" s="57">
        <f t="shared" si="212"/>
        <v>530.92915845667505</v>
      </c>
      <c r="BP82" s="57">
        <f t="shared" si="213"/>
        <v>1260219.2386411715</v>
      </c>
      <c r="BQ82" s="77">
        <f t="shared" si="214"/>
        <v>-2.5611370801925659E-9</v>
      </c>
      <c r="BR82" s="57">
        <f t="shared" si="215"/>
        <v>1102691833.8110251</v>
      </c>
      <c r="BS82" s="57">
        <v>646.35154749500907</v>
      </c>
      <c r="BT82" s="57">
        <f t="shared" si="220"/>
        <v>707.04620246064087</v>
      </c>
      <c r="BU82" s="57"/>
      <c r="BV82" s="57">
        <v>3.3E-3</v>
      </c>
      <c r="BW82" s="57">
        <v>30000</v>
      </c>
      <c r="BX82" s="57">
        <v>200000</v>
      </c>
      <c r="BY82" s="77">
        <f>20</f>
        <v>20</v>
      </c>
      <c r="BZ82" s="77">
        <f>BY82+210</f>
        <v>230</v>
      </c>
      <c r="CA82" s="77">
        <f>250+475</f>
        <v>725</v>
      </c>
      <c r="CB82" s="77">
        <f>CA82+50*1</f>
        <v>775</v>
      </c>
      <c r="CC82" s="77">
        <f>CA82+50*2</f>
        <v>825</v>
      </c>
      <c r="CD82" s="77">
        <f>CA82+50*3</f>
        <v>875</v>
      </c>
      <c r="CE82" s="77">
        <f>CA82+50*4</f>
        <v>925</v>
      </c>
      <c r="CF82" s="77">
        <f>CA82+50*5</f>
        <v>975</v>
      </c>
      <c r="CG82" s="77">
        <f>CA82+50*6</f>
        <v>1025</v>
      </c>
      <c r="CH82" s="77">
        <f>CA82+50*7</f>
        <v>1075</v>
      </c>
      <c r="CI82" s="77">
        <f>CA82+50*8</f>
        <v>1125</v>
      </c>
      <c r="CJ82" s="77">
        <f>CA82+50*9</f>
        <v>1175</v>
      </c>
      <c r="CK82" s="77">
        <f>CA82+50*10</f>
        <v>1225</v>
      </c>
      <c r="CL82" s="77">
        <f>CA82+50*11</f>
        <v>1275</v>
      </c>
      <c r="CM82" s="77">
        <f>CA82+50*12</f>
        <v>1325</v>
      </c>
      <c r="CN82" s="77">
        <f>CA82+50*13</f>
        <v>1375</v>
      </c>
      <c r="CO82" s="77">
        <f>CA82+50*14</f>
        <v>1425</v>
      </c>
      <c r="CP82" s="77">
        <f>CA82+50*15</f>
        <v>1475</v>
      </c>
      <c r="CQ82" s="77">
        <f>CA82+50*16</f>
        <v>1525</v>
      </c>
      <c r="CR82" s="77">
        <f>CQ82+475+20</f>
        <v>2020</v>
      </c>
      <c r="CS82" s="77">
        <f>CR82+210</f>
        <v>2230</v>
      </c>
      <c r="DM82" s="77">
        <f>PI()*13*13/4*2</f>
        <v>265.46457922833753</v>
      </c>
      <c r="DN82" s="77">
        <f>PI()*13*13/4*2</f>
        <v>265.46457922833753</v>
      </c>
      <c r="DO82" s="77">
        <f t="shared" ref="DO82:EE82" si="251">PI()*9*9/4</f>
        <v>63.617251235193308</v>
      </c>
      <c r="DP82" s="77">
        <f t="shared" si="251"/>
        <v>63.617251235193308</v>
      </c>
      <c r="DQ82" s="77">
        <f t="shared" si="251"/>
        <v>63.617251235193308</v>
      </c>
      <c r="DR82" s="77">
        <f t="shared" si="251"/>
        <v>63.617251235193308</v>
      </c>
      <c r="DS82" s="77">
        <f t="shared" si="251"/>
        <v>63.617251235193308</v>
      </c>
      <c r="DT82" s="77">
        <f t="shared" si="251"/>
        <v>63.617251235193308</v>
      </c>
      <c r="DU82" s="77">
        <f t="shared" si="251"/>
        <v>63.617251235193308</v>
      </c>
      <c r="DV82" s="77">
        <f t="shared" si="251"/>
        <v>63.617251235193308</v>
      </c>
      <c r="DW82" s="77">
        <f t="shared" si="251"/>
        <v>63.617251235193308</v>
      </c>
      <c r="DX82" s="77">
        <f t="shared" si="251"/>
        <v>63.617251235193308</v>
      </c>
      <c r="DY82" s="77">
        <f t="shared" si="251"/>
        <v>63.617251235193308</v>
      </c>
      <c r="DZ82" s="77">
        <f t="shared" si="251"/>
        <v>63.617251235193308</v>
      </c>
      <c r="EA82" s="77">
        <f t="shared" si="251"/>
        <v>63.617251235193308</v>
      </c>
      <c r="EB82" s="77">
        <f t="shared" si="251"/>
        <v>63.617251235193308</v>
      </c>
      <c r="EC82" s="77">
        <f t="shared" si="251"/>
        <v>63.617251235193308</v>
      </c>
      <c r="ED82" s="77">
        <f t="shared" si="251"/>
        <v>63.617251235193308</v>
      </c>
      <c r="EE82" s="77">
        <f t="shared" si="251"/>
        <v>63.617251235193308</v>
      </c>
      <c r="EF82" s="77">
        <f>PI()*13*13/4*2</f>
        <v>265.46457922833753</v>
      </c>
      <c r="EG82" s="77">
        <f>PI()*13*13/4*2</f>
        <v>265.46457922833753</v>
      </c>
      <c r="FA82" s="77">
        <f t="shared" si="160"/>
        <v>-95222.144569204669</v>
      </c>
      <c r="FB82" s="77">
        <f t="shared" si="164"/>
        <v>-95222.144569204669</v>
      </c>
      <c r="FC82" s="77">
        <f>IF(ABS(-$BV82*($BS82-CA82)/$BS82*$BX82)&gt;$BA82,$BA82*SIGN(-($BS82-CA82)),-$BV82*($BS82-CA82)/$BS82*$BX82)*DO82</f>
        <v>5109.0508437641738</v>
      </c>
      <c r="FD82" s="77">
        <f>IF(ABS(-$BV82*($BS82-CB82)/$BS82*$BX82)&gt;$BA82,$BA82*SIGN(-($BS82-CB82)),-$BV82*($BS82-CB82)/$BS82*$BX82)*DP82</f>
        <v>8357.080958177401</v>
      </c>
      <c r="FE82" s="77">
        <f>IF(ABS(-$BV82*($BS82-CC82)/$BS82*$BX82)&gt;$BA82,$BA82*SIGN(-($BS82-CC82)),-$BV82*($BS82-CC82)/$BS82*$BX82)*DQ82</f>
        <v>11605.111072590624</v>
      </c>
      <c r="FF82" s="77">
        <f t="shared" si="245"/>
        <v>14853.14118700385</v>
      </c>
      <c r="FG82" s="77">
        <f t="shared" si="245"/>
        <v>18101.171301417075</v>
      </c>
      <c r="FH82" s="77">
        <f t="shared" si="245"/>
        <v>21349.201415830295</v>
      </c>
      <c r="FI82" s="77">
        <f t="shared" si="245"/>
        <v>24597.231530243524</v>
      </c>
      <c r="FJ82" s="77">
        <f t="shared" si="245"/>
        <v>27845.261644656748</v>
      </c>
      <c r="FK82" s="77">
        <f t="shared" ref="FK82:FS82" si="252">IF(ABS(-$BV82*($BS82-CI82)/$BS82*$BX82)&gt;$BA82,$BA82*SIGN(-($BS82-CI82)),-$BV82*($BS82-CI82)/$BS82*$BX82)*DW82</f>
        <v>31093.291759069976</v>
      </c>
      <c r="FL82" s="77">
        <f t="shared" si="252"/>
        <v>34341.32187348319</v>
      </c>
      <c r="FM82" s="77">
        <f t="shared" si="252"/>
        <v>37589.351987896422</v>
      </c>
      <c r="FN82" s="77">
        <f t="shared" si="252"/>
        <v>39652.632694895983</v>
      </c>
      <c r="FO82" s="77">
        <f t="shared" si="252"/>
        <v>39652.632694895983</v>
      </c>
      <c r="FP82" s="77">
        <f t="shared" si="252"/>
        <v>39652.632694895983</v>
      </c>
      <c r="FQ82" s="77">
        <f t="shared" si="252"/>
        <v>39652.632694895983</v>
      </c>
      <c r="FR82" s="77">
        <f t="shared" si="252"/>
        <v>39652.632694895983</v>
      </c>
      <c r="FS82" s="77">
        <f t="shared" si="252"/>
        <v>39652.632694895983</v>
      </c>
      <c r="FT82" s="77">
        <f t="shared" ref="FT82:FU89" si="253">IF(ABS(-$BV82*($BS82-CR82)/$BS82*$BX82)&gt;$BB82,$BB82*SIGN(-($BS82-CR82)),-$BV82*($BS82-CR82)/$BS82*$BX82)*EF82</f>
        <v>95222.144569204669</v>
      </c>
      <c r="FU82" s="77">
        <f t="shared" si="253"/>
        <v>95222.144569204669</v>
      </c>
      <c r="GO82" s="77">
        <f t="shared" si="154"/>
        <v>105220469.74897116</v>
      </c>
      <c r="GP82" s="77">
        <f t="shared" si="155"/>
        <v>85223819.389438182</v>
      </c>
      <c r="GQ82" s="77">
        <f t="shared" si="156"/>
        <v>-2043620.3375056696</v>
      </c>
      <c r="GR82" s="77">
        <f t="shared" si="157"/>
        <v>-2924978.3353620903</v>
      </c>
      <c r="GS82" s="77">
        <f t="shared" si="158"/>
        <v>-3481533.3217771873</v>
      </c>
      <c r="GT82" s="77">
        <f t="shared" si="159"/>
        <v>-3713285.2967509627</v>
      </c>
      <c r="GU82" s="77">
        <f t="shared" si="232"/>
        <v>-3620234.2602834147</v>
      </c>
      <c r="GV82" s="77">
        <f t="shared" si="246"/>
        <v>-3202380.2123745442</v>
      </c>
      <c r="GW82" s="77">
        <f t="shared" si="247"/>
        <v>-2459723.1530243522</v>
      </c>
      <c r="GX82" s="77">
        <f t="shared" si="248"/>
        <v>-1392263.0822328373</v>
      </c>
      <c r="GY82" s="77">
        <f t="shared" si="249"/>
        <v>0</v>
      </c>
      <c r="GZ82" s="77">
        <f t="shared" si="250"/>
        <v>1717066.0936741596</v>
      </c>
      <c r="HA82" s="77">
        <f t="shared" ref="HA82:HI89" si="254">FM82*(CK82-0.5*$AO82)</f>
        <v>3758935.1987896422</v>
      </c>
      <c r="HB82" s="77">
        <f t="shared" si="254"/>
        <v>5947894.9042343972</v>
      </c>
      <c r="HC82" s="77">
        <f t="shared" si="254"/>
        <v>7930526.5389791969</v>
      </c>
      <c r="HD82" s="77">
        <f t="shared" si="254"/>
        <v>9913158.1737239957</v>
      </c>
      <c r="HE82" s="77">
        <f t="shared" si="254"/>
        <v>11895789.808468794</v>
      </c>
      <c r="HF82" s="77">
        <f t="shared" si="254"/>
        <v>13878421.443213593</v>
      </c>
      <c r="HG82" s="77">
        <f t="shared" si="254"/>
        <v>15861053.077958394</v>
      </c>
      <c r="HH82" s="77">
        <f t="shared" si="254"/>
        <v>85223819.389438182</v>
      </c>
      <c r="HI82" s="77">
        <f t="shared" si="254"/>
        <v>105220469.74897116</v>
      </c>
      <c r="IC82" s="82">
        <v>83</v>
      </c>
    </row>
    <row r="83" spans="1:237" s="77" customFormat="1">
      <c r="A83" s="77">
        <v>82</v>
      </c>
      <c r="B83" s="69">
        <v>135</v>
      </c>
      <c r="C83" s="69" t="s">
        <v>236</v>
      </c>
      <c r="D83" s="70" t="s">
        <v>101</v>
      </c>
      <c r="E83" s="70">
        <v>3</v>
      </c>
      <c r="F83" s="70">
        <v>6.515957446808511E-2</v>
      </c>
      <c r="G83" s="70">
        <v>1.428571E-3</v>
      </c>
      <c r="H83" s="70">
        <v>3.7142859999999998E-3</v>
      </c>
      <c r="I83" s="87">
        <v>1.4285714285714286E-3</v>
      </c>
      <c r="J83" s="71">
        <v>1.1666666666666667</v>
      </c>
      <c r="K83" s="72">
        <v>20</v>
      </c>
      <c r="L83" s="71">
        <v>2.8676595744680847E-2</v>
      </c>
      <c r="M83" s="71">
        <v>2.6182978723404252E-2</v>
      </c>
      <c r="N83" s="71">
        <v>0.22290936170212766</v>
      </c>
      <c r="O83" s="71">
        <v>7.6772503366108347E-3</v>
      </c>
      <c r="P83" s="71">
        <v>0</v>
      </c>
      <c r="Q83" s="73" t="s">
        <v>28</v>
      </c>
      <c r="R83" s="74">
        <v>0.3125</v>
      </c>
      <c r="S83" s="75">
        <f t="shared" si="216"/>
        <v>0.31587275666675546</v>
      </c>
      <c r="T83" s="59">
        <f t="shared" si="188"/>
        <v>1.6687256782892879</v>
      </c>
      <c r="U83" s="59">
        <f t="shared" si="189"/>
        <v>1.3268854322139998</v>
      </c>
      <c r="V83" s="59">
        <f t="shared" si="190"/>
        <v>0.89063689670890378</v>
      </c>
      <c r="W83" s="59">
        <f t="shared" si="191"/>
        <v>0.53372277318938954</v>
      </c>
      <c r="X83" s="59">
        <f t="shared" si="192"/>
        <v>0.67122366037496906</v>
      </c>
      <c r="Y83" s="86">
        <v>49000</v>
      </c>
      <c r="Z83" s="57">
        <f t="shared" si="193"/>
        <v>32889.959358373482</v>
      </c>
      <c r="AA83" s="57">
        <f t="shared" si="194"/>
        <v>26152.415886280087</v>
      </c>
      <c r="AB83" s="57">
        <f t="shared" si="195"/>
        <v>92408.392914619209</v>
      </c>
      <c r="AC83" s="57">
        <f t="shared" si="196"/>
        <v>0.25</v>
      </c>
      <c r="AD83" s="57">
        <f t="shared" si="197"/>
        <v>1.5</v>
      </c>
      <c r="AE83" s="57">
        <f t="shared" si="198"/>
        <v>0</v>
      </c>
      <c r="AF83" s="57">
        <f t="shared" si="199"/>
        <v>17782.617816873499</v>
      </c>
      <c r="AG83" s="57">
        <f t="shared" si="200"/>
        <v>8369.7980694065882</v>
      </c>
      <c r="AH83" s="57">
        <f t="shared" si="201"/>
        <v>36540136.027136438</v>
      </c>
      <c r="AI83" s="57">
        <f t="shared" si="202"/>
        <v>28145739.013097011</v>
      </c>
      <c r="AJ83" s="77">
        <v>0</v>
      </c>
      <c r="AK83" s="77">
        <v>23.5</v>
      </c>
      <c r="AL83" s="78">
        <f t="shared" si="203"/>
        <v>2.607575813629373</v>
      </c>
      <c r="AM83" s="57">
        <f t="shared" si="204"/>
        <v>1</v>
      </c>
      <c r="AN83" s="57">
        <f t="shared" si="205"/>
        <v>0.8</v>
      </c>
      <c r="AO83" s="77">
        <v>600</v>
      </c>
      <c r="AP83" s="79">
        <v>100</v>
      </c>
      <c r="AQ83" s="77">
        <f t="shared" si="206"/>
        <v>31.700198196646262</v>
      </c>
      <c r="AR83" s="57">
        <f t="shared" si="207"/>
        <v>400</v>
      </c>
      <c r="AS83" s="77">
        <f t="shared" si="208"/>
        <v>568.29980180335372</v>
      </c>
      <c r="AT83" s="77">
        <v>30</v>
      </c>
      <c r="AU83" s="77">
        <v>700</v>
      </c>
      <c r="AV83" s="77">
        <f t="shared" si="209"/>
        <v>12000</v>
      </c>
      <c r="AW83" s="77">
        <f t="shared" ref="AW83:AW89" si="255">100*100*2</f>
        <v>20000</v>
      </c>
      <c r="AX83" s="77">
        <f t="shared" si="210"/>
        <v>18000</v>
      </c>
      <c r="AY83" s="77">
        <v>32000</v>
      </c>
      <c r="AZ83" s="77">
        <v>293</v>
      </c>
      <c r="BA83" s="77">
        <v>293</v>
      </c>
      <c r="BB83" s="77">
        <v>208.7</v>
      </c>
      <c r="BC83" s="77">
        <v>294</v>
      </c>
      <c r="BD83" s="77">
        <v>2.3E-3</v>
      </c>
      <c r="BE83" s="77">
        <v>2.0999999999999999E-3</v>
      </c>
      <c r="BF83" s="77">
        <v>2.5100000000000001E-2</v>
      </c>
      <c r="BG83" s="77">
        <v>6.1575216010359933E-4</v>
      </c>
      <c r="BH83" s="79">
        <v>50</v>
      </c>
      <c r="BI83" s="79">
        <f t="shared" ref="BI83:BI89" si="256">PI()*2*2/4</f>
        <v>3.1415926535897931</v>
      </c>
      <c r="BJ83" s="79">
        <v>1</v>
      </c>
      <c r="BK83" s="57">
        <f t="shared" si="211"/>
        <v>3.1415926535897931</v>
      </c>
      <c r="BL83" s="57">
        <f t="shared" si="243"/>
        <v>27.599999999999998</v>
      </c>
      <c r="BM83" s="80">
        <f t="shared" ref="BM83:BM89" si="257">PI()*4*4/4</f>
        <v>12.566370614359172</v>
      </c>
      <c r="BN83" s="80">
        <v>20</v>
      </c>
      <c r="BO83" s="57">
        <f t="shared" si="212"/>
        <v>251.32741228718345</v>
      </c>
      <c r="BP83" s="57">
        <f t="shared" si="213"/>
        <v>43641.207938736283</v>
      </c>
      <c r="BQ83" s="77">
        <f t="shared" si="214"/>
        <v>2.4738255888223648E-10</v>
      </c>
      <c r="BR83" s="57">
        <f t="shared" si="215"/>
        <v>30548845.557115398</v>
      </c>
      <c r="BS83" s="57">
        <v>63.400396393292525</v>
      </c>
      <c r="BT83" s="57">
        <f t="shared" si="220"/>
        <v>12.748188947385314</v>
      </c>
      <c r="BU83" s="57"/>
      <c r="BV83" s="57">
        <v>3.3E-3</v>
      </c>
      <c r="BW83" s="57">
        <v>30000</v>
      </c>
      <c r="BX83" s="57">
        <v>200000</v>
      </c>
      <c r="BY83" s="77">
        <v>7.4</v>
      </c>
      <c r="BZ83" s="77">
        <v>21.6</v>
      </c>
      <c r="CA83" s="77">
        <v>35.799999999999997</v>
      </c>
      <c r="CB83" s="77">
        <v>50</v>
      </c>
      <c r="CC83" s="77">
        <v>64.2</v>
      </c>
      <c r="CD83" s="77">
        <v>78.400000000000006</v>
      </c>
      <c r="CE83" s="77">
        <v>92.6</v>
      </c>
      <c r="CF83" s="77">
        <v>125</v>
      </c>
      <c r="CG83" s="77">
        <v>175</v>
      </c>
      <c r="CH83" s="77">
        <v>225</v>
      </c>
      <c r="CI83" s="77">
        <v>275</v>
      </c>
      <c r="CJ83" s="77">
        <v>325</v>
      </c>
      <c r="CK83" s="77">
        <v>375</v>
      </c>
      <c r="CL83" s="77">
        <v>425</v>
      </c>
      <c r="CM83" s="77">
        <v>475</v>
      </c>
      <c r="CN83" s="77">
        <v>507.4</v>
      </c>
      <c r="CO83" s="77">
        <v>521.6</v>
      </c>
      <c r="CP83" s="77">
        <v>535.79999999999995</v>
      </c>
      <c r="CQ83" s="77">
        <v>550</v>
      </c>
      <c r="CR83" s="77">
        <v>564.20000000000005</v>
      </c>
      <c r="CS83" s="77">
        <v>578.4</v>
      </c>
      <c r="CT83" s="77">
        <v>592.6</v>
      </c>
      <c r="DM83" s="77">
        <v>75.400000000000006</v>
      </c>
      <c r="DN83" s="77">
        <v>25.1</v>
      </c>
      <c r="DO83" s="77">
        <v>25.1</v>
      </c>
      <c r="DP83" s="77">
        <v>25.1</v>
      </c>
      <c r="DQ83" s="77">
        <v>25.1</v>
      </c>
      <c r="DR83" s="77">
        <v>25.1</v>
      </c>
      <c r="DS83" s="77">
        <v>50.3</v>
      </c>
      <c r="DT83" s="77">
        <v>3.14</v>
      </c>
      <c r="DU83" s="77">
        <v>3.14</v>
      </c>
      <c r="DV83" s="77">
        <v>3.14</v>
      </c>
      <c r="DW83" s="77">
        <v>3.14</v>
      </c>
      <c r="DX83" s="77">
        <v>3.14</v>
      </c>
      <c r="DY83" s="77">
        <v>3.14</v>
      </c>
      <c r="DZ83" s="77">
        <v>3.14</v>
      </c>
      <c r="EA83" s="77">
        <v>3.14</v>
      </c>
      <c r="EB83" s="77">
        <v>50.3</v>
      </c>
      <c r="EC83" s="77">
        <v>25.1</v>
      </c>
      <c r="ED83" s="77">
        <v>25.1</v>
      </c>
      <c r="EE83" s="77">
        <v>25.1</v>
      </c>
      <c r="EF83" s="77">
        <v>25.1</v>
      </c>
      <c r="EG83" s="77">
        <v>25.1</v>
      </c>
      <c r="EH83" s="77">
        <v>75.400000000000006</v>
      </c>
      <c r="FA83" s="77">
        <f t="shared" si="160"/>
        <v>-15735.98</v>
      </c>
      <c r="FB83" s="77">
        <f t="shared" si="164"/>
        <v>-5238.37</v>
      </c>
      <c r="FC83" s="77">
        <f t="shared" ref="FC83:FG89" si="258">IF(ABS(-$BV83*($BS83-CA83)/$BS83*$BX83)&gt;$BB83,$BB83*SIGN(-($BS83-CA83)),-$BV83*($BS83-CA83)/$BS83*$BX83)*DO83</f>
        <v>-5238.37</v>
      </c>
      <c r="FD83" s="77">
        <f t="shared" si="258"/>
        <v>-3501.4129134809259</v>
      </c>
      <c r="FE83" s="77">
        <f t="shared" si="258"/>
        <v>208.92981909049195</v>
      </c>
      <c r="FF83" s="77">
        <f t="shared" si="258"/>
        <v>3919.2725516619103</v>
      </c>
      <c r="FG83" s="77">
        <f t="shared" si="258"/>
        <v>10497.609999999999</v>
      </c>
      <c r="FH83" s="77">
        <f t="shared" ref="FH83:FO89" si="259">IF(ABS(-$BV83*($BS83-CF83)/$BS83*$BX83)&gt;$BA83,$BA83*SIGN(-($BS83-CF83)),-$BV83*($BS83-CF83)/$BS83*$BX83)*DT83</f>
        <v>920.02</v>
      </c>
      <c r="FI83" s="77">
        <f t="shared" si="259"/>
        <v>920.02</v>
      </c>
      <c r="FJ83" s="77">
        <f t="shared" si="259"/>
        <v>920.02</v>
      </c>
      <c r="FK83" s="77">
        <f t="shared" si="259"/>
        <v>920.02</v>
      </c>
      <c r="FL83" s="77">
        <f t="shared" si="259"/>
        <v>920.02</v>
      </c>
      <c r="FM83" s="77">
        <f t="shared" si="259"/>
        <v>920.02</v>
      </c>
      <c r="FN83" s="77">
        <f t="shared" si="259"/>
        <v>920.02</v>
      </c>
      <c r="FO83" s="77">
        <f t="shared" si="259"/>
        <v>920.02</v>
      </c>
      <c r="FP83" s="77">
        <f t="shared" ref="FP83:FS89" si="260">IF(ABS(-$BV83*($BS83-CN83)/$BS83*$BX83)&gt;$BB83,$BB83*SIGN(-($BS83-CN83)),-$BV83*($BS83-CN83)/$BS83*$BX83)*EB83</f>
        <v>10497.609999999999</v>
      </c>
      <c r="FQ83" s="77">
        <f t="shared" si="260"/>
        <v>5238.37</v>
      </c>
      <c r="FR83" s="77">
        <f t="shared" si="260"/>
        <v>5238.37</v>
      </c>
      <c r="FS83" s="77">
        <f t="shared" si="260"/>
        <v>5238.37</v>
      </c>
      <c r="FT83" s="77">
        <f t="shared" si="253"/>
        <v>5238.37</v>
      </c>
      <c r="FU83" s="77">
        <f t="shared" si="253"/>
        <v>5238.37</v>
      </c>
      <c r="FV83" s="77">
        <f t="shared" ref="FV83:FV89" si="261">IF(ABS(-$BV83*($BS83-CT83)/$BS83*$BX83)&gt;$BB83,$BB83*SIGN(-($BS83-CT83)),-$BV83*($BS83-CT83)/$BS83*$BX83)*EH83</f>
        <v>15735.98</v>
      </c>
      <c r="GO83" s="77">
        <f t="shared" ref="GO83:GO89" si="262">FA83*(BY83-0.5*$AO83)</f>
        <v>4604347.7480000006</v>
      </c>
      <c r="GP83" s="77">
        <f t="shared" ref="GP83:GP89" si="263">FB83*(BZ83-0.5*$AO83)</f>
        <v>1458362.2079999999</v>
      </c>
      <c r="GQ83" s="77">
        <f t="shared" ref="GQ83:GQ89" si="264">FC83*(CA83-0.5*$AO83)</f>
        <v>1383977.3539999998</v>
      </c>
      <c r="GR83" s="77">
        <f t="shared" ref="GR83:GR89" si="265">FD83*(CB83-0.5*$AO83)</f>
        <v>875353.22837023146</v>
      </c>
      <c r="GS83" s="77">
        <f t="shared" ref="GS83:GS89" si="266">FE83*(CC83-0.5*$AO83)</f>
        <v>-49265.651341538003</v>
      </c>
      <c r="GT83" s="77">
        <f t="shared" ref="GT83:GT89" si="267">FF83*(CD83-0.5*$AO83)</f>
        <v>-868510.79744827934</v>
      </c>
      <c r="GU83" s="77">
        <f t="shared" si="232"/>
        <v>-2177204.3139999998</v>
      </c>
      <c r="GV83" s="77">
        <f t="shared" si="246"/>
        <v>-161003.5</v>
      </c>
      <c r="GW83" s="77">
        <f t="shared" si="247"/>
        <v>-115002.5</v>
      </c>
      <c r="GX83" s="77">
        <f t="shared" si="248"/>
        <v>-69001.5</v>
      </c>
      <c r="GY83" s="77">
        <f t="shared" si="249"/>
        <v>-23000.5</v>
      </c>
      <c r="GZ83" s="77">
        <f t="shared" si="250"/>
        <v>23000.5</v>
      </c>
      <c r="HA83" s="77">
        <f t="shared" si="254"/>
        <v>69001.5</v>
      </c>
      <c r="HB83" s="77">
        <f t="shared" si="254"/>
        <v>115002.5</v>
      </c>
      <c r="HC83" s="77">
        <f t="shared" si="254"/>
        <v>161003.5</v>
      </c>
      <c r="HD83" s="77">
        <f t="shared" si="254"/>
        <v>2177204.3139999993</v>
      </c>
      <c r="HE83" s="77">
        <f t="shared" si="254"/>
        <v>1160822.7920000001</v>
      </c>
      <c r="HF83" s="77">
        <f t="shared" si="254"/>
        <v>1235207.6459999997</v>
      </c>
      <c r="HG83" s="77">
        <f t="shared" si="254"/>
        <v>1309592.5</v>
      </c>
      <c r="HH83" s="77">
        <f t="shared" si="254"/>
        <v>1383977.3540000003</v>
      </c>
      <c r="HI83" s="77">
        <f t="shared" si="254"/>
        <v>1458362.2079999999</v>
      </c>
      <c r="HJ83" s="77">
        <f t="shared" ref="HJ83:HJ89" si="268">FV83*(CT83-0.5*$AO83)</f>
        <v>4604347.7480000006</v>
      </c>
      <c r="IC83" s="82">
        <v>84</v>
      </c>
    </row>
    <row r="84" spans="1:237" s="77" customFormat="1">
      <c r="A84" s="77">
        <v>83</v>
      </c>
      <c r="B84" s="69">
        <v>136</v>
      </c>
      <c r="C84" s="69" t="s">
        <v>236</v>
      </c>
      <c r="D84" s="70" t="s">
        <v>102</v>
      </c>
      <c r="E84" s="70">
        <v>3</v>
      </c>
      <c r="F84" s="70">
        <v>7.6279981549815495E-2</v>
      </c>
      <c r="G84" s="70">
        <v>1.428571E-3</v>
      </c>
      <c r="H84" s="70">
        <v>5.7142859999999998E-3</v>
      </c>
      <c r="I84" s="87">
        <v>1.4285714285714286E-3</v>
      </c>
      <c r="J84" s="71">
        <v>1.1666666666666667</v>
      </c>
      <c r="K84" s="72">
        <v>20</v>
      </c>
      <c r="L84" s="71">
        <v>2.4867158671586714E-2</v>
      </c>
      <c r="M84" s="71">
        <v>2.2704797047970477E-2</v>
      </c>
      <c r="N84" s="71">
        <v>0.19329778597785977</v>
      </c>
      <c r="O84" s="71">
        <v>6.6573942033341183E-3</v>
      </c>
      <c r="P84" s="71">
        <v>3.6162361623616232E-2</v>
      </c>
      <c r="Q84" s="73" t="s">
        <v>28</v>
      </c>
      <c r="R84" s="74">
        <v>0.3125</v>
      </c>
      <c r="S84" s="75">
        <f t="shared" si="216"/>
        <v>0.39709573702069539</v>
      </c>
      <c r="T84" s="59">
        <f t="shared" si="188"/>
        <v>1.9066727924713811</v>
      </c>
      <c r="U84" s="59">
        <f t="shared" si="189"/>
        <v>1.571091879632178</v>
      </c>
      <c r="V84" s="59">
        <f t="shared" si="190"/>
        <v>0.81942231818505029</v>
      </c>
      <c r="W84" s="59">
        <f t="shared" si="191"/>
        <v>0.42976556933134591</v>
      </c>
      <c r="X84" s="59">
        <f t="shared" si="192"/>
        <v>0.5215623152332074</v>
      </c>
      <c r="Y84" s="86">
        <v>66150</v>
      </c>
      <c r="Z84" s="57">
        <f t="shared" si="193"/>
        <v>34501.347152676666</v>
      </c>
      <c r="AA84" s="57">
        <f t="shared" si="194"/>
        <v>28428.992411268533</v>
      </c>
      <c r="AB84" s="57">
        <f t="shared" si="195"/>
        <v>98490.5822718337</v>
      </c>
      <c r="AC84" s="57">
        <f t="shared" si="196"/>
        <v>0.25</v>
      </c>
      <c r="AD84" s="57">
        <f t="shared" si="197"/>
        <v>1.5</v>
      </c>
      <c r="AE84" s="57">
        <f t="shared" si="198"/>
        <v>31360</v>
      </c>
      <c r="AF84" s="57">
        <f t="shared" si="199"/>
        <v>20165.189799195028</v>
      </c>
      <c r="AG84" s="57">
        <f t="shared" si="200"/>
        <v>8263.802612073503</v>
      </c>
      <c r="AH84" s="57">
        <f t="shared" si="201"/>
        <v>41552660.111159787</v>
      </c>
      <c r="AI84" s="57">
        <f t="shared" si="202"/>
        <v>27390747.479123801</v>
      </c>
      <c r="AJ84" s="77">
        <v>31360</v>
      </c>
      <c r="AK84" s="77">
        <v>27.1</v>
      </c>
      <c r="AL84" s="78">
        <f t="shared" si="203"/>
        <v>2.8202183228173352</v>
      </c>
      <c r="AM84" s="57">
        <f t="shared" si="204"/>
        <v>1</v>
      </c>
      <c r="AN84" s="57">
        <f t="shared" si="205"/>
        <v>0.8</v>
      </c>
      <c r="AO84" s="77">
        <v>600</v>
      </c>
      <c r="AP84" s="79">
        <v>100</v>
      </c>
      <c r="AQ84" s="77">
        <f t="shared" si="206"/>
        <v>38.897169604430658</v>
      </c>
      <c r="AR84" s="57">
        <f t="shared" si="207"/>
        <v>400</v>
      </c>
      <c r="AS84" s="77">
        <f t="shared" si="208"/>
        <v>561.1028303955693</v>
      </c>
      <c r="AT84" s="77">
        <v>30</v>
      </c>
      <c r="AU84" s="77">
        <v>700</v>
      </c>
      <c r="AV84" s="77">
        <f t="shared" si="209"/>
        <v>12000</v>
      </c>
      <c r="AW84" s="77">
        <f t="shared" si="255"/>
        <v>20000</v>
      </c>
      <c r="AX84" s="77">
        <f t="shared" si="210"/>
        <v>18000</v>
      </c>
      <c r="AY84" s="77">
        <v>32000</v>
      </c>
      <c r="AZ84" s="77">
        <v>293</v>
      </c>
      <c r="BA84" s="77">
        <v>293</v>
      </c>
      <c r="BB84" s="77">
        <v>208.7</v>
      </c>
      <c r="BC84" s="77">
        <v>294</v>
      </c>
      <c r="BD84" s="77">
        <v>2.3E-3</v>
      </c>
      <c r="BE84" s="77">
        <v>2.0999999999999999E-3</v>
      </c>
      <c r="BF84" s="77">
        <v>2.5100000000000001E-2</v>
      </c>
      <c r="BG84" s="77">
        <v>6.1575216010359933E-4</v>
      </c>
      <c r="BH84" s="79">
        <v>50</v>
      </c>
      <c r="BI84" s="79">
        <f t="shared" si="256"/>
        <v>3.1415926535897931</v>
      </c>
      <c r="BJ84" s="79">
        <v>1</v>
      </c>
      <c r="BK84" s="57">
        <f t="shared" si="211"/>
        <v>3.1415926535897931</v>
      </c>
      <c r="BL84" s="57">
        <f t="shared" si="243"/>
        <v>27.599999999999998</v>
      </c>
      <c r="BM84" s="80">
        <f t="shared" si="257"/>
        <v>12.566370614359172</v>
      </c>
      <c r="BN84" s="80">
        <v>20</v>
      </c>
      <c r="BO84" s="57">
        <f t="shared" si="212"/>
        <v>251.32741228718345</v>
      </c>
      <c r="BP84" s="57">
        <f t="shared" si="213"/>
        <v>54204.786347941073</v>
      </c>
      <c r="BQ84" s="77">
        <f t="shared" si="214"/>
        <v>3.6015990190207958E-10</v>
      </c>
      <c r="BR84" s="57">
        <f t="shared" si="215"/>
        <v>37943350.443558753</v>
      </c>
      <c r="BS84" s="57">
        <v>77.794339208861317</v>
      </c>
      <c r="BT84" s="57">
        <f t="shared" si="220"/>
        <v>64.374364981936637</v>
      </c>
      <c r="BU84" s="57"/>
      <c r="BV84" s="57">
        <v>3.3E-3</v>
      </c>
      <c r="BW84" s="57">
        <v>30000</v>
      </c>
      <c r="BX84" s="57">
        <v>200000</v>
      </c>
      <c r="BY84" s="77">
        <v>7.4</v>
      </c>
      <c r="BZ84" s="77">
        <v>21.6</v>
      </c>
      <c r="CA84" s="77">
        <v>35.799999999999997</v>
      </c>
      <c r="CB84" s="77">
        <v>50</v>
      </c>
      <c r="CC84" s="77">
        <v>64.2</v>
      </c>
      <c r="CD84" s="77">
        <v>78.400000000000006</v>
      </c>
      <c r="CE84" s="77">
        <v>92.6</v>
      </c>
      <c r="CF84" s="77">
        <v>125</v>
      </c>
      <c r="CG84" s="77">
        <v>175</v>
      </c>
      <c r="CH84" s="77">
        <v>225</v>
      </c>
      <c r="CI84" s="77">
        <v>275</v>
      </c>
      <c r="CJ84" s="77">
        <v>325</v>
      </c>
      <c r="CK84" s="77">
        <v>375</v>
      </c>
      <c r="CL84" s="77">
        <v>425</v>
      </c>
      <c r="CM84" s="77">
        <v>475</v>
      </c>
      <c r="CN84" s="77">
        <v>507.4</v>
      </c>
      <c r="CO84" s="77">
        <v>521.6</v>
      </c>
      <c r="CP84" s="77">
        <v>535.79999999999995</v>
      </c>
      <c r="CQ84" s="77">
        <v>550</v>
      </c>
      <c r="CR84" s="77">
        <v>564.20000000000005</v>
      </c>
      <c r="CS84" s="77">
        <v>578.4</v>
      </c>
      <c r="CT84" s="77">
        <v>592.6</v>
      </c>
      <c r="DM84" s="77">
        <v>75.400000000000006</v>
      </c>
      <c r="DN84" s="77">
        <v>25.1</v>
      </c>
      <c r="DO84" s="77">
        <v>25.1</v>
      </c>
      <c r="DP84" s="77">
        <v>25.1</v>
      </c>
      <c r="DQ84" s="77">
        <v>25.1</v>
      </c>
      <c r="DR84" s="77">
        <v>25.1</v>
      </c>
      <c r="DS84" s="77">
        <v>50.3</v>
      </c>
      <c r="DT84" s="77">
        <v>3.14</v>
      </c>
      <c r="DU84" s="77">
        <v>3.14</v>
      </c>
      <c r="DV84" s="77">
        <v>3.14</v>
      </c>
      <c r="DW84" s="77">
        <v>3.14</v>
      </c>
      <c r="DX84" s="77">
        <v>3.14</v>
      </c>
      <c r="DY84" s="77">
        <v>3.14</v>
      </c>
      <c r="DZ84" s="77">
        <v>3.14</v>
      </c>
      <c r="EA84" s="77">
        <v>3.14</v>
      </c>
      <c r="EB84" s="77">
        <v>50.3</v>
      </c>
      <c r="EC84" s="77">
        <v>25.1</v>
      </c>
      <c r="ED84" s="77">
        <v>25.1</v>
      </c>
      <c r="EE84" s="77">
        <v>25.1</v>
      </c>
      <c r="EF84" s="77">
        <v>25.1</v>
      </c>
      <c r="EG84" s="77">
        <v>25.1</v>
      </c>
      <c r="EH84" s="77">
        <v>75.400000000000006</v>
      </c>
      <c r="FA84" s="77">
        <f t="shared" ref="FA84:FA114" si="269">IF(ABS(-$BV84*($BS84-BY84)/$BS84*$BX84)&gt;$BB84,$BB84*SIGN(-($BS84-BY84)),-$BV84*($BS84-BY84)/$BS84*$BX84)*DM84</f>
        <v>-15735.98</v>
      </c>
      <c r="FB84" s="77">
        <f t="shared" si="164"/>
        <v>-5238.37</v>
      </c>
      <c r="FC84" s="77">
        <f t="shared" si="258"/>
        <v>-5238.37</v>
      </c>
      <c r="FD84" s="77">
        <f t="shared" si="258"/>
        <v>-5238.37</v>
      </c>
      <c r="FE84" s="77">
        <f t="shared" si="258"/>
        <v>-2894.8613179857725</v>
      </c>
      <c r="FF84" s="77">
        <f t="shared" si="258"/>
        <v>128.97309454696997</v>
      </c>
      <c r="FG84" s="77">
        <f t="shared" si="258"/>
        <v>6318.1760002434012</v>
      </c>
      <c r="FH84" s="77">
        <f t="shared" si="259"/>
        <v>920.02</v>
      </c>
      <c r="FI84" s="77">
        <f t="shared" si="259"/>
        <v>920.02</v>
      </c>
      <c r="FJ84" s="77">
        <f t="shared" si="259"/>
        <v>920.02</v>
      </c>
      <c r="FK84" s="77">
        <f t="shared" si="259"/>
        <v>920.02</v>
      </c>
      <c r="FL84" s="77">
        <f t="shared" si="259"/>
        <v>920.02</v>
      </c>
      <c r="FM84" s="77">
        <f t="shared" si="259"/>
        <v>920.02</v>
      </c>
      <c r="FN84" s="77">
        <f t="shared" si="259"/>
        <v>920.02</v>
      </c>
      <c r="FO84" s="77">
        <f t="shared" si="259"/>
        <v>920.02</v>
      </c>
      <c r="FP84" s="77">
        <f t="shared" si="260"/>
        <v>10497.609999999999</v>
      </c>
      <c r="FQ84" s="77">
        <f t="shared" si="260"/>
        <v>5238.37</v>
      </c>
      <c r="FR84" s="77">
        <f t="shared" si="260"/>
        <v>5238.37</v>
      </c>
      <c r="FS84" s="77">
        <f t="shared" si="260"/>
        <v>5238.37</v>
      </c>
      <c r="FT84" s="77">
        <f t="shared" si="253"/>
        <v>5238.37</v>
      </c>
      <c r="FU84" s="77">
        <f t="shared" si="253"/>
        <v>5238.37</v>
      </c>
      <c r="FV84" s="77">
        <f t="shared" si="261"/>
        <v>15735.98</v>
      </c>
      <c r="GO84" s="77">
        <f t="shared" si="262"/>
        <v>4604347.7480000006</v>
      </c>
      <c r="GP84" s="77">
        <f t="shared" si="263"/>
        <v>1458362.2079999999</v>
      </c>
      <c r="GQ84" s="77">
        <f t="shared" si="264"/>
        <v>1383977.3539999998</v>
      </c>
      <c r="GR84" s="77">
        <f t="shared" si="265"/>
        <v>1309592.5</v>
      </c>
      <c r="GS84" s="77">
        <f t="shared" si="266"/>
        <v>682608.29878104525</v>
      </c>
      <c r="GT84" s="77">
        <f t="shared" si="267"/>
        <v>-28580.437751608544</v>
      </c>
      <c r="GU84" s="77">
        <f t="shared" si="232"/>
        <v>-1310389.7024504815</v>
      </c>
      <c r="GV84" s="77">
        <f t="shared" si="246"/>
        <v>-161003.5</v>
      </c>
      <c r="GW84" s="77">
        <f t="shared" si="247"/>
        <v>-115002.5</v>
      </c>
      <c r="GX84" s="77">
        <f t="shared" si="248"/>
        <v>-69001.5</v>
      </c>
      <c r="GY84" s="77">
        <f t="shared" si="249"/>
        <v>-23000.5</v>
      </c>
      <c r="GZ84" s="77">
        <f t="shared" si="250"/>
        <v>23000.5</v>
      </c>
      <c r="HA84" s="77">
        <f t="shared" si="254"/>
        <v>69001.5</v>
      </c>
      <c r="HB84" s="77">
        <f t="shared" si="254"/>
        <v>115002.5</v>
      </c>
      <c r="HC84" s="77">
        <f t="shared" si="254"/>
        <v>161003.5</v>
      </c>
      <c r="HD84" s="77">
        <f t="shared" si="254"/>
        <v>2177204.3139999993</v>
      </c>
      <c r="HE84" s="77">
        <f t="shared" si="254"/>
        <v>1160822.7920000001</v>
      </c>
      <c r="HF84" s="77">
        <f t="shared" si="254"/>
        <v>1235207.6459999997</v>
      </c>
      <c r="HG84" s="77">
        <f t="shared" si="254"/>
        <v>1309592.5</v>
      </c>
      <c r="HH84" s="77">
        <f t="shared" si="254"/>
        <v>1383977.3540000003</v>
      </c>
      <c r="HI84" s="77">
        <f t="shared" si="254"/>
        <v>1458362.2079999999</v>
      </c>
      <c r="HJ84" s="77">
        <f t="shared" si="268"/>
        <v>4604347.7480000006</v>
      </c>
      <c r="IC84" s="82">
        <v>85</v>
      </c>
    </row>
    <row r="85" spans="1:237" s="77" customFormat="1">
      <c r="A85" s="77">
        <v>84</v>
      </c>
      <c r="B85" s="69">
        <v>137</v>
      </c>
      <c r="C85" s="69" t="s">
        <v>236</v>
      </c>
      <c r="D85" s="70" t="s">
        <v>103</v>
      </c>
      <c r="E85" s="70">
        <v>3</v>
      </c>
      <c r="F85" s="70">
        <v>8.8231877323420083E-2</v>
      </c>
      <c r="G85" s="70">
        <v>2.8571429999999999E-3</v>
      </c>
      <c r="H85" s="70">
        <v>4.4285710000000001E-3</v>
      </c>
      <c r="I85" s="87">
        <v>2.8571428571428571E-3</v>
      </c>
      <c r="J85" s="71">
        <v>1.1666666666666667</v>
      </c>
      <c r="K85" s="72">
        <v>20</v>
      </c>
      <c r="L85" s="71">
        <v>2.5052044609665428E-2</v>
      </c>
      <c r="M85" s="71">
        <v>2.287360594795539E-2</v>
      </c>
      <c r="N85" s="71">
        <v>0.19473494423791821</v>
      </c>
      <c r="O85" s="71">
        <v>6.7068915580057479E-3</v>
      </c>
      <c r="P85" s="71">
        <v>7.2862453531598523E-2</v>
      </c>
      <c r="Q85" s="73" t="s">
        <v>28</v>
      </c>
      <c r="R85" s="74">
        <v>0.3125</v>
      </c>
      <c r="S85" s="75">
        <f t="shared" si="216"/>
        <v>0.45761648389760268</v>
      </c>
      <c r="T85" s="59">
        <f t="shared" si="188"/>
        <v>2.1958781132775833</v>
      </c>
      <c r="U85" s="59">
        <f t="shared" si="189"/>
        <v>1.8513484779241178</v>
      </c>
      <c r="V85" s="59">
        <f t="shared" si="190"/>
        <v>0.8388898588704029</v>
      </c>
      <c r="W85" s="59">
        <f t="shared" si="191"/>
        <v>0.38202933660023136</v>
      </c>
      <c r="X85" s="59">
        <f t="shared" si="192"/>
        <v>0.45312369274261877</v>
      </c>
      <c r="Y85" s="86">
        <v>75950</v>
      </c>
      <c r="Z85" s="57">
        <f t="shared" si="193"/>
        <v>34414.744463801893</v>
      </c>
      <c r="AA85" s="57">
        <f t="shared" si="194"/>
        <v>29015.128114787571</v>
      </c>
      <c r="AB85" s="57">
        <f t="shared" si="195"/>
        <v>95245.913764564393</v>
      </c>
      <c r="AC85" s="57">
        <f t="shared" si="196"/>
        <v>0.25</v>
      </c>
      <c r="AD85" s="57">
        <f t="shared" si="197"/>
        <v>1.5</v>
      </c>
      <c r="AE85" s="57">
        <f t="shared" si="198"/>
        <v>62720</v>
      </c>
      <c r="AF85" s="57">
        <f t="shared" si="199"/>
        <v>20907.218110548456</v>
      </c>
      <c r="AG85" s="57">
        <f t="shared" si="200"/>
        <v>8107.9100042391137</v>
      </c>
      <c r="AH85" s="57">
        <f t="shared" si="201"/>
        <v>40391794.451465026</v>
      </c>
      <c r="AI85" s="57">
        <f t="shared" si="202"/>
        <v>26280345.183730051</v>
      </c>
      <c r="AJ85" s="77">
        <v>62720</v>
      </c>
      <c r="AK85" s="77">
        <v>26.9</v>
      </c>
      <c r="AL85" s="78">
        <f t="shared" si="203"/>
        <v>2.8087518654932677</v>
      </c>
      <c r="AM85" s="57">
        <f t="shared" si="204"/>
        <v>1</v>
      </c>
      <c r="AN85" s="57">
        <f t="shared" si="205"/>
        <v>0.8</v>
      </c>
      <c r="AO85" s="77">
        <v>600</v>
      </c>
      <c r="AP85" s="79">
        <v>100</v>
      </c>
      <c r="AQ85" s="77">
        <f t="shared" si="206"/>
        <v>49.482100973171846</v>
      </c>
      <c r="AR85" s="57">
        <f t="shared" si="207"/>
        <v>400</v>
      </c>
      <c r="AS85" s="77">
        <f t="shared" si="208"/>
        <v>550.5178990268281</v>
      </c>
      <c r="AT85" s="77">
        <v>30</v>
      </c>
      <c r="AU85" s="77">
        <v>700</v>
      </c>
      <c r="AV85" s="77">
        <f t="shared" si="209"/>
        <v>12000</v>
      </c>
      <c r="AW85" s="77">
        <f t="shared" si="255"/>
        <v>20000</v>
      </c>
      <c r="AX85" s="77">
        <f t="shared" si="210"/>
        <v>18000</v>
      </c>
      <c r="AY85" s="77">
        <v>32000</v>
      </c>
      <c r="AZ85" s="77">
        <v>293</v>
      </c>
      <c r="BA85" s="77">
        <v>293</v>
      </c>
      <c r="BB85" s="77">
        <v>208.7</v>
      </c>
      <c r="BC85" s="77">
        <v>294</v>
      </c>
      <c r="BD85" s="77">
        <v>2.3E-3</v>
      </c>
      <c r="BE85" s="77">
        <v>2.0999999999999999E-3</v>
      </c>
      <c r="BF85" s="77">
        <v>2.5100000000000001E-2</v>
      </c>
      <c r="BG85" s="77">
        <v>6.1575216010359933E-4</v>
      </c>
      <c r="BH85" s="79">
        <v>50</v>
      </c>
      <c r="BI85" s="79">
        <f t="shared" si="256"/>
        <v>3.1415926535897931</v>
      </c>
      <c r="BJ85" s="79">
        <v>1</v>
      </c>
      <c r="BK85" s="57">
        <f t="shared" si="211"/>
        <v>3.1415926535897931</v>
      </c>
      <c r="BL85" s="57">
        <f t="shared" si="243"/>
        <v>27.599999999999998</v>
      </c>
      <c r="BM85" s="80">
        <f t="shared" si="257"/>
        <v>12.566370614359172</v>
      </c>
      <c r="BN85" s="80">
        <v>20</v>
      </c>
      <c r="BO85" s="57">
        <f t="shared" si="212"/>
        <v>251.32741228718345</v>
      </c>
      <c r="BP85" s="57">
        <f t="shared" si="213"/>
        <v>63713.684781207099</v>
      </c>
      <c r="BQ85" s="77">
        <f t="shared" si="214"/>
        <v>8.2218321040272713E-10</v>
      </c>
      <c r="BR85" s="57">
        <f t="shared" si="215"/>
        <v>44599579.346844971</v>
      </c>
      <c r="BS85" s="57">
        <v>98.964201946343692</v>
      </c>
      <c r="BT85" s="57">
        <f t="shared" si="220"/>
        <v>118.03779669722712</v>
      </c>
      <c r="BU85" s="57"/>
      <c r="BV85" s="57">
        <v>3.3E-3</v>
      </c>
      <c r="BW85" s="57">
        <v>30000</v>
      </c>
      <c r="BX85" s="57">
        <v>200000</v>
      </c>
      <c r="BY85" s="77">
        <v>7.4</v>
      </c>
      <c r="BZ85" s="77">
        <v>21.6</v>
      </c>
      <c r="CA85" s="77">
        <v>35.799999999999997</v>
      </c>
      <c r="CB85" s="77">
        <v>50</v>
      </c>
      <c r="CC85" s="77">
        <v>64.2</v>
      </c>
      <c r="CD85" s="77">
        <v>78.400000000000006</v>
      </c>
      <c r="CE85" s="77">
        <v>92.6</v>
      </c>
      <c r="CF85" s="77">
        <v>125</v>
      </c>
      <c r="CG85" s="77">
        <v>175</v>
      </c>
      <c r="CH85" s="77">
        <v>225</v>
      </c>
      <c r="CI85" s="77">
        <v>275</v>
      </c>
      <c r="CJ85" s="77">
        <v>325</v>
      </c>
      <c r="CK85" s="77">
        <v>375</v>
      </c>
      <c r="CL85" s="77">
        <v>425</v>
      </c>
      <c r="CM85" s="77">
        <v>475</v>
      </c>
      <c r="CN85" s="77">
        <v>507.4</v>
      </c>
      <c r="CO85" s="77">
        <v>521.6</v>
      </c>
      <c r="CP85" s="77">
        <v>535.79999999999995</v>
      </c>
      <c r="CQ85" s="77">
        <v>550</v>
      </c>
      <c r="CR85" s="77">
        <v>564.20000000000005</v>
      </c>
      <c r="CS85" s="77">
        <v>578.4</v>
      </c>
      <c r="CT85" s="77">
        <v>592.6</v>
      </c>
      <c r="DM85" s="77">
        <v>75.400000000000006</v>
      </c>
      <c r="DN85" s="77">
        <v>25.1</v>
      </c>
      <c r="DO85" s="77">
        <v>25.1</v>
      </c>
      <c r="DP85" s="77">
        <v>25.1</v>
      </c>
      <c r="DQ85" s="77">
        <v>25.1</v>
      </c>
      <c r="DR85" s="77">
        <v>25.1</v>
      </c>
      <c r="DS85" s="77">
        <v>50.3</v>
      </c>
      <c r="DT85" s="77">
        <v>3.14</v>
      </c>
      <c r="DU85" s="77">
        <v>3.14</v>
      </c>
      <c r="DV85" s="77">
        <v>3.14</v>
      </c>
      <c r="DW85" s="77">
        <v>3.14</v>
      </c>
      <c r="DX85" s="77">
        <v>3.14</v>
      </c>
      <c r="DY85" s="77">
        <v>3.14</v>
      </c>
      <c r="DZ85" s="77">
        <v>3.14</v>
      </c>
      <c r="EA85" s="77">
        <v>3.14</v>
      </c>
      <c r="EB85" s="77">
        <v>50.3</v>
      </c>
      <c r="EC85" s="77">
        <v>25.1</v>
      </c>
      <c r="ED85" s="77">
        <v>25.1</v>
      </c>
      <c r="EE85" s="77">
        <v>25.1</v>
      </c>
      <c r="EF85" s="77">
        <v>25.1</v>
      </c>
      <c r="EG85" s="77">
        <v>25.1</v>
      </c>
      <c r="EH85" s="77">
        <v>75.400000000000006</v>
      </c>
      <c r="FA85" s="77">
        <f t="shared" si="269"/>
        <v>-15735.98</v>
      </c>
      <c r="FB85" s="77">
        <f t="shared" si="164"/>
        <v>-5238.37</v>
      </c>
      <c r="FC85" s="77">
        <f t="shared" si="258"/>
        <v>-5238.37</v>
      </c>
      <c r="FD85" s="77">
        <f t="shared" si="258"/>
        <v>-5238.37</v>
      </c>
      <c r="FE85" s="77">
        <f t="shared" si="258"/>
        <v>-5238.37</v>
      </c>
      <c r="FF85" s="77">
        <f t="shared" si="258"/>
        <v>-3442.3211903212414</v>
      </c>
      <c r="FG85" s="77">
        <f t="shared" si="258"/>
        <v>-2134.9010254159275</v>
      </c>
      <c r="FH85" s="77">
        <f t="shared" si="259"/>
        <v>545.21318643736913</v>
      </c>
      <c r="FI85" s="77">
        <f t="shared" si="259"/>
        <v>920.02</v>
      </c>
      <c r="FJ85" s="77">
        <f t="shared" si="259"/>
        <v>920.02</v>
      </c>
      <c r="FK85" s="77">
        <f t="shared" si="259"/>
        <v>920.02</v>
      </c>
      <c r="FL85" s="77">
        <f t="shared" si="259"/>
        <v>920.02</v>
      </c>
      <c r="FM85" s="77">
        <f t="shared" si="259"/>
        <v>920.02</v>
      </c>
      <c r="FN85" s="77">
        <f t="shared" si="259"/>
        <v>920.02</v>
      </c>
      <c r="FO85" s="77">
        <f t="shared" si="259"/>
        <v>920.02</v>
      </c>
      <c r="FP85" s="77">
        <f t="shared" si="260"/>
        <v>10497.609999999999</v>
      </c>
      <c r="FQ85" s="77">
        <f t="shared" si="260"/>
        <v>5238.37</v>
      </c>
      <c r="FR85" s="77">
        <f t="shared" si="260"/>
        <v>5238.37</v>
      </c>
      <c r="FS85" s="77">
        <f t="shared" si="260"/>
        <v>5238.37</v>
      </c>
      <c r="FT85" s="77">
        <f t="shared" si="253"/>
        <v>5238.37</v>
      </c>
      <c r="FU85" s="77">
        <f t="shared" si="253"/>
        <v>5238.37</v>
      </c>
      <c r="FV85" s="77">
        <f t="shared" si="261"/>
        <v>15735.98</v>
      </c>
      <c r="GO85" s="77">
        <f t="shared" si="262"/>
        <v>4604347.7480000006</v>
      </c>
      <c r="GP85" s="77">
        <f t="shared" si="263"/>
        <v>1458362.2079999999</v>
      </c>
      <c r="GQ85" s="77">
        <f t="shared" si="264"/>
        <v>1383977.3539999998</v>
      </c>
      <c r="GR85" s="77">
        <f t="shared" si="265"/>
        <v>1309592.5</v>
      </c>
      <c r="GS85" s="77">
        <f t="shared" si="266"/>
        <v>1235207.6459999999</v>
      </c>
      <c r="GT85" s="77">
        <f t="shared" si="267"/>
        <v>762818.37577518704</v>
      </c>
      <c r="GU85" s="77">
        <f t="shared" si="232"/>
        <v>442778.47267126339</v>
      </c>
      <c r="GV85" s="77">
        <f t="shared" si="246"/>
        <v>-95412.307626539594</v>
      </c>
      <c r="GW85" s="77">
        <f t="shared" si="247"/>
        <v>-115002.5</v>
      </c>
      <c r="GX85" s="77">
        <f t="shared" si="248"/>
        <v>-69001.5</v>
      </c>
      <c r="GY85" s="77">
        <f t="shared" si="249"/>
        <v>-23000.5</v>
      </c>
      <c r="GZ85" s="77">
        <f t="shared" si="250"/>
        <v>23000.5</v>
      </c>
      <c r="HA85" s="77">
        <f t="shared" si="254"/>
        <v>69001.5</v>
      </c>
      <c r="HB85" s="77">
        <f t="shared" si="254"/>
        <v>115002.5</v>
      </c>
      <c r="HC85" s="77">
        <f t="shared" si="254"/>
        <v>161003.5</v>
      </c>
      <c r="HD85" s="77">
        <f t="shared" si="254"/>
        <v>2177204.3139999993</v>
      </c>
      <c r="HE85" s="77">
        <f t="shared" si="254"/>
        <v>1160822.7920000001</v>
      </c>
      <c r="HF85" s="77">
        <f t="shared" si="254"/>
        <v>1235207.6459999997</v>
      </c>
      <c r="HG85" s="77">
        <f t="shared" si="254"/>
        <v>1309592.5</v>
      </c>
      <c r="HH85" s="77">
        <f t="shared" si="254"/>
        <v>1383977.3540000003</v>
      </c>
      <c r="HI85" s="77">
        <f t="shared" si="254"/>
        <v>1458362.2079999999</v>
      </c>
      <c r="HJ85" s="77">
        <f t="shared" si="268"/>
        <v>4604347.7480000006</v>
      </c>
      <c r="IC85" s="82">
        <v>86</v>
      </c>
    </row>
    <row r="86" spans="1:237" s="77" customFormat="1">
      <c r="A86" s="77">
        <v>85</v>
      </c>
      <c r="B86" s="69">
        <v>138</v>
      </c>
      <c r="C86" s="69" t="s">
        <v>236</v>
      </c>
      <c r="D86" s="70" t="s">
        <v>104</v>
      </c>
      <c r="E86" s="70">
        <v>3</v>
      </c>
      <c r="F86" s="70">
        <v>0.10486381322957199</v>
      </c>
      <c r="G86" s="70">
        <v>1.428571E-3</v>
      </c>
      <c r="H86" s="70">
        <v>6.1428569999999998E-3</v>
      </c>
      <c r="I86" s="87">
        <v>1.4285714285714286E-3</v>
      </c>
      <c r="J86" s="71">
        <v>1.1666666666666667</v>
      </c>
      <c r="K86" s="72">
        <v>20</v>
      </c>
      <c r="L86" s="71">
        <v>2.6223579766536963E-2</v>
      </c>
      <c r="M86" s="71">
        <v>2.3941634241245135E-2</v>
      </c>
      <c r="N86" s="71">
        <v>0.20382762645914396</v>
      </c>
      <c r="O86" s="71">
        <v>7.020053809741425E-3</v>
      </c>
      <c r="P86" s="71">
        <v>0.15252918287937742</v>
      </c>
      <c r="Q86" s="73" t="s">
        <v>28</v>
      </c>
      <c r="R86" s="74">
        <v>0.3125</v>
      </c>
      <c r="S86" s="75">
        <f t="shared" si="216"/>
        <v>0.53160885682397774</v>
      </c>
      <c r="T86" s="59">
        <f t="shared" si="188"/>
        <v>2.6927138378420361</v>
      </c>
      <c r="U86" s="59">
        <f t="shared" si="189"/>
        <v>2.3234953696876524</v>
      </c>
      <c r="V86" s="59">
        <f t="shared" si="190"/>
        <v>0.91302336114054528</v>
      </c>
      <c r="W86" s="59">
        <f t="shared" si="191"/>
        <v>0.33907181235130801</v>
      </c>
      <c r="X86" s="59">
        <f t="shared" si="192"/>
        <v>0.39295252017794335</v>
      </c>
      <c r="Y86" s="86">
        <v>86240</v>
      </c>
      <c r="Z86" s="57">
        <f t="shared" si="193"/>
        <v>33888.225340145837</v>
      </c>
      <c r="AA86" s="57">
        <f t="shared" si="194"/>
        <v>29241.553097176802</v>
      </c>
      <c r="AB86" s="57">
        <f t="shared" si="195"/>
        <v>83579.237948056369</v>
      </c>
      <c r="AC86" s="57">
        <f t="shared" si="196"/>
        <v>0.25</v>
      </c>
      <c r="AD86" s="57">
        <f t="shared" si="197"/>
        <v>1.5</v>
      </c>
      <c r="AE86" s="57">
        <f t="shared" si="198"/>
        <v>125440</v>
      </c>
      <c r="AF86" s="57">
        <f t="shared" si="199"/>
        <v>21649.03468119281</v>
      </c>
      <c r="AG86" s="57">
        <f t="shared" si="200"/>
        <v>7592.5184159839919</v>
      </c>
      <c r="AH86" s="57">
        <f t="shared" si="201"/>
        <v>35891853.706480235</v>
      </c>
      <c r="AI86" s="57">
        <f t="shared" si="202"/>
        <v>22613612.857159231</v>
      </c>
      <c r="AJ86" s="77">
        <v>125440</v>
      </c>
      <c r="AK86" s="77">
        <v>25.7</v>
      </c>
      <c r="AL86" s="78">
        <f t="shared" si="203"/>
        <v>2.7391312185526169</v>
      </c>
      <c r="AM86" s="57">
        <f t="shared" si="204"/>
        <v>1</v>
      </c>
      <c r="AN86" s="57">
        <f t="shared" si="205"/>
        <v>0.8</v>
      </c>
      <c r="AO86" s="77">
        <v>600</v>
      </c>
      <c r="AP86" s="79">
        <v>100</v>
      </c>
      <c r="AQ86" s="77">
        <f t="shared" si="206"/>
        <v>84.476605622824394</v>
      </c>
      <c r="AR86" s="57">
        <f t="shared" si="207"/>
        <v>400</v>
      </c>
      <c r="AS86" s="77">
        <f t="shared" si="208"/>
        <v>515.52339437717558</v>
      </c>
      <c r="AT86" s="77">
        <v>30</v>
      </c>
      <c r="AU86" s="77">
        <v>700</v>
      </c>
      <c r="AV86" s="77">
        <f t="shared" si="209"/>
        <v>12000</v>
      </c>
      <c r="AW86" s="77">
        <f t="shared" si="255"/>
        <v>20000</v>
      </c>
      <c r="AX86" s="77">
        <f t="shared" si="210"/>
        <v>18000</v>
      </c>
      <c r="AY86" s="77">
        <v>32000</v>
      </c>
      <c r="AZ86" s="77">
        <v>293</v>
      </c>
      <c r="BA86" s="77">
        <v>293.02</v>
      </c>
      <c r="BB86" s="77">
        <v>208.74</v>
      </c>
      <c r="BC86" s="77">
        <v>294</v>
      </c>
      <c r="BD86" s="77">
        <v>2.3E-3</v>
      </c>
      <c r="BE86" s="77">
        <v>2.0999999999999999E-3</v>
      </c>
      <c r="BF86" s="77">
        <v>2.5100000000000001E-2</v>
      </c>
      <c r="BG86" s="77">
        <v>6.1575216010359933E-4</v>
      </c>
      <c r="BH86" s="79">
        <v>50</v>
      </c>
      <c r="BI86" s="79">
        <f t="shared" si="256"/>
        <v>3.1415926535897931</v>
      </c>
      <c r="BJ86" s="79">
        <v>1</v>
      </c>
      <c r="BK86" s="57">
        <f t="shared" si="211"/>
        <v>3.1415926535897931</v>
      </c>
      <c r="BL86" s="57">
        <f t="shared" si="243"/>
        <v>27.599999999999998</v>
      </c>
      <c r="BM86" s="80">
        <f t="shared" si="257"/>
        <v>12.566370614359172</v>
      </c>
      <c r="BN86" s="80">
        <v>20</v>
      </c>
      <c r="BO86" s="57">
        <f t="shared" si="212"/>
        <v>251.32741228718345</v>
      </c>
      <c r="BP86" s="57">
        <f t="shared" si="213"/>
        <v>78739.134664760626</v>
      </c>
      <c r="BQ86" s="77">
        <f t="shared" si="214"/>
        <v>-9.0949470177292824E-12</v>
      </c>
      <c r="BR86" s="57">
        <f t="shared" si="215"/>
        <v>55117394.265332438</v>
      </c>
      <c r="BS86" s="57">
        <v>168.95321124564879</v>
      </c>
      <c r="BT86" s="57">
        <f t="shared" si="220"/>
        <v>232.78656094038851</v>
      </c>
      <c r="BU86" s="57"/>
      <c r="BV86" s="57">
        <v>3.3E-3</v>
      </c>
      <c r="BW86" s="57">
        <v>30000</v>
      </c>
      <c r="BX86" s="57">
        <v>200000</v>
      </c>
      <c r="BY86" s="77">
        <v>7.4</v>
      </c>
      <c r="BZ86" s="77">
        <v>21.6</v>
      </c>
      <c r="CA86" s="77">
        <v>35.799999999999997</v>
      </c>
      <c r="CB86" s="77">
        <v>50</v>
      </c>
      <c r="CC86" s="77">
        <v>64.2</v>
      </c>
      <c r="CD86" s="77">
        <v>78.400000000000006</v>
      </c>
      <c r="CE86" s="77">
        <v>92.6</v>
      </c>
      <c r="CF86" s="77">
        <v>125</v>
      </c>
      <c r="CG86" s="77">
        <v>175</v>
      </c>
      <c r="CH86" s="77">
        <v>225</v>
      </c>
      <c r="CI86" s="77">
        <v>275</v>
      </c>
      <c r="CJ86" s="77">
        <v>325</v>
      </c>
      <c r="CK86" s="77">
        <v>375</v>
      </c>
      <c r="CL86" s="77">
        <v>425</v>
      </c>
      <c r="CM86" s="77">
        <v>475</v>
      </c>
      <c r="CN86" s="77">
        <v>507.4</v>
      </c>
      <c r="CO86" s="77">
        <v>521.6</v>
      </c>
      <c r="CP86" s="77">
        <v>535.79999999999995</v>
      </c>
      <c r="CQ86" s="77">
        <v>550</v>
      </c>
      <c r="CR86" s="77">
        <v>564.20000000000005</v>
      </c>
      <c r="CS86" s="77">
        <v>578.4</v>
      </c>
      <c r="CT86" s="77">
        <v>592.6</v>
      </c>
      <c r="DM86" s="77">
        <v>75.400000000000006</v>
      </c>
      <c r="DN86" s="77">
        <v>25.1</v>
      </c>
      <c r="DO86" s="77">
        <v>25.1</v>
      </c>
      <c r="DP86" s="77">
        <v>25.1</v>
      </c>
      <c r="DQ86" s="77">
        <v>25.1</v>
      </c>
      <c r="DR86" s="77">
        <v>25.1</v>
      </c>
      <c r="DS86" s="77">
        <v>50.3</v>
      </c>
      <c r="DT86" s="77">
        <v>3.14</v>
      </c>
      <c r="DU86" s="77">
        <v>3.14</v>
      </c>
      <c r="DV86" s="77">
        <v>3.14</v>
      </c>
      <c r="DW86" s="77">
        <v>3.14</v>
      </c>
      <c r="DX86" s="77">
        <v>3.14</v>
      </c>
      <c r="DY86" s="77">
        <v>3.14</v>
      </c>
      <c r="DZ86" s="77">
        <v>3.14</v>
      </c>
      <c r="EA86" s="77">
        <v>3.14</v>
      </c>
      <c r="EB86" s="77">
        <v>50.3</v>
      </c>
      <c r="EC86" s="77">
        <v>25.1</v>
      </c>
      <c r="ED86" s="77">
        <v>25.1</v>
      </c>
      <c r="EE86" s="77">
        <v>25.1</v>
      </c>
      <c r="EF86" s="77">
        <v>25.1</v>
      </c>
      <c r="EG86" s="77">
        <v>25.1</v>
      </c>
      <c r="EH86" s="77">
        <v>75.400000000000006</v>
      </c>
      <c r="FA86" s="77">
        <f t="shared" si="269"/>
        <v>-15738.996000000001</v>
      </c>
      <c r="FB86" s="77">
        <f t="shared" si="164"/>
        <v>-5239.3740000000007</v>
      </c>
      <c r="FC86" s="77">
        <f t="shared" si="258"/>
        <v>-5239.3740000000007</v>
      </c>
      <c r="FD86" s="77">
        <f t="shared" si="258"/>
        <v>-5239.3740000000007</v>
      </c>
      <c r="FE86" s="77">
        <f t="shared" si="258"/>
        <v>-5239.3740000000007</v>
      </c>
      <c r="FF86" s="77">
        <f t="shared" si="258"/>
        <v>-5239.3740000000007</v>
      </c>
      <c r="FG86" s="77">
        <f t="shared" si="258"/>
        <v>-10499.621999999999</v>
      </c>
      <c r="FH86" s="77">
        <f t="shared" si="259"/>
        <v>-539.13526895351288</v>
      </c>
      <c r="FI86" s="77">
        <f t="shared" si="259"/>
        <v>74.17062346508186</v>
      </c>
      <c r="FJ86" s="77">
        <f t="shared" si="259"/>
        <v>687.4765158836766</v>
      </c>
      <c r="FK86" s="77">
        <f t="shared" si="259"/>
        <v>920.08280000000002</v>
      </c>
      <c r="FL86" s="77">
        <f t="shared" si="259"/>
        <v>920.08280000000002</v>
      </c>
      <c r="FM86" s="77">
        <f t="shared" si="259"/>
        <v>920.08280000000002</v>
      </c>
      <c r="FN86" s="77">
        <f t="shared" si="259"/>
        <v>920.08280000000002</v>
      </c>
      <c r="FO86" s="77">
        <f t="shared" si="259"/>
        <v>920.08280000000002</v>
      </c>
      <c r="FP86" s="77">
        <f t="shared" si="260"/>
        <v>10499.621999999999</v>
      </c>
      <c r="FQ86" s="77">
        <f t="shared" si="260"/>
        <v>5239.3740000000007</v>
      </c>
      <c r="FR86" s="77">
        <f t="shared" si="260"/>
        <v>5239.3740000000007</v>
      </c>
      <c r="FS86" s="77">
        <f t="shared" si="260"/>
        <v>5239.3740000000007</v>
      </c>
      <c r="FT86" s="77">
        <f t="shared" si="253"/>
        <v>5239.3740000000007</v>
      </c>
      <c r="FU86" s="77">
        <f t="shared" si="253"/>
        <v>5239.3740000000007</v>
      </c>
      <c r="FV86" s="77">
        <f t="shared" si="261"/>
        <v>15738.996000000001</v>
      </c>
      <c r="GO86" s="77">
        <f t="shared" si="262"/>
        <v>4605230.2296000002</v>
      </c>
      <c r="GP86" s="77">
        <f t="shared" si="263"/>
        <v>1458641.7216</v>
      </c>
      <c r="GQ86" s="77">
        <f t="shared" si="264"/>
        <v>1384242.6108000001</v>
      </c>
      <c r="GR86" s="77">
        <f t="shared" si="265"/>
        <v>1309843.5000000002</v>
      </c>
      <c r="GS86" s="77">
        <f t="shared" si="266"/>
        <v>1235444.3892000003</v>
      </c>
      <c r="GT86" s="77">
        <f t="shared" si="267"/>
        <v>1161045.2784000002</v>
      </c>
      <c r="GU86" s="77">
        <f t="shared" si="232"/>
        <v>2177621.6028</v>
      </c>
      <c r="GV86" s="77">
        <f t="shared" si="246"/>
        <v>94348.672066864747</v>
      </c>
      <c r="GW86" s="77">
        <f t="shared" si="247"/>
        <v>-9271.3279331352333</v>
      </c>
      <c r="GX86" s="77">
        <f t="shared" si="248"/>
        <v>-51560.738691275743</v>
      </c>
      <c r="GY86" s="77">
        <f t="shared" si="249"/>
        <v>-23002.07</v>
      </c>
      <c r="GZ86" s="77">
        <f t="shared" si="250"/>
        <v>23002.07</v>
      </c>
      <c r="HA86" s="77">
        <f t="shared" si="254"/>
        <v>69006.210000000006</v>
      </c>
      <c r="HB86" s="77">
        <f t="shared" si="254"/>
        <v>115010.35</v>
      </c>
      <c r="HC86" s="77">
        <f t="shared" si="254"/>
        <v>161014.49</v>
      </c>
      <c r="HD86" s="77">
        <f t="shared" si="254"/>
        <v>2177621.6027999995</v>
      </c>
      <c r="HE86" s="77">
        <f t="shared" si="254"/>
        <v>1161045.2784000002</v>
      </c>
      <c r="HF86" s="77">
        <f t="shared" si="254"/>
        <v>1235444.3891999999</v>
      </c>
      <c r="HG86" s="77">
        <f t="shared" si="254"/>
        <v>1309843.5000000002</v>
      </c>
      <c r="HH86" s="77">
        <f t="shared" si="254"/>
        <v>1384242.6108000004</v>
      </c>
      <c r="HI86" s="77">
        <f t="shared" si="254"/>
        <v>1458641.7216</v>
      </c>
      <c r="HJ86" s="77">
        <f t="shared" si="268"/>
        <v>4605230.2296000002</v>
      </c>
      <c r="IC86" s="82">
        <v>87</v>
      </c>
    </row>
    <row r="87" spans="1:237" s="77" customFormat="1">
      <c r="A87" s="77">
        <v>86</v>
      </c>
      <c r="B87" s="69">
        <v>139</v>
      </c>
      <c r="C87" s="69" t="s">
        <v>236</v>
      </c>
      <c r="D87" s="70" t="s">
        <v>105</v>
      </c>
      <c r="E87" s="70">
        <v>3</v>
      </c>
      <c r="F87" s="70">
        <v>5.7627688172043001E-2</v>
      </c>
      <c r="G87" s="70">
        <v>1.428571E-3</v>
      </c>
      <c r="H87" s="70">
        <v>2.2857139999999999E-3</v>
      </c>
      <c r="I87" s="87">
        <v>1.4285714285714286E-3</v>
      </c>
      <c r="J87" s="71">
        <v>1.1666666666666667</v>
      </c>
      <c r="K87" s="72">
        <v>20</v>
      </c>
      <c r="L87" s="71">
        <v>3.3767741935483868E-2</v>
      </c>
      <c r="M87" s="71">
        <v>3.3767741935483868E-2</v>
      </c>
      <c r="N87" s="71">
        <v>0.28817419354838708</v>
      </c>
      <c r="O87" s="71">
        <v>8.6635666827479529E-3</v>
      </c>
      <c r="P87" s="71">
        <v>0</v>
      </c>
      <c r="Q87" s="73" t="s">
        <v>28</v>
      </c>
      <c r="R87" s="74">
        <v>0.3125</v>
      </c>
      <c r="S87" s="75">
        <f t="shared" si="216"/>
        <v>0.24853506444646514</v>
      </c>
      <c r="T87" s="59">
        <f t="shared" si="188"/>
        <v>1.9003529560466503</v>
      </c>
      <c r="U87" s="59">
        <f t="shared" si="189"/>
        <v>1.4211878670336358</v>
      </c>
      <c r="V87" s="59">
        <f t="shared" si="190"/>
        <v>1.2725603211354752</v>
      </c>
      <c r="W87" s="59">
        <f t="shared" si="191"/>
        <v>0.66964419272028963</v>
      </c>
      <c r="X87" s="59">
        <f t="shared" si="192"/>
        <v>0.89542019788813543</v>
      </c>
      <c r="Y87" s="86">
        <v>34300</v>
      </c>
      <c r="Z87" s="57">
        <f t="shared" si="193"/>
        <v>30712.912787563044</v>
      </c>
      <c r="AA87" s="57">
        <f t="shared" si="194"/>
        <v>22968.795810305935</v>
      </c>
      <c r="AB87" s="57">
        <f t="shared" si="195"/>
        <v>81474.97545606058</v>
      </c>
      <c r="AC87" s="57">
        <f t="shared" si="196"/>
        <v>0.25</v>
      </c>
      <c r="AD87" s="57">
        <f t="shared" si="197"/>
        <v>1.5</v>
      </c>
      <c r="AE87" s="57">
        <f t="shared" si="198"/>
        <v>0</v>
      </c>
      <c r="AF87" s="57">
        <f t="shared" si="199"/>
        <v>15539.500200565975</v>
      </c>
      <c r="AG87" s="57">
        <f t="shared" si="200"/>
        <v>7429.2956097399592</v>
      </c>
      <c r="AH87" s="57">
        <f t="shared" si="201"/>
        <v>28724343.186349601</v>
      </c>
      <c r="AI87" s="57">
        <f t="shared" si="202"/>
        <v>28308139.632892799</v>
      </c>
      <c r="AJ87" s="77">
        <v>0</v>
      </c>
      <c r="AK87" s="77">
        <v>18.600000000000001</v>
      </c>
      <c r="AL87" s="78">
        <f t="shared" si="203"/>
        <v>2.2928821808328386</v>
      </c>
      <c r="AM87" s="57">
        <f t="shared" si="204"/>
        <v>1</v>
      </c>
      <c r="AN87" s="57">
        <f t="shared" si="205"/>
        <v>0.8</v>
      </c>
      <c r="AO87" s="77">
        <v>600</v>
      </c>
      <c r="AP87" s="79">
        <v>100</v>
      </c>
      <c r="AQ87" s="77">
        <f t="shared" si="206"/>
        <v>35.226824617390662</v>
      </c>
      <c r="AR87" s="57">
        <f t="shared" si="207"/>
        <v>400</v>
      </c>
      <c r="AS87" s="77">
        <f t="shared" si="208"/>
        <v>564.77317538260934</v>
      </c>
      <c r="AT87" s="77">
        <v>30</v>
      </c>
      <c r="AU87" s="77">
        <v>700</v>
      </c>
      <c r="AV87" s="77">
        <f t="shared" si="209"/>
        <v>12000</v>
      </c>
      <c r="AW87" s="77">
        <f t="shared" si="255"/>
        <v>20000</v>
      </c>
      <c r="AX87" s="77">
        <f t="shared" si="210"/>
        <v>18000</v>
      </c>
      <c r="AY87" s="77">
        <v>32000</v>
      </c>
      <c r="AZ87" s="77">
        <v>261.7</v>
      </c>
      <c r="BA87" s="77">
        <v>261.7</v>
      </c>
      <c r="BB87" s="77">
        <v>212.7</v>
      </c>
      <c r="BC87" s="77">
        <v>294</v>
      </c>
      <c r="BD87" s="77">
        <v>2.3999999999999998E-3</v>
      </c>
      <c r="BE87" s="77">
        <v>2.3999999999999998E-3</v>
      </c>
      <c r="BF87" s="77">
        <v>2.52E-2</v>
      </c>
      <c r="BG87" s="77">
        <v>6.1575216010359933E-4</v>
      </c>
      <c r="BH87" s="79">
        <v>50</v>
      </c>
      <c r="BI87" s="79">
        <f t="shared" si="256"/>
        <v>3.1415926535897931</v>
      </c>
      <c r="BJ87" s="79">
        <v>1</v>
      </c>
      <c r="BK87" s="57">
        <f t="shared" si="211"/>
        <v>3.1415926535897931</v>
      </c>
      <c r="BL87" s="57">
        <f t="shared" si="243"/>
        <v>28.799999999999997</v>
      </c>
      <c r="BM87" s="80">
        <f t="shared" si="257"/>
        <v>12.566370614359172</v>
      </c>
      <c r="BN87" s="80">
        <v>20</v>
      </c>
      <c r="BO87" s="57">
        <f t="shared" si="212"/>
        <v>251.32741228718345</v>
      </c>
      <c r="BP87" s="57">
        <f t="shared" si="213"/>
        <v>43648.819014946799</v>
      </c>
      <c r="BQ87" s="77">
        <f t="shared" si="214"/>
        <v>1.7462298274040222E-9</v>
      </c>
      <c r="BR87" s="57">
        <f t="shared" si="215"/>
        <v>30554173.310462762</v>
      </c>
      <c r="BS87" s="57">
        <v>70.453649234781324</v>
      </c>
      <c r="BT87" s="57">
        <f t="shared" si="220"/>
        <v>14.438592239227111</v>
      </c>
      <c r="BU87" s="57"/>
      <c r="BV87" s="57">
        <v>3.3E-3</v>
      </c>
      <c r="BW87" s="57">
        <v>30000</v>
      </c>
      <c r="BX87" s="57">
        <v>200000</v>
      </c>
      <c r="BY87" s="77">
        <v>7.4</v>
      </c>
      <c r="BZ87" s="77">
        <v>21.6</v>
      </c>
      <c r="CA87" s="77">
        <v>35.799999999999997</v>
      </c>
      <c r="CB87" s="77">
        <v>50</v>
      </c>
      <c r="CC87" s="77">
        <v>64.2</v>
      </c>
      <c r="CD87" s="77">
        <v>78.400000000000006</v>
      </c>
      <c r="CE87" s="77">
        <v>92.6</v>
      </c>
      <c r="CF87" s="77">
        <v>125</v>
      </c>
      <c r="CG87" s="77">
        <v>175</v>
      </c>
      <c r="CH87" s="77">
        <v>225</v>
      </c>
      <c r="CI87" s="77">
        <v>275</v>
      </c>
      <c r="CJ87" s="77">
        <v>325</v>
      </c>
      <c r="CK87" s="77">
        <v>375</v>
      </c>
      <c r="CL87" s="77">
        <v>425</v>
      </c>
      <c r="CM87" s="77">
        <v>475</v>
      </c>
      <c r="CN87" s="77">
        <v>507.4</v>
      </c>
      <c r="CO87" s="77">
        <v>521.6</v>
      </c>
      <c r="CP87" s="77">
        <v>535.79999999999995</v>
      </c>
      <c r="CQ87" s="77">
        <v>550</v>
      </c>
      <c r="CR87" s="77">
        <v>564.20000000000005</v>
      </c>
      <c r="CS87" s="77">
        <v>578.4</v>
      </c>
      <c r="CT87" s="77">
        <v>592.6</v>
      </c>
      <c r="DM87" s="77">
        <v>75.400000000000006</v>
      </c>
      <c r="DN87" s="77">
        <v>25.1</v>
      </c>
      <c r="DO87" s="77">
        <v>25.1</v>
      </c>
      <c r="DP87" s="77">
        <v>25.1</v>
      </c>
      <c r="DQ87" s="77">
        <v>25.1</v>
      </c>
      <c r="DR87" s="77">
        <v>25.1</v>
      </c>
      <c r="DS87" s="77">
        <v>50.3</v>
      </c>
      <c r="DT87" s="77">
        <v>3.14</v>
      </c>
      <c r="DU87" s="77">
        <v>3.14</v>
      </c>
      <c r="DV87" s="77">
        <v>3.14</v>
      </c>
      <c r="DW87" s="77">
        <v>3.14</v>
      </c>
      <c r="DX87" s="77">
        <v>3.14</v>
      </c>
      <c r="DY87" s="77">
        <v>3.14</v>
      </c>
      <c r="DZ87" s="77">
        <v>3.14</v>
      </c>
      <c r="EA87" s="77">
        <v>3.14</v>
      </c>
      <c r="EB87" s="77">
        <v>50.3</v>
      </c>
      <c r="EC87" s="77">
        <v>25.1</v>
      </c>
      <c r="ED87" s="77">
        <v>25.1</v>
      </c>
      <c r="EE87" s="77">
        <v>25.1</v>
      </c>
      <c r="EF87" s="77">
        <v>25.1</v>
      </c>
      <c r="EG87" s="77">
        <v>25.1</v>
      </c>
      <c r="EH87" s="77">
        <v>75.400000000000006</v>
      </c>
      <c r="FA87" s="77">
        <f t="shared" si="269"/>
        <v>-16037.58</v>
      </c>
      <c r="FB87" s="77">
        <f t="shared" ref="FB87:FB116" si="270">IF(ABS(-$BV87*($BS87-BZ87)/$BS87*$BX87)&gt;$BB87,$BB87*SIGN(-($BS87-BZ87)),-$BV87*($BS87-BZ87)/$BS87*$BX87)*DN87</f>
        <v>-5338.77</v>
      </c>
      <c r="FC87" s="77">
        <f t="shared" si="258"/>
        <v>-5338.77</v>
      </c>
      <c r="FD87" s="77">
        <f t="shared" si="258"/>
        <v>-4809.3343198482953</v>
      </c>
      <c r="FE87" s="77">
        <f t="shared" si="258"/>
        <v>-1470.4412666852106</v>
      </c>
      <c r="FF87" s="77">
        <f t="shared" si="258"/>
        <v>1868.4517864778745</v>
      </c>
      <c r="FG87" s="77">
        <f t="shared" si="258"/>
        <v>10435.436073065341</v>
      </c>
      <c r="FH87" s="77">
        <f t="shared" si="259"/>
        <v>821.73799999999994</v>
      </c>
      <c r="FI87" s="77">
        <f t="shared" si="259"/>
        <v>821.73799999999994</v>
      </c>
      <c r="FJ87" s="77">
        <f t="shared" si="259"/>
        <v>821.73799999999994</v>
      </c>
      <c r="FK87" s="77">
        <f t="shared" si="259"/>
        <v>821.73799999999994</v>
      </c>
      <c r="FL87" s="77">
        <f t="shared" si="259"/>
        <v>821.73799999999994</v>
      </c>
      <c r="FM87" s="77">
        <f t="shared" si="259"/>
        <v>821.73799999999994</v>
      </c>
      <c r="FN87" s="77">
        <f t="shared" si="259"/>
        <v>821.73799999999994</v>
      </c>
      <c r="FO87" s="77">
        <f t="shared" si="259"/>
        <v>821.73799999999994</v>
      </c>
      <c r="FP87" s="77">
        <f t="shared" si="260"/>
        <v>10698.81</v>
      </c>
      <c r="FQ87" s="77">
        <f t="shared" si="260"/>
        <v>5338.77</v>
      </c>
      <c r="FR87" s="77">
        <f t="shared" si="260"/>
        <v>5338.77</v>
      </c>
      <c r="FS87" s="77">
        <f t="shared" si="260"/>
        <v>5338.77</v>
      </c>
      <c r="FT87" s="77">
        <f t="shared" si="253"/>
        <v>5338.77</v>
      </c>
      <c r="FU87" s="77">
        <f t="shared" si="253"/>
        <v>5338.77</v>
      </c>
      <c r="FV87" s="77">
        <f t="shared" si="261"/>
        <v>16037.58</v>
      </c>
      <c r="GO87" s="77">
        <f t="shared" si="262"/>
        <v>4692595.9080000008</v>
      </c>
      <c r="GP87" s="77">
        <f t="shared" si="263"/>
        <v>1486313.568</v>
      </c>
      <c r="GQ87" s="77">
        <f t="shared" si="264"/>
        <v>1410503.034</v>
      </c>
      <c r="GR87" s="77">
        <f t="shared" si="265"/>
        <v>1202333.5799620738</v>
      </c>
      <c r="GS87" s="77">
        <f t="shared" si="266"/>
        <v>346730.05068437266</v>
      </c>
      <c r="GT87" s="77">
        <f t="shared" si="267"/>
        <v>-414048.91588349699</v>
      </c>
      <c r="GU87" s="77">
        <f t="shared" si="232"/>
        <v>-2164309.4415537519</v>
      </c>
      <c r="GV87" s="77">
        <f t="shared" si="246"/>
        <v>-143804.15</v>
      </c>
      <c r="GW87" s="77">
        <f t="shared" si="247"/>
        <v>-102717.25</v>
      </c>
      <c r="GX87" s="77">
        <f t="shared" si="248"/>
        <v>-61630.35</v>
      </c>
      <c r="GY87" s="77">
        <f t="shared" si="249"/>
        <v>-20543.449999999997</v>
      </c>
      <c r="GZ87" s="77">
        <f t="shared" si="250"/>
        <v>20543.449999999997</v>
      </c>
      <c r="HA87" s="77">
        <f t="shared" si="254"/>
        <v>61630.35</v>
      </c>
      <c r="HB87" s="77">
        <f t="shared" si="254"/>
        <v>102717.25</v>
      </c>
      <c r="HC87" s="77">
        <f t="shared" si="254"/>
        <v>143804.15</v>
      </c>
      <c r="HD87" s="77">
        <f t="shared" si="254"/>
        <v>2218933.1939999997</v>
      </c>
      <c r="HE87" s="77">
        <f t="shared" si="254"/>
        <v>1183071.4320000003</v>
      </c>
      <c r="HF87" s="77">
        <f t="shared" si="254"/>
        <v>1258881.9659999998</v>
      </c>
      <c r="HG87" s="77">
        <f t="shared" si="254"/>
        <v>1334692.5</v>
      </c>
      <c r="HH87" s="77">
        <f t="shared" si="254"/>
        <v>1410503.0340000005</v>
      </c>
      <c r="HI87" s="77">
        <f t="shared" si="254"/>
        <v>1486313.568</v>
      </c>
      <c r="HJ87" s="77">
        <f t="shared" si="268"/>
        <v>4692595.9080000008</v>
      </c>
      <c r="IC87" s="82">
        <v>88</v>
      </c>
    </row>
    <row r="88" spans="1:237" s="77" customFormat="1">
      <c r="A88" s="77">
        <v>87</v>
      </c>
      <c r="B88" s="69">
        <v>140</v>
      </c>
      <c r="C88" s="69" t="s">
        <v>236</v>
      </c>
      <c r="D88" s="70" t="s">
        <v>106</v>
      </c>
      <c r="E88" s="70">
        <v>3</v>
      </c>
      <c r="F88" s="70">
        <v>6.174395161290322E-2</v>
      </c>
      <c r="G88" s="70">
        <v>1.428571E-3</v>
      </c>
      <c r="H88" s="70">
        <v>2.1428570000000002E-3</v>
      </c>
      <c r="I88" s="87">
        <v>1.4285714285714286E-3</v>
      </c>
      <c r="J88" s="71">
        <v>1.1666666666666667</v>
      </c>
      <c r="K88" s="72">
        <v>20</v>
      </c>
      <c r="L88" s="71">
        <v>3.3767741935483868E-2</v>
      </c>
      <c r="M88" s="71">
        <v>3.3767741935483868E-2</v>
      </c>
      <c r="N88" s="71">
        <v>0.28817419354838708</v>
      </c>
      <c r="O88" s="71">
        <v>8.6635666827479529E-3</v>
      </c>
      <c r="P88" s="71">
        <v>0</v>
      </c>
      <c r="Q88" s="73" t="s">
        <v>28</v>
      </c>
      <c r="R88" s="74">
        <v>0.3125</v>
      </c>
      <c r="S88" s="75">
        <f t="shared" si="216"/>
        <v>0.26628756904978412</v>
      </c>
      <c r="T88" s="59">
        <f t="shared" si="188"/>
        <v>1.9003529560466503</v>
      </c>
      <c r="U88" s="59">
        <f t="shared" si="189"/>
        <v>1.4211878670336358</v>
      </c>
      <c r="V88" s="59">
        <f t="shared" si="190"/>
        <v>1.1877229663931101</v>
      </c>
      <c r="W88" s="59">
        <f t="shared" si="191"/>
        <v>0.62500124653893707</v>
      </c>
      <c r="X88" s="59">
        <f t="shared" si="192"/>
        <v>0.83572551802892636</v>
      </c>
      <c r="Y88" s="86">
        <v>36750</v>
      </c>
      <c r="Z88" s="57">
        <f t="shared" si="193"/>
        <v>30712.912787563044</v>
      </c>
      <c r="AA88" s="57">
        <f t="shared" si="194"/>
        <v>22968.795810305935</v>
      </c>
      <c r="AB88" s="57">
        <f t="shared" si="195"/>
        <v>81474.97545606058</v>
      </c>
      <c r="AC88" s="57">
        <f t="shared" si="196"/>
        <v>0.25</v>
      </c>
      <c r="AD88" s="57">
        <f t="shared" si="197"/>
        <v>1.5</v>
      </c>
      <c r="AE88" s="57">
        <f t="shared" si="198"/>
        <v>0</v>
      </c>
      <c r="AF88" s="57">
        <f t="shared" si="199"/>
        <v>15539.500200565975</v>
      </c>
      <c r="AG88" s="57">
        <f t="shared" si="200"/>
        <v>7429.2956097399592</v>
      </c>
      <c r="AH88" s="57">
        <f t="shared" si="201"/>
        <v>28724343.186349601</v>
      </c>
      <c r="AI88" s="57">
        <f t="shared" si="202"/>
        <v>28308139.632892799</v>
      </c>
      <c r="AJ88" s="77">
        <v>0</v>
      </c>
      <c r="AK88" s="77">
        <v>18.600000000000001</v>
      </c>
      <c r="AL88" s="78">
        <f t="shared" si="203"/>
        <v>2.2928821808328386</v>
      </c>
      <c r="AM88" s="57">
        <f t="shared" si="204"/>
        <v>1</v>
      </c>
      <c r="AN88" s="57">
        <f t="shared" si="205"/>
        <v>0.8</v>
      </c>
      <c r="AO88" s="77">
        <v>600</v>
      </c>
      <c r="AP88" s="79">
        <v>100</v>
      </c>
      <c r="AQ88" s="77">
        <f t="shared" si="206"/>
        <v>35.226824617390662</v>
      </c>
      <c r="AR88" s="57">
        <f t="shared" si="207"/>
        <v>400</v>
      </c>
      <c r="AS88" s="77">
        <f t="shared" si="208"/>
        <v>564.77317538260934</v>
      </c>
      <c r="AT88" s="77">
        <v>30</v>
      </c>
      <c r="AU88" s="77">
        <v>700</v>
      </c>
      <c r="AV88" s="77">
        <f t="shared" si="209"/>
        <v>12000</v>
      </c>
      <c r="AW88" s="77">
        <f t="shared" si="255"/>
        <v>20000</v>
      </c>
      <c r="AX88" s="77">
        <f t="shared" si="210"/>
        <v>18000</v>
      </c>
      <c r="AY88" s="77">
        <v>32000</v>
      </c>
      <c r="AZ88" s="77">
        <v>261.7</v>
      </c>
      <c r="BA88" s="77">
        <v>261.7</v>
      </c>
      <c r="BB88" s="77">
        <v>212.7</v>
      </c>
      <c r="BC88" s="77">
        <v>294</v>
      </c>
      <c r="BD88" s="77">
        <v>2.3999999999999998E-3</v>
      </c>
      <c r="BE88" s="77">
        <v>2.3999999999999998E-3</v>
      </c>
      <c r="BF88" s="77">
        <v>2.52E-2</v>
      </c>
      <c r="BG88" s="77">
        <v>3.0787608005179967E-4</v>
      </c>
      <c r="BH88" s="79">
        <v>50</v>
      </c>
      <c r="BI88" s="79">
        <f t="shared" si="256"/>
        <v>3.1415926535897931</v>
      </c>
      <c r="BJ88" s="79">
        <v>1</v>
      </c>
      <c r="BK88" s="57">
        <f t="shared" si="211"/>
        <v>3.1415926535897931</v>
      </c>
      <c r="BL88" s="57">
        <f t="shared" si="243"/>
        <v>28.799999999999997</v>
      </c>
      <c r="BM88" s="80">
        <f t="shared" si="257"/>
        <v>12.566370614359172</v>
      </c>
      <c r="BN88" s="80">
        <v>20</v>
      </c>
      <c r="BO88" s="57">
        <f t="shared" si="212"/>
        <v>251.32741228718345</v>
      </c>
      <c r="BP88" s="57">
        <f t="shared" si="213"/>
        <v>43648.819014946799</v>
      </c>
      <c r="BQ88" s="77">
        <f t="shared" si="214"/>
        <v>1.7462298274040222E-9</v>
      </c>
      <c r="BR88" s="57">
        <f t="shared" si="215"/>
        <v>30554173.310462762</v>
      </c>
      <c r="BS88" s="57">
        <v>70.453649234781324</v>
      </c>
      <c r="BT88" s="57">
        <f t="shared" si="220"/>
        <v>14.438592239227111</v>
      </c>
      <c r="BU88" s="57"/>
      <c r="BV88" s="57">
        <v>3.3E-3</v>
      </c>
      <c r="BW88" s="57">
        <v>30000</v>
      </c>
      <c r="BX88" s="57">
        <v>200000</v>
      </c>
      <c r="BY88" s="77">
        <v>7.4</v>
      </c>
      <c r="BZ88" s="77">
        <v>21.6</v>
      </c>
      <c r="CA88" s="77">
        <v>35.799999999999997</v>
      </c>
      <c r="CB88" s="77">
        <v>50</v>
      </c>
      <c r="CC88" s="77">
        <v>64.2</v>
      </c>
      <c r="CD88" s="77">
        <v>78.400000000000006</v>
      </c>
      <c r="CE88" s="77">
        <v>92.6</v>
      </c>
      <c r="CF88" s="77">
        <v>125</v>
      </c>
      <c r="CG88" s="77">
        <v>175</v>
      </c>
      <c r="CH88" s="77">
        <v>225</v>
      </c>
      <c r="CI88" s="77">
        <v>275</v>
      </c>
      <c r="CJ88" s="77">
        <v>325</v>
      </c>
      <c r="CK88" s="77">
        <v>375</v>
      </c>
      <c r="CL88" s="77">
        <v>425</v>
      </c>
      <c r="CM88" s="77">
        <v>475</v>
      </c>
      <c r="CN88" s="77">
        <v>507.4</v>
      </c>
      <c r="CO88" s="77">
        <v>521.6</v>
      </c>
      <c r="CP88" s="77">
        <v>535.79999999999995</v>
      </c>
      <c r="CQ88" s="77">
        <v>550</v>
      </c>
      <c r="CR88" s="77">
        <v>564.20000000000005</v>
      </c>
      <c r="CS88" s="77">
        <v>578.4</v>
      </c>
      <c r="CT88" s="77">
        <v>592.6</v>
      </c>
      <c r="DM88" s="77">
        <v>75.400000000000006</v>
      </c>
      <c r="DN88" s="77">
        <v>25.1</v>
      </c>
      <c r="DO88" s="77">
        <v>25.1</v>
      </c>
      <c r="DP88" s="77">
        <v>25.1</v>
      </c>
      <c r="DQ88" s="77">
        <v>25.1</v>
      </c>
      <c r="DR88" s="77">
        <v>25.1</v>
      </c>
      <c r="DS88" s="77">
        <v>50.3</v>
      </c>
      <c r="DT88" s="77">
        <v>3.14</v>
      </c>
      <c r="DU88" s="77">
        <v>3.14</v>
      </c>
      <c r="DV88" s="77">
        <v>3.14</v>
      </c>
      <c r="DW88" s="77">
        <v>3.14</v>
      </c>
      <c r="DX88" s="77">
        <v>3.14</v>
      </c>
      <c r="DY88" s="77">
        <v>3.14</v>
      </c>
      <c r="DZ88" s="77">
        <v>3.14</v>
      </c>
      <c r="EA88" s="77">
        <v>3.14</v>
      </c>
      <c r="EB88" s="77">
        <v>50.3</v>
      </c>
      <c r="EC88" s="77">
        <v>25.1</v>
      </c>
      <c r="ED88" s="77">
        <v>25.1</v>
      </c>
      <c r="EE88" s="77">
        <v>25.1</v>
      </c>
      <c r="EF88" s="77">
        <v>25.1</v>
      </c>
      <c r="EG88" s="77">
        <v>25.1</v>
      </c>
      <c r="EH88" s="77">
        <v>75.400000000000006</v>
      </c>
      <c r="FA88" s="77">
        <f t="shared" si="269"/>
        <v>-16037.58</v>
      </c>
      <c r="FB88" s="77">
        <f t="shared" si="270"/>
        <v>-5338.77</v>
      </c>
      <c r="FC88" s="77">
        <f t="shared" si="258"/>
        <v>-5338.77</v>
      </c>
      <c r="FD88" s="77">
        <f t="shared" si="258"/>
        <v>-4809.3343198482953</v>
      </c>
      <c r="FE88" s="77">
        <f t="shared" si="258"/>
        <v>-1470.4412666852106</v>
      </c>
      <c r="FF88" s="77">
        <f t="shared" si="258"/>
        <v>1868.4517864778745</v>
      </c>
      <c r="FG88" s="77">
        <f t="shared" si="258"/>
        <v>10435.436073065341</v>
      </c>
      <c r="FH88" s="77">
        <f t="shared" si="259"/>
        <v>821.73799999999994</v>
      </c>
      <c r="FI88" s="77">
        <f t="shared" si="259"/>
        <v>821.73799999999994</v>
      </c>
      <c r="FJ88" s="77">
        <f t="shared" si="259"/>
        <v>821.73799999999994</v>
      </c>
      <c r="FK88" s="77">
        <f t="shared" si="259"/>
        <v>821.73799999999994</v>
      </c>
      <c r="FL88" s="77">
        <f t="shared" si="259"/>
        <v>821.73799999999994</v>
      </c>
      <c r="FM88" s="77">
        <f t="shared" si="259"/>
        <v>821.73799999999994</v>
      </c>
      <c r="FN88" s="77">
        <f t="shared" si="259"/>
        <v>821.73799999999994</v>
      </c>
      <c r="FO88" s="77">
        <f t="shared" si="259"/>
        <v>821.73799999999994</v>
      </c>
      <c r="FP88" s="77">
        <f t="shared" si="260"/>
        <v>10698.81</v>
      </c>
      <c r="FQ88" s="77">
        <f t="shared" si="260"/>
        <v>5338.77</v>
      </c>
      <c r="FR88" s="77">
        <f t="shared" si="260"/>
        <v>5338.77</v>
      </c>
      <c r="FS88" s="77">
        <f t="shared" si="260"/>
        <v>5338.77</v>
      </c>
      <c r="FT88" s="77">
        <f t="shared" si="253"/>
        <v>5338.77</v>
      </c>
      <c r="FU88" s="77">
        <f t="shared" si="253"/>
        <v>5338.77</v>
      </c>
      <c r="FV88" s="77">
        <f t="shared" si="261"/>
        <v>16037.58</v>
      </c>
      <c r="GO88" s="77">
        <f t="shared" si="262"/>
        <v>4692595.9080000008</v>
      </c>
      <c r="GP88" s="77">
        <f t="shared" si="263"/>
        <v>1486313.568</v>
      </c>
      <c r="GQ88" s="77">
        <f t="shared" si="264"/>
        <v>1410503.034</v>
      </c>
      <c r="GR88" s="77">
        <f t="shared" si="265"/>
        <v>1202333.5799620738</v>
      </c>
      <c r="GS88" s="77">
        <f t="shared" si="266"/>
        <v>346730.05068437266</v>
      </c>
      <c r="GT88" s="77">
        <f t="shared" si="267"/>
        <v>-414048.91588349699</v>
      </c>
      <c r="GU88" s="77">
        <f t="shared" si="232"/>
        <v>-2164309.4415537519</v>
      </c>
      <c r="GV88" s="77">
        <f t="shared" si="246"/>
        <v>-143804.15</v>
      </c>
      <c r="GW88" s="77">
        <f t="shared" si="247"/>
        <v>-102717.25</v>
      </c>
      <c r="GX88" s="77">
        <f t="shared" si="248"/>
        <v>-61630.35</v>
      </c>
      <c r="GY88" s="77">
        <f t="shared" si="249"/>
        <v>-20543.449999999997</v>
      </c>
      <c r="GZ88" s="77">
        <f t="shared" si="250"/>
        <v>20543.449999999997</v>
      </c>
      <c r="HA88" s="77">
        <f t="shared" si="254"/>
        <v>61630.35</v>
      </c>
      <c r="HB88" s="77">
        <f t="shared" si="254"/>
        <v>102717.25</v>
      </c>
      <c r="HC88" s="77">
        <f t="shared" si="254"/>
        <v>143804.15</v>
      </c>
      <c r="HD88" s="77">
        <f t="shared" si="254"/>
        <v>2218933.1939999997</v>
      </c>
      <c r="HE88" s="77">
        <f t="shared" si="254"/>
        <v>1183071.4320000003</v>
      </c>
      <c r="HF88" s="77">
        <f t="shared" si="254"/>
        <v>1258881.9659999998</v>
      </c>
      <c r="HG88" s="77">
        <f t="shared" si="254"/>
        <v>1334692.5</v>
      </c>
      <c r="HH88" s="77">
        <f t="shared" si="254"/>
        <v>1410503.0340000005</v>
      </c>
      <c r="HI88" s="77">
        <f t="shared" si="254"/>
        <v>1486313.568</v>
      </c>
      <c r="HJ88" s="77">
        <f t="shared" si="268"/>
        <v>4692595.9080000008</v>
      </c>
      <c r="IC88" s="82">
        <v>89</v>
      </c>
    </row>
    <row r="89" spans="1:237" s="77" customFormat="1">
      <c r="A89" s="77">
        <v>88</v>
      </c>
      <c r="B89" s="69">
        <v>141</v>
      </c>
      <c r="C89" s="69" t="s">
        <v>236</v>
      </c>
      <c r="D89" s="70" t="s">
        <v>107</v>
      </c>
      <c r="E89" s="70">
        <v>3</v>
      </c>
      <c r="F89" s="70">
        <v>6.145484949832776E-2</v>
      </c>
      <c r="G89" s="70">
        <v>1.428571E-3</v>
      </c>
      <c r="H89" s="70">
        <v>4.2857140000000004E-3</v>
      </c>
      <c r="I89" s="87">
        <v>2.8571428571428571E-3</v>
      </c>
      <c r="J89" s="71">
        <v>1.1666666666666667</v>
      </c>
      <c r="K89" s="72">
        <v>20</v>
      </c>
      <c r="L89" s="71">
        <v>2.2538461538461538E-2</v>
      </c>
      <c r="M89" s="71">
        <v>2.0578595317725754E-2</v>
      </c>
      <c r="N89" s="71">
        <v>0.17589431438127093</v>
      </c>
      <c r="O89" s="71">
        <v>6.0339592946606893E-3</v>
      </c>
      <c r="P89" s="71">
        <v>6.5551839464882952E-2</v>
      </c>
      <c r="Q89" s="73" t="s">
        <v>28</v>
      </c>
      <c r="R89" s="74">
        <v>0.3125</v>
      </c>
      <c r="S89" s="75">
        <f t="shared" si="216"/>
        <v>0.33604060164387467</v>
      </c>
      <c r="T89" s="59">
        <f t="shared" si="188"/>
        <v>2.1223410807896719</v>
      </c>
      <c r="U89" s="59">
        <f t="shared" si="189"/>
        <v>1.8012725281770643</v>
      </c>
      <c r="V89" s="59">
        <f t="shared" si="190"/>
        <v>1.0930722617161097</v>
      </c>
      <c r="W89" s="59">
        <f t="shared" si="191"/>
        <v>0.51503138284888872</v>
      </c>
      <c r="X89" s="59">
        <f t="shared" si="192"/>
        <v>0.60683336064772386</v>
      </c>
      <c r="Y89" s="86">
        <v>58800</v>
      </c>
      <c r="Z89" s="57">
        <f t="shared" si="193"/>
        <v>35681.801606086163</v>
      </c>
      <c r="AA89" s="57">
        <f t="shared" si="194"/>
        <v>30283.845311514659</v>
      </c>
      <c r="AB89" s="57">
        <f t="shared" si="195"/>
        <v>102550.07868979126</v>
      </c>
      <c r="AC89" s="57">
        <f t="shared" si="196"/>
        <v>0.25</v>
      </c>
      <c r="AD89" s="57">
        <f t="shared" si="197"/>
        <v>1.5</v>
      </c>
      <c r="AE89" s="57">
        <f t="shared" si="198"/>
        <v>62720</v>
      </c>
      <c r="AF89" s="57">
        <f t="shared" si="199"/>
        <v>22129.902145752963</v>
      </c>
      <c r="AG89" s="57">
        <f t="shared" si="200"/>
        <v>8153.943165761696</v>
      </c>
      <c r="AH89" s="57">
        <f t="shared" si="201"/>
        <v>45176821.816879369</v>
      </c>
      <c r="AI89" s="57">
        <f t="shared" si="202"/>
        <v>26608233.265974514</v>
      </c>
      <c r="AJ89" s="77">
        <v>62720</v>
      </c>
      <c r="AK89" s="77">
        <v>29.9</v>
      </c>
      <c r="AL89" s="78">
        <f t="shared" si="203"/>
        <v>2.976931033352761</v>
      </c>
      <c r="AM89" s="57">
        <f t="shared" si="204"/>
        <v>1</v>
      </c>
      <c r="AN89" s="57">
        <f t="shared" si="205"/>
        <v>0.8</v>
      </c>
      <c r="AO89" s="77">
        <v>600</v>
      </c>
      <c r="AP89" s="79">
        <v>100</v>
      </c>
      <c r="AQ89" s="77">
        <f t="shared" si="206"/>
        <v>46.356501484065021</v>
      </c>
      <c r="AR89" s="57">
        <f t="shared" si="207"/>
        <v>400</v>
      </c>
      <c r="AS89" s="77">
        <f t="shared" si="208"/>
        <v>553.64349851593499</v>
      </c>
      <c r="AT89" s="77">
        <v>30</v>
      </c>
      <c r="AU89" s="77">
        <v>700</v>
      </c>
      <c r="AV89" s="77">
        <f t="shared" si="209"/>
        <v>12000</v>
      </c>
      <c r="AW89" s="77">
        <f t="shared" si="255"/>
        <v>20000</v>
      </c>
      <c r="AX89" s="77">
        <f t="shared" si="210"/>
        <v>18000</v>
      </c>
      <c r="AY89" s="77">
        <v>32000</v>
      </c>
      <c r="AZ89" s="77">
        <v>293</v>
      </c>
      <c r="BA89" s="77">
        <v>293</v>
      </c>
      <c r="BB89" s="77">
        <v>208.7</v>
      </c>
      <c r="BC89" s="77">
        <v>294</v>
      </c>
      <c r="BD89" s="77">
        <v>2.3E-3</v>
      </c>
      <c r="BE89" s="77">
        <v>2.0999999999999999E-3</v>
      </c>
      <c r="BF89" s="77">
        <v>2.52E-2</v>
      </c>
      <c r="BG89" s="77">
        <v>3.0787608005179967E-4</v>
      </c>
      <c r="BH89" s="79">
        <v>50</v>
      </c>
      <c r="BI89" s="79">
        <f t="shared" si="256"/>
        <v>3.1415926535897931</v>
      </c>
      <c r="BJ89" s="79">
        <v>1</v>
      </c>
      <c r="BK89" s="57">
        <f t="shared" si="211"/>
        <v>3.1415926535897931</v>
      </c>
      <c r="BL89" s="57">
        <f t="shared" si="243"/>
        <v>27.599999999999998</v>
      </c>
      <c r="BM89" s="80">
        <f t="shared" si="257"/>
        <v>12.566370614359172</v>
      </c>
      <c r="BN89" s="80">
        <v>20</v>
      </c>
      <c r="BO89" s="57">
        <f t="shared" si="212"/>
        <v>251.32741228718345</v>
      </c>
      <c r="BP89" s="57">
        <f t="shared" si="213"/>
        <v>64272.648988907255</v>
      </c>
      <c r="BQ89" s="77">
        <f t="shared" si="214"/>
        <v>1.4224497135728598E-9</v>
      </c>
      <c r="BR89" s="57">
        <f t="shared" si="215"/>
        <v>44990854.292235076</v>
      </c>
      <c r="BS89" s="57">
        <v>92.713002968130041</v>
      </c>
      <c r="BT89" s="57">
        <f t="shared" si="220"/>
        <v>108.91515110481127</v>
      </c>
      <c r="BU89" s="57"/>
      <c r="BV89" s="57">
        <v>3.3E-3</v>
      </c>
      <c r="BW89" s="57">
        <v>30000</v>
      </c>
      <c r="BX89" s="57">
        <v>200000</v>
      </c>
      <c r="BY89" s="77">
        <v>7.4</v>
      </c>
      <c r="BZ89" s="77">
        <v>21.6</v>
      </c>
      <c r="CA89" s="77">
        <v>35.799999999999997</v>
      </c>
      <c r="CB89" s="77">
        <v>50</v>
      </c>
      <c r="CC89" s="77">
        <v>64.2</v>
      </c>
      <c r="CD89" s="77">
        <v>78.400000000000006</v>
      </c>
      <c r="CE89" s="77">
        <v>92.6</v>
      </c>
      <c r="CF89" s="77">
        <v>125</v>
      </c>
      <c r="CG89" s="77">
        <v>175</v>
      </c>
      <c r="CH89" s="77">
        <v>225</v>
      </c>
      <c r="CI89" s="77">
        <v>275</v>
      </c>
      <c r="CJ89" s="77">
        <v>325</v>
      </c>
      <c r="CK89" s="77">
        <v>375</v>
      </c>
      <c r="CL89" s="77">
        <v>425</v>
      </c>
      <c r="CM89" s="77">
        <v>475</v>
      </c>
      <c r="CN89" s="77">
        <v>507.4</v>
      </c>
      <c r="CO89" s="77">
        <v>521.6</v>
      </c>
      <c r="CP89" s="77">
        <v>535.79999999999995</v>
      </c>
      <c r="CQ89" s="77">
        <v>550</v>
      </c>
      <c r="CR89" s="77">
        <v>564.20000000000005</v>
      </c>
      <c r="CS89" s="77">
        <v>578.4</v>
      </c>
      <c r="CT89" s="77">
        <v>592.6</v>
      </c>
      <c r="DM89" s="77">
        <v>75.400000000000006</v>
      </c>
      <c r="DN89" s="77">
        <v>25.1</v>
      </c>
      <c r="DO89" s="77">
        <v>25.1</v>
      </c>
      <c r="DP89" s="77">
        <v>25.1</v>
      </c>
      <c r="DQ89" s="77">
        <v>25.1</v>
      </c>
      <c r="DR89" s="77">
        <v>25.1</v>
      </c>
      <c r="DS89" s="77">
        <v>50.3</v>
      </c>
      <c r="DT89" s="77">
        <v>3.14</v>
      </c>
      <c r="DU89" s="77">
        <v>3.14</v>
      </c>
      <c r="DV89" s="77">
        <v>3.14</v>
      </c>
      <c r="DW89" s="77">
        <v>3.14</v>
      </c>
      <c r="DX89" s="77">
        <v>3.14</v>
      </c>
      <c r="DY89" s="77">
        <v>3.14</v>
      </c>
      <c r="DZ89" s="77">
        <v>3.14</v>
      </c>
      <c r="EA89" s="77">
        <v>3.14</v>
      </c>
      <c r="EB89" s="77">
        <v>50.3</v>
      </c>
      <c r="EC89" s="77">
        <v>25.1</v>
      </c>
      <c r="ED89" s="77">
        <v>25.1</v>
      </c>
      <c r="EE89" s="77">
        <v>25.1</v>
      </c>
      <c r="EF89" s="77">
        <v>25.1</v>
      </c>
      <c r="EG89" s="77">
        <v>25.1</v>
      </c>
      <c r="EH89" s="77">
        <v>75.400000000000006</v>
      </c>
      <c r="FA89" s="77">
        <f t="shared" si="269"/>
        <v>-15735.98</v>
      </c>
      <c r="FB89" s="77">
        <f t="shared" si="270"/>
        <v>-5238.37</v>
      </c>
      <c r="FC89" s="77">
        <f t="shared" si="258"/>
        <v>-5238.37</v>
      </c>
      <c r="FD89" s="77">
        <f t="shared" si="258"/>
        <v>-5238.37</v>
      </c>
      <c r="FE89" s="77">
        <f t="shared" si="258"/>
        <v>-5094.7158656096017</v>
      </c>
      <c r="FF89" s="77">
        <f t="shared" si="258"/>
        <v>-2557.4536427382045</v>
      </c>
      <c r="FG89" s="77">
        <f t="shared" si="258"/>
        <v>-40.463283637472784</v>
      </c>
      <c r="FH89" s="77">
        <f t="shared" si="259"/>
        <v>721.70645439936891</v>
      </c>
      <c r="FI89" s="77">
        <f t="shared" si="259"/>
        <v>920.02</v>
      </c>
      <c r="FJ89" s="77">
        <f t="shared" si="259"/>
        <v>920.02</v>
      </c>
      <c r="FK89" s="77">
        <f t="shared" si="259"/>
        <v>920.02</v>
      </c>
      <c r="FL89" s="77">
        <f t="shared" si="259"/>
        <v>920.02</v>
      </c>
      <c r="FM89" s="77">
        <f t="shared" si="259"/>
        <v>920.02</v>
      </c>
      <c r="FN89" s="77">
        <f t="shared" si="259"/>
        <v>920.02</v>
      </c>
      <c r="FO89" s="77">
        <f t="shared" si="259"/>
        <v>920.02</v>
      </c>
      <c r="FP89" s="77">
        <f t="shared" si="260"/>
        <v>10497.609999999999</v>
      </c>
      <c r="FQ89" s="77">
        <f t="shared" si="260"/>
        <v>5238.37</v>
      </c>
      <c r="FR89" s="77">
        <f t="shared" si="260"/>
        <v>5238.37</v>
      </c>
      <c r="FS89" s="77">
        <f t="shared" si="260"/>
        <v>5238.37</v>
      </c>
      <c r="FT89" s="77">
        <f t="shared" si="253"/>
        <v>5238.37</v>
      </c>
      <c r="FU89" s="77">
        <f t="shared" si="253"/>
        <v>5238.37</v>
      </c>
      <c r="FV89" s="77">
        <f t="shared" si="261"/>
        <v>15735.98</v>
      </c>
      <c r="GO89" s="77">
        <f t="shared" si="262"/>
        <v>4604347.7480000006</v>
      </c>
      <c r="GP89" s="77">
        <f t="shared" si="263"/>
        <v>1458362.2079999999</v>
      </c>
      <c r="GQ89" s="77">
        <f t="shared" si="264"/>
        <v>1383977.3539999998</v>
      </c>
      <c r="GR89" s="77">
        <f t="shared" si="265"/>
        <v>1309592.5</v>
      </c>
      <c r="GS89" s="77">
        <f t="shared" si="266"/>
        <v>1201334.0011107442</v>
      </c>
      <c r="GT89" s="77">
        <f t="shared" si="267"/>
        <v>566731.72723078611</v>
      </c>
      <c r="GU89" s="77">
        <f t="shared" si="232"/>
        <v>8392.0850264118562</v>
      </c>
      <c r="GV89" s="77">
        <f t="shared" si="246"/>
        <v>-126298.62951988955</v>
      </c>
      <c r="GW89" s="77">
        <f t="shared" si="247"/>
        <v>-115002.5</v>
      </c>
      <c r="GX89" s="77">
        <f t="shared" si="248"/>
        <v>-69001.5</v>
      </c>
      <c r="GY89" s="77">
        <f t="shared" si="249"/>
        <v>-23000.5</v>
      </c>
      <c r="GZ89" s="77">
        <f t="shared" si="250"/>
        <v>23000.5</v>
      </c>
      <c r="HA89" s="77">
        <f t="shared" si="254"/>
        <v>69001.5</v>
      </c>
      <c r="HB89" s="77">
        <f t="shared" si="254"/>
        <v>115002.5</v>
      </c>
      <c r="HC89" s="77">
        <f t="shared" si="254"/>
        <v>161003.5</v>
      </c>
      <c r="HD89" s="77">
        <f t="shared" si="254"/>
        <v>2177204.3139999993</v>
      </c>
      <c r="HE89" s="77">
        <f t="shared" si="254"/>
        <v>1160822.7920000001</v>
      </c>
      <c r="HF89" s="77">
        <f t="shared" si="254"/>
        <v>1235207.6459999997</v>
      </c>
      <c r="HG89" s="77">
        <f t="shared" si="254"/>
        <v>1309592.5</v>
      </c>
      <c r="HH89" s="77">
        <f t="shared" si="254"/>
        <v>1383977.3540000003</v>
      </c>
      <c r="HI89" s="77">
        <f t="shared" si="254"/>
        <v>1458362.2079999999</v>
      </c>
      <c r="HJ89" s="77">
        <f t="shared" si="268"/>
        <v>4604347.7480000006</v>
      </c>
      <c r="IC89" s="82">
        <v>90</v>
      </c>
    </row>
    <row r="90" spans="1:237" s="77" customFormat="1">
      <c r="A90" s="77">
        <v>89</v>
      </c>
      <c r="B90" s="69">
        <v>146</v>
      </c>
      <c r="C90" s="69" t="s">
        <v>236</v>
      </c>
      <c r="D90" s="70" t="s">
        <v>108</v>
      </c>
      <c r="E90" s="70">
        <v>3</v>
      </c>
      <c r="F90" s="70">
        <v>5.52860696517413E-2</v>
      </c>
      <c r="G90" s="70"/>
      <c r="H90" s="70">
        <v>7.4418599999999998E-3</v>
      </c>
      <c r="I90" s="70">
        <v>7.4418604651162795E-3</v>
      </c>
      <c r="J90" s="71">
        <v>0.5</v>
      </c>
      <c r="K90" s="72">
        <v>14.333333333333334</v>
      </c>
      <c r="L90" s="71">
        <v>0</v>
      </c>
      <c r="M90" s="71">
        <v>0</v>
      </c>
      <c r="N90" s="71">
        <v>0.116025</v>
      </c>
      <c r="O90" s="71">
        <v>0</v>
      </c>
      <c r="P90" s="71">
        <v>0</v>
      </c>
      <c r="Q90" s="73" t="s">
        <v>243</v>
      </c>
      <c r="R90" s="74">
        <v>0.22388059701492538</v>
      </c>
      <c r="S90" s="75">
        <f t="shared" si="216"/>
        <v>0.26166143916296314</v>
      </c>
      <c r="T90" s="59">
        <f t="shared" si="188"/>
        <v>1.7407410738830742</v>
      </c>
      <c r="U90" s="59">
        <f t="shared" si="189"/>
        <v>1.4670003672948588</v>
      </c>
      <c r="V90" s="59">
        <f t="shared" si="190"/>
        <v>0.89954761907690373</v>
      </c>
      <c r="W90" s="59">
        <f t="shared" si="191"/>
        <v>0.51676129929552428</v>
      </c>
      <c r="X90" s="59">
        <f t="shared" si="192"/>
        <v>0.61318840753643777</v>
      </c>
      <c r="Y90" s="86">
        <v>24892</v>
      </c>
      <c r="Z90" s="57">
        <f t="shared" si="193"/>
        <v>15263.485840397008</v>
      </c>
      <c r="AA90" s="57">
        <f t="shared" si="194"/>
        <v>12863.222262064191</v>
      </c>
      <c r="AB90" s="57">
        <f t="shared" si="195"/>
        <v>60835.544519691837</v>
      </c>
      <c r="AC90" s="57">
        <f t="shared" si="196"/>
        <v>0.25</v>
      </c>
      <c r="AD90" s="57">
        <f t="shared" si="197"/>
        <v>1.5</v>
      </c>
      <c r="AE90" s="57">
        <f t="shared" si="198"/>
        <v>0</v>
      </c>
      <c r="AF90" s="57">
        <f t="shared" si="199"/>
        <v>12863.222262064191</v>
      </c>
      <c r="AG90" s="57">
        <f t="shared" ref="AG90:AG119" si="271">0.8*AZ90*BE90*AT90*AS90</f>
        <v>0</v>
      </c>
      <c r="AH90" s="57">
        <f t="shared" si="201"/>
        <v>8206492.2788210707</v>
      </c>
      <c r="AI90" s="57">
        <f t="shared" si="202"/>
        <v>4873149.7929126741</v>
      </c>
      <c r="AJ90" s="77">
        <v>0</v>
      </c>
      <c r="AK90" s="77">
        <v>22.4</v>
      </c>
      <c r="AL90" s="78">
        <f t="shared" si="203"/>
        <v>2.539721116702395</v>
      </c>
      <c r="AM90" s="57">
        <f t="shared" si="204"/>
        <v>1</v>
      </c>
      <c r="AN90" s="57">
        <f t="shared" si="205"/>
        <v>0.8</v>
      </c>
      <c r="AO90" s="77">
        <v>430</v>
      </c>
      <c r="AP90" s="79">
        <v>30</v>
      </c>
      <c r="AQ90" s="77">
        <f t="shared" si="206"/>
        <v>7.9319306140341821</v>
      </c>
      <c r="AR90" s="57">
        <f t="shared" si="207"/>
        <v>370</v>
      </c>
      <c r="AS90" s="77">
        <f t="shared" si="208"/>
        <v>422.06806938596583</v>
      </c>
      <c r="AT90" s="77">
        <v>30</v>
      </c>
      <c r="AU90" s="77">
        <v>215</v>
      </c>
      <c r="AV90" s="77">
        <f t="shared" si="209"/>
        <v>11100</v>
      </c>
      <c r="AW90" s="77">
        <f t="shared" ref="AW90:AW101" si="272">30*150*2</f>
        <v>9000</v>
      </c>
      <c r="AX90" s="77">
        <f t="shared" si="210"/>
        <v>12900</v>
      </c>
      <c r="AY90" s="77">
        <v>20100</v>
      </c>
      <c r="AZ90" s="77">
        <v>0</v>
      </c>
      <c r="BA90" s="77">
        <v>0</v>
      </c>
      <c r="BB90" s="77">
        <v>382.2</v>
      </c>
      <c r="BC90" s="77">
        <v>382.2</v>
      </c>
      <c r="BD90" s="77">
        <v>0</v>
      </c>
      <c r="BE90" s="77">
        <v>0</v>
      </c>
      <c r="BF90" s="77">
        <v>6.7999999999999996E-3</v>
      </c>
      <c r="BH90" s="79"/>
      <c r="BI90" s="79"/>
      <c r="BJ90" s="79"/>
      <c r="BK90" s="57"/>
      <c r="BL90" s="57">
        <f t="shared" si="243"/>
        <v>0</v>
      </c>
      <c r="BM90" s="80">
        <f t="shared" ref="BM90:BM109" si="273">PI()*1.4*1.4/4</f>
        <v>1.5393804002589986</v>
      </c>
      <c r="BN90" s="80">
        <v>20</v>
      </c>
      <c r="BO90" s="57">
        <f t="shared" si="212"/>
        <v>30.787608005179973</v>
      </c>
      <c r="BP90" s="57">
        <f t="shared" si="213"/>
        <v>22391.539334062287</v>
      </c>
      <c r="BQ90" s="77">
        <f t="shared" si="214"/>
        <v>-1.0004441719502211E-10</v>
      </c>
      <c r="BR90" s="57">
        <f t="shared" si="215"/>
        <v>4814180.9568233918</v>
      </c>
      <c r="BS90" s="57">
        <v>15.863861228068364</v>
      </c>
      <c r="BT90" s="57">
        <f t="shared" si="220"/>
        <v>0</v>
      </c>
      <c r="BU90" s="57"/>
      <c r="BV90" s="57">
        <v>3.3E-3</v>
      </c>
      <c r="BW90" s="57">
        <v>30000</v>
      </c>
      <c r="BX90" s="57">
        <v>200000</v>
      </c>
      <c r="BY90" s="77">
        <f>10</f>
        <v>10</v>
      </c>
      <c r="BZ90" s="77">
        <f t="shared" ref="BZ90:BZ95" si="274">BY90+10</f>
        <v>20</v>
      </c>
      <c r="CA90" s="77">
        <f>30+370+10</f>
        <v>410</v>
      </c>
      <c r="CB90" s="77">
        <f>CA90+10</f>
        <v>420</v>
      </c>
      <c r="DM90" s="77">
        <f>PI()*1.4*1.4/4*10</f>
        <v>15.393804002589986</v>
      </c>
      <c r="DN90" s="77">
        <f>PI()*1.4*1.4/4*10</f>
        <v>15.393804002589986</v>
      </c>
      <c r="DO90" s="77">
        <f>PI()*1.4*1.4/4*10</f>
        <v>15.393804002589986</v>
      </c>
      <c r="DP90" s="77">
        <f>PI()*1.4*1.4/4*10</f>
        <v>15.393804002589986</v>
      </c>
      <c r="FA90" s="77">
        <f t="shared" si="269"/>
        <v>-3755.4732253424459</v>
      </c>
      <c r="FB90" s="77">
        <f t="shared" si="270"/>
        <v>2648.9641910244995</v>
      </c>
      <c r="FC90" s="77">
        <f>IF(ABS(-$BV90*($BS90-CA90)/$BS90*$BX90)&gt;$BB90,$BB90*SIGN(-($BS90-CA90)),-$BV90*($BS90-CA90)/$BS90*$BX90)*DO90</f>
        <v>5883.5118897898928</v>
      </c>
      <c r="FD90" s="77">
        <f>IF(ABS(-$BV90*($BS90-CB90)/$BS90*$BX90)&gt;$BB90,$BB90*SIGN(-($BS90-CB90)),-$BV90*($BS90-CB90)/$BS90*$BX90)*DP90</f>
        <v>5883.5118897898928</v>
      </c>
      <c r="GO90" s="77">
        <f t="shared" ref="GO90:GO151" si="275">FA90*(BY90-0.5*$AO90)</f>
        <v>769872.01119520143</v>
      </c>
      <c r="GP90" s="77">
        <f t="shared" ref="GP90:GP151" si="276">FB90*(BZ90-0.5*$AO90)</f>
        <v>-516548.01724977739</v>
      </c>
      <c r="GQ90" s="77">
        <f t="shared" ref="GQ90:GQ151" si="277">FC90*(CA90-0.5*$AO90)</f>
        <v>1147284.818509029</v>
      </c>
      <c r="GR90" s="77">
        <f t="shared" ref="GR90:GR151" si="278">FD90*(CB90-0.5*$AO90)</f>
        <v>1206119.937406928</v>
      </c>
      <c r="IC90" s="82">
        <v>91</v>
      </c>
    </row>
    <row r="91" spans="1:237" s="77" customFormat="1">
      <c r="A91" s="77">
        <v>90</v>
      </c>
      <c r="B91" s="69">
        <v>147</v>
      </c>
      <c r="C91" s="69" t="s">
        <v>236</v>
      </c>
      <c r="D91" s="70" t="s">
        <v>109</v>
      </c>
      <c r="E91" s="70">
        <v>3</v>
      </c>
      <c r="F91" s="70">
        <v>4.5926616915422887E-2</v>
      </c>
      <c r="G91" s="70">
        <v>9.3023259999999997E-3</v>
      </c>
      <c r="H91" s="70"/>
      <c r="I91" s="70">
        <v>1.3953488372093023E-2</v>
      </c>
      <c r="J91" s="71">
        <v>0.5</v>
      </c>
      <c r="K91" s="72">
        <v>14.333333333333334</v>
      </c>
      <c r="L91" s="71">
        <v>6.1425000000000007E-2</v>
      </c>
      <c r="M91" s="71">
        <v>6.9956250000000011E-2</v>
      </c>
      <c r="N91" s="71">
        <v>0.116025</v>
      </c>
      <c r="O91" s="71">
        <v>1.1673634701964071E-2</v>
      </c>
      <c r="P91" s="71">
        <v>0</v>
      </c>
      <c r="Q91" s="73" t="s">
        <v>243</v>
      </c>
      <c r="R91" s="74">
        <v>0.22388059701492538</v>
      </c>
      <c r="S91" s="75">
        <f t="shared" si="216"/>
        <v>0.21736442387159535</v>
      </c>
      <c r="T91" s="59">
        <f t="shared" si="188"/>
        <v>1.2791082918261021</v>
      </c>
      <c r="U91" s="59">
        <f t="shared" si="189"/>
        <v>1.0225871126370205</v>
      </c>
      <c r="V91" s="59">
        <f t="shared" si="190"/>
        <v>1.7544922339085605</v>
      </c>
      <c r="W91" s="59">
        <f t="shared" si="191"/>
        <v>1.3716526154355411</v>
      </c>
      <c r="X91" s="59">
        <f t="shared" si="192"/>
        <v>1.715738651726328</v>
      </c>
      <c r="Y91" s="86">
        <v>20678</v>
      </c>
      <c r="Z91" s="57">
        <f t="shared" si="193"/>
        <v>35478.043840397011</v>
      </c>
      <c r="AA91" s="57">
        <f t="shared" si="194"/>
        <v>28363.032781976119</v>
      </c>
      <c r="AB91" s="57">
        <f t="shared" si="195"/>
        <v>59720.596251211755</v>
      </c>
      <c r="AC91" s="57">
        <f t="shared" si="196"/>
        <v>0.25</v>
      </c>
      <c r="AD91" s="57">
        <f t="shared" si="197"/>
        <v>1.5</v>
      </c>
      <c r="AE91" s="57">
        <f t="shared" si="198"/>
        <v>0</v>
      </c>
      <c r="AF91" s="57">
        <f t="shared" si="199"/>
        <v>12696.021529361373</v>
      </c>
      <c r="AG91" s="57">
        <f t="shared" si="271"/>
        <v>15667.011252614746</v>
      </c>
      <c r="AH91" s="57">
        <f t="shared" si="201"/>
        <v>8095890.6741435248</v>
      </c>
      <c r="AI91" s="57">
        <f t="shared" si="202"/>
        <v>4744037.519867003</v>
      </c>
      <c r="AJ91" s="77">
        <v>0</v>
      </c>
      <c r="AK91" s="77">
        <v>22.4</v>
      </c>
      <c r="AL91" s="78">
        <f t="shared" si="203"/>
        <v>2.539721116702395</v>
      </c>
      <c r="AM91" s="57">
        <f t="shared" si="204"/>
        <v>1</v>
      </c>
      <c r="AN91" s="57">
        <f t="shared" si="205"/>
        <v>0.8</v>
      </c>
      <c r="AO91" s="77">
        <v>430</v>
      </c>
      <c r="AP91" s="79">
        <v>30</v>
      </c>
      <c r="AQ91" s="77">
        <f t="shared" si="206"/>
        <v>13.418121322245771</v>
      </c>
      <c r="AR91" s="57">
        <f t="shared" si="207"/>
        <v>370</v>
      </c>
      <c r="AS91" s="77">
        <f t="shared" si="208"/>
        <v>416.58187867775422</v>
      </c>
      <c r="AT91" s="77">
        <v>30</v>
      </c>
      <c r="AU91" s="77">
        <v>215</v>
      </c>
      <c r="AV91" s="77">
        <f t="shared" si="209"/>
        <v>11100</v>
      </c>
      <c r="AW91" s="77">
        <f t="shared" si="272"/>
        <v>9000</v>
      </c>
      <c r="AX91" s="77">
        <f t="shared" si="210"/>
        <v>12900</v>
      </c>
      <c r="AY91" s="77">
        <v>20100</v>
      </c>
      <c r="AZ91" s="77">
        <v>382.2</v>
      </c>
      <c r="BA91" s="77">
        <v>382.2</v>
      </c>
      <c r="BB91" s="77">
        <v>382.2</v>
      </c>
      <c r="BC91" s="77">
        <v>382.2</v>
      </c>
      <c r="BD91" s="77">
        <v>3.5999999999999999E-3</v>
      </c>
      <c r="BE91" s="77">
        <v>4.1000000000000003E-3</v>
      </c>
      <c r="BF91" s="77">
        <v>6.7999999999999996E-3</v>
      </c>
      <c r="BH91" s="79"/>
      <c r="BI91" s="79"/>
      <c r="BJ91" s="79"/>
      <c r="BK91" s="57"/>
      <c r="BL91" s="57">
        <f t="shared" si="243"/>
        <v>39.96</v>
      </c>
      <c r="BM91" s="80">
        <f t="shared" si="273"/>
        <v>1.5393804002589986</v>
      </c>
      <c r="BN91" s="80">
        <v>20</v>
      </c>
      <c r="BO91" s="57">
        <f t="shared" si="212"/>
        <v>30.787608005179973</v>
      </c>
      <c r="BP91" s="57">
        <f t="shared" si="213"/>
        <v>36279.390412761211</v>
      </c>
      <c r="BQ91" s="77">
        <f t="shared" si="214"/>
        <v>7.7743607107549906E-9</v>
      </c>
      <c r="BR91" s="57">
        <f t="shared" si="215"/>
        <v>7800068.9387436602</v>
      </c>
      <c r="BS91" s="57">
        <v>26.836242644491541</v>
      </c>
      <c r="BT91" s="57">
        <f t="shared" si="220"/>
        <v>12.179444811632518</v>
      </c>
      <c r="BU91" s="57"/>
      <c r="BV91" s="57">
        <v>3.3E-3</v>
      </c>
      <c r="BW91" s="57">
        <v>30000</v>
      </c>
      <c r="BX91" s="57">
        <v>200000</v>
      </c>
      <c r="BY91" s="77">
        <f>10</f>
        <v>10</v>
      </c>
      <c r="BZ91" s="77">
        <f t="shared" si="274"/>
        <v>20</v>
      </c>
      <c r="CA91" s="77">
        <f t="shared" ref="CA91:CA99" si="279">30+5</f>
        <v>35</v>
      </c>
      <c r="CB91" s="77">
        <f t="shared" ref="CB91:CB101" si="280">CA91+30*1</f>
        <v>65</v>
      </c>
      <c r="CC91" s="77">
        <f t="shared" ref="CC91:CC101" si="281">CA91+30*2</f>
        <v>95</v>
      </c>
      <c r="CD91" s="77">
        <f t="shared" ref="CD91:CD101" si="282">CA91+30*3</f>
        <v>125</v>
      </c>
      <c r="CE91" s="77">
        <f t="shared" ref="CE91:CE101" si="283">CA91+30*4</f>
        <v>155</v>
      </c>
      <c r="CF91" s="77">
        <f t="shared" ref="CF91:CF101" si="284">CA91+30*5</f>
        <v>185</v>
      </c>
      <c r="CG91" s="77">
        <f t="shared" ref="CG91:CG101" si="285">CA91+30*6</f>
        <v>215</v>
      </c>
      <c r="CH91" s="77">
        <f t="shared" ref="CH91:CH101" si="286">CA91+30*7</f>
        <v>245</v>
      </c>
      <c r="CI91" s="77">
        <f t="shared" ref="CI91:CI101" si="287">CA91+30*8</f>
        <v>275</v>
      </c>
      <c r="CJ91" s="77">
        <f t="shared" ref="CJ91:CJ100" si="288">CA91+30*9</f>
        <v>305</v>
      </c>
      <c r="CK91" s="77">
        <f t="shared" ref="CK91:CK99" si="289">CA91+30*10</f>
        <v>335</v>
      </c>
      <c r="CL91" s="77">
        <f t="shared" ref="CL91:CL99" si="290">CA91+30*11</f>
        <v>365</v>
      </c>
      <c r="CM91" s="77">
        <f t="shared" ref="CM91:CM99" si="291">CA91+30*12</f>
        <v>395</v>
      </c>
      <c r="CN91" s="77">
        <f t="shared" ref="CN91:CN99" si="292">CM91+5+10</f>
        <v>410</v>
      </c>
      <c r="CO91" s="77">
        <f t="shared" ref="CO91:CO99" si="293">CN91+10</f>
        <v>420</v>
      </c>
      <c r="DM91" s="77">
        <f t="shared" ref="DM91:DN101" si="294">PI()*1.4*1.4/4*10</f>
        <v>15.393804002589986</v>
      </c>
      <c r="DN91" s="77">
        <f t="shared" si="294"/>
        <v>15.393804002589986</v>
      </c>
      <c r="DO91" s="77">
        <f t="shared" ref="DO91:EA92" si="295">PI()*1.4*1.4/4*2</f>
        <v>3.0787608005179972</v>
      </c>
      <c r="DP91" s="77">
        <f t="shared" si="295"/>
        <v>3.0787608005179972</v>
      </c>
      <c r="DQ91" s="77">
        <f t="shared" si="295"/>
        <v>3.0787608005179972</v>
      </c>
      <c r="DR91" s="77">
        <f t="shared" si="295"/>
        <v>3.0787608005179972</v>
      </c>
      <c r="DS91" s="77">
        <f t="shared" si="295"/>
        <v>3.0787608005179972</v>
      </c>
      <c r="DT91" s="77">
        <f t="shared" si="295"/>
        <v>3.0787608005179972</v>
      </c>
      <c r="DU91" s="77">
        <f t="shared" si="295"/>
        <v>3.0787608005179972</v>
      </c>
      <c r="DV91" s="77">
        <f t="shared" si="295"/>
        <v>3.0787608005179972</v>
      </c>
      <c r="DW91" s="77">
        <f t="shared" si="295"/>
        <v>3.0787608005179972</v>
      </c>
      <c r="DX91" s="77">
        <f t="shared" si="295"/>
        <v>3.0787608005179972</v>
      </c>
      <c r="DY91" s="77">
        <f t="shared" si="295"/>
        <v>3.0787608005179972</v>
      </c>
      <c r="DZ91" s="77">
        <f t="shared" si="295"/>
        <v>3.0787608005179972</v>
      </c>
      <c r="EA91" s="77">
        <f t="shared" si="295"/>
        <v>3.0787608005179972</v>
      </c>
      <c r="EB91" s="77">
        <f t="shared" ref="EB91:EC99" si="296">PI()*1.4*1.4/4*10</f>
        <v>15.393804002589986</v>
      </c>
      <c r="EC91" s="77">
        <f t="shared" si="296"/>
        <v>15.393804002589986</v>
      </c>
      <c r="FA91" s="77">
        <f t="shared" si="269"/>
        <v>-5883.5118897898928</v>
      </c>
      <c r="FB91" s="77">
        <f t="shared" si="270"/>
        <v>-2588.1273810636735</v>
      </c>
      <c r="FC91" s="77">
        <f t="shared" ref="FC91:FC99" si="297">IF(ABS(-$BV91*($BS91-CA91)/$BS91*$BX91)&gt;$BA91,$BA91*SIGN(-($BS91-CA91)),-$BV91*($BS91-CA91)/$BS91*$BX91)*DO91</f>
        <v>618.14201288412301</v>
      </c>
      <c r="FD91" s="77">
        <f t="shared" ref="FD91:FD99" si="298">IF(ABS(-$BV91*($BS91-CB91)/$BS91*$BX91)&gt;$BA91,$BA91*SIGN(-($BS91-CB91)),-$BV91*($BS91-CB91)/$BS91*$BX91)*DP91</f>
        <v>1176.7023779579786</v>
      </c>
      <c r="FE91" s="77">
        <f t="shared" ref="FE91:FE99" si="299">IF(ABS(-$BV91*($BS91-CC91)/$BS91*$BX91)&gt;$BA91,$BA91*SIGN(-($BS91-CC91)),-$BV91*($BS91-CC91)/$BS91*$BX91)*DQ91</f>
        <v>1176.7023779579786</v>
      </c>
      <c r="FF91" s="77">
        <f t="shared" ref="FF91:FF99" si="300">IF(ABS(-$BV91*($BS91-CD91)/$BS91*$BX91)&gt;$BA91,$BA91*SIGN(-($BS91-CD91)),-$BV91*($BS91-CD91)/$BS91*$BX91)*DR91</f>
        <v>1176.7023779579786</v>
      </c>
      <c r="FG91" s="77">
        <f t="shared" ref="FG91:FG99" si="301">IF(ABS(-$BV91*($BS91-CE91)/$BS91*$BX91)&gt;$BA91,$BA91*SIGN(-($BS91-CE91)),-$BV91*($BS91-CE91)/$BS91*$BX91)*DS91</f>
        <v>1176.7023779579786</v>
      </c>
      <c r="FH91" s="77">
        <f t="shared" ref="FH91:FH99" si="302">IF(ABS(-$BV91*($BS91-CF91)/$BS91*$BX91)&gt;$BA91,$BA91*SIGN(-($BS91-CF91)),-$BV91*($BS91-CF91)/$BS91*$BX91)*DT91</f>
        <v>1176.7023779579786</v>
      </c>
      <c r="FI91" s="77">
        <f t="shared" ref="FI91:FI99" si="303">IF(ABS(-$BV91*($BS91-CG91)/$BS91*$BX91)&gt;$BA91,$BA91*SIGN(-($BS91-CG91)),-$BV91*($BS91-CG91)/$BS91*$BX91)*DU91</f>
        <v>1176.7023779579786</v>
      </c>
      <c r="FJ91" s="77">
        <f t="shared" ref="FJ91:FJ99" si="304">IF(ABS(-$BV91*($BS91-CH91)/$BS91*$BX91)&gt;$BA91,$BA91*SIGN(-($BS91-CH91)),-$BV91*($BS91-CH91)/$BS91*$BX91)*DV91</f>
        <v>1176.7023779579786</v>
      </c>
      <c r="FK91" s="77">
        <f t="shared" ref="FK91:FK99" si="305">IF(ABS(-$BV91*($BS91-CI91)/$BS91*$BX91)&gt;$BA91,$BA91*SIGN(-($BS91-CI91)),-$BV91*($BS91-CI91)/$BS91*$BX91)*DW91</f>
        <v>1176.7023779579786</v>
      </c>
      <c r="FL91" s="77">
        <f t="shared" ref="FL91:FL99" si="306">IF(ABS(-$BV91*($BS91-CJ91)/$BS91*$BX91)&gt;$BA91,$BA91*SIGN(-($BS91-CJ91)),-$BV91*($BS91-CJ91)/$BS91*$BX91)*DX91</f>
        <v>1176.7023779579786</v>
      </c>
      <c r="FM91" s="77">
        <f t="shared" ref="FM91:FM99" si="307">IF(ABS(-$BV91*($BS91-CK91)/$BS91*$BX91)&gt;$BA91,$BA91*SIGN(-($BS91-CK91)),-$BV91*($BS91-CK91)/$BS91*$BX91)*DY91</f>
        <v>1176.7023779579786</v>
      </c>
      <c r="FN91" s="77">
        <f t="shared" ref="FN91:FN99" si="308">IF(ABS(-$BV91*($BS91-CL91)/$BS91*$BX91)&gt;$BA91,$BA91*SIGN(-($BS91-CL91)),-$BV91*($BS91-CL91)/$BS91*$BX91)*DZ91</f>
        <v>1176.7023779579786</v>
      </c>
      <c r="FO91" s="77">
        <f t="shared" ref="FO91:FO99" si="309">IF(ABS(-$BV91*($BS91-CM91)/$BS91*$BX91)&gt;$BA91,$BA91*SIGN(-($BS91-CM91)),-$BV91*($BS91-CM91)/$BS91*$BX91)*EA91</f>
        <v>1176.7023779579786</v>
      </c>
      <c r="FP91" s="77">
        <f t="shared" ref="FP91:FP99" si="310">IF(ABS(-$BV91*($BS91-CN91)/$BS91*$BX91)&gt;$BB91,$BB91*SIGN(-($BS91-CN91)),-$BV91*($BS91-CN91)/$BS91*$BX91)*EB91</f>
        <v>5883.5118897898928</v>
      </c>
      <c r="FQ91" s="77">
        <f t="shared" ref="FQ91:FQ99" si="311">IF(ABS(-$BV91*($BS91-CO91)/$BS91*$BX91)&gt;$BB91,$BB91*SIGN(-($BS91-CO91)),-$BV91*($BS91-CO91)/$BS91*$BX91)*EC91</f>
        <v>5883.5118897898928</v>
      </c>
      <c r="GO91" s="77">
        <f t="shared" si="275"/>
        <v>1206119.937406928</v>
      </c>
      <c r="GP91" s="77">
        <f t="shared" si="276"/>
        <v>504684.83930741635</v>
      </c>
      <c r="GQ91" s="77">
        <f t="shared" si="277"/>
        <v>-111265.56231914215</v>
      </c>
      <c r="GR91" s="77">
        <f t="shared" si="278"/>
        <v>-176505.35669369678</v>
      </c>
      <c r="GS91" s="77">
        <f t="shared" ref="GS91:GS99" si="312">FE91*(CC91-0.5*$AO91)</f>
        <v>-141204.28535495742</v>
      </c>
      <c r="GT91" s="77">
        <f t="shared" ref="GT91:GT99" si="313">FF91*(CD91-0.5*$AO91)</f>
        <v>-105903.21401621807</v>
      </c>
      <c r="GU91" s="77">
        <f t="shared" ref="GU91:GU99" si="314">FG91*(CE91-0.5*$AO91)</f>
        <v>-70602.142677478711</v>
      </c>
      <c r="GV91" s="77">
        <f t="shared" ref="GV91:GV99" si="315">FH91*(CF91-0.5*$AO91)</f>
        <v>-35301.071338739355</v>
      </c>
      <c r="GW91" s="77">
        <f t="shared" ref="GW91:GW99" si="316">FI91*(CG91-0.5*$AO91)</f>
        <v>0</v>
      </c>
      <c r="GX91" s="77">
        <f t="shared" ref="GX91:GX99" si="317">FJ91*(CH91-0.5*$AO91)</f>
        <v>35301.071338739355</v>
      </c>
      <c r="GY91" s="77">
        <f t="shared" ref="GY91:GY99" si="318">FK91*(CI91-0.5*$AO91)</f>
        <v>70602.142677478711</v>
      </c>
      <c r="GZ91" s="77">
        <f t="shared" ref="GZ91:GZ99" si="319">FL91*(CJ91-0.5*$AO91)</f>
        <v>105903.21401621807</v>
      </c>
      <c r="HA91" s="77">
        <f t="shared" ref="HA91:HA99" si="320">FM91*(CK91-0.5*$AO91)</f>
        <v>141204.28535495742</v>
      </c>
      <c r="HB91" s="77">
        <f t="shared" ref="HB91:HB99" si="321">FN91*(CL91-0.5*$AO91)</f>
        <v>176505.35669369678</v>
      </c>
      <c r="HC91" s="77">
        <f t="shared" ref="HC91:HC99" si="322">FO91*(CM91-0.5*$AO91)</f>
        <v>211806.42803243615</v>
      </c>
      <c r="HD91" s="77">
        <f t="shared" ref="HD91:HD99" si="323">FP91*(CN91-0.5*$AO91)</f>
        <v>1147284.818509029</v>
      </c>
      <c r="HE91" s="77">
        <f t="shared" ref="HE91:HE99" si="324">FQ91*(CO91-0.5*$AO91)</f>
        <v>1206119.937406928</v>
      </c>
      <c r="IC91" s="82">
        <v>92</v>
      </c>
    </row>
    <row r="92" spans="1:237" s="77" customFormat="1">
      <c r="A92" s="77">
        <v>91</v>
      </c>
      <c r="B92" s="69">
        <v>148</v>
      </c>
      <c r="C92" s="69" t="s">
        <v>236</v>
      </c>
      <c r="D92" s="70" t="s">
        <v>110</v>
      </c>
      <c r="E92" s="70">
        <v>3</v>
      </c>
      <c r="F92" s="70">
        <v>5.1064205599222826E-2</v>
      </c>
      <c r="G92" s="70"/>
      <c r="H92" s="70">
        <v>4.6511600000000001E-4</v>
      </c>
      <c r="I92" s="70">
        <v>4.6511627906976744E-3</v>
      </c>
      <c r="J92" s="71">
        <v>0.5</v>
      </c>
      <c r="K92" s="72">
        <v>14.333333333333334</v>
      </c>
      <c r="L92" s="71">
        <v>8.1415384615384626E-2</v>
      </c>
      <c r="M92" s="71">
        <v>9.2723076923076936E-2</v>
      </c>
      <c r="N92" s="71">
        <v>0.15378461538461538</v>
      </c>
      <c r="O92" s="71">
        <v>1.5472746587218649E-2</v>
      </c>
      <c r="P92" s="71">
        <v>0</v>
      </c>
      <c r="Q92" s="73" t="s">
        <v>243</v>
      </c>
      <c r="R92" s="74">
        <v>0.22388059701492538</v>
      </c>
      <c r="S92" s="75">
        <f t="shared" si="216"/>
        <v>0.20992295558086763</v>
      </c>
      <c r="T92" s="59">
        <f t="shared" si="188"/>
        <v>1.3649304536421309</v>
      </c>
      <c r="U92" s="59">
        <f t="shared" si="189"/>
        <v>1.0752854670903293</v>
      </c>
      <c r="V92" s="59">
        <f t="shared" si="190"/>
        <v>2.07496788266364</v>
      </c>
      <c r="W92" s="59">
        <f t="shared" si="191"/>
        <v>1.5202004447383168</v>
      </c>
      <c r="X92" s="59">
        <f t="shared" si="192"/>
        <v>1.929690250793032</v>
      </c>
      <c r="Y92" s="86">
        <v>17346</v>
      </c>
      <c r="Z92" s="57">
        <f t="shared" si="193"/>
        <v>33472.407090255932</v>
      </c>
      <c r="AA92" s="57">
        <f t="shared" si="194"/>
        <v>26369.396914430843</v>
      </c>
      <c r="AB92" s="57">
        <f t="shared" si="195"/>
        <v>49990.905758582412</v>
      </c>
      <c r="AC92" s="57">
        <f t="shared" si="196"/>
        <v>0.25</v>
      </c>
      <c r="AD92" s="57">
        <f t="shared" si="197"/>
        <v>1.5</v>
      </c>
      <c r="AE92" s="57">
        <f t="shared" si="198"/>
        <v>0</v>
      </c>
      <c r="AF92" s="57">
        <f t="shared" si="199"/>
        <v>10803.389075248921</v>
      </c>
      <c r="AG92" s="57">
        <f t="shared" si="271"/>
        <v>15566.007839181922</v>
      </c>
      <c r="AH92" s="57">
        <f t="shared" si="201"/>
        <v>6067211.5576581936</v>
      </c>
      <c r="AI92" s="57">
        <f t="shared" si="202"/>
        <v>4680833.1804370247</v>
      </c>
      <c r="AJ92" s="77">
        <v>0</v>
      </c>
      <c r="AK92" s="77">
        <v>16.899999999999999</v>
      </c>
      <c r="AL92" s="78">
        <f t="shared" si="203"/>
        <v>2.1751404629366138</v>
      </c>
      <c r="AM92" s="57">
        <f t="shared" si="204"/>
        <v>1</v>
      </c>
      <c r="AN92" s="57">
        <f t="shared" si="205"/>
        <v>0.8</v>
      </c>
      <c r="AO92" s="77">
        <v>430</v>
      </c>
      <c r="AP92" s="79">
        <v>30</v>
      </c>
      <c r="AQ92" s="77">
        <f t="shared" si="206"/>
        <v>16.103776616818262</v>
      </c>
      <c r="AR92" s="57">
        <f t="shared" si="207"/>
        <v>370</v>
      </c>
      <c r="AS92" s="77">
        <f t="shared" si="208"/>
        <v>413.89622338318173</v>
      </c>
      <c r="AT92" s="77">
        <v>30</v>
      </c>
      <c r="AU92" s="77">
        <v>215</v>
      </c>
      <c r="AV92" s="77">
        <f t="shared" si="209"/>
        <v>11100</v>
      </c>
      <c r="AW92" s="77">
        <f t="shared" si="272"/>
        <v>9000</v>
      </c>
      <c r="AX92" s="77">
        <f t="shared" si="210"/>
        <v>12900</v>
      </c>
      <c r="AY92" s="77">
        <v>20100</v>
      </c>
      <c r="AZ92" s="77">
        <v>382.2</v>
      </c>
      <c r="BA92" s="77">
        <v>382.2</v>
      </c>
      <c r="BB92" s="77">
        <v>382.2</v>
      </c>
      <c r="BC92" s="77">
        <v>382.2</v>
      </c>
      <c r="BD92" s="77">
        <v>3.5999999999999999E-3</v>
      </c>
      <c r="BE92" s="77">
        <v>4.1000000000000003E-3</v>
      </c>
      <c r="BF92" s="77">
        <v>6.7999999999999996E-3</v>
      </c>
      <c r="BH92" s="79"/>
      <c r="BI92" s="79"/>
      <c r="BJ92" s="79"/>
      <c r="BK92" s="57"/>
      <c r="BL92" s="57">
        <f t="shared" si="243"/>
        <v>39.96</v>
      </c>
      <c r="BM92" s="80">
        <f t="shared" si="273"/>
        <v>1.5393804002589986</v>
      </c>
      <c r="BN92" s="80">
        <v>20</v>
      </c>
      <c r="BO92" s="57">
        <f t="shared" si="212"/>
        <v>30.787608005179973</v>
      </c>
      <c r="BP92" s="57">
        <f t="shared" si="213"/>
        <v>35992.3928926835</v>
      </c>
      <c r="BQ92" s="77">
        <f t="shared" si="214"/>
        <v>-8.694769348949194E-10</v>
      </c>
      <c r="BR92" s="57">
        <f t="shared" si="215"/>
        <v>7738364.4719269518</v>
      </c>
      <c r="BS92" s="57">
        <v>32.207553233636524</v>
      </c>
      <c r="BT92" s="57">
        <f t="shared" si="220"/>
        <v>15.460714173921209</v>
      </c>
      <c r="BU92" s="57"/>
      <c r="BV92" s="57">
        <v>3.3E-3</v>
      </c>
      <c r="BW92" s="57">
        <v>30000</v>
      </c>
      <c r="BX92" s="57">
        <v>200000</v>
      </c>
      <c r="BY92" s="77">
        <f>10</f>
        <v>10</v>
      </c>
      <c r="BZ92" s="77">
        <f t="shared" si="274"/>
        <v>20</v>
      </c>
      <c r="CA92" s="77">
        <f t="shared" si="279"/>
        <v>35</v>
      </c>
      <c r="CB92" s="77">
        <f t="shared" si="280"/>
        <v>65</v>
      </c>
      <c r="CC92" s="77">
        <f t="shared" si="281"/>
        <v>95</v>
      </c>
      <c r="CD92" s="77">
        <f t="shared" si="282"/>
        <v>125</v>
      </c>
      <c r="CE92" s="77">
        <f t="shared" si="283"/>
        <v>155</v>
      </c>
      <c r="CF92" s="77">
        <f t="shared" si="284"/>
        <v>185</v>
      </c>
      <c r="CG92" s="77">
        <f t="shared" si="285"/>
        <v>215</v>
      </c>
      <c r="CH92" s="77">
        <f t="shared" si="286"/>
        <v>245</v>
      </c>
      <c r="CI92" s="77">
        <f t="shared" si="287"/>
        <v>275</v>
      </c>
      <c r="CJ92" s="77">
        <f t="shared" si="288"/>
        <v>305</v>
      </c>
      <c r="CK92" s="77">
        <f t="shared" si="289"/>
        <v>335</v>
      </c>
      <c r="CL92" s="77">
        <f t="shared" si="290"/>
        <v>365</v>
      </c>
      <c r="CM92" s="77">
        <f t="shared" si="291"/>
        <v>395</v>
      </c>
      <c r="CN92" s="77">
        <f t="shared" si="292"/>
        <v>410</v>
      </c>
      <c r="CO92" s="77">
        <f t="shared" si="293"/>
        <v>420</v>
      </c>
      <c r="DM92" s="77">
        <f t="shared" si="294"/>
        <v>15.393804002589986</v>
      </c>
      <c r="DN92" s="77">
        <f t="shared" si="294"/>
        <v>15.393804002589986</v>
      </c>
      <c r="DO92" s="77">
        <f t="shared" si="295"/>
        <v>3.0787608005179972</v>
      </c>
      <c r="DP92" s="77">
        <f t="shared" si="295"/>
        <v>3.0787608005179972</v>
      </c>
      <c r="DQ92" s="77">
        <f t="shared" si="295"/>
        <v>3.0787608005179972</v>
      </c>
      <c r="DR92" s="77">
        <f t="shared" si="295"/>
        <v>3.0787608005179972</v>
      </c>
      <c r="DS92" s="77">
        <f t="shared" si="295"/>
        <v>3.0787608005179972</v>
      </c>
      <c r="DT92" s="77">
        <f t="shared" si="295"/>
        <v>3.0787608005179972</v>
      </c>
      <c r="DU92" s="77">
        <f t="shared" si="295"/>
        <v>3.0787608005179972</v>
      </c>
      <c r="DV92" s="77">
        <f t="shared" si="295"/>
        <v>3.0787608005179972</v>
      </c>
      <c r="DW92" s="77">
        <f t="shared" si="295"/>
        <v>3.0787608005179972</v>
      </c>
      <c r="DX92" s="77">
        <f t="shared" si="295"/>
        <v>3.0787608005179972</v>
      </c>
      <c r="DY92" s="77">
        <f t="shared" si="295"/>
        <v>3.0787608005179972</v>
      </c>
      <c r="DZ92" s="77">
        <f t="shared" si="295"/>
        <v>3.0787608005179972</v>
      </c>
      <c r="EA92" s="77">
        <f t="shared" si="295"/>
        <v>3.0787608005179972</v>
      </c>
      <c r="EB92" s="77">
        <f t="shared" si="296"/>
        <v>15.393804002589986</v>
      </c>
      <c r="EC92" s="77">
        <f t="shared" si="296"/>
        <v>15.393804002589986</v>
      </c>
      <c r="FA92" s="77">
        <f t="shared" si="269"/>
        <v>-5883.5118897898928</v>
      </c>
      <c r="FB92" s="77">
        <f t="shared" si="270"/>
        <v>-3850.8870608068155</v>
      </c>
      <c r="FC92" s="77">
        <f t="shared" si="297"/>
        <v>176.17612497402311</v>
      </c>
      <c r="FD92" s="77">
        <f t="shared" si="298"/>
        <v>1176.7023779579786</v>
      </c>
      <c r="FE92" s="77">
        <f t="shared" si="299"/>
        <v>1176.7023779579786</v>
      </c>
      <c r="FF92" s="77">
        <f t="shared" si="300"/>
        <v>1176.7023779579786</v>
      </c>
      <c r="FG92" s="77">
        <f t="shared" si="301"/>
        <v>1176.7023779579786</v>
      </c>
      <c r="FH92" s="77">
        <f t="shared" si="302"/>
        <v>1176.7023779579786</v>
      </c>
      <c r="FI92" s="77">
        <f t="shared" si="303"/>
        <v>1176.7023779579786</v>
      </c>
      <c r="FJ92" s="77">
        <f t="shared" si="304"/>
        <v>1176.7023779579786</v>
      </c>
      <c r="FK92" s="77">
        <f t="shared" si="305"/>
        <v>1176.7023779579786</v>
      </c>
      <c r="FL92" s="77">
        <f t="shared" si="306"/>
        <v>1176.7023779579786</v>
      </c>
      <c r="FM92" s="77">
        <f t="shared" si="307"/>
        <v>1176.7023779579786</v>
      </c>
      <c r="FN92" s="77">
        <f t="shared" si="308"/>
        <v>1176.7023779579786</v>
      </c>
      <c r="FO92" s="77">
        <f t="shared" si="309"/>
        <v>1176.7023779579786</v>
      </c>
      <c r="FP92" s="77">
        <f t="shared" si="310"/>
        <v>5883.5118897898928</v>
      </c>
      <c r="FQ92" s="77">
        <f t="shared" si="311"/>
        <v>5883.5118897898928</v>
      </c>
      <c r="GO92" s="77">
        <f t="shared" si="275"/>
        <v>1206119.937406928</v>
      </c>
      <c r="GP92" s="77">
        <f t="shared" si="276"/>
        <v>750922.97685732902</v>
      </c>
      <c r="GQ92" s="77">
        <f t="shared" si="277"/>
        <v>-31711.70249532416</v>
      </c>
      <c r="GR92" s="77">
        <f t="shared" si="278"/>
        <v>-176505.35669369678</v>
      </c>
      <c r="GS92" s="77">
        <f t="shared" si="312"/>
        <v>-141204.28535495742</v>
      </c>
      <c r="GT92" s="77">
        <f t="shared" si="313"/>
        <v>-105903.21401621807</v>
      </c>
      <c r="GU92" s="77">
        <f t="shared" si="314"/>
        <v>-70602.142677478711</v>
      </c>
      <c r="GV92" s="77">
        <f t="shared" si="315"/>
        <v>-35301.071338739355</v>
      </c>
      <c r="GW92" s="77">
        <f t="shared" si="316"/>
        <v>0</v>
      </c>
      <c r="GX92" s="77">
        <f t="shared" si="317"/>
        <v>35301.071338739355</v>
      </c>
      <c r="GY92" s="77">
        <f t="shared" si="318"/>
        <v>70602.142677478711</v>
      </c>
      <c r="GZ92" s="77">
        <f t="shared" si="319"/>
        <v>105903.21401621807</v>
      </c>
      <c r="HA92" s="77">
        <f t="shared" si="320"/>
        <v>141204.28535495742</v>
      </c>
      <c r="HB92" s="77">
        <f t="shared" si="321"/>
        <v>176505.35669369678</v>
      </c>
      <c r="HC92" s="77">
        <f t="shared" si="322"/>
        <v>211806.42803243615</v>
      </c>
      <c r="HD92" s="77">
        <f t="shared" si="323"/>
        <v>1147284.818509029</v>
      </c>
      <c r="HE92" s="77">
        <f t="shared" si="324"/>
        <v>1206119.937406928</v>
      </c>
      <c r="IC92" s="82">
        <v>93</v>
      </c>
    </row>
    <row r="93" spans="1:237" s="77" customFormat="1">
      <c r="A93" s="77">
        <v>92</v>
      </c>
      <c r="B93" s="69">
        <v>150</v>
      </c>
      <c r="C93" s="69" t="s">
        <v>236</v>
      </c>
      <c r="D93" s="70" t="s">
        <v>111</v>
      </c>
      <c r="E93" s="70">
        <v>3</v>
      </c>
      <c r="F93" s="70">
        <v>6.6931614118755339E-2</v>
      </c>
      <c r="G93" s="70"/>
      <c r="H93" s="70">
        <v>1.3953489999999999E-3</v>
      </c>
      <c r="I93" s="70">
        <v>4.6511627906976744E-3</v>
      </c>
      <c r="J93" s="71">
        <v>0.5</v>
      </c>
      <c r="K93" s="72">
        <v>14.333333333333334</v>
      </c>
      <c r="L93" s="71">
        <v>8.1415384615384626E-2</v>
      </c>
      <c r="M93" s="71">
        <v>9.2723076923076936E-2</v>
      </c>
      <c r="N93" s="71">
        <v>0.15378461538461538</v>
      </c>
      <c r="O93" s="71">
        <v>1.5472746587218649E-2</v>
      </c>
      <c r="P93" s="71">
        <v>0</v>
      </c>
      <c r="Q93" s="73" t="s">
        <v>243</v>
      </c>
      <c r="R93" s="74">
        <v>0.22388059701492538</v>
      </c>
      <c r="S93" s="75">
        <f t="shared" si="216"/>
        <v>0.27515325251277567</v>
      </c>
      <c r="T93" s="59">
        <f t="shared" si="188"/>
        <v>1.3649304536421309</v>
      </c>
      <c r="U93" s="59">
        <f t="shared" si="189"/>
        <v>1.0752854670903293</v>
      </c>
      <c r="V93" s="59">
        <f t="shared" si="190"/>
        <v>1.5830573932390701</v>
      </c>
      <c r="W93" s="59">
        <f t="shared" si="191"/>
        <v>1.1598080979253538</v>
      </c>
      <c r="X93" s="59">
        <f t="shared" si="192"/>
        <v>1.4722205792688219</v>
      </c>
      <c r="Y93" s="86">
        <v>22736</v>
      </c>
      <c r="Z93" s="57">
        <f t="shared" si="193"/>
        <v>33472.407090255932</v>
      </c>
      <c r="AA93" s="57">
        <f t="shared" si="194"/>
        <v>26369.396914430843</v>
      </c>
      <c r="AB93" s="57">
        <f t="shared" si="195"/>
        <v>49990.905758582412</v>
      </c>
      <c r="AC93" s="57">
        <f t="shared" si="196"/>
        <v>0.25</v>
      </c>
      <c r="AD93" s="57">
        <f t="shared" si="197"/>
        <v>1.5</v>
      </c>
      <c r="AE93" s="57">
        <f t="shared" si="198"/>
        <v>0</v>
      </c>
      <c r="AF93" s="57">
        <f t="shared" si="199"/>
        <v>10803.389075248921</v>
      </c>
      <c r="AG93" s="57">
        <f t="shared" si="271"/>
        <v>15566.007839181922</v>
      </c>
      <c r="AH93" s="57">
        <f t="shared" si="201"/>
        <v>6067211.5576581936</v>
      </c>
      <c r="AI93" s="57">
        <f t="shared" si="202"/>
        <v>4680833.1804370247</v>
      </c>
      <c r="AJ93" s="77">
        <v>0</v>
      </c>
      <c r="AK93" s="77">
        <v>16.899999999999999</v>
      </c>
      <c r="AL93" s="78">
        <f t="shared" si="203"/>
        <v>2.1751404629366138</v>
      </c>
      <c r="AM93" s="57">
        <f t="shared" si="204"/>
        <v>1</v>
      </c>
      <c r="AN93" s="57">
        <f t="shared" si="205"/>
        <v>0.8</v>
      </c>
      <c r="AO93" s="77">
        <v>430</v>
      </c>
      <c r="AP93" s="79">
        <v>30</v>
      </c>
      <c r="AQ93" s="77">
        <f t="shared" si="206"/>
        <v>16.103776616818262</v>
      </c>
      <c r="AR93" s="57">
        <f t="shared" si="207"/>
        <v>370</v>
      </c>
      <c r="AS93" s="77">
        <f t="shared" si="208"/>
        <v>413.89622338318173</v>
      </c>
      <c r="AT93" s="77">
        <v>30</v>
      </c>
      <c r="AU93" s="77">
        <v>215</v>
      </c>
      <c r="AV93" s="77">
        <f t="shared" si="209"/>
        <v>11100</v>
      </c>
      <c r="AW93" s="77">
        <f t="shared" si="272"/>
        <v>9000</v>
      </c>
      <c r="AX93" s="77">
        <f t="shared" si="210"/>
        <v>12900</v>
      </c>
      <c r="AY93" s="77">
        <v>20100</v>
      </c>
      <c r="AZ93" s="77">
        <v>382.2</v>
      </c>
      <c r="BA93" s="77">
        <v>382.2</v>
      </c>
      <c r="BB93" s="77">
        <v>382.2</v>
      </c>
      <c r="BC93" s="77">
        <v>382.2</v>
      </c>
      <c r="BD93" s="77">
        <v>3.5999999999999999E-3</v>
      </c>
      <c r="BE93" s="77">
        <v>4.1000000000000003E-3</v>
      </c>
      <c r="BF93" s="77">
        <v>6.7999999999999996E-3</v>
      </c>
      <c r="BH93" s="79"/>
      <c r="BI93" s="79"/>
      <c r="BJ93" s="79"/>
      <c r="BK93" s="57"/>
      <c r="BL93" s="57">
        <f t="shared" si="243"/>
        <v>39.96</v>
      </c>
      <c r="BM93" s="80">
        <f t="shared" si="273"/>
        <v>1.5393804002589986</v>
      </c>
      <c r="BN93" s="80">
        <v>20</v>
      </c>
      <c r="BO93" s="57">
        <f t="shared" si="212"/>
        <v>30.787608005179973</v>
      </c>
      <c r="BP93" s="57">
        <f t="shared" si="213"/>
        <v>35992.3928926835</v>
      </c>
      <c r="BQ93" s="77">
        <f t="shared" si="214"/>
        <v>-8.694769348949194E-10</v>
      </c>
      <c r="BR93" s="57">
        <f t="shared" si="215"/>
        <v>7738364.4719269518</v>
      </c>
      <c r="BS93" s="57">
        <v>32.207553233636524</v>
      </c>
      <c r="BT93" s="57">
        <f t="shared" si="220"/>
        <v>15.460714173921209</v>
      </c>
      <c r="BU93" s="57"/>
      <c r="BV93" s="57">
        <v>3.3E-3</v>
      </c>
      <c r="BW93" s="57">
        <v>30000</v>
      </c>
      <c r="BX93" s="57">
        <v>200000</v>
      </c>
      <c r="BY93" s="77">
        <f>10</f>
        <v>10</v>
      </c>
      <c r="BZ93" s="77">
        <f t="shared" si="274"/>
        <v>20</v>
      </c>
      <c r="CA93" s="77">
        <f t="shared" si="279"/>
        <v>35</v>
      </c>
      <c r="CB93" s="77">
        <f t="shared" si="280"/>
        <v>65</v>
      </c>
      <c r="CC93" s="77">
        <f t="shared" si="281"/>
        <v>95</v>
      </c>
      <c r="CD93" s="77">
        <f t="shared" si="282"/>
        <v>125</v>
      </c>
      <c r="CE93" s="77">
        <f t="shared" si="283"/>
        <v>155</v>
      </c>
      <c r="CF93" s="77">
        <f t="shared" si="284"/>
        <v>185</v>
      </c>
      <c r="CG93" s="77">
        <f t="shared" si="285"/>
        <v>215</v>
      </c>
      <c r="CH93" s="77">
        <f t="shared" si="286"/>
        <v>245</v>
      </c>
      <c r="CI93" s="77">
        <f t="shared" si="287"/>
        <v>275</v>
      </c>
      <c r="CJ93" s="77">
        <f t="shared" si="288"/>
        <v>305</v>
      </c>
      <c r="CK93" s="77">
        <f t="shared" si="289"/>
        <v>335</v>
      </c>
      <c r="CL93" s="77">
        <f t="shared" si="290"/>
        <v>365</v>
      </c>
      <c r="CM93" s="77">
        <f t="shared" si="291"/>
        <v>395</v>
      </c>
      <c r="CN93" s="77">
        <f t="shared" si="292"/>
        <v>410</v>
      </c>
      <c r="CO93" s="77">
        <f t="shared" si="293"/>
        <v>420</v>
      </c>
      <c r="DM93" s="77">
        <f t="shared" si="294"/>
        <v>15.393804002589986</v>
      </c>
      <c r="DN93" s="77">
        <f t="shared" si="294"/>
        <v>15.393804002589986</v>
      </c>
      <c r="DO93" s="77">
        <f t="shared" ref="DO93:EA97" si="325">PI()*1.4*1.4/4*2</f>
        <v>3.0787608005179972</v>
      </c>
      <c r="DP93" s="77">
        <f t="shared" si="325"/>
        <v>3.0787608005179972</v>
      </c>
      <c r="DQ93" s="77">
        <f t="shared" si="325"/>
        <v>3.0787608005179972</v>
      </c>
      <c r="DR93" s="77">
        <f t="shared" si="325"/>
        <v>3.0787608005179972</v>
      </c>
      <c r="DS93" s="77">
        <f t="shared" si="325"/>
        <v>3.0787608005179972</v>
      </c>
      <c r="DT93" s="77">
        <f t="shared" si="325"/>
        <v>3.0787608005179972</v>
      </c>
      <c r="DU93" s="77">
        <f t="shared" si="325"/>
        <v>3.0787608005179972</v>
      </c>
      <c r="DV93" s="77">
        <f t="shared" si="325"/>
        <v>3.0787608005179972</v>
      </c>
      <c r="DW93" s="77">
        <f t="shared" si="325"/>
        <v>3.0787608005179972</v>
      </c>
      <c r="DX93" s="77">
        <f t="shared" si="325"/>
        <v>3.0787608005179972</v>
      </c>
      <c r="DY93" s="77">
        <f t="shared" si="325"/>
        <v>3.0787608005179972</v>
      </c>
      <c r="DZ93" s="77">
        <f t="shared" si="325"/>
        <v>3.0787608005179972</v>
      </c>
      <c r="EA93" s="77">
        <f t="shared" si="325"/>
        <v>3.0787608005179972</v>
      </c>
      <c r="EB93" s="77">
        <f t="shared" si="296"/>
        <v>15.393804002589986</v>
      </c>
      <c r="EC93" s="77">
        <f t="shared" si="296"/>
        <v>15.393804002589986</v>
      </c>
      <c r="FA93" s="77">
        <f t="shared" si="269"/>
        <v>-5883.5118897898928</v>
      </c>
      <c r="FB93" s="77">
        <f t="shared" si="270"/>
        <v>-3850.8870608068155</v>
      </c>
      <c r="FC93" s="77">
        <f t="shared" si="297"/>
        <v>176.17612497402311</v>
      </c>
      <c r="FD93" s="77">
        <f t="shared" si="298"/>
        <v>1176.7023779579786</v>
      </c>
      <c r="FE93" s="77">
        <f t="shared" si="299"/>
        <v>1176.7023779579786</v>
      </c>
      <c r="FF93" s="77">
        <f t="shared" si="300"/>
        <v>1176.7023779579786</v>
      </c>
      <c r="FG93" s="77">
        <f t="shared" si="301"/>
        <v>1176.7023779579786</v>
      </c>
      <c r="FH93" s="77">
        <f t="shared" si="302"/>
        <v>1176.7023779579786</v>
      </c>
      <c r="FI93" s="77">
        <f t="shared" si="303"/>
        <v>1176.7023779579786</v>
      </c>
      <c r="FJ93" s="77">
        <f t="shared" si="304"/>
        <v>1176.7023779579786</v>
      </c>
      <c r="FK93" s="77">
        <f t="shared" si="305"/>
        <v>1176.7023779579786</v>
      </c>
      <c r="FL93" s="77">
        <f t="shared" si="306"/>
        <v>1176.7023779579786</v>
      </c>
      <c r="FM93" s="77">
        <f t="shared" si="307"/>
        <v>1176.7023779579786</v>
      </c>
      <c r="FN93" s="77">
        <f t="shared" si="308"/>
        <v>1176.7023779579786</v>
      </c>
      <c r="FO93" s="77">
        <f t="shared" si="309"/>
        <v>1176.7023779579786</v>
      </c>
      <c r="FP93" s="77">
        <f t="shared" si="310"/>
        <v>5883.5118897898928</v>
      </c>
      <c r="FQ93" s="77">
        <f t="shared" si="311"/>
        <v>5883.5118897898928</v>
      </c>
      <c r="GO93" s="77">
        <f t="shared" si="275"/>
        <v>1206119.937406928</v>
      </c>
      <c r="GP93" s="77">
        <f t="shared" si="276"/>
        <v>750922.97685732902</v>
      </c>
      <c r="GQ93" s="77">
        <f t="shared" si="277"/>
        <v>-31711.70249532416</v>
      </c>
      <c r="GR93" s="77">
        <f t="shared" si="278"/>
        <v>-176505.35669369678</v>
      </c>
      <c r="GS93" s="77">
        <f t="shared" si="312"/>
        <v>-141204.28535495742</v>
      </c>
      <c r="GT93" s="77">
        <f t="shared" si="313"/>
        <v>-105903.21401621807</v>
      </c>
      <c r="GU93" s="77">
        <f t="shared" si="314"/>
        <v>-70602.142677478711</v>
      </c>
      <c r="GV93" s="77">
        <f t="shared" si="315"/>
        <v>-35301.071338739355</v>
      </c>
      <c r="GW93" s="77">
        <f t="shared" si="316"/>
        <v>0</v>
      </c>
      <c r="GX93" s="77">
        <f t="shared" si="317"/>
        <v>35301.071338739355</v>
      </c>
      <c r="GY93" s="77">
        <f t="shared" si="318"/>
        <v>70602.142677478711</v>
      </c>
      <c r="GZ93" s="77">
        <f t="shared" si="319"/>
        <v>105903.21401621807</v>
      </c>
      <c r="HA93" s="77">
        <f t="shared" si="320"/>
        <v>141204.28535495742</v>
      </c>
      <c r="HB93" s="77">
        <f t="shared" si="321"/>
        <v>176505.35669369678</v>
      </c>
      <c r="HC93" s="77">
        <f t="shared" si="322"/>
        <v>211806.42803243615</v>
      </c>
      <c r="HD93" s="77">
        <f t="shared" si="323"/>
        <v>1147284.818509029</v>
      </c>
      <c r="HE93" s="77">
        <f t="shared" si="324"/>
        <v>1206119.937406928</v>
      </c>
      <c r="IC93" s="82">
        <v>95</v>
      </c>
    </row>
    <row r="94" spans="1:237" s="77" customFormat="1">
      <c r="A94" s="77">
        <v>93</v>
      </c>
      <c r="B94" s="69">
        <v>151</v>
      </c>
      <c r="C94" s="69" t="s">
        <v>236</v>
      </c>
      <c r="D94" s="70" t="s">
        <v>112</v>
      </c>
      <c r="E94" s="70">
        <v>3</v>
      </c>
      <c r="F94" s="70">
        <v>5.8749729612805536E-2</v>
      </c>
      <c r="G94" s="70">
        <v>9.3023259999999997E-3</v>
      </c>
      <c r="H94" s="70">
        <v>3.7209299999999999E-3</v>
      </c>
      <c r="I94" s="70">
        <v>9.3023255813953487E-3</v>
      </c>
      <c r="J94" s="71">
        <v>0.5</v>
      </c>
      <c r="K94" s="72">
        <v>14.333333333333334</v>
      </c>
      <c r="L94" s="71">
        <v>8.5460869565217382E-2</v>
      </c>
      <c r="M94" s="71">
        <v>9.7330434782608694E-2</v>
      </c>
      <c r="N94" s="71">
        <v>0.16142608695652172</v>
      </c>
      <c r="O94" s="71">
        <v>1.6241578715776094E-2</v>
      </c>
      <c r="P94" s="71">
        <v>0</v>
      </c>
      <c r="Q94" s="73" t="s">
        <v>243</v>
      </c>
      <c r="R94" s="74">
        <v>0.22388059701492538</v>
      </c>
      <c r="S94" s="75">
        <f t="shared" si="216"/>
        <v>0.2357321461875786</v>
      </c>
      <c r="T94" s="59">
        <f t="shared" si="188"/>
        <v>1.3796824593314818</v>
      </c>
      <c r="U94" s="59">
        <f t="shared" si="189"/>
        <v>1.0841152007568187</v>
      </c>
      <c r="V94" s="59">
        <f t="shared" si="190"/>
        <v>1.890576005374826</v>
      </c>
      <c r="W94" s="59">
        <f t="shared" si="191"/>
        <v>1.3702979207917851</v>
      </c>
      <c r="X94" s="59">
        <f t="shared" si="192"/>
        <v>1.7438884761093825</v>
      </c>
      <c r="Y94" s="86">
        <v>19012</v>
      </c>
      <c r="Z94" s="57">
        <f t="shared" si="193"/>
        <v>33154.80770779158</v>
      </c>
      <c r="AA94" s="57">
        <f t="shared" si="194"/>
        <v>26052.104070093417</v>
      </c>
      <c r="AB94" s="57">
        <f t="shared" si="195"/>
        <v>48562.589330077026</v>
      </c>
      <c r="AC94" s="57">
        <f t="shared" si="196"/>
        <v>0.25</v>
      </c>
      <c r="AD94" s="57">
        <f t="shared" si="197"/>
        <v>1.5</v>
      </c>
      <c r="AE94" s="57">
        <f t="shared" si="198"/>
        <v>0</v>
      </c>
      <c r="AF94" s="57">
        <f t="shared" si="199"/>
        <v>10505.76168218087</v>
      </c>
      <c r="AG94" s="57">
        <f t="shared" si="271"/>
        <v>15546.342387912548</v>
      </c>
      <c r="AH94" s="57">
        <f t="shared" si="201"/>
        <v>5772429.4646540573</v>
      </c>
      <c r="AI94" s="57">
        <f t="shared" si="202"/>
        <v>4668527.2413125029</v>
      </c>
      <c r="AJ94" s="77">
        <v>0</v>
      </c>
      <c r="AK94" s="77">
        <v>16.100000000000001</v>
      </c>
      <c r="AL94" s="78">
        <f t="shared" si="203"/>
        <v>2.1178922038936987</v>
      </c>
      <c r="AM94" s="57">
        <f t="shared" si="204"/>
        <v>1</v>
      </c>
      <c r="AN94" s="57">
        <f t="shared" si="205"/>
        <v>0.8</v>
      </c>
      <c r="AO94" s="77">
        <v>430</v>
      </c>
      <c r="AP94" s="79">
        <v>30</v>
      </c>
      <c r="AQ94" s="77">
        <f t="shared" si="206"/>
        <v>16.626676007311477</v>
      </c>
      <c r="AR94" s="57">
        <f t="shared" si="207"/>
        <v>370</v>
      </c>
      <c r="AS94" s="77">
        <f t="shared" si="208"/>
        <v>413.37332399268854</v>
      </c>
      <c r="AT94" s="77">
        <v>30</v>
      </c>
      <c r="AU94" s="77">
        <v>215</v>
      </c>
      <c r="AV94" s="77">
        <f t="shared" si="209"/>
        <v>11100</v>
      </c>
      <c r="AW94" s="77">
        <f t="shared" si="272"/>
        <v>9000</v>
      </c>
      <c r="AX94" s="77">
        <f t="shared" si="210"/>
        <v>12900</v>
      </c>
      <c r="AY94" s="77">
        <v>20100</v>
      </c>
      <c r="AZ94" s="77">
        <v>382.2</v>
      </c>
      <c r="BA94" s="77">
        <v>382.2</v>
      </c>
      <c r="BB94" s="77">
        <v>382.2</v>
      </c>
      <c r="BC94" s="77">
        <v>382.2</v>
      </c>
      <c r="BD94" s="77">
        <v>3.5999999999999999E-3</v>
      </c>
      <c r="BE94" s="77">
        <v>4.1000000000000003E-3</v>
      </c>
      <c r="BF94" s="77">
        <v>6.7999999999999996E-3</v>
      </c>
      <c r="BH94" s="79"/>
      <c r="BI94" s="79"/>
      <c r="BJ94" s="79"/>
      <c r="BK94" s="57"/>
      <c r="BL94" s="57">
        <f t="shared" si="243"/>
        <v>39.96</v>
      </c>
      <c r="BM94" s="80">
        <f t="shared" si="273"/>
        <v>1.5393804002589986</v>
      </c>
      <c r="BN94" s="80">
        <v>20</v>
      </c>
      <c r="BO94" s="57">
        <f t="shared" si="212"/>
        <v>30.787608005179973</v>
      </c>
      <c r="BP94" s="57">
        <f t="shared" si="213"/>
        <v>35943.63101418619</v>
      </c>
      <c r="BQ94" s="77">
        <f t="shared" si="214"/>
        <v>2.7284841053187847E-11</v>
      </c>
      <c r="BR94" s="57">
        <f t="shared" si="215"/>
        <v>7727880.6680500312</v>
      </c>
      <c r="BS94" s="57">
        <v>33.253352014622955</v>
      </c>
      <c r="BT94" s="57">
        <f t="shared" si="220"/>
        <v>16.129764623822091</v>
      </c>
      <c r="BU94" s="57"/>
      <c r="BV94" s="57">
        <v>3.3E-3</v>
      </c>
      <c r="BW94" s="57">
        <v>30000</v>
      </c>
      <c r="BX94" s="57">
        <v>200000</v>
      </c>
      <c r="BY94" s="77">
        <f>10</f>
        <v>10</v>
      </c>
      <c r="BZ94" s="77">
        <f t="shared" si="274"/>
        <v>20</v>
      </c>
      <c r="CA94" s="77">
        <f t="shared" si="279"/>
        <v>35</v>
      </c>
      <c r="CB94" s="77">
        <f t="shared" si="280"/>
        <v>65</v>
      </c>
      <c r="CC94" s="77">
        <f t="shared" si="281"/>
        <v>95</v>
      </c>
      <c r="CD94" s="77">
        <f t="shared" si="282"/>
        <v>125</v>
      </c>
      <c r="CE94" s="77">
        <f t="shared" si="283"/>
        <v>155</v>
      </c>
      <c r="CF94" s="77">
        <f t="shared" si="284"/>
        <v>185</v>
      </c>
      <c r="CG94" s="77">
        <f t="shared" si="285"/>
        <v>215</v>
      </c>
      <c r="CH94" s="77">
        <f t="shared" si="286"/>
        <v>245</v>
      </c>
      <c r="CI94" s="77">
        <f t="shared" si="287"/>
        <v>275</v>
      </c>
      <c r="CJ94" s="77">
        <f t="shared" si="288"/>
        <v>305</v>
      </c>
      <c r="CK94" s="77">
        <f t="shared" si="289"/>
        <v>335</v>
      </c>
      <c r="CL94" s="77">
        <f t="shared" si="290"/>
        <v>365</v>
      </c>
      <c r="CM94" s="77">
        <f t="shared" si="291"/>
        <v>395</v>
      </c>
      <c r="CN94" s="77">
        <f t="shared" si="292"/>
        <v>410</v>
      </c>
      <c r="CO94" s="77">
        <f t="shared" si="293"/>
        <v>420</v>
      </c>
      <c r="DM94" s="77">
        <f t="shared" si="294"/>
        <v>15.393804002589986</v>
      </c>
      <c r="DN94" s="77">
        <f t="shared" si="294"/>
        <v>15.393804002589986</v>
      </c>
      <c r="DO94" s="77">
        <f t="shared" si="325"/>
        <v>3.0787608005179972</v>
      </c>
      <c r="DP94" s="77">
        <f t="shared" si="325"/>
        <v>3.0787608005179972</v>
      </c>
      <c r="DQ94" s="77">
        <f t="shared" si="325"/>
        <v>3.0787608005179972</v>
      </c>
      <c r="DR94" s="77">
        <f t="shared" si="325"/>
        <v>3.0787608005179972</v>
      </c>
      <c r="DS94" s="77">
        <f t="shared" si="325"/>
        <v>3.0787608005179972</v>
      </c>
      <c r="DT94" s="77">
        <f t="shared" si="325"/>
        <v>3.0787608005179972</v>
      </c>
      <c r="DU94" s="77">
        <f t="shared" si="325"/>
        <v>3.0787608005179972</v>
      </c>
      <c r="DV94" s="77">
        <f t="shared" si="325"/>
        <v>3.0787608005179972</v>
      </c>
      <c r="DW94" s="77">
        <f t="shared" si="325"/>
        <v>3.0787608005179972</v>
      </c>
      <c r="DX94" s="77">
        <f t="shared" si="325"/>
        <v>3.0787608005179972</v>
      </c>
      <c r="DY94" s="77">
        <f t="shared" si="325"/>
        <v>3.0787608005179972</v>
      </c>
      <c r="DZ94" s="77">
        <f t="shared" si="325"/>
        <v>3.0787608005179972</v>
      </c>
      <c r="EA94" s="77">
        <f t="shared" si="325"/>
        <v>3.0787608005179972</v>
      </c>
      <c r="EB94" s="77">
        <f t="shared" si="296"/>
        <v>15.393804002589986</v>
      </c>
      <c r="EC94" s="77">
        <f t="shared" si="296"/>
        <v>15.393804002589986</v>
      </c>
      <c r="FA94" s="77">
        <f t="shared" si="269"/>
        <v>-5883.5118897898928</v>
      </c>
      <c r="FB94" s="77">
        <f t="shared" si="270"/>
        <v>-4049.3022210956533</v>
      </c>
      <c r="FC94" s="77">
        <f t="shared" si="297"/>
        <v>106.73081887292992</v>
      </c>
      <c r="FD94" s="77">
        <f t="shared" si="298"/>
        <v>1176.7023779579786</v>
      </c>
      <c r="FE94" s="77">
        <f t="shared" si="299"/>
        <v>1176.7023779579786</v>
      </c>
      <c r="FF94" s="77">
        <f t="shared" si="300"/>
        <v>1176.7023779579786</v>
      </c>
      <c r="FG94" s="77">
        <f t="shared" si="301"/>
        <v>1176.7023779579786</v>
      </c>
      <c r="FH94" s="77">
        <f t="shared" si="302"/>
        <v>1176.7023779579786</v>
      </c>
      <c r="FI94" s="77">
        <f t="shared" si="303"/>
        <v>1176.7023779579786</v>
      </c>
      <c r="FJ94" s="77">
        <f t="shared" si="304"/>
        <v>1176.7023779579786</v>
      </c>
      <c r="FK94" s="77">
        <f t="shared" si="305"/>
        <v>1176.7023779579786</v>
      </c>
      <c r="FL94" s="77">
        <f t="shared" si="306"/>
        <v>1176.7023779579786</v>
      </c>
      <c r="FM94" s="77">
        <f t="shared" si="307"/>
        <v>1176.7023779579786</v>
      </c>
      <c r="FN94" s="77">
        <f t="shared" si="308"/>
        <v>1176.7023779579786</v>
      </c>
      <c r="FO94" s="77">
        <f t="shared" si="309"/>
        <v>1176.7023779579786</v>
      </c>
      <c r="FP94" s="77">
        <f t="shared" si="310"/>
        <v>5883.5118897898928</v>
      </c>
      <c r="FQ94" s="77">
        <f t="shared" si="311"/>
        <v>5883.5118897898928</v>
      </c>
      <c r="GO94" s="77">
        <f t="shared" si="275"/>
        <v>1206119.937406928</v>
      </c>
      <c r="GP94" s="77">
        <f t="shared" si="276"/>
        <v>789613.9331136524</v>
      </c>
      <c r="GQ94" s="77">
        <f t="shared" si="277"/>
        <v>-19211.547397127386</v>
      </c>
      <c r="GR94" s="77">
        <f t="shared" si="278"/>
        <v>-176505.35669369678</v>
      </c>
      <c r="GS94" s="77">
        <f t="shared" si="312"/>
        <v>-141204.28535495742</v>
      </c>
      <c r="GT94" s="77">
        <f t="shared" si="313"/>
        <v>-105903.21401621807</v>
      </c>
      <c r="GU94" s="77">
        <f t="shared" si="314"/>
        <v>-70602.142677478711</v>
      </c>
      <c r="GV94" s="77">
        <f t="shared" si="315"/>
        <v>-35301.071338739355</v>
      </c>
      <c r="GW94" s="77">
        <f t="shared" si="316"/>
        <v>0</v>
      </c>
      <c r="GX94" s="77">
        <f t="shared" si="317"/>
        <v>35301.071338739355</v>
      </c>
      <c r="GY94" s="77">
        <f t="shared" si="318"/>
        <v>70602.142677478711</v>
      </c>
      <c r="GZ94" s="77">
        <f t="shared" si="319"/>
        <v>105903.21401621807</v>
      </c>
      <c r="HA94" s="77">
        <f t="shared" si="320"/>
        <v>141204.28535495742</v>
      </c>
      <c r="HB94" s="77">
        <f t="shared" si="321"/>
        <v>176505.35669369678</v>
      </c>
      <c r="HC94" s="77">
        <f t="shared" si="322"/>
        <v>211806.42803243615</v>
      </c>
      <c r="HD94" s="77">
        <f t="shared" si="323"/>
        <v>1147284.818509029</v>
      </c>
      <c r="HE94" s="77">
        <f t="shared" si="324"/>
        <v>1206119.937406928</v>
      </c>
      <c r="IC94" s="82">
        <v>96</v>
      </c>
    </row>
    <row r="95" spans="1:237" s="77" customFormat="1">
      <c r="A95" s="77">
        <v>94</v>
      </c>
      <c r="B95" s="69">
        <v>152</v>
      </c>
      <c r="C95" s="69" t="s">
        <v>236</v>
      </c>
      <c r="D95" s="70" t="s">
        <v>113</v>
      </c>
      <c r="E95" s="70">
        <v>3</v>
      </c>
      <c r="F95" s="70">
        <v>6.4200735453168928E-2</v>
      </c>
      <c r="G95" s="70"/>
      <c r="H95" s="70">
        <v>9.3023300000000004E-4</v>
      </c>
      <c r="I95" s="70">
        <v>4.6511627906976744E-3</v>
      </c>
      <c r="J95" s="71">
        <v>0.5</v>
      </c>
      <c r="K95" s="72">
        <v>14.333333333333334</v>
      </c>
      <c r="L95" s="71">
        <v>8.5460869565217382E-2</v>
      </c>
      <c r="M95" s="71">
        <v>9.7330434782608694E-2</v>
      </c>
      <c r="N95" s="71">
        <v>0.16142608695652172</v>
      </c>
      <c r="O95" s="71">
        <v>1.6241578715776094E-2</v>
      </c>
      <c r="P95" s="71">
        <v>0</v>
      </c>
      <c r="Q95" s="73" t="s">
        <v>243</v>
      </c>
      <c r="R95" s="74">
        <v>0.22388059701492538</v>
      </c>
      <c r="S95" s="75">
        <f t="shared" si="216"/>
        <v>0.25760420098848796</v>
      </c>
      <c r="T95" s="59">
        <f t="shared" si="188"/>
        <v>1.3796824593314818</v>
      </c>
      <c r="U95" s="59">
        <f t="shared" si="189"/>
        <v>1.0841152007568187</v>
      </c>
      <c r="V95" s="59">
        <f t="shared" si="190"/>
        <v>1.7300554011448879</v>
      </c>
      <c r="W95" s="59">
        <f t="shared" si="191"/>
        <v>1.2539518709132373</v>
      </c>
      <c r="X95" s="59">
        <f t="shared" si="192"/>
        <v>1.5958224734208502</v>
      </c>
      <c r="Y95" s="86">
        <v>20776</v>
      </c>
      <c r="Z95" s="57">
        <f t="shared" si="193"/>
        <v>33154.80770779158</v>
      </c>
      <c r="AA95" s="57">
        <f t="shared" si="194"/>
        <v>26052.104070093417</v>
      </c>
      <c r="AB95" s="57">
        <f t="shared" si="195"/>
        <v>48562.589330077026</v>
      </c>
      <c r="AC95" s="57">
        <f t="shared" si="196"/>
        <v>0.25</v>
      </c>
      <c r="AD95" s="57">
        <f t="shared" si="197"/>
        <v>1.5</v>
      </c>
      <c r="AE95" s="57">
        <f t="shared" si="198"/>
        <v>0</v>
      </c>
      <c r="AF95" s="57">
        <f t="shared" si="199"/>
        <v>10505.76168218087</v>
      </c>
      <c r="AG95" s="57">
        <f t="shared" si="271"/>
        <v>15546.342387912548</v>
      </c>
      <c r="AH95" s="57">
        <f t="shared" si="201"/>
        <v>5772429.4646540573</v>
      </c>
      <c r="AI95" s="57">
        <f t="shared" si="202"/>
        <v>4668527.2413125029</v>
      </c>
      <c r="AJ95" s="77">
        <v>0</v>
      </c>
      <c r="AK95" s="77">
        <v>16.100000000000001</v>
      </c>
      <c r="AL95" s="78">
        <f t="shared" si="203"/>
        <v>2.1178922038936987</v>
      </c>
      <c r="AM95" s="57">
        <f t="shared" si="204"/>
        <v>1</v>
      </c>
      <c r="AN95" s="57">
        <f t="shared" si="205"/>
        <v>0.8</v>
      </c>
      <c r="AO95" s="77">
        <v>430</v>
      </c>
      <c r="AP95" s="79">
        <v>30</v>
      </c>
      <c r="AQ95" s="77">
        <f t="shared" si="206"/>
        <v>16.626676007311477</v>
      </c>
      <c r="AR95" s="57">
        <f t="shared" si="207"/>
        <v>370</v>
      </c>
      <c r="AS95" s="77">
        <f t="shared" si="208"/>
        <v>413.37332399268854</v>
      </c>
      <c r="AT95" s="77">
        <v>30</v>
      </c>
      <c r="AU95" s="77">
        <v>215</v>
      </c>
      <c r="AV95" s="77">
        <f t="shared" si="209"/>
        <v>11100</v>
      </c>
      <c r="AW95" s="77">
        <f t="shared" si="272"/>
        <v>9000</v>
      </c>
      <c r="AX95" s="77">
        <f t="shared" si="210"/>
        <v>12900</v>
      </c>
      <c r="AY95" s="77">
        <v>20100</v>
      </c>
      <c r="AZ95" s="77">
        <v>382.2</v>
      </c>
      <c r="BA95" s="77">
        <v>382.2</v>
      </c>
      <c r="BB95" s="77">
        <v>382.2</v>
      </c>
      <c r="BC95" s="77">
        <v>382.2</v>
      </c>
      <c r="BD95" s="77">
        <v>3.5999999999999999E-3</v>
      </c>
      <c r="BE95" s="77">
        <v>4.1000000000000003E-3</v>
      </c>
      <c r="BF95" s="77">
        <v>6.7999999999999996E-3</v>
      </c>
      <c r="BH95" s="79"/>
      <c r="BI95" s="79"/>
      <c r="BJ95" s="79"/>
      <c r="BK95" s="57"/>
      <c r="BL95" s="57">
        <f t="shared" si="243"/>
        <v>39.96</v>
      </c>
      <c r="BM95" s="80">
        <f t="shared" si="273"/>
        <v>1.5393804002589986</v>
      </c>
      <c r="BN95" s="80">
        <v>20</v>
      </c>
      <c r="BO95" s="57">
        <f t="shared" si="212"/>
        <v>30.787608005179973</v>
      </c>
      <c r="BP95" s="57">
        <f t="shared" si="213"/>
        <v>35943.63101418619</v>
      </c>
      <c r="BQ95" s="77">
        <f t="shared" si="214"/>
        <v>2.7284841053187847E-11</v>
      </c>
      <c r="BR95" s="57">
        <f t="shared" si="215"/>
        <v>7727880.6680500312</v>
      </c>
      <c r="BS95" s="57">
        <v>33.253352014622955</v>
      </c>
      <c r="BT95" s="57">
        <f t="shared" si="220"/>
        <v>16.129764623822091</v>
      </c>
      <c r="BU95" s="57"/>
      <c r="BV95" s="57">
        <v>3.3E-3</v>
      </c>
      <c r="BW95" s="57">
        <v>30000</v>
      </c>
      <c r="BX95" s="57">
        <v>200000</v>
      </c>
      <c r="BY95" s="77">
        <f>10</f>
        <v>10</v>
      </c>
      <c r="BZ95" s="77">
        <f t="shared" si="274"/>
        <v>20</v>
      </c>
      <c r="CA95" s="77">
        <f t="shared" si="279"/>
        <v>35</v>
      </c>
      <c r="CB95" s="77">
        <f t="shared" si="280"/>
        <v>65</v>
      </c>
      <c r="CC95" s="77">
        <f t="shared" si="281"/>
        <v>95</v>
      </c>
      <c r="CD95" s="77">
        <f t="shared" si="282"/>
        <v>125</v>
      </c>
      <c r="CE95" s="77">
        <f t="shared" si="283"/>
        <v>155</v>
      </c>
      <c r="CF95" s="77">
        <f t="shared" si="284"/>
        <v>185</v>
      </c>
      <c r="CG95" s="77">
        <f t="shared" si="285"/>
        <v>215</v>
      </c>
      <c r="CH95" s="77">
        <f t="shared" si="286"/>
        <v>245</v>
      </c>
      <c r="CI95" s="77">
        <f t="shared" si="287"/>
        <v>275</v>
      </c>
      <c r="CJ95" s="77">
        <f t="shared" si="288"/>
        <v>305</v>
      </c>
      <c r="CK95" s="77">
        <f t="shared" si="289"/>
        <v>335</v>
      </c>
      <c r="CL95" s="77">
        <f t="shared" si="290"/>
        <v>365</v>
      </c>
      <c r="CM95" s="77">
        <f t="shared" si="291"/>
        <v>395</v>
      </c>
      <c r="CN95" s="77">
        <f t="shared" si="292"/>
        <v>410</v>
      </c>
      <c r="CO95" s="77">
        <f t="shared" si="293"/>
        <v>420</v>
      </c>
      <c r="DM95" s="77">
        <f t="shared" si="294"/>
        <v>15.393804002589986</v>
      </c>
      <c r="DN95" s="77">
        <f t="shared" si="294"/>
        <v>15.393804002589986</v>
      </c>
      <c r="DO95" s="77">
        <f t="shared" si="325"/>
        <v>3.0787608005179972</v>
      </c>
      <c r="DP95" s="77">
        <f t="shared" si="325"/>
        <v>3.0787608005179972</v>
      </c>
      <c r="DQ95" s="77">
        <f t="shared" si="325"/>
        <v>3.0787608005179972</v>
      </c>
      <c r="DR95" s="77">
        <f t="shared" si="325"/>
        <v>3.0787608005179972</v>
      </c>
      <c r="DS95" s="77">
        <f t="shared" si="325"/>
        <v>3.0787608005179972</v>
      </c>
      <c r="DT95" s="77">
        <f t="shared" si="325"/>
        <v>3.0787608005179972</v>
      </c>
      <c r="DU95" s="77">
        <f t="shared" si="325"/>
        <v>3.0787608005179972</v>
      </c>
      <c r="DV95" s="77">
        <f t="shared" si="325"/>
        <v>3.0787608005179972</v>
      </c>
      <c r="DW95" s="77">
        <f t="shared" si="325"/>
        <v>3.0787608005179972</v>
      </c>
      <c r="DX95" s="77">
        <f t="shared" si="325"/>
        <v>3.0787608005179972</v>
      </c>
      <c r="DY95" s="77">
        <f t="shared" si="325"/>
        <v>3.0787608005179972</v>
      </c>
      <c r="DZ95" s="77">
        <f t="shared" si="325"/>
        <v>3.0787608005179972</v>
      </c>
      <c r="EA95" s="77">
        <f t="shared" si="325"/>
        <v>3.0787608005179972</v>
      </c>
      <c r="EB95" s="77">
        <f t="shared" si="296"/>
        <v>15.393804002589986</v>
      </c>
      <c r="EC95" s="77">
        <f t="shared" si="296"/>
        <v>15.393804002589986</v>
      </c>
      <c r="FA95" s="77">
        <f t="shared" si="269"/>
        <v>-5883.5118897898928</v>
      </c>
      <c r="FB95" s="77">
        <f t="shared" si="270"/>
        <v>-4049.3022210956533</v>
      </c>
      <c r="FC95" s="77">
        <f t="shared" si="297"/>
        <v>106.73081887292992</v>
      </c>
      <c r="FD95" s="77">
        <f t="shared" si="298"/>
        <v>1176.7023779579786</v>
      </c>
      <c r="FE95" s="77">
        <f t="shared" si="299"/>
        <v>1176.7023779579786</v>
      </c>
      <c r="FF95" s="77">
        <f t="shared" si="300"/>
        <v>1176.7023779579786</v>
      </c>
      <c r="FG95" s="77">
        <f t="shared" si="301"/>
        <v>1176.7023779579786</v>
      </c>
      <c r="FH95" s="77">
        <f t="shared" si="302"/>
        <v>1176.7023779579786</v>
      </c>
      <c r="FI95" s="77">
        <f t="shared" si="303"/>
        <v>1176.7023779579786</v>
      </c>
      <c r="FJ95" s="77">
        <f t="shared" si="304"/>
        <v>1176.7023779579786</v>
      </c>
      <c r="FK95" s="77">
        <f t="shared" si="305"/>
        <v>1176.7023779579786</v>
      </c>
      <c r="FL95" s="77">
        <f t="shared" si="306"/>
        <v>1176.7023779579786</v>
      </c>
      <c r="FM95" s="77">
        <f t="shared" si="307"/>
        <v>1176.7023779579786</v>
      </c>
      <c r="FN95" s="77">
        <f t="shared" si="308"/>
        <v>1176.7023779579786</v>
      </c>
      <c r="FO95" s="77">
        <f t="shared" si="309"/>
        <v>1176.7023779579786</v>
      </c>
      <c r="FP95" s="77">
        <f t="shared" si="310"/>
        <v>5883.5118897898928</v>
      </c>
      <c r="FQ95" s="77">
        <f t="shared" si="311"/>
        <v>5883.5118897898928</v>
      </c>
      <c r="GO95" s="77">
        <f t="shared" si="275"/>
        <v>1206119.937406928</v>
      </c>
      <c r="GP95" s="77">
        <f t="shared" si="276"/>
        <v>789613.9331136524</v>
      </c>
      <c r="GQ95" s="77">
        <f t="shared" si="277"/>
        <v>-19211.547397127386</v>
      </c>
      <c r="GR95" s="77">
        <f t="shared" si="278"/>
        <v>-176505.35669369678</v>
      </c>
      <c r="GS95" s="77">
        <f t="shared" si="312"/>
        <v>-141204.28535495742</v>
      </c>
      <c r="GT95" s="77">
        <f t="shared" si="313"/>
        <v>-105903.21401621807</v>
      </c>
      <c r="GU95" s="77">
        <f t="shared" si="314"/>
        <v>-70602.142677478711</v>
      </c>
      <c r="GV95" s="77">
        <f t="shared" si="315"/>
        <v>-35301.071338739355</v>
      </c>
      <c r="GW95" s="77">
        <f t="shared" si="316"/>
        <v>0</v>
      </c>
      <c r="GX95" s="77">
        <f t="shared" si="317"/>
        <v>35301.071338739355</v>
      </c>
      <c r="GY95" s="77">
        <f t="shared" si="318"/>
        <v>70602.142677478711</v>
      </c>
      <c r="GZ95" s="77">
        <f t="shared" si="319"/>
        <v>105903.21401621807</v>
      </c>
      <c r="HA95" s="77">
        <f t="shared" si="320"/>
        <v>141204.28535495742</v>
      </c>
      <c r="HB95" s="77">
        <f t="shared" si="321"/>
        <v>176505.35669369678</v>
      </c>
      <c r="HC95" s="77">
        <f t="shared" si="322"/>
        <v>211806.42803243615</v>
      </c>
      <c r="HD95" s="77">
        <f t="shared" si="323"/>
        <v>1147284.818509029</v>
      </c>
      <c r="HE95" s="77">
        <f t="shared" si="324"/>
        <v>1206119.937406928</v>
      </c>
      <c r="IC95" s="82">
        <v>97</v>
      </c>
    </row>
    <row r="96" spans="1:237" s="77" customFormat="1">
      <c r="A96" s="77">
        <v>95</v>
      </c>
      <c r="B96" s="69">
        <v>153</v>
      </c>
      <c r="C96" s="69" t="s">
        <v>236</v>
      </c>
      <c r="D96" s="70" t="s">
        <v>114</v>
      </c>
      <c r="E96" s="70">
        <v>3</v>
      </c>
      <c r="F96" s="70">
        <v>5.9746675776528091E-2</v>
      </c>
      <c r="G96" s="70"/>
      <c r="H96" s="70">
        <v>9.3023259999999997E-3</v>
      </c>
      <c r="I96" s="70">
        <v>9.3023255813953487E-3</v>
      </c>
      <c r="J96" s="71">
        <v>0.5</v>
      </c>
      <c r="K96" s="72">
        <v>17.2</v>
      </c>
      <c r="L96" s="71">
        <v>6.5197735849056609E-2</v>
      </c>
      <c r="M96" s="71">
        <v>7.4295094339622642E-2</v>
      </c>
      <c r="N96" s="71">
        <v>0.10765207547169811</v>
      </c>
      <c r="O96" s="71">
        <v>1.0731260808051452E-2</v>
      </c>
      <c r="P96" s="71">
        <v>0</v>
      </c>
      <c r="Q96" s="73" t="s">
        <v>243</v>
      </c>
      <c r="R96" s="74">
        <v>0.24233983286908078</v>
      </c>
      <c r="S96" s="75">
        <f t="shared" si="216"/>
        <v>0.30756483797430023</v>
      </c>
      <c r="T96" s="59">
        <f t="shared" si="188"/>
        <v>1.3610905909939039</v>
      </c>
      <c r="U96" s="59">
        <f t="shared" si="189"/>
        <v>1.0875747501884421</v>
      </c>
      <c r="V96" s="59">
        <f t="shared" si="190"/>
        <v>1.3393612394942138</v>
      </c>
      <c r="W96" s="59">
        <f t="shared" si="191"/>
        <v>0.98403533780670482</v>
      </c>
      <c r="X96" s="59">
        <f t="shared" si="192"/>
        <v>1.2315118931017339</v>
      </c>
      <c r="Y96" s="86">
        <v>28420</v>
      </c>
      <c r="Z96" s="57">
        <f t="shared" si="193"/>
        <v>34999.56800195128</v>
      </c>
      <c r="AA96" s="57">
        <f t="shared" si="194"/>
        <v>27966.284300466552</v>
      </c>
      <c r="AB96" s="57">
        <f t="shared" si="195"/>
        <v>37065.303754455803</v>
      </c>
      <c r="AC96" s="57">
        <f t="shared" si="196"/>
        <v>0.25</v>
      </c>
      <c r="AD96" s="57">
        <f t="shared" si="197"/>
        <v>1.5</v>
      </c>
      <c r="AE96" s="57">
        <f t="shared" si="198"/>
        <v>0</v>
      </c>
      <c r="AF96" s="57">
        <f t="shared" si="199"/>
        <v>11587.355595925923</v>
      </c>
      <c r="AG96" s="57">
        <f t="shared" si="271"/>
        <v>16378.928704540629</v>
      </c>
      <c r="AH96" s="86">
        <f t="shared" si="201"/>
        <v>7969040.307207997</v>
      </c>
      <c r="AI96" s="86"/>
      <c r="AJ96" s="77">
        <v>0</v>
      </c>
      <c r="AK96" s="77">
        <v>26.5</v>
      </c>
      <c r="AL96" s="78">
        <f t="shared" si="203"/>
        <v>2.7857032478621702</v>
      </c>
      <c r="AM96" s="57">
        <f t="shared" si="204"/>
        <v>1</v>
      </c>
      <c r="AN96" s="57">
        <f t="shared" si="205"/>
        <v>0.8</v>
      </c>
      <c r="AO96" s="77">
        <v>430</v>
      </c>
      <c r="AP96" s="79">
        <v>30</v>
      </c>
      <c r="AQ96" s="77">
        <f t="shared" si="206"/>
        <v>14.041997121610217</v>
      </c>
      <c r="AR96" s="57">
        <f t="shared" si="207"/>
        <v>370</v>
      </c>
      <c r="AS96" s="77">
        <f t="shared" si="208"/>
        <v>415.95800287838978</v>
      </c>
      <c r="AT96" s="77">
        <v>25</v>
      </c>
      <c r="AU96" s="77">
        <v>215</v>
      </c>
      <c r="AV96" s="77">
        <f t="shared" si="209"/>
        <v>9250</v>
      </c>
      <c r="AW96" s="77">
        <f t="shared" si="272"/>
        <v>9000</v>
      </c>
      <c r="AX96" s="77">
        <f t="shared" si="210"/>
        <v>10750</v>
      </c>
      <c r="AY96" s="77">
        <v>17950</v>
      </c>
      <c r="AZ96" s="77">
        <v>401.8</v>
      </c>
      <c r="BA96" s="77">
        <v>401.8</v>
      </c>
      <c r="BB96" s="77">
        <v>401.8</v>
      </c>
      <c r="BC96" s="77">
        <v>401.8</v>
      </c>
      <c r="BD96" s="77">
        <v>4.3E-3</v>
      </c>
      <c r="BE96" s="77">
        <v>4.8999999999999998E-3</v>
      </c>
      <c r="BF96" s="77">
        <v>7.1000000000000004E-3</v>
      </c>
      <c r="BH96" s="79"/>
      <c r="BI96" s="79"/>
      <c r="BJ96" s="79"/>
      <c r="BK96" s="57"/>
      <c r="BL96" s="57">
        <f t="shared" si="243"/>
        <v>39.774999999999999</v>
      </c>
      <c r="BM96" s="80">
        <f t="shared" si="273"/>
        <v>1.5393804002589986</v>
      </c>
      <c r="BN96" s="80">
        <v>20</v>
      </c>
      <c r="BO96" s="57">
        <f t="shared" si="212"/>
        <v>30.787608005179973</v>
      </c>
      <c r="BP96" s="57">
        <f t="shared" si="213"/>
        <v>38064.646426425556</v>
      </c>
      <c r="BQ96" s="77">
        <f t="shared" si="214"/>
        <v>8.3673512563109398E-11</v>
      </c>
      <c r="BR96" s="57">
        <f t="shared" si="215"/>
        <v>8183898.981681494</v>
      </c>
      <c r="BS96" s="57">
        <v>28.083994243220435</v>
      </c>
      <c r="BT96" s="57">
        <f t="shared" si="220"/>
        <v>16.040839086123764</v>
      </c>
      <c r="BU96" s="57"/>
      <c r="BV96" s="57">
        <v>3.3E-3</v>
      </c>
      <c r="BW96" s="57">
        <v>30000</v>
      </c>
      <c r="BX96" s="57">
        <v>200000</v>
      </c>
      <c r="BY96" s="77">
        <f>10</f>
        <v>10</v>
      </c>
      <c r="BZ96" s="77">
        <f>20</f>
        <v>20</v>
      </c>
      <c r="CA96" s="77">
        <f t="shared" si="279"/>
        <v>35</v>
      </c>
      <c r="CB96" s="77">
        <f t="shared" si="280"/>
        <v>65</v>
      </c>
      <c r="CC96" s="77">
        <f t="shared" si="281"/>
        <v>95</v>
      </c>
      <c r="CD96" s="77">
        <f t="shared" si="282"/>
        <v>125</v>
      </c>
      <c r="CE96" s="77">
        <f t="shared" si="283"/>
        <v>155</v>
      </c>
      <c r="CF96" s="77">
        <f t="shared" si="284"/>
        <v>185</v>
      </c>
      <c r="CG96" s="77">
        <f t="shared" si="285"/>
        <v>215</v>
      </c>
      <c r="CH96" s="77">
        <f t="shared" si="286"/>
        <v>245</v>
      </c>
      <c r="CI96" s="77">
        <f t="shared" si="287"/>
        <v>275</v>
      </c>
      <c r="CJ96" s="77">
        <f t="shared" si="288"/>
        <v>305</v>
      </c>
      <c r="CK96" s="77">
        <f t="shared" si="289"/>
        <v>335</v>
      </c>
      <c r="CL96" s="77">
        <f t="shared" si="290"/>
        <v>365</v>
      </c>
      <c r="CM96" s="77">
        <f t="shared" si="291"/>
        <v>395</v>
      </c>
      <c r="CN96" s="77">
        <f t="shared" si="292"/>
        <v>410</v>
      </c>
      <c r="CO96" s="77">
        <f t="shared" si="293"/>
        <v>420</v>
      </c>
      <c r="DM96" s="77">
        <f t="shared" si="294"/>
        <v>15.393804002589986</v>
      </c>
      <c r="DN96" s="77">
        <f t="shared" si="294"/>
        <v>15.393804002589986</v>
      </c>
      <c r="DO96" s="77">
        <f t="shared" si="325"/>
        <v>3.0787608005179972</v>
      </c>
      <c r="DP96" s="77">
        <f t="shared" si="325"/>
        <v>3.0787608005179972</v>
      </c>
      <c r="DQ96" s="77">
        <f t="shared" si="325"/>
        <v>3.0787608005179972</v>
      </c>
      <c r="DR96" s="77">
        <f t="shared" si="325"/>
        <v>3.0787608005179972</v>
      </c>
      <c r="DS96" s="77">
        <f t="shared" si="325"/>
        <v>3.0787608005179972</v>
      </c>
      <c r="DT96" s="77">
        <f t="shared" si="325"/>
        <v>3.0787608005179972</v>
      </c>
      <c r="DU96" s="77">
        <f t="shared" si="325"/>
        <v>3.0787608005179972</v>
      </c>
      <c r="DV96" s="77">
        <f t="shared" si="325"/>
        <v>3.0787608005179972</v>
      </c>
      <c r="DW96" s="77">
        <f t="shared" si="325"/>
        <v>3.0787608005179972</v>
      </c>
      <c r="DX96" s="77">
        <f t="shared" si="325"/>
        <v>3.0787608005179972</v>
      </c>
      <c r="DY96" s="77">
        <f t="shared" si="325"/>
        <v>3.0787608005179972</v>
      </c>
      <c r="DZ96" s="77">
        <f t="shared" si="325"/>
        <v>3.0787608005179972</v>
      </c>
      <c r="EA96" s="77">
        <f t="shared" si="325"/>
        <v>3.0787608005179972</v>
      </c>
      <c r="EB96" s="77">
        <f t="shared" si="296"/>
        <v>15.393804002589986</v>
      </c>
      <c r="EC96" s="77">
        <f t="shared" si="296"/>
        <v>15.393804002589986</v>
      </c>
      <c r="FA96" s="77">
        <f t="shared" si="269"/>
        <v>-6185.2304482406571</v>
      </c>
      <c r="FB96" s="77">
        <f t="shared" si="270"/>
        <v>-2924.5362475118663</v>
      </c>
      <c r="FC96" s="77">
        <f t="shared" si="297"/>
        <v>500.39890962725536</v>
      </c>
      <c r="FD96" s="77">
        <f t="shared" si="298"/>
        <v>1237.0460896481313</v>
      </c>
      <c r="FE96" s="77">
        <f t="shared" si="299"/>
        <v>1237.0460896481313</v>
      </c>
      <c r="FF96" s="77">
        <f t="shared" si="300"/>
        <v>1237.0460896481313</v>
      </c>
      <c r="FG96" s="77">
        <f t="shared" si="301"/>
        <v>1237.0460896481313</v>
      </c>
      <c r="FH96" s="77">
        <f t="shared" si="302"/>
        <v>1237.0460896481313</v>
      </c>
      <c r="FI96" s="77">
        <f t="shared" si="303"/>
        <v>1237.0460896481313</v>
      </c>
      <c r="FJ96" s="77">
        <f t="shared" si="304"/>
        <v>1237.0460896481313</v>
      </c>
      <c r="FK96" s="77">
        <f t="shared" si="305"/>
        <v>1237.0460896481313</v>
      </c>
      <c r="FL96" s="77">
        <f t="shared" si="306"/>
        <v>1237.0460896481313</v>
      </c>
      <c r="FM96" s="77">
        <f t="shared" si="307"/>
        <v>1237.0460896481313</v>
      </c>
      <c r="FN96" s="77">
        <f t="shared" si="308"/>
        <v>1237.0460896481313</v>
      </c>
      <c r="FO96" s="77">
        <f t="shared" si="309"/>
        <v>1237.0460896481313</v>
      </c>
      <c r="FP96" s="77">
        <f t="shared" si="310"/>
        <v>6185.2304482406571</v>
      </c>
      <c r="FQ96" s="77">
        <f t="shared" si="311"/>
        <v>6185.2304482406571</v>
      </c>
      <c r="GO96" s="77">
        <f t="shared" si="275"/>
        <v>1267972.2418893347</v>
      </c>
      <c r="GP96" s="77">
        <f t="shared" si="276"/>
        <v>570284.56826481398</v>
      </c>
      <c r="GQ96" s="77">
        <f t="shared" si="277"/>
        <v>-90071.803732905959</v>
      </c>
      <c r="GR96" s="77">
        <f t="shared" si="278"/>
        <v>-185556.9134472197</v>
      </c>
      <c r="GS96" s="77">
        <f t="shared" si="312"/>
        <v>-148445.53075777576</v>
      </c>
      <c r="GT96" s="77">
        <f t="shared" si="313"/>
        <v>-111334.14806833182</v>
      </c>
      <c r="GU96" s="77">
        <f t="shared" si="314"/>
        <v>-74222.765378887882</v>
      </c>
      <c r="GV96" s="77">
        <f t="shared" si="315"/>
        <v>-37111.382689443941</v>
      </c>
      <c r="GW96" s="77">
        <f t="shared" si="316"/>
        <v>0</v>
      </c>
      <c r="GX96" s="77">
        <f t="shared" si="317"/>
        <v>37111.382689443941</v>
      </c>
      <c r="GY96" s="77">
        <f t="shared" si="318"/>
        <v>74222.765378887882</v>
      </c>
      <c r="GZ96" s="77">
        <f t="shared" si="319"/>
        <v>111334.14806833182</v>
      </c>
      <c r="HA96" s="77">
        <f t="shared" si="320"/>
        <v>148445.53075777576</v>
      </c>
      <c r="HB96" s="77">
        <f t="shared" si="321"/>
        <v>185556.9134472197</v>
      </c>
      <c r="HC96" s="77">
        <f t="shared" si="322"/>
        <v>222668.29613666364</v>
      </c>
      <c r="HD96" s="77">
        <f t="shared" si="323"/>
        <v>1206119.937406928</v>
      </c>
      <c r="HE96" s="77">
        <f t="shared" si="324"/>
        <v>1267972.2418893347</v>
      </c>
      <c r="IC96" s="77">
        <v>98</v>
      </c>
    </row>
    <row r="97" spans="1:237" s="77" customFormat="1">
      <c r="A97" s="77">
        <v>96</v>
      </c>
      <c r="B97" s="69">
        <v>154</v>
      </c>
      <c r="C97" s="69" t="s">
        <v>236</v>
      </c>
      <c r="D97" s="70" t="s">
        <v>115</v>
      </c>
      <c r="E97" s="70">
        <v>3</v>
      </c>
      <c r="F97" s="70">
        <v>7.9530219860481283E-2</v>
      </c>
      <c r="G97" s="70"/>
      <c r="H97" s="70">
        <v>8.8372090000000004E-3</v>
      </c>
      <c r="I97" s="70">
        <v>9.3023255813953487E-3</v>
      </c>
      <c r="J97" s="71">
        <v>0.5</v>
      </c>
      <c r="K97" s="72">
        <v>18.695652173913043</v>
      </c>
      <c r="L97" s="71">
        <v>0.10550055865921788</v>
      </c>
      <c r="M97" s="71">
        <v>0.12121340782122908</v>
      </c>
      <c r="N97" s="71">
        <v>0.15937318435754191</v>
      </c>
      <c r="O97" s="71">
        <v>1.5887062090132038E-2</v>
      </c>
      <c r="P97" s="71">
        <v>0</v>
      </c>
      <c r="Q97" s="73" t="s">
        <v>243</v>
      </c>
      <c r="R97" s="74">
        <v>0.25276002324230101</v>
      </c>
      <c r="S97" s="75">
        <f t="shared" si="216"/>
        <v>0.33647956860991007</v>
      </c>
      <c r="T97" s="59">
        <f t="shared" si="188"/>
        <v>1.5094383708341002</v>
      </c>
      <c r="U97" s="59">
        <f t="shared" si="189"/>
        <v>1.1763795859484276</v>
      </c>
      <c r="V97" s="59">
        <f t="shared" si="190"/>
        <v>1.5326200050585257</v>
      </c>
      <c r="W97" s="59">
        <f t="shared" si="191"/>
        <v>1.0153577878185351</v>
      </c>
      <c r="X97" s="59">
        <f t="shared" si="192"/>
        <v>1.3028277805610575</v>
      </c>
      <c r="Y97" s="86">
        <v>24500</v>
      </c>
      <c r="Z97" s="57">
        <f t="shared" si="193"/>
        <v>31919.280623745908</v>
      </c>
      <c r="AA97" s="57">
        <f t="shared" si="194"/>
        <v>24876.265801554109</v>
      </c>
      <c r="AB97" s="57">
        <f t="shared" ref="AB97:AB127" si="326">(AH97+AI97)/AU97</f>
        <v>22729.030475987169</v>
      </c>
      <c r="AC97" s="57">
        <f t="shared" si="196"/>
        <v>0.25</v>
      </c>
      <c r="AD97" s="57">
        <f t="shared" si="197"/>
        <v>1.5</v>
      </c>
      <c r="AE97" s="57">
        <f t="shared" si="198"/>
        <v>0</v>
      </c>
      <c r="AF97" s="57">
        <f t="shared" si="199"/>
        <v>8481.7271695434374</v>
      </c>
      <c r="AG97" s="57">
        <f t="shared" si="271"/>
        <v>16394.53863201067</v>
      </c>
      <c r="AH97" s="86">
        <f t="shared" ref="AH97:AH127" si="327">AM97*AK97*AT97*AP97*(AS97-0.5*AP97)</f>
        <v>4886741.5523372414</v>
      </c>
      <c r="AI97" s="86"/>
      <c r="AJ97" s="77">
        <v>0</v>
      </c>
      <c r="AK97" s="77">
        <v>17.899999999999999</v>
      </c>
      <c r="AL97" s="78">
        <f t="shared" si="203"/>
        <v>2.2450126212603032</v>
      </c>
      <c r="AM97" s="57">
        <f t="shared" si="204"/>
        <v>1</v>
      </c>
      <c r="AN97" s="57">
        <f t="shared" si="205"/>
        <v>0.8</v>
      </c>
      <c r="AO97" s="77">
        <v>430</v>
      </c>
      <c r="AP97" s="79">
        <v>30</v>
      </c>
      <c r="AQ97" s="77">
        <f t="shared" si="206"/>
        <v>19.34446179764867</v>
      </c>
      <c r="AR97" s="57">
        <f t="shared" ref="AR97:AR127" si="328">AO97-2*AP97</f>
        <v>370</v>
      </c>
      <c r="AS97" s="77">
        <f t="shared" si="208"/>
        <v>410.65553820235135</v>
      </c>
      <c r="AT97" s="77">
        <v>23</v>
      </c>
      <c r="AU97" s="77">
        <v>215</v>
      </c>
      <c r="AV97" s="77">
        <f t="shared" si="209"/>
        <v>8510</v>
      </c>
      <c r="AW97" s="77">
        <f t="shared" si="272"/>
        <v>9000</v>
      </c>
      <c r="AX97" s="77">
        <f t="shared" si="210"/>
        <v>9890</v>
      </c>
      <c r="AY97" s="77">
        <v>17210</v>
      </c>
      <c r="AZ97" s="77">
        <v>401.8</v>
      </c>
      <c r="BA97" s="77">
        <v>401.8</v>
      </c>
      <c r="BB97" s="77">
        <v>401.8</v>
      </c>
      <c r="BC97" s="77">
        <v>401.8</v>
      </c>
      <c r="BD97" s="77">
        <v>4.7000000000000002E-3</v>
      </c>
      <c r="BE97" s="77">
        <v>5.4000000000000003E-3</v>
      </c>
      <c r="BF97" s="77">
        <v>7.1000000000000004E-3</v>
      </c>
      <c r="BH97" s="79"/>
      <c r="BI97" s="79"/>
      <c r="BJ97" s="79"/>
      <c r="BK97" s="57"/>
      <c r="BL97" s="57">
        <f t="shared" si="243"/>
        <v>39.997</v>
      </c>
      <c r="BM97" s="80">
        <f t="shared" si="273"/>
        <v>1.5393804002589986</v>
      </c>
      <c r="BN97" s="80">
        <v>20</v>
      </c>
      <c r="BO97" s="57">
        <f t="shared" ref="BO97:BO127" si="329">BM97*BN97</f>
        <v>30.787608005179973</v>
      </c>
      <c r="BP97" s="57">
        <f t="shared" si="213"/>
        <v>37549.190123933877</v>
      </c>
      <c r="BQ97" s="77">
        <f t="shared" si="214"/>
        <v>0</v>
      </c>
      <c r="BR97" s="57">
        <f t="shared" ref="BR97:BR127" si="330">-AM97*AT97*BS97*AK97*(BS97/2-0.5*AO97)+SUM(GO97:IB97)</f>
        <v>8073075.876645783</v>
      </c>
      <c r="BS97" s="57">
        <v>38.688923595297339</v>
      </c>
      <c r="BT97" s="57">
        <f t="shared" si="220"/>
        <v>26.334331900490422</v>
      </c>
      <c r="BU97" s="57"/>
      <c r="BV97" s="57">
        <v>3.3E-3</v>
      </c>
      <c r="BW97" s="57">
        <v>30000</v>
      </c>
      <c r="BX97" s="57">
        <v>200000</v>
      </c>
      <c r="BY97" s="77">
        <f>10</f>
        <v>10</v>
      </c>
      <c r="BZ97" s="77">
        <f>20</f>
        <v>20</v>
      </c>
      <c r="CA97" s="77">
        <f t="shared" si="279"/>
        <v>35</v>
      </c>
      <c r="CB97" s="77">
        <f t="shared" si="280"/>
        <v>65</v>
      </c>
      <c r="CC97" s="77">
        <f t="shared" si="281"/>
        <v>95</v>
      </c>
      <c r="CD97" s="77">
        <f t="shared" si="282"/>
        <v>125</v>
      </c>
      <c r="CE97" s="77">
        <f t="shared" si="283"/>
        <v>155</v>
      </c>
      <c r="CF97" s="77">
        <f t="shared" si="284"/>
        <v>185</v>
      </c>
      <c r="CG97" s="77">
        <f t="shared" si="285"/>
        <v>215</v>
      </c>
      <c r="CH97" s="77">
        <f t="shared" si="286"/>
        <v>245</v>
      </c>
      <c r="CI97" s="77">
        <f t="shared" si="287"/>
        <v>275</v>
      </c>
      <c r="CJ97" s="77">
        <f t="shared" si="288"/>
        <v>305</v>
      </c>
      <c r="CK97" s="77">
        <f t="shared" si="289"/>
        <v>335</v>
      </c>
      <c r="CL97" s="77">
        <f t="shared" si="290"/>
        <v>365</v>
      </c>
      <c r="CM97" s="77">
        <f t="shared" si="291"/>
        <v>395</v>
      </c>
      <c r="CN97" s="77">
        <f t="shared" si="292"/>
        <v>410</v>
      </c>
      <c r="CO97" s="77">
        <f t="shared" si="293"/>
        <v>420</v>
      </c>
      <c r="DM97" s="77">
        <f t="shared" si="294"/>
        <v>15.393804002589986</v>
      </c>
      <c r="DN97" s="77">
        <f t="shared" si="294"/>
        <v>15.393804002589986</v>
      </c>
      <c r="DO97" s="77">
        <f t="shared" si="325"/>
        <v>3.0787608005179972</v>
      </c>
      <c r="DP97" s="77">
        <f t="shared" si="325"/>
        <v>3.0787608005179972</v>
      </c>
      <c r="DQ97" s="77">
        <f t="shared" si="325"/>
        <v>3.0787608005179972</v>
      </c>
      <c r="DR97" s="77">
        <f t="shared" si="325"/>
        <v>3.0787608005179972</v>
      </c>
      <c r="DS97" s="77">
        <f t="shared" si="325"/>
        <v>3.0787608005179972</v>
      </c>
      <c r="DT97" s="77">
        <f t="shared" si="325"/>
        <v>3.0787608005179972</v>
      </c>
      <c r="DU97" s="77">
        <f t="shared" si="325"/>
        <v>3.0787608005179972</v>
      </c>
      <c r="DV97" s="77">
        <f t="shared" si="325"/>
        <v>3.0787608005179972</v>
      </c>
      <c r="DW97" s="77">
        <f t="shared" si="325"/>
        <v>3.0787608005179972</v>
      </c>
      <c r="DX97" s="77">
        <f t="shared" si="325"/>
        <v>3.0787608005179972</v>
      </c>
      <c r="DY97" s="77">
        <f t="shared" si="325"/>
        <v>3.0787608005179972</v>
      </c>
      <c r="DZ97" s="77">
        <f t="shared" si="325"/>
        <v>3.0787608005179972</v>
      </c>
      <c r="EA97" s="77">
        <f t="shared" si="325"/>
        <v>3.0787608005179972</v>
      </c>
      <c r="EB97" s="77">
        <f t="shared" si="296"/>
        <v>15.393804002589986</v>
      </c>
      <c r="EC97" s="77">
        <f t="shared" si="296"/>
        <v>15.393804002589986</v>
      </c>
      <c r="FA97" s="77">
        <f t="shared" si="269"/>
        <v>-6185.2304482406571</v>
      </c>
      <c r="FB97" s="77">
        <f t="shared" si="270"/>
        <v>-4907.8076119190582</v>
      </c>
      <c r="FC97" s="77">
        <f t="shared" si="297"/>
        <v>-193.74606791526199</v>
      </c>
      <c r="FD97" s="77">
        <f t="shared" si="298"/>
        <v>1237.0460896481313</v>
      </c>
      <c r="FE97" s="77">
        <f t="shared" si="299"/>
        <v>1237.0460896481313</v>
      </c>
      <c r="FF97" s="77">
        <f t="shared" si="300"/>
        <v>1237.0460896481313</v>
      </c>
      <c r="FG97" s="77">
        <f t="shared" si="301"/>
        <v>1237.0460896481313</v>
      </c>
      <c r="FH97" s="77">
        <f t="shared" si="302"/>
        <v>1237.0460896481313</v>
      </c>
      <c r="FI97" s="77">
        <f t="shared" si="303"/>
        <v>1237.0460896481313</v>
      </c>
      <c r="FJ97" s="77">
        <f t="shared" si="304"/>
        <v>1237.0460896481313</v>
      </c>
      <c r="FK97" s="77">
        <f t="shared" si="305"/>
        <v>1237.0460896481313</v>
      </c>
      <c r="FL97" s="77">
        <f t="shared" si="306"/>
        <v>1237.0460896481313</v>
      </c>
      <c r="FM97" s="77">
        <f t="shared" si="307"/>
        <v>1237.0460896481313</v>
      </c>
      <c r="FN97" s="77">
        <f t="shared" si="308"/>
        <v>1237.0460896481313</v>
      </c>
      <c r="FO97" s="77">
        <f t="shared" si="309"/>
        <v>1237.0460896481313</v>
      </c>
      <c r="FP97" s="77">
        <f t="shared" si="310"/>
        <v>6185.2304482406571</v>
      </c>
      <c r="FQ97" s="77">
        <f t="shared" si="311"/>
        <v>6185.2304482406571</v>
      </c>
      <c r="GO97" s="77">
        <f t="shared" si="275"/>
        <v>1267972.2418893347</v>
      </c>
      <c r="GP97" s="77">
        <f t="shared" si="276"/>
        <v>957022.48432421638</v>
      </c>
      <c r="GQ97" s="77">
        <f t="shared" si="277"/>
        <v>34874.292224747158</v>
      </c>
      <c r="GR97" s="77">
        <f t="shared" si="278"/>
        <v>-185556.9134472197</v>
      </c>
      <c r="GS97" s="77">
        <f t="shared" si="312"/>
        <v>-148445.53075777576</v>
      </c>
      <c r="GT97" s="77">
        <f t="shared" si="313"/>
        <v>-111334.14806833182</v>
      </c>
      <c r="GU97" s="77">
        <f t="shared" si="314"/>
        <v>-74222.765378887882</v>
      </c>
      <c r="GV97" s="77">
        <f t="shared" si="315"/>
        <v>-37111.382689443941</v>
      </c>
      <c r="GW97" s="77">
        <f t="shared" si="316"/>
        <v>0</v>
      </c>
      <c r="GX97" s="77">
        <f t="shared" si="317"/>
        <v>37111.382689443941</v>
      </c>
      <c r="GY97" s="77">
        <f t="shared" si="318"/>
        <v>74222.765378887882</v>
      </c>
      <c r="GZ97" s="77">
        <f t="shared" si="319"/>
        <v>111334.14806833182</v>
      </c>
      <c r="HA97" s="77">
        <f t="shared" si="320"/>
        <v>148445.53075777576</v>
      </c>
      <c r="HB97" s="77">
        <f t="shared" si="321"/>
        <v>185556.9134472197</v>
      </c>
      <c r="HC97" s="77">
        <f t="shared" si="322"/>
        <v>222668.29613666364</v>
      </c>
      <c r="HD97" s="77">
        <f t="shared" si="323"/>
        <v>1206119.937406928</v>
      </c>
      <c r="HE97" s="77">
        <f t="shared" si="324"/>
        <v>1267972.2418893347</v>
      </c>
      <c r="IC97" s="77">
        <v>99</v>
      </c>
    </row>
    <row r="98" spans="1:237" s="77" customFormat="1">
      <c r="A98" s="77">
        <v>97</v>
      </c>
      <c r="B98" s="69">
        <v>155</v>
      </c>
      <c r="C98" s="69" t="s">
        <v>236</v>
      </c>
      <c r="D98" s="70" t="s">
        <v>116</v>
      </c>
      <c r="E98" s="70">
        <v>3</v>
      </c>
      <c r="F98" s="70">
        <v>8.0826628904000872E-2</v>
      </c>
      <c r="G98" s="70">
        <v>4.6511629999999998E-3</v>
      </c>
      <c r="H98" s="70">
        <v>9.3023300000000004E-4</v>
      </c>
      <c r="I98" s="70">
        <v>9.3023255813953487E-3</v>
      </c>
      <c r="J98" s="71">
        <v>0.5</v>
      </c>
      <c r="K98" s="72">
        <v>17.2</v>
      </c>
      <c r="L98" s="71">
        <v>7.9494972067039107E-2</v>
      </c>
      <c r="M98" s="71">
        <v>9.0335195530726262E-2</v>
      </c>
      <c r="N98" s="71">
        <v>0.15937318435754191</v>
      </c>
      <c r="O98" s="71">
        <v>1.2787147535959931E-2</v>
      </c>
      <c r="P98" s="71">
        <v>0</v>
      </c>
      <c r="Q98" s="73" t="s">
        <v>243</v>
      </c>
      <c r="R98" s="74">
        <v>0.24233983286908078</v>
      </c>
      <c r="S98" s="75">
        <f t="shared" si="216"/>
        <v>0.34196446675894959</v>
      </c>
      <c r="T98" s="59">
        <f t="shared" si="188"/>
        <v>1.5522838648438324</v>
      </c>
      <c r="U98" s="59">
        <f t="shared" si="189"/>
        <v>1.2236666250855464</v>
      </c>
      <c r="V98" s="59">
        <f t="shared" si="190"/>
        <v>1.3548034595819884</v>
      </c>
      <c r="W98" s="59">
        <f t="shared" si="191"/>
        <v>0.87278073957065083</v>
      </c>
      <c r="X98" s="59">
        <f t="shared" si="192"/>
        <v>1.1071671252676965</v>
      </c>
      <c r="Y98" s="86">
        <v>25970</v>
      </c>
      <c r="Z98" s="57">
        <f t="shared" si="193"/>
        <v>28753.130243202075</v>
      </c>
      <c r="AA98" s="57">
        <f t="shared" si="194"/>
        <v>22666.115806649803</v>
      </c>
      <c r="AB98" s="57">
        <f t="shared" si="326"/>
        <v>24894.932235687014</v>
      </c>
      <c r="AC98" s="57">
        <f t="shared" si="196"/>
        <v>0.25</v>
      </c>
      <c r="AD98" s="57">
        <f t="shared" si="197"/>
        <v>1.5</v>
      </c>
      <c r="AE98" s="57">
        <f t="shared" si="198"/>
        <v>0</v>
      </c>
      <c r="AF98" s="57">
        <f t="shared" si="199"/>
        <v>9287.387998235994</v>
      </c>
      <c r="AG98" s="57">
        <f t="shared" si="271"/>
        <v>13378.727808413809</v>
      </c>
      <c r="AH98" s="86">
        <f t="shared" si="327"/>
        <v>5352410.430672708</v>
      </c>
      <c r="AI98" s="86"/>
      <c r="AJ98" s="77">
        <v>0</v>
      </c>
      <c r="AK98" s="77">
        <v>17.899999999999999</v>
      </c>
      <c r="AL98" s="78">
        <f t="shared" si="203"/>
        <v>2.2450126212603032</v>
      </c>
      <c r="AM98" s="57">
        <f t="shared" si="204"/>
        <v>1</v>
      </c>
      <c r="AN98" s="57">
        <f t="shared" si="205"/>
        <v>0.8</v>
      </c>
      <c r="AO98" s="77">
        <v>430</v>
      </c>
      <c r="AP98" s="79">
        <v>30</v>
      </c>
      <c r="AQ98" s="77">
        <f t="shared" si="206"/>
        <v>16.310210005757281</v>
      </c>
      <c r="AR98" s="57">
        <f t="shared" si="328"/>
        <v>370</v>
      </c>
      <c r="AS98" s="77">
        <f t="shared" si="208"/>
        <v>413.68978999424274</v>
      </c>
      <c r="AT98" s="77">
        <v>25</v>
      </c>
      <c r="AU98" s="77">
        <v>215</v>
      </c>
      <c r="AV98" s="77">
        <f t="shared" si="209"/>
        <v>9250</v>
      </c>
      <c r="AW98" s="77">
        <f t="shared" si="272"/>
        <v>9000</v>
      </c>
      <c r="AX98" s="77">
        <f t="shared" si="210"/>
        <v>10750</v>
      </c>
      <c r="AY98" s="77">
        <v>17950</v>
      </c>
      <c r="AZ98" s="77">
        <v>323.39999999999998</v>
      </c>
      <c r="BA98" s="77">
        <v>323.39999999999998</v>
      </c>
      <c r="BB98" s="77">
        <v>401.8</v>
      </c>
      <c r="BC98" s="77">
        <v>401.8</v>
      </c>
      <c r="BD98" s="77">
        <v>4.4000000000000003E-3</v>
      </c>
      <c r="BE98" s="77">
        <v>5.0000000000000001E-3</v>
      </c>
      <c r="BF98" s="77">
        <v>7.1000000000000004E-3</v>
      </c>
      <c r="BH98" s="79"/>
      <c r="BI98" s="79"/>
      <c r="BJ98" s="79"/>
      <c r="BK98" s="57"/>
      <c r="BL98" s="57">
        <f t="shared" si="243"/>
        <v>40.700000000000003</v>
      </c>
      <c r="BM98" s="80">
        <f t="shared" si="273"/>
        <v>1.5393804002589986</v>
      </c>
      <c r="BN98" s="80">
        <v>20</v>
      </c>
      <c r="BO98" s="57">
        <f t="shared" si="329"/>
        <v>30.787608005179973</v>
      </c>
      <c r="BP98" s="57">
        <f t="shared" si="213"/>
        <v>35184.245845344238</v>
      </c>
      <c r="BQ98" s="77">
        <f t="shared" si="214"/>
        <v>1.8189894035458565E-11</v>
      </c>
      <c r="BR98" s="57">
        <f t="shared" si="330"/>
        <v>7564612.8567490112</v>
      </c>
      <c r="BS98" s="57">
        <v>32.620420011514561</v>
      </c>
      <c r="BT98" s="57">
        <f t="shared" si="220"/>
        <v>18.255554709886415</v>
      </c>
      <c r="BU98" s="57"/>
      <c r="BV98" s="57">
        <v>3.3E-3</v>
      </c>
      <c r="BW98" s="57">
        <v>30000</v>
      </c>
      <c r="BX98" s="57">
        <v>200000</v>
      </c>
      <c r="BY98" s="77">
        <f>10</f>
        <v>10</v>
      </c>
      <c r="BZ98" s="77">
        <f>20</f>
        <v>20</v>
      </c>
      <c r="CA98" s="77">
        <f t="shared" si="279"/>
        <v>35</v>
      </c>
      <c r="CB98" s="77">
        <f t="shared" si="280"/>
        <v>65</v>
      </c>
      <c r="CC98" s="77">
        <f t="shared" si="281"/>
        <v>95</v>
      </c>
      <c r="CD98" s="77">
        <f t="shared" si="282"/>
        <v>125</v>
      </c>
      <c r="CE98" s="77">
        <f t="shared" si="283"/>
        <v>155</v>
      </c>
      <c r="CF98" s="77">
        <f t="shared" si="284"/>
        <v>185</v>
      </c>
      <c r="CG98" s="77">
        <f t="shared" si="285"/>
        <v>215</v>
      </c>
      <c r="CH98" s="77">
        <f t="shared" si="286"/>
        <v>245</v>
      </c>
      <c r="CI98" s="77">
        <f t="shared" si="287"/>
        <v>275</v>
      </c>
      <c r="CJ98" s="77">
        <f t="shared" si="288"/>
        <v>305</v>
      </c>
      <c r="CK98" s="77">
        <f t="shared" si="289"/>
        <v>335</v>
      </c>
      <c r="CL98" s="77">
        <f t="shared" si="290"/>
        <v>365</v>
      </c>
      <c r="CM98" s="77">
        <f t="shared" si="291"/>
        <v>395</v>
      </c>
      <c r="CN98" s="77">
        <f t="shared" si="292"/>
        <v>410</v>
      </c>
      <c r="CO98" s="77">
        <f t="shared" si="293"/>
        <v>420</v>
      </c>
      <c r="DM98" s="77">
        <f t="shared" si="294"/>
        <v>15.393804002589986</v>
      </c>
      <c r="DN98" s="77">
        <f t="shared" si="294"/>
        <v>15.393804002589986</v>
      </c>
      <c r="DO98" s="77">
        <f t="shared" ref="DO98:EA99" si="331">PI()*2*2/4</f>
        <v>3.1415926535897931</v>
      </c>
      <c r="DP98" s="77">
        <f t="shared" si="331"/>
        <v>3.1415926535897931</v>
      </c>
      <c r="DQ98" s="77">
        <f t="shared" si="331"/>
        <v>3.1415926535897931</v>
      </c>
      <c r="DR98" s="77">
        <f t="shared" si="331"/>
        <v>3.1415926535897931</v>
      </c>
      <c r="DS98" s="77">
        <f t="shared" si="331"/>
        <v>3.1415926535897931</v>
      </c>
      <c r="DT98" s="77">
        <f t="shared" si="331"/>
        <v>3.1415926535897931</v>
      </c>
      <c r="DU98" s="77">
        <f t="shared" si="331"/>
        <v>3.1415926535897931</v>
      </c>
      <c r="DV98" s="77">
        <f t="shared" si="331"/>
        <v>3.1415926535897931</v>
      </c>
      <c r="DW98" s="77">
        <f t="shared" si="331"/>
        <v>3.1415926535897931</v>
      </c>
      <c r="DX98" s="77">
        <f t="shared" si="331"/>
        <v>3.1415926535897931</v>
      </c>
      <c r="DY98" s="77">
        <f t="shared" si="331"/>
        <v>3.1415926535897931</v>
      </c>
      <c r="DZ98" s="77">
        <f t="shared" si="331"/>
        <v>3.1415926535897931</v>
      </c>
      <c r="EA98" s="77">
        <f t="shared" si="331"/>
        <v>3.1415926535897931</v>
      </c>
      <c r="EB98" s="77">
        <f t="shared" si="296"/>
        <v>15.393804002589986</v>
      </c>
      <c r="EC98" s="77">
        <f t="shared" si="296"/>
        <v>15.393804002589986</v>
      </c>
      <c r="FA98" s="77">
        <f t="shared" si="269"/>
        <v>-6185.2304482406571</v>
      </c>
      <c r="FB98" s="77">
        <f t="shared" si="270"/>
        <v>-3930.7384617539633</v>
      </c>
      <c r="FC98" s="77">
        <f t="shared" si="297"/>
        <v>151.2531986148179</v>
      </c>
      <c r="FD98" s="77">
        <f t="shared" si="298"/>
        <v>1015.991064170939</v>
      </c>
      <c r="FE98" s="77">
        <f t="shared" si="299"/>
        <v>1015.991064170939</v>
      </c>
      <c r="FF98" s="77">
        <f t="shared" si="300"/>
        <v>1015.991064170939</v>
      </c>
      <c r="FG98" s="77">
        <f t="shared" si="301"/>
        <v>1015.991064170939</v>
      </c>
      <c r="FH98" s="77">
        <f t="shared" si="302"/>
        <v>1015.991064170939</v>
      </c>
      <c r="FI98" s="77">
        <f t="shared" si="303"/>
        <v>1015.991064170939</v>
      </c>
      <c r="FJ98" s="77">
        <f t="shared" si="304"/>
        <v>1015.991064170939</v>
      </c>
      <c r="FK98" s="77">
        <f t="shared" si="305"/>
        <v>1015.991064170939</v>
      </c>
      <c r="FL98" s="77">
        <f t="shared" si="306"/>
        <v>1015.991064170939</v>
      </c>
      <c r="FM98" s="77">
        <f t="shared" si="307"/>
        <v>1015.991064170939</v>
      </c>
      <c r="FN98" s="77">
        <f t="shared" si="308"/>
        <v>1015.991064170939</v>
      </c>
      <c r="FO98" s="77">
        <f t="shared" si="309"/>
        <v>1015.991064170939</v>
      </c>
      <c r="FP98" s="77">
        <f t="shared" si="310"/>
        <v>6185.2304482406571</v>
      </c>
      <c r="FQ98" s="77">
        <f t="shared" si="311"/>
        <v>6185.2304482406571</v>
      </c>
      <c r="GO98" s="77">
        <f t="shared" si="275"/>
        <v>1267972.2418893347</v>
      </c>
      <c r="GP98" s="77">
        <f t="shared" si="276"/>
        <v>766494.00004202279</v>
      </c>
      <c r="GQ98" s="77">
        <f t="shared" si="277"/>
        <v>-27225.575750667223</v>
      </c>
      <c r="GR98" s="77">
        <f t="shared" si="278"/>
        <v>-152398.65962564084</v>
      </c>
      <c r="GS98" s="77">
        <f t="shared" si="312"/>
        <v>-121918.92770051268</v>
      </c>
      <c r="GT98" s="77">
        <f t="shared" si="313"/>
        <v>-91439.195775384505</v>
      </c>
      <c r="GU98" s="77">
        <f t="shared" si="314"/>
        <v>-60959.463850256339</v>
      </c>
      <c r="GV98" s="77">
        <f t="shared" si="315"/>
        <v>-30479.73192512817</v>
      </c>
      <c r="GW98" s="77">
        <f t="shared" si="316"/>
        <v>0</v>
      </c>
      <c r="GX98" s="77">
        <f t="shared" si="317"/>
        <v>30479.73192512817</v>
      </c>
      <c r="GY98" s="77">
        <f t="shared" si="318"/>
        <v>60959.463850256339</v>
      </c>
      <c r="GZ98" s="77">
        <f t="shared" si="319"/>
        <v>91439.195775384505</v>
      </c>
      <c r="HA98" s="77">
        <f t="shared" si="320"/>
        <v>121918.92770051268</v>
      </c>
      <c r="HB98" s="77">
        <f t="shared" si="321"/>
        <v>152398.65962564084</v>
      </c>
      <c r="HC98" s="77">
        <f t="shared" si="322"/>
        <v>182878.39155076901</v>
      </c>
      <c r="HD98" s="77">
        <f t="shared" si="323"/>
        <v>1206119.937406928</v>
      </c>
      <c r="HE98" s="77">
        <f t="shared" si="324"/>
        <v>1267972.2418893347</v>
      </c>
      <c r="IC98" s="77">
        <v>100</v>
      </c>
    </row>
    <row r="99" spans="1:237" s="77" customFormat="1">
      <c r="A99" s="77">
        <v>98</v>
      </c>
      <c r="B99" s="69">
        <v>156</v>
      </c>
      <c r="C99" s="69" t="s">
        <v>236</v>
      </c>
      <c r="D99" s="70" t="s">
        <v>117</v>
      </c>
      <c r="E99" s="70">
        <v>3</v>
      </c>
      <c r="F99" s="70">
        <v>0.10474308300395256</v>
      </c>
      <c r="G99" s="70"/>
      <c r="H99" s="70">
        <v>5.1162789999999996E-3</v>
      </c>
      <c r="I99" s="70">
        <v>5.1162790697674423E-3</v>
      </c>
      <c r="J99" s="71">
        <v>0.5</v>
      </c>
      <c r="K99" s="72">
        <v>21.5</v>
      </c>
      <c r="L99" s="71">
        <v>0.11549999999999998</v>
      </c>
      <c r="M99" s="71">
        <v>0.1323</v>
      </c>
      <c r="N99" s="71">
        <v>0.18524545454545455</v>
      </c>
      <c r="O99" s="71">
        <v>1.4862983174914465E-2</v>
      </c>
      <c r="P99" s="71">
        <v>0</v>
      </c>
      <c r="Q99" s="73" t="s">
        <v>243</v>
      </c>
      <c r="R99" s="74">
        <v>0.27018633540372672</v>
      </c>
      <c r="S99" s="75">
        <f t="shared" si="216"/>
        <v>0.41104153918121539</v>
      </c>
      <c r="T99" s="59">
        <f t="shared" si="188"/>
        <v>1.733482139255212</v>
      </c>
      <c r="U99" s="59">
        <f t="shared" si="189"/>
        <v>1.3427099199411829</v>
      </c>
      <c r="V99" s="59">
        <f t="shared" si="190"/>
        <v>1.3421422930321654</v>
      </c>
      <c r="W99" s="59">
        <f t="shared" si="191"/>
        <v>0.77424639264458461</v>
      </c>
      <c r="X99" s="59">
        <f t="shared" si="192"/>
        <v>0.99957725276279907</v>
      </c>
      <c r="Y99" s="86">
        <v>25970</v>
      </c>
      <c r="Z99" s="57">
        <f t="shared" si="193"/>
        <v>25959.021254249892</v>
      </c>
      <c r="AA99" s="57">
        <f t="shared" si="194"/>
        <v>20107.178816979864</v>
      </c>
      <c r="AB99" s="57">
        <f t="shared" si="326"/>
        <v>16943.269322827593</v>
      </c>
      <c r="AC99" s="57">
        <f t="shared" si="196"/>
        <v>0.25</v>
      </c>
      <c r="AD99" s="57">
        <f t="shared" si="197"/>
        <v>1.5</v>
      </c>
      <c r="AE99" s="57">
        <f t="shared" si="198"/>
        <v>0</v>
      </c>
      <c r="AF99" s="57">
        <f t="shared" si="199"/>
        <v>6766.3893702286787</v>
      </c>
      <c r="AG99" s="57">
        <f t="shared" si="271"/>
        <v>13340.789446751185</v>
      </c>
      <c r="AH99" s="86">
        <f t="shared" si="327"/>
        <v>3642802.9044079324</v>
      </c>
      <c r="AI99" s="86"/>
      <c r="AJ99" s="77">
        <v>0</v>
      </c>
      <c r="AK99" s="77">
        <v>15.4</v>
      </c>
      <c r="AL99" s="78">
        <f t="shared" si="203"/>
        <v>2.0667408155592386</v>
      </c>
      <c r="AM99" s="57">
        <f t="shared" si="204"/>
        <v>1</v>
      </c>
      <c r="AN99" s="57">
        <f t="shared" si="205"/>
        <v>0.8</v>
      </c>
      <c r="AO99" s="77">
        <v>430</v>
      </c>
      <c r="AP99" s="79">
        <v>30</v>
      </c>
      <c r="AQ99" s="77">
        <f t="shared" si="206"/>
        <v>20.757261427712905</v>
      </c>
      <c r="AR99" s="57">
        <f t="shared" si="328"/>
        <v>370</v>
      </c>
      <c r="AS99" s="77">
        <f t="shared" si="208"/>
        <v>409.24273857228707</v>
      </c>
      <c r="AT99" s="77">
        <v>20</v>
      </c>
      <c r="AU99" s="77">
        <v>215</v>
      </c>
      <c r="AV99" s="77">
        <f t="shared" si="209"/>
        <v>7400</v>
      </c>
      <c r="AW99" s="77">
        <f t="shared" si="272"/>
        <v>9000</v>
      </c>
      <c r="AX99" s="77">
        <f t="shared" si="210"/>
        <v>8600</v>
      </c>
      <c r="AY99" s="77">
        <v>16100</v>
      </c>
      <c r="AZ99" s="77">
        <v>323.39999999999998</v>
      </c>
      <c r="BA99" s="77">
        <v>323.39999999999998</v>
      </c>
      <c r="BB99" s="77">
        <v>401.8</v>
      </c>
      <c r="BC99" s="77">
        <v>401.8</v>
      </c>
      <c r="BD99" s="77">
        <v>5.4999999999999997E-3</v>
      </c>
      <c r="BE99" s="77">
        <v>6.3E-3</v>
      </c>
      <c r="BF99" s="77">
        <v>7.1000000000000004E-3</v>
      </c>
      <c r="BH99" s="79"/>
      <c r="BI99" s="79"/>
      <c r="BJ99" s="79"/>
      <c r="BK99" s="57"/>
      <c r="BL99" s="57">
        <f t="shared" si="243"/>
        <v>40.699999999999996</v>
      </c>
      <c r="BM99" s="80">
        <f t="shared" si="273"/>
        <v>1.5393804002589986</v>
      </c>
      <c r="BN99" s="80">
        <v>20</v>
      </c>
      <c r="BO99" s="57">
        <f t="shared" si="329"/>
        <v>30.787608005179973</v>
      </c>
      <c r="BP99" s="57">
        <f t="shared" si="213"/>
        <v>34855.435350045336</v>
      </c>
      <c r="BQ99" s="77">
        <f t="shared" si="214"/>
        <v>2.3646862246096134E-11</v>
      </c>
      <c r="BR99" s="57">
        <f t="shared" si="330"/>
        <v>7493918.6002597474</v>
      </c>
      <c r="BS99" s="57">
        <v>41.51452285542581</v>
      </c>
      <c r="BT99" s="57">
        <f t="shared" si="220"/>
        <v>32.525031289111389</v>
      </c>
      <c r="BU99" s="57"/>
      <c r="BV99" s="57">
        <v>3.3E-3</v>
      </c>
      <c r="BW99" s="57">
        <v>30000</v>
      </c>
      <c r="BX99" s="57">
        <v>200000</v>
      </c>
      <c r="BY99" s="77">
        <f>10</f>
        <v>10</v>
      </c>
      <c r="BZ99" s="77">
        <f>20</f>
        <v>20</v>
      </c>
      <c r="CA99" s="77">
        <f t="shared" si="279"/>
        <v>35</v>
      </c>
      <c r="CB99" s="77">
        <f t="shared" si="280"/>
        <v>65</v>
      </c>
      <c r="CC99" s="77">
        <f t="shared" si="281"/>
        <v>95</v>
      </c>
      <c r="CD99" s="77">
        <f t="shared" si="282"/>
        <v>125</v>
      </c>
      <c r="CE99" s="77">
        <f t="shared" si="283"/>
        <v>155</v>
      </c>
      <c r="CF99" s="77">
        <f t="shared" si="284"/>
        <v>185</v>
      </c>
      <c r="CG99" s="77">
        <f t="shared" si="285"/>
        <v>215</v>
      </c>
      <c r="CH99" s="77">
        <f t="shared" si="286"/>
        <v>245</v>
      </c>
      <c r="CI99" s="77">
        <f t="shared" si="287"/>
        <v>275</v>
      </c>
      <c r="CJ99" s="77">
        <f t="shared" si="288"/>
        <v>305</v>
      </c>
      <c r="CK99" s="77">
        <f t="shared" si="289"/>
        <v>335</v>
      </c>
      <c r="CL99" s="77">
        <f t="shared" si="290"/>
        <v>365</v>
      </c>
      <c r="CM99" s="77">
        <f t="shared" si="291"/>
        <v>395</v>
      </c>
      <c r="CN99" s="77">
        <f t="shared" si="292"/>
        <v>410</v>
      </c>
      <c r="CO99" s="77">
        <f t="shared" si="293"/>
        <v>420</v>
      </c>
      <c r="DM99" s="77">
        <f t="shared" si="294"/>
        <v>15.393804002589986</v>
      </c>
      <c r="DN99" s="77">
        <f t="shared" si="294"/>
        <v>15.393804002589986</v>
      </c>
      <c r="DO99" s="77">
        <f t="shared" si="331"/>
        <v>3.1415926535897931</v>
      </c>
      <c r="DP99" s="77">
        <f t="shared" si="331"/>
        <v>3.1415926535897931</v>
      </c>
      <c r="DQ99" s="77">
        <f t="shared" si="331"/>
        <v>3.1415926535897931</v>
      </c>
      <c r="DR99" s="77">
        <f t="shared" si="331"/>
        <v>3.1415926535897931</v>
      </c>
      <c r="DS99" s="77">
        <f t="shared" si="331"/>
        <v>3.1415926535897931</v>
      </c>
      <c r="DT99" s="77">
        <f t="shared" si="331"/>
        <v>3.1415926535897931</v>
      </c>
      <c r="DU99" s="77">
        <f t="shared" si="331"/>
        <v>3.1415926535897931</v>
      </c>
      <c r="DV99" s="77">
        <f t="shared" si="331"/>
        <v>3.1415926535897931</v>
      </c>
      <c r="DW99" s="77">
        <f t="shared" si="331"/>
        <v>3.1415926535897931</v>
      </c>
      <c r="DX99" s="77">
        <f t="shared" si="331"/>
        <v>3.1415926535897931</v>
      </c>
      <c r="DY99" s="77">
        <f t="shared" si="331"/>
        <v>3.1415926535897931</v>
      </c>
      <c r="DZ99" s="77">
        <f t="shared" si="331"/>
        <v>3.1415926535897931</v>
      </c>
      <c r="EA99" s="77">
        <f t="shared" si="331"/>
        <v>3.1415926535897931</v>
      </c>
      <c r="EB99" s="77">
        <f t="shared" si="296"/>
        <v>15.393804002589986</v>
      </c>
      <c r="EC99" s="77">
        <f t="shared" si="296"/>
        <v>15.393804002589986</v>
      </c>
      <c r="FA99" s="77">
        <f t="shared" si="269"/>
        <v>-6185.2304482406571</v>
      </c>
      <c r="FB99" s="77">
        <f t="shared" si="270"/>
        <v>-5265.2810312035708</v>
      </c>
      <c r="FC99" s="77">
        <f t="shared" si="297"/>
        <v>-325.36914761718464</v>
      </c>
      <c r="FD99" s="77">
        <f t="shared" si="298"/>
        <v>1015.991064170939</v>
      </c>
      <c r="FE99" s="77">
        <f t="shared" si="299"/>
        <v>1015.991064170939</v>
      </c>
      <c r="FF99" s="77">
        <f t="shared" si="300"/>
        <v>1015.991064170939</v>
      </c>
      <c r="FG99" s="77">
        <f t="shared" si="301"/>
        <v>1015.991064170939</v>
      </c>
      <c r="FH99" s="77">
        <f t="shared" si="302"/>
        <v>1015.991064170939</v>
      </c>
      <c r="FI99" s="77">
        <f t="shared" si="303"/>
        <v>1015.991064170939</v>
      </c>
      <c r="FJ99" s="77">
        <f t="shared" si="304"/>
        <v>1015.991064170939</v>
      </c>
      <c r="FK99" s="77">
        <f t="shared" si="305"/>
        <v>1015.991064170939</v>
      </c>
      <c r="FL99" s="77">
        <f t="shared" si="306"/>
        <v>1015.991064170939</v>
      </c>
      <c r="FM99" s="77">
        <f t="shared" si="307"/>
        <v>1015.991064170939</v>
      </c>
      <c r="FN99" s="77">
        <f t="shared" si="308"/>
        <v>1015.991064170939</v>
      </c>
      <c r="FO99" s="77">
        <f t="shared" si="309"/>
        <v>1015.991064170939</v>
      </c>
      <c r="FP99" s="77">
        <f t="shared" si="310"/>
        <v>6185.2304482406571</v>
      </c>
      <c r="FQ99" s="77">
        <f t="shared" si="311"/>
        <v>6185.2304482406571</v>
      </c>
      <c r="GO99" s="77">
        <f t="shared" si="275"/>
        <v>1267972.2418893347</v>
      </c>
      <c r="GP99" s="77">
        <f t="shared" si="276"/>
        <v>1026729.8010846963</v>
      </c>
      <c r="GQ99" s="77">
        <f t="shared" si="277"/>
        <v>58566.446571093235</v>
      </c>
      <c r="GR99" s="77">
        <f t="shared" si="278"/>
        <v>-152398.65962564084</v>
      </c>
      <c r="GS99" s="77">
        <f t="shared" si="312"/>
        <v>-121918.92770051268</v>
      </c>
      <c r="GT99" s="77">
        <f t="shared" si="313"/>
        <v>-91439.195775384505</v>
      </c>
      <c r="GU99" s="77">
        <f t="shared" si="314"/>
        <v>-60959.463850256339</v>
      </c>
      <c r="GV99" s="77">
        <f t="shared" si="315"/>
        <v>-30479.73192512817</v>
      </c>
      <c r="GW99" s="77">
        <f t="shared" si="316"/>
        <v>0</v>
      </c>
      <c r="GX99" s="77">
        <f t="shared" si="317"/>
        <v>30479.73192512817</v>
      </c>
      <c r="GY99" s="77">
        <f t="shared" si="318"/>
        <v>60959.463850256339</v>
      </c>
      <c r="GZ99" s="77">
        <f t="shared" si="319"/>
        <v>91439.195775384505</v>
      </c>
      <c r="HA99" s="77">
        <f t="shared" si="320"/>
        <v>121918.92770051268</v>
      </c>
      <c r="HB99" s="77">
        <f t="shared" si="321"/>
        <v>152398.65962564084</v>
      </c>
      <c r="HC99" s="77">
        <f t="shared" si="322"/>
        <v>182878.39155076901</v>
      </c>
      <c r="HD99" s="77">
        <f t="shared" si="323"/>
        <v>1206119.937406928</v>
      </c>
      <c r="HE99" s="77">
        <f t="shared" si="324"/>
        <v>1267972.2418893347</v>
      </c>
      <c r="IC99" s="77">
        <v>101</v>
      </c>
    </row>
    <row r="100" spans="1:237" s="77" customFormat="1">
      <c r="A100" s="77">
        <v>99</v>
      </c>
      <c r="B100" s="69">
        <v>157</v>
      </c>
      <c r="C100" s="69" t="s">
        <v>236</v>
      </c>
      <c r="D100" s="70" t="s">
        <v>118</v>
      </c>
      <c r="E100" s="70">
        <v>3</v>
      </c>
      <c r="F100" s="70">
        <v>8.584467952779587E-2</v>
      </c>
      <c r="G100" s="70"/>
      <c r="H100" s="70">
        <v>1.3953489999999999E-3</v>
      </c>
      <c r="I100" s="70">
        <v>4.6511627906976744E-3</v>
      </c>
      <c r="J100" s="71">
        <v>0.5</v>
      </c>
      <c r="K100" s="72">
        <v>18.695652173913043</v>
      </c>
      <c r="L100" s="71">
        <v>0.11375879396984924</v>
      </c>
      <c r="M100" s="71">
        <v>0.11863417085427136</v>
      </c>
      <c r="N100" s="71">
        <v>0.14335577889447237</v>
      </c>
      <c r="O100" s="71">
        <v>1.1502007080084562E-2</v>
      </c>
      <c r="P100" s="71">
        <v>0</v>
      </c>
      <c r="Q100" s="73" t="s">
        <v>243</v>
      </c>
      <c r="R100" s="74">
        <v>0.25276002324230101</v>
      </c>
      <c r="S100" s="75">
        <f t="shared" si="216"/>
        <v>0.38294810244245431</v>
      </c>
      <c r="T100" s="59">
        <f t="shared" si="188"/>
        <v>1.5476710082474323</v>
      </c>
      <c r="U100" s="59">
        <f t="shared" si="189"/>
        <v>1.1978363361647175</v>
      </c>
      <c r="V100" s="59">
        <f t="shared" si="190"/>
        <v>1.4006613149334901</v>
      </c>
      <c r="W100" s="59">
        <f t="shared" si="191"/>
        <v>0.90501231041317076</v>
      </c>
      <c r="X100" s="59">
        <f t="shared" si="192"/>
        <v>1.1693261196418419</v>
      </c>
      <c r="Y100" s="86">
        <v>29400</v>
      </c>
      <c r="Z100" s="57">
        <f t="shared" si="193"/>
        <v>34378.187917470153</v>
      </c>
      <c r="AA100" s="57">
        <f t="shared" si="194"/>
        <v>26607.361926147219</v>
      </c>
      <c r="AB100" s="57">
        <f t="shared" si="326"/>
        <v>25051.914095942444</v>
      </c>
      <c r="AC100" s="57">
        <f t="shared" si="196"/>
        <v>0.25</v>
      </c>
      <c r="AD100" s="57">
        <f t="shared" si="197"/>
        <v>1.5</v>
      </c>
      <c r="AE100" s="57">
        <f t="shared" si="198"/>
        <v>0</v>
      </c>
      <c r="AF100" s="57">
        <f t="shared" si="199"/>
        <v>8916.2340788623806</v>
      </c>
      <c r="AG100" s="57">
        <f t="shared" si="271"/>
        <v>17691.127847284839</v>
      </c>
      <c r="AH100" s="86">
        <f t="shared" si="327"/>
        <v>5386161.5306276251</v>
      </c>
      <c r="AI100" s="86"/>
      <c r="AJ100" s="77">
        <v>0</v>
      </c>
      <c r="AK100" s="77">
        <v>19.899999999999999</v>
      </c>
      <c r="AL100" s="78">
        <f t="shared" si="203"/>
        <v>2.3796813769892564</v>
      </c>
      <c r="AM100" s="57">
        <f t="shared" si="204"/>
        <v>1</v>
      </c>
      <c r="AN100" s="57">
        <f t="shared" si="205"/>
        <v>0.8</v>
      </c>
      <c r="AO100" s="77">
        <v>430</v>
      </c>
      <c r="AP100" s="79">
        <v>30</v>
      </c>
      <c r="AQ100" s="77">
        <f t="shared" si="206"/>
        <v>22.737125436776214</v>
      </c>
      <c r="AR100" s="57">
        <f t="shared" si="328"/>
        <v>370</v>
      </c>
      <c r="AS100" s="77">
        <f t="shared" si="208"/>
        <v>407.26287456322376</v>
      </c>
      <c r="AT100" s="77">
        <v>23</v>
      </c>
      <c r="AU100" s="77">
        <v>215</v>
      </c>
      <c r="AV100" s="77">
        <f t="shared" si="209"/>
        <v>8510</v>
      </c>
      <c r="AW100" s="77">
        <f t="shared" si="272"/>
        <v>9000</v>
      </c>
      <c r="AX100" s="77">
        <f t="shared" si="210"/>
        <v>9890</v>
      </c>
      <c r="AY100" s="77">
        <v>17210</v>
      </c>
      <c r="AZ100" s="77">
        <v>323.39999999999998</v>
      </c>
      <c r="BA100" s="77">
        <v>323.39999999999998</v>
      </c>
      <c r="BB100" s="77">
        <v>401.8</v>
      </c>
      <c r="BC100" s="77">
        <v>401.8</v>
      </c>
      <c r="BD100" s="77">
        <v>7.0000000000000001E-3</v>
      </c>
      <c r="BE100" s="77">
        <v>7.3000000000000001E-3</v>
      </c>
      <c r="BF100" s="77">
        <v>7.1000000000000004E-3</v>
      </c>
      <c r="BH100" s="79"/>
      <c r="BI100" s="79"/>
      <c r="BJ100" s="79"/>
      <c r="BK100" s="57"/>
      <c r="BL100" s="57">
        <f t="shared" si="243"/>
        <v>59.569999999999993</v>
      </c>
      <c r="BM100" s="80">
        <f t="shared" si="273"/>
        <v>1.5393804002589986</v>
      </c>
      <c r="BN100" s="80">
        <v>20</v>
      </c>
      <c r="BO100" s="57">
        <f t="shared" si="329"/>
        <v>30.787608005179973</v>
      </c>
      <c r="BP100" s="57">
        <f t="shared" si="213"/>
        <v>41179.442659044609</v>
      </c>
      <c r="BQ100" s="77">
        <f t="shared" si="214"/>
        <v>0</v>
      </c>
      <c r="BR100" s="57">
        <f t="shared" si="330"/>
        <v>8853580.1716945916</v>
      </c>
      <c r="BS100" s="57">
        <v>45.474250873552428</v>
      </c>
      <c r="BT100" s="57">
        <f t="shared" si="220"/>
        <v>28.842520922569381</v>
      </c>
      <c r="BU100" s="57"/>
      <c r="BV100" s="57">
        <v>3.3E-3</v>
      </c>
      <c r="BW100" s="57">
        <v>30000</v>
      </c>
      <c r="BX100" s="57">
        <v>200000</v>
      </c>
      <c r="BY100" s="77">
        <f>10</f>
        <v>10</v>
      </c>
      <c r="BZ100" s="77">
        <f>20</f>
        <v>20</v>
      </c>
      <c r="CA100" s="77">
        <f>30+50</f>
        <v>80</v>
      </c>
      <c r="CB100" s="77">
        <f t="shared" si="280"/>
        <v>110</v>
      </c>
      <c r="CC100" s="77">
        <f t="shared" si="281"/>
        <v>140</v>
      </c>
      <c r="CD100" s="77">
        <f t="shared" si="282"/>
        <v>170</v>
      </c>
      <c r="CE100" s="77">
        <f t="shared" si="283"/>
        <v>200</v>
      </c>
      <c r="CF100" s="77">
        <f t="shared" si="284"/>
        <v>230</v>
      </c>
      <c r="CG100" s="77">
        <f t="shared" si="285"/>
        <v>260</v>
      </c>
      <c r="CH100" s="77">
        <f t="shared" si="286"/>
        <v>290</v>
      </c>
      <c r="CI100" s="77">
        <f t="shared" si="287"/>
        <v>320</v>
      </c>
      <c r="CJ100" s="77">
        <f t="shared" si="288"/>
        <v>350</v>
      </c>
      <c r="CK100" s="77">
        <f>CJ100+50+10</f>
        <v>410</v>
      </c>
      <c r="CL100" s="77">
        <f>CK100+10</f>
        <v>420</v>
      </c>
      <c r="DM100" s="77">
        <f t="shared" si="294"/>
        <v>15.393804002589986</v>
      </c>
      <c r="DN100" s="77">
        <f t="shared" si="294"/>
        <v>15.393804002589986</v>
      </c>
      <c r="DO100" s="77">
        <f t="shared" ref="DO100:DX100" si="332">PI()*2*2/4*2</f>
        <v>6.2831853071795862</v>
      </c>
      <c r="DP100" s="77">
        <f t="shared" si="332"/>
        <v>6.2831853071795862</v>
      </c>
      <c r="DQ100" s="77">
        <f t="shared" si="332"/>
        <v>6.2831853071795862</v>
      </c>
      <c r="DR100" s="77">
        <f t="shared" si="332"/>
        <v>6.2831853071795862</v>
      </c>
      <c r="DS100" s="77">
        <f t="shared" si="332"/>
        <v>6.2831853071795862</v>
      </c>
      <c r="DT100" s="77">
        <f t="shared" si="332"/>
        <v>6.2831853071795862</v>
      </c>
      <c r="DU100" s="77">
        <f t="shared" si="332"/>
        <v>6.2831853071795862</v>
      </c>
      <c r="DV100" s="77">
        <f t="shared" si="332"/>
        <v>6.2831853071795862</v>
      </c>
      <c r="DW100" s="77">
        <f t="shared" si="332"/>
        <v>6.2831853071795862</v>
      </c>
      <c r="DX100" s="77">
        <f t="shared" si="332"/>
        <v>6.2831853071795862</v>
      </c>
      <c r="DY100" s="77">
        <f>PI()*1.4*1.4/4*10</f>
        <v>15.393804002589986</v>
      </c>
      <c r="DZ100" s="77">
        <f>PI()*1.4*1.4/4*10</f>
        <v>15.393804002589986</v>
      </c>
      <c r="FA100" s="77">
        <f t="shared" si="269"/>
        <v>-6185.2304482406571</v>
      </c>
      <c r="FB100" s="77">
        <f t="shared" si="270"/>
        <v>-5691.4871068344755</v>
      </c>
      <c r="FC100" s="77">
        <f t="shared" ref="FC100:FL100" si="333">IF(ABS(-$BV100*($BS100-CA100)/$BS100*$BX100)&gt;$BA100,$BA100*SIGN(-($BS100-CA100)),-$BV100*($BS100-CA100)/$BS100*$BX100)*DO100</f>
        <v>2031.982128341878</v>
      </c>
      <c r="FD100" s="77">
        <f t="shared" si="333"/>
        <v>2031.982128341878</v>
      </c>
      <c r="FE100" s="77">
        <f t="shared" si="333"/>
        <v>2031.982128341878</v>
      </c>
      <c r="FF100" s="77">
        <f t="shared" si="333"/>
        <v>2031.982128341878</v>
      </c>
      <c r="FG100" s="77">
        <f t="shared" si="333"/>
        <v>2031.982128341878</v>
      </c>
      <c r="FH100" s="77">
        <f t="shared" si="333"/>
        <v>2031.982128341878</v>
      </c>
      <c r="FI100" s="77">
        <f t="shared" si="333"/>
        <v>2031.982128341878</v>
      </c>
      <c r="FJ100" s="77">
        <f t="shared" si="333"/>
        <v>2031.982128341878</v>
      </c>
      <c r="FK100" s="77">
        <f t="shared" si="333"/>
        <v>2031.982128341878</v>
      </c>
      <c r="FL100" s="77">
        <f t="shared" si="333"/>
        <v>2031.982128341878</v>
      </c>
      <c r="FM100" s="77">
        <f>IF(ABS(-$BV100*($BS100-CK100)/$BS100*$BX100)&gt;$BB100,$BB100*SIGN(-($BS100-CK100)),-$BV100*($BS100-CK100)/$BS100*$BX100)*DY100</f>
        <v>6185.2304482406571</v>
      </c>
      <c r="FN100" s="77">
        <f>IF(ABS(-$BV100*($BS100-CL100)/$BS100*$BX100)&gt;$BB100,$BB100*SIGN(-($BS100-CL100)),-$BV100*($BS100-CL100)/$BS100*$BX100)*DZ100</f>
        <v>6185.2304482406571</v>
      </c>
      <c r="GO100" s="77">
        <f t="shared" si="275"/>
        <v>1267972.2418893347</v>
      </c>
      <c r="GP100" s="77">
        <f t="shared" si="276"/>
        <v>1109839.9858327226</v>
      </c>
      <c r="GQ100" s="77">
        <f t="shared" si="277"/>
        <v>-274317.58732615353</v>
      </c>
      <c r="GR100" s="77">
        <f t="shared" si="278"/>
        <v>-213358.12347589718</v>
      </c>
      <c r="GS100" s="77">
        <f t="shared" ref="GS100:HB100" si="334">FE100*(CC100-0.5*$AO100)</f>
        <v>-152398.65962564084</v>
      </c>
      <c r="GT100" s="77">
        <f t="shared" si="334"/>
        <v>-91439.195775384505</v>
      </c>
      <c r="GU100" s="77">
        <f t="shared" si="334"/>
        <v>-30479.73192512817</v>
      </c>
      <c r="GV100" s="77">
        <f t="shared" si="334"/>
        <v>30479.73192512817</v>
      </c>
      <c r="GW100" s="77">
        <f t="shared" si="334"/>
        <v>91439.195775384505</v>
      </c>
      <c r="GX100" s="77">
        <f t="shared" si="334"/>
        <v>152398.65962564084</v>
      </c>
      <c r="GY100" s="77">
        <f t="shared" si="334"/>
        <v>213358.12347589718</v>
      </c>
      <c r="GZ100" s="77">
        <f t="shared" si="334"/>
        <v>274317.58732615353</v>
      </c>
      <c r="HA100" s="77">
        <f t="shared" si="334"/>
        <v>1206119.937406928</v>
      </c>
      <c r="HB100" s="77">
        <f t="shared" si="334"/>
        <v>1267972.2418893347</v>
      </c>
      <c r="IC100" s="77">
        <v>102</v>
      </c>
    </row>
    <row r="101" spans="1:237" s="77" customFormat="1">
      <c r="A101" s="77">
        <v>100</v>
      </c>
      <c r="B101" s="69">
        <v>158</v>
      </c>
      <c r="C101" s="69" t="s">
        <v>236</v>
      </c>
      <c r="D101" s="70" t="s">
        <v>119</v>
      </c>
      <c r="E101" s="70">
        <v>3</v>
      </c>
      <c r="F101" s="70">
        <v>8.3917452628230998E-2</v>
      </c>
      <c r="G101" s="70"/>
      <c r="H101" s="70">
        <v>1.8604649999999999E-3</v>
      </c>
      <c r="I101" s="70">
        <v>4.6511627906976744E-3</v>
      </c>
      <c r="J101" s="71">
        <v>0.5</v>
      </c>
      <c r="K101" s="72">
        <v>17.916666666666668</v>
      </c>
      <c r="L101" s="71">
        <v>0.11649354838709675</v>
      </c>
      <c r="M101" s="71">
        <v>0.12170967741935482</v>
      </c>
      <c r="N101" s="71">
        <v>0.15337526881720429</v>
      </c>
      <c r="O101" s="71">
        <v>1.230591080073563E-2</v>
      </c>
      <c r="P101" s="71">
        <v>0</v>
      </c>
      <c r="Q101" s="73" t="s">
        <v>243</v>
      </c>
      <c r="R101" s="74">
        <v>0.24744027303754265</v>
      </c>
      <c r="S101" s="75">
        <f t="shared" si="216"/>
        <v>0.36191681739644527</v>
      </c>
      <c r="T101" s="59">
        <f t="shared" si="188"/>
        <v>1.4755673156983489</v>
      </c>
      <c r="U101" s="59">
        <f t="shared" si="189"/>
        <v>1.1447258785278593</v>
      </c>
      <c r="V101" s="59">
        <f t="shared" si="190"/>
        <v>1.4388072526677307</v>
      </c>
      <c r="W101" s="59">
        <f t="shared" si="191"/>
        <v>0.97508750523304966</v>
      </c>
      <c r="X101" s="59">
        <f t="shared" si="192"/>
        <v>1.2569011321016572</v>
      </c>
      <c r="Y101" s="86">
        <v>27440</v>
      </c>
      <c r="Z101" s="57">
        <f t="shared" si="193"/>
        <v>34489.367064869475</v>
      </c>
      <c r="AA101" s="57">
        <f t="shared" si="194"/>
        <v>26756.401143594881</v>
      </c>
      <c r="AB101" s="57">
        <f t="shared" si="326"/>
        <v>24519.224752290575</v>
      </c>
      <c r="AC101" s="57">
        <f t="shared" si="196"/>
        <v>0.25</v>
      </c>
      <c r="AD101" s="57">
        <f t="shared" si="197"/>
        <v>1.5</v>
      </c>
      <c r="AE101" s="57">
        <f t="shared" si="198"/>
        <v>0</v>
      </c>
      <c r="AF101" s="57">
        <f t="shared" si="199"/>
        <v>8994.8589819309273</v>
      </c>
      <c r="AG101" s="57">
        <f t="shared" si="271"/>
        <v>17761.542161663954</v>
      </c>
      <c r="AH101" s="86">
        <f t="shared" si="327"/>
        <v>5271633.3217424732</v>
      </c>
      <c r="AI101" s="86"/>
      <c r="AJ101" s="77">
        <v>0</v>
      </c>
      <c r="AK101" s="77">
        <v>18.600000000000001</v>
      </c>
      <c r="AL101" s="78">
        <f t="shared" si="203"/>
        <v>2.2928821808328386</v>
      </c>
      <c r="AM101" s="57">
        <f t="shared" si="204"/>
        <v>1</v>
      </c>
      <c r="AN101" s="57">
        <f t="shared" si="205"/>
        <v>0.8</v>
      </c>
      <c r="AO101" s="77">
        <v>430</v>
      </c>
      <c r="AP101" s="79">
        <v>30</v>
      </c>
      <c r="AQ101" s="77">
        <f t="shared" si="206"/>
        <v>21.359518985777129</v>
      </c>
      <c r="AR101" s="57">
        <f t="shared" si="328"/>
        <v>370</v>
      </c>
      <c r="AS101" s="77">
        <f t="shared" si="208"/>
        <v>408.64048101422287</v>
      </c>
      <c r="AT101" s="77">
        <v>24</v>
      </c>
      <c r="AU101" s="77">
        <v>215</v>
      </c>
      <c r="AV101" s="77">
        <f t="shared" si="209"/>
        <v>8880</v>
      </c>
      <c r="AW101" s="77">
        <f t="shared" si="272"/>
        <v>9000</v>
      </c>
      <c r="AX101" s="77">
        <f t="shared" si="210"/>
        <v>10320</v>
      </c>
      <c r="AY101" s="77">
        <v>17580</v>
      </c>
      <c r="AZ101" s="77">
        <v>323.39999999999998</v>
      </c>
      <c r="BA101" s="77">
        <v>323.39999999999998</v>
      </c>
      <c r="BB101" s="77">
        <v>401.8</v>
      </c>
      <c r="BC101" s="77">
        <v>401.8</v>
      </c>
      <c r="BD101" s="77">
        <v>6.7000000000000002E-3</v>
      </c>
      <c r="BE101" s="77">
        <v>7.0000000000000001E-3</v>
      </c>
      <c r="BF101" s="77">
        <v>7.1000000000000004E-3</v>
      </c>
      <c r="BH101" s="79"/>
      <c r="BI101" s="79"/>
      <c r="BJ101" s="79"/>
      <c r="BK101" s="57"/>
      <c r="BL101" s="57">
        <f t="shared" si="243"/>
        <v>59.496000000000002</v>
      </c>
      <c r="BM101" s="80">
        <f t="shared" si="273"/>
        <v>1.5393804002589986</v>
      </c>
      <c r="BN101" s="80">
        <v>20</v>
      </c>
      <c r="BO101" s="57">
        <f t="shared" si="329"/>
        <v>30.787608005179973</v>
      </c>
      <c r="BP101" s="57">
        <f t="shared" si="213"/>
        <v>39480.87101320253</v>
      </c>
      <c r="BQ101" s="77">
        <f t="shared" si="214"/>
        <v>0</v>
      </c>
      <c r="BR101" s="57">
        <f t="shared" si="330"/>
        <v>8488387.2678385433</v>
      </c>
      <c r="BS101" s="57">
        <v>42.719037971554258</v>
      </c>
      <c r="BT101" s="57">
        <f t="shared" si="220"/>
        <v>28.018651687385837</v>
      </c>
      <c r="BU101" s="57"/>
      <c r="BV101" s="57">
        <v>3.3E-3</v>
      </c>
      <c r="BW101" s="57">
        <v>30000</v>
      </c>
      <c r="BX101" s="57">
        <v>200000</v>
      </c>
      <c r="BY101" s="77">
        <f>10</f>
        <v>10</v>
      </c>
      <c r="BZ101" s="77">
        <f>20</f>
        <v>20</v>
      </c>
      <c r="CA101" s="77">
        <f>30+65</f>
        <v>95</v>
      </c>
      <c r="CB101" s="77">
        <f t="shared" si="280"/>
        <v>125</v>
      </c>
      <c r="CC101" s="77">
        <f t="shared" si="281"/>
        <v>155</v>
      </c>
      <c r="CD101" s="77">
        <f t="shared" si="282"/>
        <v>185</v>
      </c>
      <c r="CE101" s="77">
        <f t="shared" si="283"/>
        <v>215</v>
      </c>
      <c r="CF101" s="77">
        <f t="shared" si="284"/>
        <v>245</v>
      </c>
      <c r="CG101" s="77">
        <f t="shared" si="285"/>
        <v>275</v>
      </c>
      <c r="CH101" s="77">
        <f t="shared" si="286"/>
        <v>305</v>
      </c>
      <c r="CI101" s="77">
        <f t="shared" si="287"/>
        <v>335</v>
      </c>
      <c r="CJ101" s="77">
        <f>CI101+65+10</f>
        <v>410</v>
      </c>
      <c r="CK101" s="77">
        <f>CJ101+10</f>
        <v>420</v>
      </c>
      <c r="DM101" s="77">
        <f t="shared" si="294"/>
        <v>15.393804002589986</v>
      </c>
      <c r="DN101" s="77">
        <f t="shared" si="294"/>
        <v>15.393804002589986</v>
      </c>
      <c r="DO101" s="77">
        <f t="shared" ref="DO101:DW101" si="335">PI()*2*2/4*2</f>
        <v>6.2831853071795862</v>
      </c>
      <c r="DP101" s="77">
        <f t="shared" si="335"/>
        <v>6.2831853071795862</v>
      </c>
      <c r="DQ101" s="77">
        <f t="shared" si="335"/>
        <v>6.2831853071795862</v>
      </c>
      <c r="DR101" s="77">
        <f t="shared" si="335"/>
        <v>6.2831853071795862</v>
      </c>
      <c r="DS101" s="77">
        <f t="shared" si="335"/>
        <v>6.2831853071795862</v>
      </c>
      <c r="DT101" s="77">
        <f t="shared" si="335"/>
        <v>6.2831853071795862</v>
      </c>
      <c r="DU101" s="77">
        <f t="shared" si="335"/>
        <v>6.2831853071795862</v>
      </c>
      <c r="DV101" s="77">
        <f t="shared" si="335"/>
        <v>6.2831853071795862</v>
      </c>
      <c r="DW101" s="77">
        <f t="shared" si="335"/>
        <v>6.2831853071795862</v>
      </c>
      <c r="DX101" s="77">
        <f>PI()*1.4*1.4/4*10</f>
        <v>15.393804002589986</v>
      </c>
      <c r="DY101" s="77">
        <f>PI()*1.4*1.4/4*10</f>
        <v>15.393804002589986</v>
      </c>
      <c r="FA101" s="77">
        <f t="shared" si="269"/>
        <v>-6185.2304482406571</v>
      </c>
      <c r="FB101" s="77">
        <f t="shared" si="270"/>
        <v>-5403.2910528157126</v>
      </c>
      <c r="FC101" s="77">
        <f t="shared" ref="FC101:FK101" si="336">IF(ABS(-$BV101*($BS101-CA101)/$BS101*$BX101)&gt;$BA101,$BA101*SIGN(-($BS101-CA101)),-$BV101*($BS101-CA101)/$BS101*$BX101)*DO101</f>
        <v>2031.982128341878</v>
      </c>
      <c r="FD101" s="77">
        <f t="shared" si="336"/>
        <v>2031.982128341878</v>
      </c>
      <c r="FE101" s="77">
        <f t="shared" si="336"/>
        <v>2031.982128341878</v>
      </c>
      <c r="FF101" s="77">
        <f t="shared" si="336"/>
        <v>2031.982128341878</v>
      </c>
      <c r="FG101" s="77">
        <f t="shared" si="336"/>
        <v>2031.982128341878</v>
      </c>
      <c r="FH101" s="77">
        <f t="shared" si="336"/>
        <v>2031.982128341878</v>
      </c>
      <c r="FI101" s="77">
        <f t="shared" si="336"/>
        <v>2031.982128341878</v>
      </c>
      <c r="FJ101" s="77">
        <f t="shared" si="336"/>
        <v>2031.982128341878</v>
      </c>
      <c r="FK101" s="77">
        <f t="shared" si="336"/>
        <v>2031.982128341878</v>
      </c>
      <c r="FL101" s="77">
        <f>IF(ABS(-$BV101*($BS101-CJ101)/$BS101*$BX101)&gt;$BB101,$BB101*SIGN(-($BS101-CJ101)),-$BV101*($BS101-CJ101)/$BS101*$BX101)*DX101</f>
        <v>6185.2304482406571</v>
      </c>
      <c r="FM101" s="77">
        <f>IF(ABS(-$BV101*($BS101-CK101)/$BS101*$BX101)&gt;$BB101,$BB101*SIGN(-($BS101-CK101)),-$BV101*($BS101-CK101)/$BS101*$BX101)*DY101</f>
        <v>6185.2304482406571</v>
      </c>
      <c r="GO101" s="77">
        <f t="shared" si="275"/>
        <v>1267972.2418893347</v>
      </c>
      <c r="GP101" s="77">
        <f t="shared" si="276"/>
        <v>1053641.7552990639</v>
      </c>
      <c r="GQ101" s="77">
        <f t="shared" si="277"/>
        <v>-243837.85540102536</v>
      </c>
      <c r="GR101" s="77">
        <f t="shared" si="278"/>
        <v>-182878.39155076901</v>
      </c>
      <c r="GS101" s="77">
        <f t="shared" ref="GS101:HA101" si="337">FE101*(CC101-0.5*$AO101)</f>
        <v>-121918.92770051268</v>
      </c>
      <c r="GT101" s="77">
        <f t="shared" si="337"/>
        <v>-60959.463850256339</v>
      </c>
      <c r="GU101" s="77">
        <f t="shared" si="337"/>
        <v>0</v>
      </c>
      <c r="GV101" s="77">
        <f t="shared" si="337"/>
        <v>60959.463850256339</v>
      </c>
      <c r="GW101" s="77">
        <f t="shared" si="337"/>
        <v>121918.92770051268</v>
      </c>
      <c r="GX101" s="77">
        <f t="shared" si="337"/>
        <v>182878.39155076901</v>
      </c>
      <c r="GY101" s="77">
        <f t="shared" si="337"/>
        <v>243837.85540102536</v>
      </c>
      <c r="GZ101" s="77">
        <f t="shared" si="337"/>
        <v>1206119.937406928</v>
      </c>
      <c r="HA101" s="77">
        <f t="shared" si="337"/>
        <v>1267972.2418893347</v>
      </c>
      <c r="IC101" s="77">
        <v>103</v>
      </c>
    </row>
    <row r="102" spans="1:237" s="77" customFormat="1">
      <c r="A102" s="77">
        <v>101</v>
      </c>
      <c r="B102" s="69">
        <v>159</v>
      </c>
      <c r="C102" s="69" t="s">
        <v>236</v>
      </c>
      <c r="D102" s="70" t="s">
        <v>120</v>
      </c>
      <c r="E102" s="70">
        <v>3</v>
      </c>
      <c r="F102" s="70">
        <v>7.4187133258586974E-2</v>
      </c>
      <c r="G102" s="70"/>
      <c r="H102" s="70">
        <v>2.5000000000000001E-4</v>
      </c>
      <c r="I102" s="70">
        <v>2.5000000000000001E-3</v>
      </c>
      <c r="J102" s="71">
        <v>0.93023255813953487</v>
      </c>
      <c r="K102" s="72">
        <v>18.695652173913043</v>
      </c>
      <c r="L102" s="71">
        <v>0</v>
      </c>
      <c r="M102" s="71">
        <v>0</v>
      </c>
      <c r="N102" s="71">
        <v>0.43566197183098593</v>
      </c>
      <c r="O102" s="71">
        <v>0</v>
      </c>
      <c r="P102" s="71">
        <v>0</v>
      </c>
      <c r="Q102" s="73" t="s">
        <v>243</v>
      </c>
      <c r="R102" s="74">
        <v>0.25276002324230101</v>
      </c>
      <c r="S102" s="75">
        <f t="shared" si="216"/>
        <v>0.27955853863548552</v>
      </c>
      <c r="T102" s="59">
        <f t="shared" si="188"/>
        <v>3.6086287719326395</v>
      </c>
      <c r="U102" s="59">
        <f t="shared" si="189"/>
        <v>2.9318751238206229</v>
      </c>
      <c r="V102" s="59">
        <f t="shared" si="190"/>
        <v>1.5067046791539589</v>
      </c>
      <c r="W102" s="59">
        <f t="shared" si="191"/>
        <v>0.41752831182660749</v>
      </c>
      <c r="X102" s="59">
        <f t="shared" si="192"/>
        <v>0.51390479318591253</v>
      </c>
      <c r="Y102" s="86">
        <v>18130</v>
      </c>
      <c r="Z102" s="57">
        <f t="shared" si="193"/>
        <v>9317.0939004605934</v>
      </c>
      <c r="AA102" s="57">
        <f t="shared" si="194"/>
        <v>7569.7882934163936</v>
      </c>
      <c r="AB102" s="57">
        <f t="shared" si="326"/>
        <v>22440.28530796479</v>
      </c>
      <c r="AC102" s="57">
        <f t="shared" si="196"/>
        <v>0.25</v>
      </c>
      <c r="AD102" s="57">
        <f t="shared" si="197"/>
        <v>1.5</v>
      </c>
      <c r="AE102" s="57">
        <f t="shared" si="198"/>
        <v>0</v>
      </c>
      <c r="AF102" s="57">
        <f t="shared" si="199"/>
        <v>7569.7882934163936</v>
      </c>
      <c r="AG102" s="57">
        <f t="shared" si="271"/>
        <v>0</v>
      </c>
      <c r="AH102" s="57">
        <f t="shared" si="327"/>
        <v>3931761.6423289427</v>
      </c>
      <c r="AI102" s="57">
        <f t="shared" ref="AI102:AI132" si="338">BB102*BO102*(AS102-AQ102)</f>
        <v>5044352.4808569727</v>
      </c>
      <c r="AJ102" s="77">
        <v>0</v>
      </c>
      <c r="AK102" s="77">
        <v>14.2</v>
      </c>
      <c r="AL102" s="78">
        <f t="shared" si="203"/>
        <v>1.976551839994352</v>
      </c>
      <c r="AM102" s="57">
        <f t="shared" si="204"/>
        <v>1</v>
      </c>
      <c r="AN102" s="57">
        <f t="shared" si="205"/>
        <v>0.8</v>
      </c>
      <c r="AO102" s="77">
        <v>430</v>
      </c>
      <c r="AP102" s="79">
        <v>30</v>
      </c>
      <c r="AQ102" s="77">
        <f t="shared" si="206"/>
        <v>13.71793811707048</v>
      </c>
      <c r="AR102" s="57">
        <f t="shared" si="328"/>
        <v>370</v>
      </c>
      <c r="AS102" s="77">
        <f t="shared" si="208"/>
        <v>416.2820618829295</v>
      </c>
      <c r="AT102" s="77">
        <v>23</v>
      </c>
      <c r="AU102" s="77">
        <v>400</v>
      </c>
      <c r="AV102" s="77">
        <f t="shared" si="209"/>
        <v>8510</v>
      </c>
      <c r="AW102" s="77">
        <f t="shared" ref="AW102:AW109" si="339">145*30*2</f>
        <v>8700</v>
      </c>
      <c r="AX102" s="77">
        <f t="shared" si="210"/>
        <v>9890</v>
      </c>
      <c r="AY102" s="77">
        <v>17210</v>
      </c>
      <c r="AZ102" s="77">
        <v>0</v>
      </c>
      <c r="BA102" s="77">
        <v>0</v>
      </c>
      <c r="BB102" s="77">
        <v>407</v>
      </c>
      <c r="BC102" s="77">
        <v>401.8</v>
      </c>
      <c r="BD102" s="77">
        <v>0</v>
      </c>
      <c r="BE102" s="77">
        <v>0</v>
      </c>
      <c r="BF102" s="77">
        <v>1.52E-2</v>
      </c>
      <c r="BH102" s="79"/>
      <c r="BI102" s="79"/>
      <c r="BJ102" s="79"/>
      <c r="BK102" s="57"/>
      <c r="BL102" s="57">
        <f t="shared" si="243"/>
        <v>0</v>
      </c>
      <c r="BM102" s="80">
        <f t="shared" si="273"/>
        <v>1.5393804002589986</v>
      </c>
      <c r="BN102" s="80">
        <v>20</v>
      </c>
      <c r="BO102" s="57">
        <f t="shared" si="329"/>
        <v>30.787608005179973</v>
      </c>
      <c r="BP102" s="57">
        <f t="shared" si="213"/>
        <v>27316.555833061273</v>
      </c>
      <c r="BQ102" s="77">
        <f t="shared" si="214"/>
        <v>1.8553691916167736E-10</v>
      </c>
      <c r="BR102" s="57">
        <f t="shared" si="330"/>
        <v>10926622.333224509</v>
      </c>
      <c r="BS102" s="57">
        <v>27.435876234140959</v>
      </c>
      <c r="BT102" s="57">
        <f t="shared" si="220"/>
        <v>0</v>
      </c>
      <c r="BU102" s="57"/>
      <c r="BV102" s="57">
        <v>3.3E-3</v>
      </c>
      <c r="BW102" s="57">
        <v>30000</v>
      </c>
      <c r="BX102" s="57">
        <v>200000</v>
      </c>
      <c r="BY102" s="77">
        <v>5.9</v>
      </c>
      <c r="BZ102" s="77">
        <v>5.9</v>
      </c>
      <c r="CA102" s="77">
        <v>15</v>
      </c>
      <c r="CB102" s="77">
        <v>24.1</v>
      </c>
      <c r="CC102" s="77">
        <v>24.1</v>
      </c>
      <c r="CD102" s="77">
        <v>405.9</v>
      </c>
      <c r="CE102" s="77">
        <v>405.9</v>
      </c>
      <c r="CF102" s="77">
        <v>415</v>
      </c>
      <c r="CG102" s="77">
        <v>424.1</v>
      </c>
      <c r="CH102" s="77">
        <v>424.1</v>
      </c>
      <c r="DM102" s="77">
        <v>21.2</v>
      </c>
      <c r="DN102" s="77">
        <v>15.4</v>
      </c>
      <c r="DO102" s="77">
        <v>3.1</v>
      </c>
      <c r="DP102" s="77">
        <v>14.1</v>
      </c>
      <c r="DQ102" s="77">
        <v>12.3</v>
      </c>
      <c r="DR102" s="77">
        <v>12.3</v>
      </c>
      <c r="DS102" s="77">
        <v>14.1</v>
      </c>
      <c r="DT102" s="77">
        <v>3.1</v>
      </c>
      <c r="DU102" s="77">
        <v>15.4</v>
      </c>
      <c r="DV102" s="77">
        <v>21.2</v>
      </c>
      <c r="FA102" s="77">
        <f t="shared" si="269"/>
        <v>-8628.4</v>
      </c>
      <c r="FB102" s="77">
        <f t="shared" si="270"/>
        <v>-6267.8</v>
      </c>
      <c r="FC102" s="77">
        <f t="shared" ref="FC102:FJ103" si="340">IF(ABS(-$BV102*($BS102-CA102)/$BS102*$BX102)&gt;$BB102,$BB102*SIGN(-($BS102-CA102)),-$BV102*($BS102-CA102)/$BS102*$BX102)*DO102</f>
        <v>-927.3916589327066</v>
      </c>
      <c r="FD102" s="77">
        <f t="shared" si="340"/>
        <v>-1131.4989166004948</v>
      </c>
      <c r="FE102" s="77">
        <f t="shared" si="340"/>
        <v>-987.05224639617632</v>
      </c>
      <c r="FF102" s="77">
        <f t="shared" si="340"/>
        <v>5006.1000000000004</v>
      </c>
      <c r="FG102" s="77">
        <f t="shared" si="340"/>
        <v>5738.7</v>
      </c>
      <c r="FH102" s="77">
        <f t="shared" si="340"/>
        <v>1261.7</v>
      </c>
      <c r="FI102" s="77">
        <f t="shared" si="340"/>
        <v>6267.8</v>
      </c>
      <c r="FJ102" s="77">
        <f t="shared" si="340"/>
        <v>8628.4</v>
      </c>
      <c r="GO102" s="77">
        <f t="shared" si="275"/>
        <v>1804198.44</v>
      </c>
      <c r="GP102" s="77">
        <f t="shared" si="276"/>
        <v>1310596.98</v>
      </c>
      <c r="GQ102" s="77">
        <f t="shared" si="277"/>
        <v>185478.33178654133</v>
      </c>
      <c r="GR102" s="77">
        <f t="shared" si="278"/>
        <v>216003.14317903446</v>
      </c>
      <c r="GS102" s="77">
        <f t="shared" ref="GS102:GS117" si="341">FE102*(CC102-0.5*$AO102)</f>
        <v>188428.27383703005</v>
      </c>
      <c r="GT102" s="77">
        <f t="shared" ref="GT102:GT117" si="342">FF102*(CD102-0.5*$AO102)</f>
        <v>955664.49</v>
      </c>
      <c r="GU102" s="77">
        <f t="shared" ref="GU102:GU117" si="343">FG102*(CE102-0.5*$AO102)</f>
        <v>1095517.8299999998</v>
      </c>
      <c r="GV102" s="77">
        <f t="shared" ref="GV102:GV117" si="344">FH102*(CF102-0.5*$AO102)</f>
        <v>252340</v>
      </c>
      <c r="GW102" s="77">
        <f t="shared" ref="GW102:GW117" si="345">FI102*(CG102-0.5*$AO102)</f>
        <v>1310596.9800000002</v>
      </c>
      <c r="GX102" s="77">
        <f t="shared" ref="GX102:GX117" si="346">FJ102*(CH102-0.5*$AO102)</f>
        <v>1804198.4400000002</v>
      </c>
      <c r="IC102" s="82">
        <v>104</v>
      </c>
    </row>
    <row r="103" spans="1:237" s="77" customFormat="1">
      <c r="A103" s="77">
        <v>102</v>
      </c>
      <c r="B103" s="69">
        <v>160</v>
      </c>
      <c r="C103" s="69" t="s">
        <v>236</v>
      </c>
      <c r="D103" s="70" t="s">
        <v>121</v>
      </c>
      <c r="E103" s="70">
        <v>3</v>
      </c>
      <c r="F103" s="70">
        <v>6.5559454565847886E-2</v>
      </c>
      <c r="G103" s="70"/>
      <c r="H103" s="70">
        <v>2.5000000000000001E-4</v>
      </c>
      <c r="I103" s="70">
        <v>2.5000000000000001E-3</v>
      </c>
      <c r="J103" s="71">
        <v>0.93023255813953487</v>
      </c>
      <c r="K103" s="72">
        <v>17.916666666666668</v>
      </c>
      <c r="L103" s="71">
        <v>0</v>
      </c>
      <c r="M103" s="71">
        <v>0</v>
      </c>
      <c r="N103" s="71">
        <v>0.43566197183098593</v>
      </c>
      <c r="O103" s="71">
        <v>0</v>
      </c>
      <c r="P103" s="71">
        <v>0</v>
      </c>
      <c r="Q103" s="73" t="s">
        <v>243</v>
      </c>
      <c r="R103" s="74">
        <v>0.24744027303754265</v>
      </c>
      <c r="S103" s="75">
        <f t="shared" si="216"/>
        <v>0.24704695419736489</v>
      </c>
      <c r="T103" s="59">
        <f t="shared" si="188"/>
        <v>3.4579332216064267</v>
      </c>
      <c r="U103" s="59">
        <f t="shared" si="189"/>
        <v>2.8108266389359491</v>
      </c>
      <c r="V103" s="59">
        <f t="shared" si="190"/>
        <v>1.6697651482903972</v>
      </c>
      <c r="W103" s="59">
        <f t="shared" si="191"/>
        <v>0.48287952406284085</v>
      </c>
      <c r="X103" s="59">
        <f t="shared" si="192"/>
        <v>0.59404771719485849</v>
      </c>
      <c r="Y103" s="86">
        <v>16366</v>
      </c>
      <c r="Z103" s="57">
        <f t="shared" si="193"/>
        <v>9722.1849396110538</v>
      </c>
      <c r="AA103" s="57">
        <f t="shared" si="194"/>
        <v>7902.806290812453</v>
      </c>
      <c r="AB103" s="57">
        <f t="shared" si="326"/>
        <v>22885.766463276577</v>
      </c>
      <c r="AC103" s="57">
        <f t="shared" si="196"/>
        <v>0.25</v>
      </c>
      <c r="AD103" s="57">
        <f t="shared" si="197"/>
        <v>1.5</v>
      </c>
      <c r="AE103" s="57">
        <f t="shared" si="198"/>
        <v>0</v>
      </c>
      <c r="AF103" s="57">
        <f t="shared" si="199"/>
        <v>7902.806290812453</v>
      </c>
      <c r="AG103" s="57">
        <f t="shared" si="271"/>
        <v>0</v>
      </c>
      <c r="AH103" s="57">
        <f t="shared" si="327"/>
        <v>4104807.4456559205</v>
      </c>
      <c r="AI103" s="57">
        <f t="shared" si="338"/>
        <v>5049499.1396547109</v>
      </c>
      <c r="AJ103" s="77">
        <v>0</v>
      </c>
      <c r="AK103" s="77">
        <v>14.2</v>
      </c>
      <c r="AL103" s="78">
        <f t="shared" si="203"/>
        <v>1.976551839994352</v>
      </c>
      <c r="AM103" s="57">
        <f t="shared" si="204"/>
        <v>1</v>
      </c>
      <c r="AN103" s="57">
        <f t="shared" si="205"/>
        <v>0.8</v>
      </c>
      <c r="AO103" s="77">
        <v>430</v>
      </c>
      <c r="AP103" s="79">
        <v>30</v>
      </c>
      <c r="AQ103" s="77">
        <f t="shared" si="206"/>
        <v>13.512573781697832</v>
      </c>
      <c r="AR103" s="57">
        <f t="shared" si="328"/>
        <v>370</v>
      </c>
      <c r="AS103" s="77">
        <f t="shared" si="208"/>
        <v>416.48742621830218</v>
      </c>
      <c r="AT103" s="77">
        <v>24</v>
      </c>
      <c r="AU103" s="77">
        <v>400</v>
      </c>
      <c r="AV103" s="77">
        <f t="shared" si="209"/>
        <v>8880</v>
      </c>
      <c r="AW103" s="77">
        <f t="shared" si="339"/>
        <v>8700</v>
      </c>
      <c r="AX103" s="77">
        <f t="shared" si="210"/>
        <v>10320</v>
      </c>
      <c r="AY103" s="77">
        <v>17580</v>
      </c>
      <c r="AZ103" s="77">
        <v>0</v>
      </c>
      <c r="BA103" s="77">
        <v>0</v>
      </c>
      <c r="BB103" s="77">
        <v>407</v>
      </c>
      <c r="BC103" s="77">
        <v>401.8</v>
      </c>
      <c r="BD103" s="77">
        <v>0</v>
      </c>
      <c r="BE103" s="77">
        <v>0</v>
      </c>
      <c r="BF103" s="77">
        <v>1.52E-2</v>
      </c>
      <c r="BH103" s="79"/>
      <c r="BI103" s="79"/>
      <c r="BJ103" s="79"/>
      <c r="BK103" s="57"/>
      <c r="BL103" s="57">
        <f t="shared" si="243"/>
        <v>0</v>
      </c>
      <c r="BM103" s="80">
        <f t="shared" si="273"/>
        <v>1.5393804002589986</v>
      </c>
      <c r="BN103" s="80">
        <v>20</v>
      </c>
      <c r="BO103" s="57">
        <f t="shared" si="329"/>
        <v>30.787608005179973</v>
      </c>
      <c r="BP103" s="57">
        <f t="shared" si="213"/>
        <v>27327.376416920641</v>
      </c>
      <c r="BQ103" s="77">
        <f t="shared" si="214"/>
        <v>4.5474735088646412E-10</v>
      </c>
      <c r="BR103" s="57">
        <f t="shared" si="330"/>
        <v>10930950.566768257</v>
      </c>
      <c r="BS103" s="57">
        <v>27.025147563395663</v>
      </c>
      <c r="BT103" s="57">
        <f t="shared" si="220"/>
        <v>0</v>
      </c>
      <c r="BU103" s="57"/>
      <c r="BV103" s="57">
        <v>3.3E-3</v>
      </c>
      <c r="BW103" s="57">
        <v>30000</v>
      </c>
      <c r="BX103" s="57">
        <v>200000</v>
      </c>
      <c r="BY103" s="77">
        <v>5.9</v>
      </c>
      <c r="BZ103" s="77">
        <v>5.9</v>
      </c>
      <c r="CA103" s="77">
        <v>15</v>
      </c>
      <c r="CB103" s="77">
        <v>24.1</v>
      </c>
      <c r="CC103" s="77">
        <v>24.1</v>
      </c>
      <c r="CD103" s="77">
        <v>405.9</v>
      </c>
      <c r="CE103" s="77">
        <v>405.9</v>
      </c>
      <c r="CF103" s="77">
        <v>415</v>
      </c>
      <c r="CG103" s="77">
        <v>424.1</v>
      </c>
      <c r="CH103" s="77">
        <v>424.1</v>
      </c>
      <c r="DM103" s="77">
        <v>21.2</v>
      </c>
      <c r="DN103" s="77">
        <v>15.4</v>
      </c>
      <c r="DO103" s="77">
        <v>3.1</v>
      </c>
      <c r="DP103" s="77">
        <v>14.1</v>
      </c>
      <c r="DQ103" s="77">
        <v>12.3</v>
      </c>
      <c r="DR103" s="77">
        <v>12.3</v>
      </c>
      <c r="DS103" s="77">
        <v>14.1</v>
      </c>
      <c r="DT103" s="77">
        <v>3.1</v>
      </c>
      <c r="DU103" s="77">
        <v>15.4</v>
      </c>
      <c r="DV103" s="77">
        <v>21.2</v>
      </c>
      <c r="FA103" s="77">
        <f t="shared" si="269"/>
        <v>-8628.4</v>
      </c>
      <c r="FB103" s="77">
        <f t="shared" si="270"/>
        <v>-6267.8</v>
      </c>
      <c r="FC103" s="77">
        <f t="shared" si="340"/>
        <v>-910.39102957690375</v>
      </c>
      <c r="FD103" s="77">
        <f t="shared" si="340"/>
        <v>-1007.2627045274752</v>
      </c>
      <c r="FE103" s="77">
        <f t="shared" si="340"/>
        <v>-878.6759762899253</v>
      </c>
      <c r="FF103" s="77">
        <f t="shared" si="340"/>
        <v>5006.1000000000004</v>
      </c>
      <c r="FG103" s="77">
        <f t="shared" si="340"/>
        <v>5738.7</v>
      </c>
      <c r="FH103" s="77">
        <f t="shared" si="340"/>
        <v>1261.7</v>
      </c>
      <c r="FI103" s="77">
        <f t="shared" si="340"/>
        <v>6267.8</v>
      </c>
      <c r="FJ103" s="77">
        <f t="shared" si="340"/>
        <v>8628.4</v>
      </c>
      <c r="GO103" s="77">
        <f t="shared" si="275"/>
        <v>1804198.44</v>
      </c>
      <c r="GP103" s="77">
        <f t="shared" si="276"/>
        <v>1310596.98</v>
      </c>
      <c r="GQ103" s="77">
        <f t="shared" si="277"/>
        <v>182078.20591538073</v>
      </c>
      <c r="GR103" s="77">
        <f t="shared" si="278"/>
        <v>192286.45029429501</v>
      </c>
      <c r="GS103" s="77">
        <f t="shared" si="341"/>
        <v>167739.24387374675</v>
      </c>
      <c r="GT103" s="77">
        <f t="shared" si="342"/>
        <v>955664.49</v>
      </c>
      <c r="GU103" s="77">
        <f t="shared" si="343"/>
        <v>1095517.8299999998</v>
      </c>
      <c r="GV103" s="77">
        <f t="shared" si="344"/>
        <v>252340</v>
      </c>
      <c r="GW103" s="77">
        <f t="shared" si="345"/>
        <v>1310596.9800000002</v>
      </c>
      <c r="GX103" s="77">
        <f t="shared" si="346"/>
        <v>1804198.4400000002</v>
      </c>
      <c r="IC103" s="82">
        <v>105</v>
      </c>
    </row>
    <row r="104" spans="1:237" s="77" customFormat="1">
      <c r="A104" s="77">
        <v>103</v>
      </c>
      <c r="B104" s="69">
        <v>161</v>
      </c>
      <c r="C104" s="69" t="s">
        <v>236</v>
      </c>
      <c r="D104" s="70" t="s">
        <v>122</v>
      </c>
      <c r="E104" s="70">
        <v>3</v>
      </c>
      <c r="F104" s="70">
        <v>9.2314184733871402E-2</v>
      </c>
      <c r="G104" s="70"/>
      <c r="H104" s="70">
        <v>3.0000000000000001E-3</v>
      </c>
      <c r="I104" s="70">
        <v>3.0000000000000001E-3</v>
      </c>
      <c r="J104" s="71">
        <v>0.93023255813953487</v>
      </c>
      <c r="K104" s="72">
        <v>15.925925925925926</v>
      </c>
      <c r="L104" s="71">
        <v>0.11318309859154932</v>
      </c>
      <c r="M104" s="71">
        <v>0.10752394366197184</v>
      </c>
      <c r="N104" s="71">
        <v>0.43566197183098593</v>
      </c>
      <c r="O104" s="71">
        <v>2.0026648691081936E-2</v>
      </c>
      <c r="P104" s="71">
        <v>0</v>
      </c>
      <c r="Q104" s="73" t="s">
        <v>243</v>
      </c>
      <c r="R104" s="74">
        <v>0.23274478330658105</v>
      </c>
      <c r="S104" s="75">
        <f t="shared" si="216"/>
        <v>0.34786650253182838</v>
      </c>
      <c r="T104" s="59">
        <f t="shared" si="188"/>
        <v>1.5718675337135297</v>
      </c>
      <c r="U104" s="59">
        <f t="shared" si="189"/>
        <v>1.214947810142595</v>
      </c>
      <c r="V104" s="59">
        <f t="shared" si="190"/>
        <v>1.4214428421053495</v>
      </c>
      <c r="W104" s="59">
        <f t="shared" si="191"/>
        <v>0.90430192851378344</v>
      </c>
      <c r="X104" s="59">
        <f t="shared" si="192"/>
        <v>1.1699620594719362</v>
      </c>
      <c r="Y104" s="86">
        <v>24500</v>
      </c>
      <c r="Z104" s="57">
        <f t="shared" si="193"/>
        <v>28664.070457062437</v>
      </c>
      <c r="AA104" s="57">
        <f t="shared" si="194"/>
        <v>22155.397248587695</v>
      </c>
      <c r="AB104" s="57">
        <f t="shared" si="326"/>
        <v>23376.185383399297</v>
      </c>
      <c r="AC104" s="57">
        <f t="shared" si="196"/>
        <v>0.25</v>
      </c>
      <c r="AD104" s="57">
        <f t="shared" si="197"/>
        <v>1.5</v>
      </c>
      <c r="AE104" s="57">
        <f t="shared" si="198"/>
        <v>0</v>
      </c>
      <c r="AF104" s="57">
        <f t="shared" si="199"/>
        <v>8705.6208521695062</v>
      </c>
      <c r="AG104" s="57">
        <f t="shared" si="271"/>
        <v>13449.776396418189</v>
      </c>
      <c r="AH104" s="57">
        <f t="shared" si="327"/>
        <v>4518207.687703155</v>
      </c>
      <c r="AI104" s="57">
        <f t="shared" si="338"/>
        <v>4832266.4656565627</v>
      </c>
      <c r="AJ104" s="77">
        <v>0</v>
      </c>
      <c r="AK104" s="77">
        <v>14.2</v>
      </c>
      <c r="AL104" s="78">
        <f t="shared" si="203"/>
        <v>1.976551839994352</v>
      </c>
      <c r="AM104" s="57">
        <f t="shared" si="204"/>
        <v>1</v>
      </c>
      <c r="AN104" s="57">
        <f t="shared" si="205"/>
        <v>0.8</v>
      </c>
      <c r="AO104" s="77">
        <v>430</v>
      </c>
      <c r="AP104" s="79">
        <v>30</v>
      </c>
      <c r="AQ104" s="77">
        <f t="shared" si="206"/>
        <v>22.180691383832823</v>
      </c>
      <c r="AR104" s="57">
        <f t="shared" si="328"/>
        <v>370</v>
      </c>
      <c r="AS104" s="77">
        <f t="shared" si="208"/>
        <v>407.81930861616718</v>
      </c>
      <c r="AT104" s="77">
        <v>27</v>
      </c>
      <c r="AU104" s="77">
        <v>400</v>
      </c>
      <c r="AV104" s="77">
        <f t="shared" si="209"/>
        <v>9990</v>
      </c>
      <c r="AW104" s="77">
        <f t="shared" si="339"/>
        <v>8700</v>
      </c>
      <c r="AX104" s="77">
        <f t="shared" si="210"/>
        <v>11610</v>
      </c>
      <c r="AY104" s="77">
        <v>18690</v>
      </c>
      <c r="AZ104" s="77">
        <v>401.8</v>
      </c>
      <c r="BA104" s="77">
        <v>401.8</v>
      </c>
      <c r="BB104" s="77">
        <v>407</v>
      </c>
      <c r="BC104" s="77">
        <v>401.8</v>
      </c>
      <c r="BD104" s="77">
        <v>4.0000000000000001E-3</v>
      </c>
      <c r="BE104" s="77">
        <v>3.8E-3</v>
      </c>
      <c r="BF104" s="77">
        <v>1.52E-2</v>
      </c>
      <c r="BH104" s="79"/>
      <c r="BI104" s="79"/>
      <c r="BJ104" s="79"/>
      <c r="BK104" s="57"/>
      <c r="BL104" s="57">
        <f t="shared" si="243"/>
        <v>39.96</v>
      </c>
      <c r="BM104" s="80">
        <f t="shared" si="273"/>
        <v>1.5393804002589986</v>
      </c>
      <c r="BN104" s="80">
        <v>20</v>
      </c>
      <c r="BO104" s="57">
        <f t="shared" si="329"/>
        <v>30.787608005179973</v>
      </c>
      <c r="BP104" s="57">
        <f t="shared" si="213"/>
        <v>34825.349631581063</v>
      </c>
      <c r="BQ104" s="77">
        <f t="shared" si="214"/>
        <v>1.5643308870494366E-10</v>
      </c>
      <c r="BR104" s="57">
        <f t="shared" si="330"/>
        <v>13930139.852632424</v>
      </c>
      <c r="BS104" s="57">
        <v>44.361382767665646</v>
      </c>
      <c r="BT104" s="57">
        <f t="shared" si="220"/>
        <v>22.616120377671972</v>
      </c>
      <c r="BU104" s="57"/>
      <c r="BV104" s="57">
        <v>3.3E-3</v>
      </c>
      <c r="BW104" s="57">
        <v>30000</v>
      </c>
      <c r="BX104" s="57">
        <v>200000</v>
      </c>
      <c r="BY104" s="77">
        <v>5.9</v>
      </c>
      <c r="BZ104" s="77">
        <v>5.9</v>
      </c>
      <c r="CA104" s="77">
        <v>15</v>
      </c>
      <c r="CB104" s="77">
        <v>24.1</v>
      </c>
      <c r="CC104" s="77">
        <v>24.1</v>
      </c>
      <c r="CD104" s="77">
        <v>35</v>
      </c>
      <c r="CE104" s="77">
        <v>65</v>
      </c>
      <c r="CF104" s="77">
        <v>95</v>
      </c>
      <c r="CG104" s="77">
        <v>125</v>
      </c>
      <c r="CH104" s="77">
        <v>155</v>
      </c>
      <c r="CI104" s="77">
        <v>185</v>
      </c>
      <c r="CJ104" s="77">
        <v>215</v>
      </c>
      <c r="CK104" s="77">
        <v>245</v>
      </c>
      <c r="CL104" s="77">
        <v>275</v>
      </c>
      <c r="CM104" s="77">
        <v>305</v>
      </c>
      <c r="CN104" s="77">
        <v>335</v>
      </c>
      <c r="CO104" s="77">
        <v>365</v>
      </c>
      <c r="CP104" s="77">
        <v>395</v>
      </c>
      <c r="CQ104" s="77">
        <v>405.9</v>
      </c>
      <c r="CR104" s="77">
        <v>405.9</v>
      </c>
      <c r="CS104" s="77">
        <v>415</v>
      </c>
      <c r="CT104" s="77">
        <v>424.1</v>
      </c>
      <c r="CU104" s="77">
        <v>424.1</v>
      </c>
      <c r="DM104" s="77">
        <v>21.2</v>
      </c>
      <c r="DN104" s="77">
        <v>15.4</v>
      </c>
      <c r="DO104" s="77">
        <v>3.1</v>
      </c>
      <c r="DP104" s="77">
        <v>14.1</v>
      </c>
      <c r="DQ104" s="77">
        <v>12.3</v>
      </c>
      <c r="DR104" s="77">
        <v>3.1</v>
      </c>
      <c r="DS104" s="77">
        <v>3.1</v>
      </c>
      <c r="DT104" s="77">
        <v>3.1</v>
      </c>
      <c r="DU104" s="77">
        <v>3.1</v>
      </c>
      <c r="DV104" s="77">
        <v>3.1</v>
      </c>
      <c r="DW104" s="77">
        <v>3.1</v>
      </c>
      <c r="DX104" s="77">
        <v>3.1</v>
      </c>
      <c r="DY104" s="77">
        <v>3.1</v>
      </c>
      <c r="DZ104" s="77">
        <v>3.1</v>
      </c>
      <c r="EA104" s="77">
        <v>3.1</v>
      </c>
      <c r="EB104" s="77">
        <v>3.1</v>
      </c>
      <c r="EC104" s="77">
        <v>3.1</v>
      </c>
      <c r="ED104" s="77">
        <v>3.1</v>
      </c>
      <c r="EE104" s="77">
        <v>12.3</v>
      </c>
      <c r="EF104" s="77">
        <v>14.1</v>
      </c>
      <c r="EG104" s="77">
        <v>3.1</v>
      </c>
      <c r="EH104" s="77">
        <v>15.4</v>
      </c>
      <c r="EI104" s="77">
        <v>21.2</v>
      </c>
      <c r="FA104" s="77">
        <f t="shared" si="269"/>
        <v>-8628.4</v>
      </c>
      <c r="FB104" s="77">
        <f t="shared" si="270"/>
        <v>-6267.8</v>
      </c>
      <c r="FC104" s="77">
        <f t="shared" ref="FC104:FE109" si="347">IF(ABS(-$BV104*($BS104-CA104)/$BS104*$BX104)&gt;$BB104,$BB104*SIGN(-($BS104-CA104)),-$BV104*($BS104-CA104)/$BS104*$BX104)*DO104</f>
        <v>-1261.7</v>
      </c>
      <c r="FD104" s="77">
        <f t="shared" si="347"/>
        <v>-4250.3731009333987</v>
      </c>
      <c r="FE104" s="77">
        <f t="shared" si="347"/>
        <v>-3707.7722795376462</v>
      </c>
      <c r="FF104" s="77">
        <f t="shared" ref="FF104:FR109" si="348">IF(ABS(-$BV104*($BS104-CD104)/$BS104*$BX104)&gt;$BA104,$BA104*SIGN(-($BS104-CD104)),-$BV104*($BS104-CD104)/$BS104*$BX104)*DR104</f>
        <v>-431.75816324202884</v>
      </c>
      <c r="FG104" s="77">
        <f t="shared" si="348"/>
        <v>951.87769683623208</v>
      </c>
      <c r="FH104" s="77">
        <f t="shared" si="348"/>
        <v>1245.5800000000002</v>
      </c>
      <c r="FI104" s="77">
        <f t="shared" si="348"/>
        <v>1245.5800000000002</v>
      </c>
      <c r="FJ104" s="77">
        <f t="shared" si="348"/>
        <v>1245.5800000000002</v>
      </c>
      <c r="FK104" s="77">
        <f t="shared" si="348"/>
        <v>1245.5800000000002</v>
      </c>
      <c r="FL104" s="77">
        <f t="shared" si="348"/>
        <v>1245.5800000000002</v>
      </c>
      <c r="FM104" s="77">
        <f t="shared" si="348"/>
        <v>1245.5800000000002</v>
      </c>
      <c r="FN104" s="77">
        <f t="shared" si="348"/>
        <v>1245.5800000000002</v>
      </c>
      <c r="FO104" s="77">
        <f t="shared" si="348"/>
        <v>1245.5800000000002</v>
      </c>
      <c r="FP104" s="77">
        <f t="shared" si="348"/>
        <v>1245.5800000000002</v>
      </c>
      <c r="FQ104" s="77">
        <f t="shared" si="348"/>
        <v>1245.5800000000002</v>
      </c>
      <c r="FR104" s="77">
        <f t="shared" si="348"/>
        <v>1245.5800000000002</v>
      </c>
      <c r="FS104" s="77">
        <f t="shared" ref="FS104:FW107" si="349">IF(ABS(-$BV104*($BS104-CQ104)/$BS104*$BX104)&gt;$BB104,$BB104*SIGN(-($BS104-CQ104)),-$BV104*($BS104-CQ104)/$BS104*$BX104)*EE104</f>
        <v>5006.1000000000004</v>
      </c>
      <c r="FT104" s="77">
        <f t="shared" si="349"/>
        <v>5738.7</v>
      </c>
      <c r="FU104" s="77">
        <f t="shared" si="349"/>
        <v>1261.7</v>
      </c>
      <c r="FV104" s="77">
        <f t="shared" si="349"/>
        <v>6267.8</v>
      </c>
      <c r="FW104" s="77">
        <f t="shared" si="349"/>
        <v>8628.4</v>
      </c>
      <c r="GO104" s="77">
        <f t="shared" si="275"/>
        <v>1804198.44</v>
      </c>
      <c r="GP104" s="77">
        <f t="shared" si="276"/>
        <v>1310596.98</v>
      </c>
      <c r="GQ104" s="77">
        <f t="shared" si="277"/>
        <v>252340</v>
      </c>
      <c r="GR104" s="77">
        <f t="shared" si="278"/>
        <v>811396.22496818588</v>
      </c>
      <c r="GS104" s="77">
        <f t="shared" si="341"/>
        <v>707813.72816373664</v>
      </c>
      <c r="GT104" s="77">
        <f t="shared" si="342"/>
        <v>77716.469383565185</v>
      </c>
      <c r="GU104" s="77">
        <f t="shared" si="343"/>
        <v>-142781.6545254348</v>
      </c>
      <c r="GV104" s="77">
        <f t="shared" si="344"/>
        <v>-149469.6</v>
      </c>
      <c r="GW104" s="77">
        <f t="shared" si="345"/>
        <v>-112102.20000000001</v>
      </c>
      <c r="GX104" s="77">
        <f t="shared" si="346"/>
        <v>-74734.8</v>
      </c>
      <c r="GY104" s="77">
        <f t="shared" ref="GY104:HK109" si="350">FK104*(CI104-0.5*$AO104)</f>
        <v>-37367.4</v>
      </c>
      <c r="GZ104" s="77">
        <f t="shared" si="350"/>
        <v>0</v>
      </c>
      <c r="HA104" s="77">
        <f t="shared" si="350"/>
        <v>37367.4</v>
      </c>
      <c r="HB104" s="77">
        <f t="shared" si="350"/>
        <v>74734.8</v>
      </c>
      <c r="HC104" s="77">
        <f t="shared" si="350"/>
        <v>112102.20000000001</v>
      </c>
      <c r="HD104" s="77">
        <f t="shared" si="350"/>
        <v>149469.6</v>
      </c>
      <c r="HE104" s="77">
        <f t="shared" si="350"/>
        <v>186837.00000000003</v>
      </c>
      <c r="HF104" s="77">
        <f t="shared" si="350"/>
        <v>224204.40000000002</v>
      </c>
      <c r="HG104" s="77">
        <f t="shared" si="350"/>
        <v>955664.49</v>
      </c>
      <c r="HH104" s="77">
        <f t="shared" si="350"/>
        <v>1095517.8299999998</v>
      </c>
      <c r="HI104" s="77">
        <f t="shared" si="350"/>
        <v>252340</v>
      </c>
      <c r="HJ104" s="77">
        <f t="shared" si="350"/>
        <v>1310596.9800000002</v>
      </c>
      <c r="HK104" s="77">
        <f t="shared" si="350"/>
        <v>1804198.4400000002</v>
      </c>
      <c r="IC104" s="82">
        <v>106</v>
      </c>
    </row>
    <row r="105" spans="1:237" s="77" customFormat="1">
      <c r="A105" s="77">
        <v>104</v>
      </c>
      <c r="B105" s="69">
        <v>162</v>
      </c>
      <c r="C105" s="69" t="s">
        <v>236</v>
      </c>
      <c r="D105" s="70" t="s">
        <v>123</v>
      </c>
      <c r="E105" s="70">
        <v>3</v>
      </c>
      <c r="F105" s="70">
        <v>9.4217180214392154E-2</v>
      </c>
      <c r="G105" s="70"/>
      <c r="H105" s="70">
        <v>3.7499999999999999E-3</v>
      </c>
      <c r="I105" s="70">
        <v>3.7499999999999999E-3</v>
      </c>
      <c r="J105" s="71">
        <v>0.93023255813953487</v>
      </c>
      <c r="K105" s="72">
        <v>17.916666666666668</v>
      </c>
      <c r="L105" s="71">
        <v>0.10248591549295774</v>
      </c>
      <c r="M105" s="71">
        <v>9.7930985915492957E-2</v>
      </c>
      <c r="N105" s="71">
        <v>0.43566197183098593</v>
      </c>
      <c r="O105" s="71">
        <v>1.6119009922090335E-2</v>
      </c>
      <c r="P105" s="71">
        <v>0</v>
      </c>
      <c r="Q105" s="73" t="s">
        <v>243</v>
      </c>
      <c r="R105" s="74">
        <v>0.24744027303754265</v>
      </c>
      <c r="S105" s="75">
        <f t="shared" si="216"/>
        <v>0.35503753896627288</v>
      </c>
      <c r="T105" s="59">
        <f t="shared" si="188"/>
        <v>1.7886198725638076</v>
      </c>
      <c r="U105" s="59">
        <f t="shared" si="189"/>
        <v>1.3860467924251634</v>
      </c>
      <c r="V105" s="59">
        <f t="shared" si="190"/>
        <v>1.4186579830225028</v>
      </c>
      <c r="W105" s="59">
        <f t="shared" si="191"/>
        <v>0.79315790055994329</v>
      </c>
      <c r="X105" s="59">
        <f t="shared" si="192"/>
        <v>1.0235282032147557</v>
      </c>
      <c r="Y105" s="86">
        <v>23520</v>
      </c>
      <c r="Z105" s="57">
        <f t="shared" si="193"/>
        <v>24073.383339611053</v>
      </c>
      <c r="AA105" s="57">
        <f t="shared" si="194"/>
        <v>18655.073821169866</v>
      </c>
      <c r="AB105" s="57">
        <f t="shared" si="326"/>
        <v>22175.219764713162</v>
      </c>
      <c r="AC105" s="57">
        <f t="shared" si="196"/>
        <v>0.25</v>
      </c>
      <c r="AD105" s="57">
        <f t="shared" si="197"/>
        <v>1.5</v>
      </c>
      <c r="AE105" s="57">
        <f t="shared" si="198"/>
        <v>0</v>
      </c>
      <c r="AF105" s="57">
        <f t="shared" si="199"/>
        <v>7749.9650523818518</v>
      </c>
      <c r="AG105" s="57">
        <f t="shared" si="271"/>
        <v>10905.108768788015</v>
      </c>
      <c r="AH105" s="57">
        <f t="shared" si="327"/>
        <v>4022453.9674243275</v>
      </c>
      <c r="AI105" s="57">
        <f t="shared" si="338"/>
        <v>4847633.9384609377</v>
      </c>
      <c r="AJ105" s="77">
        <v>0</v>
      </c>
      <c r="AK105" s="77">
        <v>14.2</v>
      </c>
      <c r="AL105" s="78">
        <f t="shared" si="203"/>
        <v>1.976551839994352</v>
      </c>
      <c r="AM105" s="57">
        <f t="shared" si="204"/>
        <v>1</v>
      </c>
      <c r="AN105" s="57">
        <f t="shared" si="205"/>
        <v>0.8</v>
      </c>
      <c r="AO105" s="77">
        <v>430</v>
      </c>
      <c r="AP105" s="79">
        <v>30</v>
      </c>
      <c r="AQ105" s="77">
        <f t="shared" si="206"/>
        <v>21.567491449107195</v>
      </c>
      <c r="AR105" s="57">
        <f t="shared" si="328"/>
        <v>370</v>
      </c>
      <c r="AS105" s="77">
        <f t="shared" si="208"/>
        <v>408.43250855089281</v>
      </c>
      <c r="AT105" s="77">
        <v>24</v>
      </c>
      <c r="AU105" s="77">
        <v>400</v>
      </c>
      <c r="AV105" s="77">
        <f t="shared" si="209"/>
        <v>8880</v>
      </c>
      <c r="AW105" s="77">
        <f t="shared" si="339"/>
        <v>8700</v>
      </c>
      <c r="AX105" s="77">
        <f t="shared" si="210"/>
        <v>10320</v>
      </c>
      <c r="AY105" s="77">
        <v>17580</v>
      </c>
      <c r="AZ105" s="77">
        <v>323.39999999999998</v>
      </c>
      <c r="BA105" s="77">
        <v>323.39999999999998</v>
      </c>
      <c r="BB105" s="77">
        <v>407</v>
      </c>
      <c r="BC105" s="77">
        <v>401.8</v>
      </c>
      <c r="BD105" s="77">
        <v>4.4999999999999997E-3</v>
      </c>
      <c r="BE105" s="77">
        <v>4.3E-3</v>
      </c>
      <c r="BF105" s="77">
        <v>1.52E-2</v>
      </c>
      <c r="BH105" s="79"/>
      <c r="BI105" s="79"/>
      <c r="BJ105" s="79"/>
      <c r="BK105" s="57"/>
      <c r="BL105" s="57">
        <f t="shared" si="243"/>
        <v>39.959999999999994</v>
      </c>
      <c r="BM105" s="80">
        <f t="shared" si="273"/>
        <v>1.5393804002589986</v>
      </c>
      <c r="BN105" s="80">
        <v>20</v>
      </c>
      <c r="BO105" s="57">
        <f t="shared" si="329"/>
        <v>30.787608005179973</v>
      </c>
      <c r="BP105" s="57">
        <f t="shared" si="213"/>
        <v>33366.835760689268</v>
      </c>
      <c r="BQ105" s="77">
        <f t="shared" si="214"/>
        <v>3.776222001761198E-9</v>
      </c>
      <c r="BR105" s="57">
        <f t="shared" si="330"/>
        <v>13346734.304275708</v>
      </c>
      <c r="BS105" s="57">
        <v>43.134982898214389</v>
      </c>
      <c r="BT105" s="57">
        <f t="shared" si="220"/>
        <v>23.038448845090386</v>
      </c>
      <c r="BU105" s="57"/>
      <c r="BV105" s="57">
        <v>3.3E-3</v>
      </c>
      <c r="BW105" s="57">
        <v>30000</v>
      </c>
      <c r="BX105" s="57">
        <v>200000</v>
      </c>
      <c r="BY105" s="77">
        <v>5.9</v>
      </c>
      <c r="BZ105" s="77">
        <v>5.9</v>
      </c>
      <c r="CA105" s="77">
        <v>15</v>
      </c>
      <c r="CB105" s="77">
        <v>24.1</v>
      </c>
      <c r="CC105" s="77">
        <v>24.1</v>
      </c>
      <c r="CD105" s="77">
        <v>35</v>
      </c>
      <c r="CE105" s="77">
        <v>65</v>
      </c>
      <c r="CF105" s="77">
        <v>95</v>
      </c>
      <c r="CG105" s="77">
        <v>125</v>
      </c>
      <c r="CH105" s="77">
        <v>155</v>
      </c>
      <c r="CI105" s="77">
        <v>185</v>
      </c>
      <c r="CJ105" s="77">
        <v>215</v>
      </c>
      <c r="CK105" s="77">
        <v>245</v>
      </c>
      <c r="CL105" s="77">
        <v>275</v>
      </c>
      <c r="CM105" s="77">
        <v>305</v>
      </c>
      <c r="CN105" s="77">
        <v>335</v>
      </c>
      <c r="CO105" s="77">
        <v>365</v>
      </c>
      <c r="CP105" s="77">
        <v>395</v>
      </c>
      <c r="CQ105" s="77">
        <v>405.9</v>
      </c>
      <c r="CR105" s="77">
        <v>405.9</v>
      </c>
      <c r="CS105" s="77">
        <v>415</v>
      </c>
      <c r="CT105" s="77">
        <v>424.1</v>
      </c>
      <c r="CU105" s="77">
        <v>424.1</v>
      </c>
      <c r="DM105" s="77">
        <v>21.2</v>
      </c>
      <c r="DN105" s="77">
        <v>15.4</v>
      </c>
      <c r="DO105" s="77">
        <v>3.1</v>
      </c>
      <c r="DP105" s="77">
        <v>14.1</v>
      </c>
      <c r="DQ105" s="77">
        <v>12.3</v>
      </c>
      <c r="DR105" s="77">
        <v>3.1</v>
      </c>
      <c r="DS105" s="77">
        <v>3.1</v>
      </c>
      <c r="DT105" s="77">
        <v>3.1</v>
      </c>
      <c r="DU105" s="77">
        <v>3.1</v>
      </c>
      <c r="DV105" s="77">
        <v>3.1</v>
      </c>
      <c r="DW105" s="77">
        <v>3.1</v>
      </c>
      <c r="DX105" s="77">
        <v>3.1</v>
      </c>
      <c r="DY105" s="77">
        <v>3.1</v>
      </c>
      <c r="DZ105" s="77">
        <v>3.1</v>
      </c>
      <c r="EA105" s="77">
        <v>3.1</v>
      </c>
      <c r="EB105" s="77">
        <v>3.1</v>
      </c>
      <c r="EC105" s="77">
        <v>3.1</v>
      </c>
      <c r="ED105" s="77">
        <v>3.1</v>
      </c>
      <c r="EE105" s="77">
        <v>12.3</v>
      </c>
      <c r="EF105" s="77">
        <v>14.1</v>
      </c>
      <c r="EG105" s="77">
        <v>3.1</v>
      </c>
      <c r="EH105" s="77">
        <v>15.4</v>
      </c>
      <c r="EI105" s="77">
        <v>21.2</v>
      </c>
      <c r="FA105" s="77">
        <f t="shared" si="269"/>
        <v>-8628.4</v>
      </c>
      <c r="FB105" s="77">
        <f t="shared" si="270"/>
        <v>-6267.8</v>
      </c>
      <c r="FC105" s="77">
        <f t="shared" si="347"/>
        <v>-1261.7</v>
      </c>
      <c r="FD105" s="77">
        <f t="shared" si="347"/>
        <v>-4106.633153623342</v>
      </c>
      <c r="FE105" s="77">
        <f t="shared" si="347"/>
        <v>-3582.3821127352562</v>
      </c>
      <c r="FF105" s="77">
        <f t="shared" si="348"/>
        <v>-385.86256192617248</v>
      </c>
      <c r="FG105" s="77">
        <f t="shared" si="348"/>
        <v>1002.54</v>
      </c>
      <c r="FH105" s="77">
        <f t="shared" si="348"/>
        <v>1002.54</v>
      </c>
      <c r="FI105" s="77">
        <f t="shared" si="348"/>
        <v>1002.54</v>
      </c>
      <c r="FJ105" s="77">
        <f t="shared" si="348"/>
        <v>1002.54</v>
      </c>
      <c r="FK105" s="77">
        <f t="shared" si="348"/>
        <v>1002.54</v>
      </c>
      <c r="FL105" s="77">
        <f t="shared" si="348"/>
        <v>1002.54</v>
      </c>
      <c r="FM105" s="77">
        <f t="shared" si="348"/>
        <v>1002.54</v>
      </c>
      <c r="FN105" s="77">
        <f t="shared" si="348"/>
        <v>1002.54</v>
      </c>
      <c r="FO105" s="77">
        <f t="shared" si="348"/>
        <v>1002.54</v>
      </c>
      <c r="FP105" s="77">
        <f t="shared" si="348"/>
        <v>1002.54</v>
      </c>
      <c r="FQ105" s="77">
        <f t="shared" si="348"/>
        <v>1002.54</v>
      </c>
      <c r="FR105" s="77">
        <f t="shared" si="348"/>
        <v>1002.54</v>
      </c>
      <c r="FS105" s="77">
        <f t="shared" si="349"/>
        <v>5006.1000000000004</v>
      </c>
      <c r="FT105" s="77">
        <f t="shared" si="349"/>
        <v>5738.7</v>
      </c>
      <c r="FU105" s="77">
        <f t="shared" si="349"/>
        <v>1261.7</v>
      </c>
      <c r="FV105" s="77">
        <f t="shared" si="349"/>
        <v>6267.8</v>
      </c>
      <c r="FW105" s="77">
        <f t="shared" si="349"/>
        <v>8628.4</v>
      </c>
      <c r="GO105" s="77">
        <f t="shared" si="275"/>
        <v>1804198.44</v>
      </c>
      <c r="GP105" s="77">
        <f t="shared" si="276"/>
        <v>1310596.98</v>
      </c>
      <c r="GQ105" s="77">
        <f t="shared" si="277"/>
        <v>252340</v>
      </c>
      <c r="GR105" s="77">
        <f t="shared" si="278"/>
        <v>783956.26902669598</v>
      </c>
      <c r="GS105" s="77">
        <f t="shared" si="341"/>
        <v>683876.74532116042</v>
      </c>
      <c r="GT105" s="77">
        <f t="shared" si="342"/>
        <v>69455.26114671104</v>
      </c>
      <c r="GU105" s="77">
        <f t="shared" si="343"/>
        <v>-150381</v>
      </c>
      <c r="GV105" s="77">
        <f t="shared" si="344"/>
        <v>-120304.79999999999</v>
      </c>
      <c r="GW105" s="77">
        <f t="shared" si="345"/>
        <v>-90228.599999999991</v>
      </c>
      <c r="GX105" s="77">
        <f t="shared" si="346"/>
        <v>-60152.399999999994</v>
      </c>
      <c r="GY105" s="77">
        <f t="shared" si="350"/>
        <v>-30076.199999999997</v>
      </c>
      <c r="GZ105" s="77">
        <f t="shared" si="350"/>
        <v>0</v>
      </c>
      <c r="HA105" s="77">
        <f t="shared" si="350"/>
        <v>30076.199999999997</v>
      </c>
      <c r="HB105" s="77">
        <f t="shared" si="350"/>
        <v>60152.399999999994</v>
      </c>
      <c r="HC105" s="77">
        <f t="shared" si="350"/>
        <v>90228.599999999991</v>
      </c>
      <c r="HD105" s="77">
        <f t="shared" si="350"/>
        <v>120304.79999999999</v>
      </c>
      <c r="HE105" s="77">
        <f t="shared" si="350"/>
        <v>150381</v>
      </c>
      <c r="HF105" s="77">
        <f t="shared" si="350"/>
        <v>180457.19999999998</v>
      </c>
      <c r="HG105" s="77">
        <f t="shared" si="350"/>
        <v>955664.49</v>
      </c>
      <c r="HH105" s="77">
        <f t="shared" si="350"/>
        <v>1095517.8299999998</v>
      </c>
      <c r="HI105" s="77">
        <f t="shared" si="350"/>
        <v>252340</v>
      </c>
      <c r="HJ105" s="77">
        <f t="shared" si="350"/>
        <v>1310596.9800000002</v>
      </c>
      <c r="HK105" s="77">
        <f t="shared" si="350"/>
        <v>1804198.4400000002</v>
      </c>
      <c r="IC105" s="82">
        <v>107</v>
      </c>
    </row>
    <row r="106" spans="1:237" s="77" customFormat="1">
      <c r="A106" s="77">
        <v>105</v>
      </c>
      <c r="B106" s="69">
        <v>163</v>
      </c>
      <c r="C106" s="69" t="s">
        <v>236</v>
      </c>
      <c r="D106" s="70" t="s">
        <v>124</v>
      </c>
      <c r="E106" s="70">
        <v>3</v>
      </c>
      <c r="F106" s="70">
        <v>7.3282308436702734E-2</v>
      </c>
      <c r="G106" s="70"/>
      <c r="H106" s="70">
        <v>3.7499999999999999E-3</v>
      </c>
      <c r="I106" s="70">
        <v>3.7499999999999999E-3</v>
      </c>
      <c r="J106" s="71">
        <v>0.93023255813953487</v>
      </c>
      <c r="K106" s="72">
        <v>19.545454545454547</v>
      </c>
      <c r="L106" s="71">
        <v>9.9814814814814815E-2</v>
      </c>
      <c r="M106" s="71">
        <v>9.5822222222222211E-2</v>
      </c>
      <c r="N106" s="71">
        <v>0.38187654320987657</v>
      </c>
      <c r="O106" s="71">
        <v>1.4129008697140911E-2</v>
      </c>
      <c r="P106" s="71">
        <v>0</v>
      </c>
      <c r="Q106" s="73" t="s">
        <v>243</v>
      </c>
      <c r="R106" s="74">
        <v>0.25831353919239908</v>
      </c>
      <c r="S106" s="75">
        <f t="shared" si="216"/>
        <v>0.29495560178263258</v>
      </c>
      <c r="T106" s="59">
        <f t="shared" si="188"/>
        <v>1.7740305066323891</v>
      </c>
      <c r="U106" s="59">
        <f t="shared" si="189"/>
        <v>1.3795275072887871</v>
      </c>
      <c r="V106" s="59">
        <f t="shared" si="190"/>
        <v>1.6701645698160137</v>
      </c>
      <c r="W106" s="59">
        <f t="shared" si="191"/>
        <v>0.9414520007248679</v>
      </c>
      <c r="X106" s="59">
        <f t="shared" si="192"/>
        <v>1.2106787004910264</v>
      </c>
      <c r="Y106" s="86">
        <v>19992</v>
      </c>
      <c r="Z106" s="57">
        <f t="shared" si="193"/>
        <v>24203.888580216601</v>
      </c>
      <c r="AA106" s="57">
        <f t="shared" si="194"/>
        <v>18821.508398491558</v>
      </c>
      <c r="AB106" s="57">
        <f t="shared" si="326"/>
        <v>22683.475518888165</v>
      </c>
      <c r="AC106" s="57">
        <f t="shared" si="196"/>
        <v>0.25</v>
      </c>
      <c r="AD106" s="57">
        <f t="shared" si="197"/>
        <v>1.5</v>
      </c>
      <c r="AE106" s="57">
        <f t="shared" si="198"/>
        <v>0</v>
      </c>
      <c r="AF106" s="57">
        <f t="shared" si="199"/>
        <v>7648.1391457913132</v>
      </c>
      <c r="AG106" s="57">
        <f t="shared" si="271"/>
        <v>11173.369252700244</v>
      </c>
      <c r="AH106" s="57">
        <f t="shared" si="327"/>
        <v>4212314.9475722788</v>
      </c>
      <c r="AI106" s="57">
        <f t="shared" si="338"/>
        <v>4861075.2599829873</v>
      </c>
      <c r="AJ106" s="77">
        <v>0</v>
      </c>
      <c r="AK106" s="77">
        <v>16.2</v>
      </c>
      <c r="AL106" s="78">
        <f t="shared" si="203"/>
        <v>2.1251171585375825</v>
      </c>
      <c r="AM106" s="57">
        <f t="shared" si="204"/>
        <v>1</v>
      </c>
      <c r="AN106" s="57">
        <f t="shared" si="205"/>
        <v>0.8</v>
      </c>
      <c r="AO106" s="77">
        <v>430</v>
      </c>
      <c r="AP106" s="79">
        <v>30</v>
      </c>
      <c r="AQ106" s="77">
        <f t="shared" si="206"/>
        <v>21.03114968459797</v>
      </c>
      <c r="AR106" s="57">
        <f t="shared" si="328"/>
        <v>370</v>
      </c>
      <c r="AS106" s="77">
        <f t="shared" si="208"/>
        <v>408.96885031540205</v>
      </c>
      <c r="AT106" s="77">
        <v>22</v>
      </c>
      <c r="AU106" s="77">
        <v>400</v>
      </c>
      <c r="AV106" s="77">
        <f t="shared" si="209"/>
        <v>8140</v>
      </c>
      <c r="AW106" s="77">
        <f t="shared" si="339"/>
        <v>8700</v>
      </c>
      <c r="AX106" s="77">
        <f t="shared" si="210"/>
        <v>9460</v>
      </c>
      <c r="AY106" s="77">
        <v>16840</v>
      </c>
      <c r="AZ106" s="77">
        <v>323.39999999999998</v>
      </c>
      <c r="BA106" s="77">
        <v>323.39999999999998</v>
      </c>
      <c r="BB106" s="77">
        <v>407</v>
      </c>
      <c r="BC106" s="77">
        <v>401.8</v>
      </c>
      <c r="BD106" s="77">
        <v>5.0000000000000001E-3</v>
      </c>
      <c r="BE106" s="77">
        <v>4.7999999999999996E-3</v>
      </c>
      <c r="BF106" s="77">
        <v>1.52E-2</v>
      </c>
      <c r="BH106" s="79"/>
      <c r="BI106" s="79"/>
      <c r="BJ106" s="79"/>
      <c r="BK106" s="57"/>
      <c r="BL106" s="57">
        <f t="shared" si="243"/>
        <v>40.700000000000003</v>
      </c>
      <c r="BM106" s="80">
        <f t="shared" si="273"/>
        <v>1.5393804002589986</v>
      </c>
      <c r="BN106" s="80">
        <v>20</v>
      </c>
      <c r="BO106" s="57">
        <f t="shared" si="329"/>
        <v>30.787608005179973</v>
      </c>
      <c r="BP106" s="57">
        <f t="shared" si="213"/>
        <v>33389.930079761747</v>
      </c>
      <c r="BQ106" s="77">
        <f t="shared" si="214"/>
        <v>7.6943251769989729E-10</v>
      </c>
      <c r="BR106" s="57">
        <f t="shared" si="330"/>
        <v>13355972.031904697</v>
      </c>
      <c r="BS106" s="57">
        <v>42.062299369195941</v>
      </c>
      <c r="BT106" s="57">
        <f t="shared" si="220"/>
        <v>24.852091703144044</v>
      </c>
      <c r="BU106" s="57"/>
      <c r="BV106" s="57">
        <v>3.3E-3</v>
      </c>
      <c r="BW106" s="57">
        <v>30000</v>
      </c>
      <c r="BX106" s="57">
        <v>200000</v>
      </c>
      <c r="BY106" s="77">
        <v>5.9</v>
      </c>
      <c r="BZ106" s="77">
        <v>5.9</v>
      </c>
      <c r="CA106" s="77">
        <v>15</v>
      </c>
      <c r="CB106" s="77">
        <v>24.1</v>
      </c>
      <c r="CC106" s="77">
        <v>24.1</v>
      </c>
      <c r="CD106" s="77">
        <v>35</v>
      </c>
      <c r="CE106" s="77">
        <v>65</v>
      </c>
      <c r="CF106" s="77">
        <v>95</v>
      </c>
      <c r="CG106" s="77">
        <v>125</v>
      </c>
      <c r="CH106" s="77">
        <v>155</v>
      </c>
      <c r="CI106" s="77">
        <v>185</v>
      </c>
      <c r="CJ106" s="77">
        <v>215</v>
      </c>
      <c r="CK106" s="77">
        <v>245</v>
      </c>
      <c r="CL106" s="77">
        <v>275</v>
      </c>
      <c r="CM106" s="77">
        <v>305</v>
      </c>
      <c r="CN106" s="77">
        <v>335</v>
      </c>
      <c r="CO106" s="77">
        <v>365</v>
      </c>
      <c r="CP106" s="77">
        <v>395</v>
      </c>
      <c r="CQ106" s="77">
        <v>405.9</v>
      </c>
      <c r="CR106" s="77">
        <v>405.9</v>
      </c>
      <c r="CS106" s="77">
        <v>415</v>
      </c>
      <c r="CT106" s="77">
        <v>424.1</v>
      </c>
      <c r="CU106" s="77">
        <v>424.1</v>
      </c>
      <c r="DM106" s="77">
        <v>21.2</v>
      </c>
      <c r="DN106" s="77">
        <v>15.4</v>
      </c>
      <c r="DO106" s="77">
        <v>3.1</v>
      </c>
      <c r="DP106" s="77">
        <v>14.1</v>
      </c>
      <c r="DQ106" s="77">
        <v>12.3</v>
      </c>
      <c r="DR106" s="77">
        <v>3.1</v>
      </c>
      <c r="DS106" s="77">
        <v>3.1</v>
      </c>
      <c r="DT106" s="77">
        <v>3.1</v>
      </c>
      <c r="DU106" s="77">
        <v>3.1</v>
      </c>
      <c r="DV106" s="77">
        <v>3.1</v>
      </c>
      <c r="DW106" s="77">
        <v>3.1</v>
      </c>
      <c r="DX106" s="77">
        <v>3.1</v>
      </c>
      <c r="DY106" s="77">
        <v>3.1</v>
      </c>
      <c r="DZ106" s="77">
        <v>3.1</v>
      </c>
      <c r="EA106" s="77">
        <v>3.1</v>
      </c>
      <c r="EB106" s="77">
        <v>3.1</v>
      </c>
      <c r="EC106" s="77">
        <v>3.1</v>
      </c>
      <c r="ED106" s="77">
        <v>3.1</v>
      </c>
      <c r="EE106" s="77">
        <v>12.3</v>
      </c>
      <c r="EF106" s="77">
        <v>14.1</v>
      </c>
      <c r="EG106" s="77">
        <v>3.1</v>
      </c>
      <c r="EH106" s="77">
        <v>15.4</v>
      </c>
      <c r="EI106" s="77">
        <v>21.2</v>
      </c>
      <c r="FA106" s="77">
        <f t="shared" si="269"/>
        <v>-8628.4</v>
      </c>
      <c r="FB106" s="77">
        <f t="shared" si="270"/>
        <v>-6267.8</v>
      </c>
      <c r="FC106" s="77">
        <f t="shared" si="347"/>
        <v>-1261.7</v>
      </c>
      <c r="FD106" s="77">
        <f t="shared" si="347"/>
        <v>-3974.0375689531111</v>
      </c>
      <c r="FE106" s="77">
        <f t="shared" si="347"/>
        <v>-3466.7136239803735</v>
      </c>
      <c r="FF106" s="77">
        <f t="shared" si="348"/>
        <v>-343.52531188432533</v>
      </c>
      <c r="FG106" s="77">
        <f t="shared" si="348"/>
        <v>1002.54</v>
      </c>
      <c r="FH106" s="77">
        <f t="shared" si="348"/>
        <v>1002.54</v>
      </c>
      <c r="FI106" s="77">
        <f t="shared" si="348"/>
        <v>1002.54</v>
      </c>
      <c r="FJ106" s="77">
        <f t="shared" si="348"/>
        <v>1002.54</v>
      </c>
      <c r="FK106" s="77">
        <f t="shared" si="348"/>
        <v>1002.54</v>
      </c>
      <c r="FL106" s="77">
        <f t="shared" si="348"/>
        <v>1002.54</v>
      </c>
      <c r="FM106" s="77">
        <f t="shared" si="348"/>
        <v>1002.54</v>
      </c>
      <c r="FN106" s="77">
        <f t="shared" si="348"/>
        <v>1002.54</v>
      </c>
      <c r="FO106" s="77">
        <f t="shared" si="348"/>
        <v>1002.54</v>
      </c>
      <c r="FP106" s="77">
        <f t="shared" si="348"/>
        <v>1002.54</v>
      </c>
      <c r="FQ106" s="77">
        <f t="shared" si="348"/>
        <v>1002.54</v>
      </c>
      <c r="FR106" s="77">
        <f t="shared" si="348"/>
        <v>1002.54</v>
      </c>
      <c r="FS106" s="77">
        <f t="shared" si="349"/>
        <v>5006.1000000000004</v>
      </c>
      <c r="FT106" s="77">
        <f t="shared" si="349"/>
        <v>5738.7</v>
      </c>
      <c r="FU106" s="77">
        <f t="shared" si="349"/>
        <v>1261.7</v>
      </c>
      <c r="FV106" s="77">
        <f t="shared" si="349"/>
        <v>6267.8</v>
      </c>
      <c r="FW106" s="77">
        <f t="shared" si="349"/>
        <v>8628.4</v>
      </c>
      <c r="GO106" s="77">
        <f t="shared" si="275"/>
        <v>1804198.44</v>
      </c>
      <c r="GP106" s="77">
        <f t="shared" si="276"/>
        <v>1310596.98</v>
      </c>
      <c r="GQ106" s="77">
        <f t="shared" si="277"/>
        <v>252340</v>
      </c>
      <c r="GR106" s="77">
        <f t="shared" si="278"/>
        <v>758643.77191314893</v>
      </c>
      <c r="GS106" s="77">
        <f t="shared" si="341"/>
        <v>661795.63081785338</v>
      </c>
      <c r="GT106" s="77">
        <f t="shared" si="342"/>
        <v>61834.55613917856</v>
      </c>
      <c r="GU106" s="77">
        <f t="shared" si="343"/>
        <v>-150381</v>
      </c>
      <c r="GV106" s="77">
        <f t="shared" si="344"/>
        <v>-120304.79999999999</v>
      </c>
      <c r="GW106" s="77">
        <f t="shared" si="345"/>
        <v>-90228.599999999991</v>
      </c>
      <c r="GX106" s="77">
        <f t="shared" si="346"/>
        <v>-60152.399999999994</v>
      </c>
      <c r="GY106" s="77">
        <f t="shared" si="350"/>
        <v>-30076.199999999997</v>
      </c>
      <c r="GZ106" s="77">
        <f t="shared" si="350"/>
        <v>0</v>
      </c>
      <c r="HA106" s="77">
        <f t="shared" si="350"/>
        <v>30076.199999999997</v>
      </c>
      <c r="HB106" s="77">
        <f t="shared" si="350"/>
        <v>60152.399999999994</v>
      </c>
      <c r="HC106" s="77">
        <f t="shared" si="350"/>
        <v>90228.599999999991</v>
      </c>
      <c r="HD106" s="77">
        <f t="shared" si="350"/>
        <v>120304.79999999999</v>
      </c>
      <c r="HE106" s="77">
        <f t="shared" si="350"/>
        <v>150381</v>
      </c>
      <c r="HF106" s="77">
        <f t="shared" si="350"/>
        <v>180457.19999999998</v>
      </c>
      <c r="HG106" s="77">
        <f t="shared" si="350"/>
        <v>955664.49</v>
      </c>
      <c r="HH106" s="77">
        <f t="shared" si="350"/>
        <v>1095517.8299999998</v>
      </c>
      <c r="HI106" s="77">
        <f t="shared" si="350"/>
        <v>252340</v>
      </c>
      <c r="HJ106" s="77">
        <f t="shared" si="350"/>
        <v>1310596.9800000002</v>
      </c>
      <c r="HK106" s="77">
        <f t="shared" si="350"/>
        <v>1804198.4400000002</v>
      </c>
      <c r="IC106" s="82">
        <v>108</v>
      </c>
    </row>
    <row r="107" spans="1:237" s="77" customFormat="1">
      <c r="A107" s="77">
        <v>106</v>
      </c>
      <c r="B107" s="69">
        <v>164</v>
      </c>
      <c r="C107" s="69" t="s">
        <v>236</v>
      </c>
      <c r="D107" s="70" t="s">
        <v>125</v>
      </c>
      <c r="E107" s="70">
        <v>3</v>
      </c>
      <c r="F107" s="70">
        <v>9.6175578421459587E-2</v>
      </c>
      <c r="G107" s="70"/>
      <c r="H107" s="70">
        <v>1.5E-3</v>
      </c>
      <c r="I107" s="70">
        <v>5.0000000000000001E-3</v>
      </c>
      <c r="J107" s="71">
        <v>0.93023255813953487</v>
      </c>
      <c r="K107" s="72">
        <v>26.875</v>
      </c>
      <c r="L107" s="71">
        <v>0.16169999999999998</v>
      </c>
      <c r="M107" s="71">
        <v>0.15466956521739128</v>
      </c>
      <c r="N107" s="71">
        <v>0.44828985507246372</v>
      </c>
      <c r="O107" s="71">
        <v>1.6586227600991502E-2</v>
      </c>
      <c r="P107" s="71">
        <v>0</v>
      </c>
      <c r="Q107" s="73" t="s">
        <v>243</v>
      </c>
      <c r="R107" s="74">
        <v>0.29753761969904241</v>
      </c>
      <c r="S107" s="75">
        <f t="shared" si="216"/>
        <v>0.35727641681041872</v>
      </c>
      <c r="T107" s="59">
        <f t="shared" si="188"/>
        <v>2.0659056983152753</v>
      </c>
      <c r="U107" s="59">
        <f t="shared" si="189"/>
        <v>1.5717310811549301</v>
      </c>
      <c r="V107" s="59">
        <f t="shared" si="190"/>
        <v>1.7070392434655282</v>
      </c>
      <c r="W107" s="59">
        <f t="shared" si="191"/>
        <v>0.82629097971780663</v>
      </c>
      <c r="X107" s="59">
        <f t="shared" si="192"/>
        <v>1.0860886216051486</v>
      </c>
      <c r="Y107" s="86">
        <v>19404</v>
      </c>
      <c r="Z107" s="57">
        <f t="shared" si="193"/>
        <v>21074.463613626303</v>
      </c>
      <c r="AA107" s="57">
        <f t="shared" si="194"/>
        <v>16033.350170444319</v>
      </c>
      <c r="AB107" s="57">
        <f t="shared" si="326"/>
        <v>18213.207812397148</v>
      </c>
      <c r="AC107" s="57">
        <f t="shared" si="196"/>
        <v>0.25</v>
      </c>
      <c r="AD107" s="57">
        <f t="shared" si="197"/>
        <v>1.5</v>
      </c>
      <c r="AE107" s="57">
        <f t="shared" si="198"/>
        <v>0</v>
      </c>
      <c r="AF107" s="57">
        <f t="shared" si="199"/>
        <v>5019.8801191033644</v>
      </c>
      <c r="AG107" s="57">
        <f t="shared" si="271"/>
        <v>11013.470051340955</v>
      </c>
      <c r="AH107" s="57">
        <f t="shared" si="327"/>
        <v>2570881.7269021128</v>
      </c>
      <c r="AI107" s="57">
        <f t="shared" si="338"/>
        <v>4714401.3980567474</v>
      </c>
      <c r="AJ107" s="77">
        <v>0</v>
      </c>
      <c r="AK107" s="77">
        <v>13.8</v>
      </c>
      <c r="AL107" s="78">
        <f t="shared" si="203"/>
        <v>1.9457324297376035</v>
      </c>
      <c r="AM107" s="57">
        <f t="shared" si="204"/>
        <v>1</v>
      </c>
      <c r="AN107" s="57">
        <f t="shared" si="205"/>
        <v>0.8</v>
      </c>
      <c r="AO107" s="77">
        <v>430</v>
      </c>
      <c r="AP107" s="79">
        <v>30</v>
      </c>
      <c r="AQ107" s="77">
        <f t="shared" si="206"/>
        <v>26.883797267193138</v>
      </c>
      <c r="AR107" s="57">
        <f t="shared" si="328"/>
        <v>370</v>
      </c>
      <c r="AS107" s="77">
        <f t="shared" si="208"/>
        <v>403.11620273280687</v>
      </c>
      <c r="AT107" s="77">
        <v>16</v>
      </c>
      <c r="AU107" s="77">
        <v>400</v>
      </c>
      <c r="AV107" s="77">
        <f t="shared" si="209"/>
        <v>5920</v>
      </c>
      <c r="AW107" s="77">
        <f t="shared" si="339"/>
        <v>8700</v>
      </c>
      <c r="AX107" s="77">
        <f t="shared" si="210"/>
        <v>6880</v>
      </c>
      <c r="AY107" s="77">
        <v>14620</v>
      </c>
      <c r="AZ107" s="77">
        <v>323.39999999999998</v>
      </c>
      <c r="BA107" s="77">
        <v>323.39999999999998</v>
      </c>
      <c r="BB107" s="77">
        <v>407</v>
      </c>
      <c r="BC107" s="77">
        <v>401.8</v>
      </c>
      <c r="BD107" s="77">
        <v>6.8999999999999999E-3</v>
      </c>
      <c r="BE107" s="77">
        <v>6.6E-3</v>
      </c>
      <c r="BF107" s="77">
        <v>1.52E-2</v>
      </c>
      <c r="BH107" s="79"/>
      <c r="BI107" s="79"/>
      <c r="BJ107" s="79"/>
      <c r="BK107" s="57"/>
      <c r="BL107" s="57">
        <f t="shared" si="243"/>
        <v>40.847999999999999</v>
      </c>
      <c r="BM107" s="80">
        <f t="shared" si="273"/>
        <v>1.5393804002589986</v>
      </c>
      <c r="BN107" s="80">
        <v>20</v>
      </c>
      <c r="BO107" s="57">
        <f t="shared" si="329"/>
        <v>30.787608005179973</v>
      </c>
      <c r="BP107" s="57">
        <f t="shared" si="213"/>
        <v>33123.389480205107</v>
      </c>
      <c r="BQ107" s="77">
        <f t="shared" si="214"/>
        <v>5.8025761973112822E-10</v>
      </c>
      <c r="BR107" s="57">
        <f t="shared" si="330"/>
        <v>13249355.792082042</v>
      </c>
      <c r="BS107" s="57">
        <v>53.767594534386276</v>
      </c>
      <c r="BT107" s="57">
        <f t="shared" si="220"/>
        <v>54.360592209856904</v>
      </c>
      <c r="BU107" s="57"/>
      <c r="BV107" s="57">
        <v>3.3E-3</v>
      </c>
      <c r="BW107" s="57">
        <v>30000</v>
      </c>
      <c r="BX107" s="57">
        <v>200000</v>
      </c>
      <c r="BY107" s="77">
        <v>5.9</v>
      </c>
      <c r="BZ107" s="77">
        <v>5.9</v>
      </c>
      <c r="CA107" s="77">
        <v>15</v>
      </c>
      <c r="CB107" s="77">
        <v>24.1</v>
      </c>
      <c r="CC107" s="77">
        <v>24.1</v>
      </c>
      <c r="CD107" s="77">
        <v>35</v>
      </c>
      <c r="CE107" s="77">
        <v>65</v>
      </c>
      <c r="CF107" s="77">
        <v>95</v>
      </c>
      <c r="CG107" s="77">
        <v>125</v>
      </c>
      <c r="CH107" s="77">
        <v>155</v>
      </c>
      <c r="CI107" s="77">
        <v>185</v>
      </c>
      <c r="CJ107" s="77">
        <v>215</v>
      </c>
      <c r="CK107" s="77">
        <v>245</v>
      </c>
      <c r="CL107" s="77">
        <v>275</v>
      </c>
      <c r="CM107" s="77">
        <v>305</v>
      </c>
      <c r="CN107" s="77">
        <v>335</v>
      </c>
      <c r="CO107" s="77">
        <v>365</v>
      </c>
      <c r="CP107" s="77">
        <v>395</v>
      </c>
      <c r="CQ107" s="77">
        <v>405.9</v>
      </c>
      <c r="CR107" s="77">
        <v>405.9</v>
      </c>
      <c r="CS107" s="77">
        <v>415</v>
      </c>
      <c r="CT107" s="77">
        <v>424.1</v>
      </c>
      <c r="CU107" s="77">
        <v>424.1</v>
      </c>
      <c r="DM107" s="77">
        <v>21.2</v>
      </c>
      <c r="DN107" s="77">
        <v>15.4</v>
      </c>
      <c r="DO107" s="77">
        <v>3.1</v>
      </c>
      <c r="DP107" s="77">
        <v>14.1</v>
      </c>
      <c r="DQ107" s="77">
        <v>12.3</v>
      </c>
      <c r="DR107" s="77">
        <v>3.1</v>
      </c>
      <c r="DS107" s="77">
        <v>3.1</v>
      </c>
      <c r="DT107" s="77">
        <v>3.1</v>
      </c>
      <c r="DU107" s="77">
        <v>3.1</v>
      </c>
      <c r="DV107" s="77">
        <v>3.1</v>
      </c>
      <c r="DW107" s="77">
        <v>3.1</v>
      </c>
      <c r="DX107" s="77">
        <v>3.1</v>
      </c>
      <c r="DY107" s="77">
        <v>3.1</v>
      </c>
      <c r="DZ107" s="77">
        <v>3.1</v>
      </c>
      <c r="EA107" s="77">
        <v>3.1</v>
      </c>
      <c r="EB107" s="77">
        <v>3.1</v>
      </c>
      <c r="EC107" s="77">
        <v>3.1</v>
      </c>
      <c r="ED107" s="77">
        <v>3.1</v>
      </c>
      <c r="EE107" s="77">
        <v>12.3</v>
      </c>
      <c r="EF107" s="77">
        <v>14.1</v>
      </c>
      <c r="EG107" s="77">
        <v>3.1</v>
      </c>
      <c r="EH107" s="77">
        <v>15.4</v>
      </c>
      <c r="EI107" s="77">
        <v>21.2</v>
      </c>
      <c r="FA107" s="77">
        <f t="shared" si="269"/>
        <v>-8628.4</v>
      </c>
      <c r="FB107" s="77">
        <f t="shared" si="270"/>
        <v>-6267.8</v>
      </c>
      <c r="FC107" s="77">
        <f t="shared" si="347"/>
        <v>-1261.7</v>
      </c>
      <c r="FD107" s="77">
        <f t="shared" si="347"/>
        <v>-5134.8146988504659</v>
      </c>
      <c r="FE107" s="77">
        <f t="shared" si="347"/>
        <v>-4479.3064394227476</v>
      </c>
      <c r="FF107" s="77">
        <f t="shared" si="348"/>
        <v>-714.15689598680342</v>
      </c>
      <c r="FG107" s="77">
        <f t="shared" si="348"/>
        <v>427.42290745307935</v>
      </c>
      <c r="FH107" s="77">
        <f t="shared" si="348"/>
        <v>1002.54</v>
      </c>
      <c r="FI107" s="77">
        <f t="shared" si="348"/>
        <v>1002.54</v>
      </c>
      <c r="FJ107" s="77">
        <f t="shared" si="348"/>
        <v>1002.54</v>
      </c>
      <c r="FK107" s="77">
        <f t="shared" si="348"/>
        <v>1002.54</v>
      </c>
      <c r="FL107" s="77">
        <f t="shared" si="348"/>
        <v>1002.54</v>
      </c>
      <c r="FM107" s="77">
        <f t="shared" si="348"/>
        <v>1002.54</v>
      </c>
      <c r="FN107" s="77">
        <f t="shared" si="348"/>
        <v>1002.54</v>
      </c>
      <c r="FO107" s="77">
        <f t="shared" si="348"/>
        <v>1002.54</v>
      </c>
      <c r="FP107" s="77">
        <f t="shared" si="348"/>
        <v>1002.54</v>
      </c>
      <c r="FQ107" s="77">
        <f t="shared" si="348"/>
        <v>1002.54</v>
      </c>
      <c r="FR107" s="77">
        <f t="shared" si="348"/>
        <v>1002.54</v>
      </c>
      <c r="FS107" s="77">
        <f t="shared" si="349"/>
        <v>5006.1000000000004</v>
      </c>
      <c r="FT107" s="77">
        <f t="shared" si="349"/>
        <v>5738.7</v>
      </c>
      <c r="FU107" s="77">
        <f t="shared" si="349"/>
        <v>1261.7</v>
      </c>
      <c r="FV107" s="77">
        <f t="shared" si="349"/>
        <v>6267.8</v>
      </c>
      <c r="FW107" s="77">
        <f t="shared" si="349"/>
        <v>8628.4</v>
      </c>
      <c r="GO107" s="77">
        <f t="shared" si="275"/>
        <v>1804198.44</v>
      </c>
      <c r="GP107" s="77">
        <f t="shared" si="276"/>
        <v>1310596.98</v>
      </c>
      <c r="GQ107" s="77">
        <f t="shared" si="277"/>
        <v>252340</v>
      </c>
      <c r="GR107" s="77">
        <f t="shared" si="278"/>
        <v>980236.12601055403</v>
      </c>
      <c r="GS107" s="77">
        <f t="shared" si="341"/>
        <v>855099.59928580257</v>
      </c>
      <c r="GT107" s="77">
        <f t="shared" si="342"/>
        <v>128548.24127762462</v>
      </c>
      <c r="GU107" s="77">
        <f t="shared" si="343"/>
        <v>-64113.436117961901</v>
      </c>
      <c r="GV107" s="77">
        <f t="shared" si="344"/>
        <v>-120304.79999999999</v>
      </c>
      <c r="GW107" s="77">
        <f t="shared" si="345"/>
        <v>-90228.599999999991</v>
      </c>
      <c r="GX107" s="77">
        <f t="shared" si="346"/>
        <v>-60152.399999999994</v>
      </c>
      <c r="GY107" s="77">
        <f t="shared" si="350"/>
        <v>-30076.199999999997</v>
      </c>
      <c r="GZ107" s="77">
        <f t="shared" si="350"/>
        <v>0</v>
      </c>
      <c r="HA107" s="77">
        <f t="shared" si="350"/>
        <v>30076.199999999997</v>
      </c>
      <c r="HB107" s="77">
        <f t="shared" si="350"/>
        <v>60152.399999999994</v>
      </c>
      <c r="HC107" s="77">
        <f t="shared" si="350"/>
        <v>90228.599999999991</v>
      </c>
      <c r="HD107" s="77">
        <f t="shared" si="350"/>
        <v>120304.79999999999</v>
      </c>
      <c r="HE107" s="77">
        <f t="shared" si="350"/>
        <v>150381</v>
      </c>
      <c r="HF107" s="77">
        <f t="shared" si="350"/>
        <v>180457.19999999998</v>
      </c>
      <c r="HG107" s="77">
        <f t="shared" si="350"/>
        <v>955664.49</v>
      </c>
      <c r="HH107" s="77">
        <f t="shared" si="350"/>
        <v>1095517.8299999998</v>
      </c>
      <c r="HI107" s="77">
        <f t="shared" si="350"/>
        <v>252340</v>
      </c>
      <c r="HJ107" s="77">
        <f t="shared" si="350"/>
        <v>1310596.9800000002</v>
      </c>
      <c r="HK107" s="77">
        <f t="shared" si="350"/>
        <v>1804198.4400000002</v>
      </c>
      <c r="IC107" s="82">
        <v>109</v>
      </c>
    </row>
    <row r="108" spans="1:237" s="77" customFormat="1">
      <c r="A108" s="77">
        <v>107</v>
      </c>
      <c r="B108" s="69">
        <v>165</v>
      </c>
      <c r="C108" s="69" t="s">
        <v>236</v>
      </c>
      <c r="D108" s="70" t="s">
        <v>126</v>
      </c>
      <c r="E108" s="70">
        <v>3</v>
      </c>
      <c r="F108" s="70">
        <v>8.1927838745206275E-2</v>
      </c>
      <c r="G108" s="70"/>
      <c r="H108" s="70">
        <v>1.25E-3</v>
      </c>
      <c r="I108" s="70">
        <v>5.0000000000000001E-3</v>
      </c>
      <c r="J108" s="71">
        <v>0.93023255813953487</v>
      </c>
      <c r="K108" s="72">
        <v>19.545454545454547</v>
      </c>
      <c r="L108" s="71">
        <v>0.13188938547486034</v>
      </c>
      <c r="M108" s="71">
        <v>0.13008268156424582</v>
      </c>
      <c r="N108" s="71">
        <v>0.34560893854748603</v>
      </c>
      <c r="O108" s="71">
        <v>1.2787147535959931E-2</v>
      </c>
      <c r="P108" s="71">
        <v>0</v>
      </c>
      <c r="Q108" s="73" t="s">
        <v>243</v>
      </c>
      <c r="R108" s="74">
        <v>0.25831353919239908</v>
      </c>
      <c r="S108" s="75">
        <f t="shared" si="216"/>
        <v>0.34662350847878648</v>
      </c>
      <c r="T108" s="59">
        <f t="shared" si="188"/>
        <v>1.4635062870506212</v>
      </c>
      <c r="U108" s="59">
        <f t="shared" si="189"/>
        <v>1.1267082500356478</v>
      </c>
      <c r="V108" s="59">
        <f t="shared" si="190"/>
        <v>1.4614612010567691</v>
      </c>
      <c r="W108" s="59">
        <f t="shared" si="191"/>
        <v>0.99860261208855239</v>
      </c>
      <c r="X108" s="59">
        <f t="shared" si="192"/>
        <v>1.2971070381445506</v>
      </c>
      <c r="Y108" s="86">
        <v>24696</v>
      </c>
      <c r="Z108" s="57">
        <f t="shared" si="193"/>
        <v>32033.355414017824</v>
      </c>
      <c r="AA108" s="57">
        <f t="shared" si="194"/>
        <v>24661.490108138889</v>
      </c>
      <c r="AB108" s="57">
        <f t="shared" si="326"/>
        <v>23518.087706881306</v>
      </c>
      <c r="AC108" s="57">
        <f t="shared" si="196"/>
        <v>0.25</v>
      </c>
      <c r="AD108" s="57">
        <f t="shared" si="197"/>
        <v>1.5</v>
      </c>
      <c r="AE108" s="57">
        <f t="shared" si="198"/>
        <v>0</v>
      </c>
      <c r="AF108" s="57">
        <f t="shared" si="199"/>
        <v>8021.6714249654888</v>
      </c>
      <c r="AG108" s="57">
        <f t="shared" si="271"/>
        <v>16639.818683173398</v>
      </c>
      <c r="AH108" s="57">
        <f t="shared" si="327"/>
        <v>4619686.8129767673</v>
      </c>
      <c r="AI108" s="57">
        <f t="shared" si="338"/>
        <v>4787548.2697757557</v>
      </c>
      <c r="AJ108" s="77">
        <v>0</v>
      </c>
      <c r="AK108" s="77">
        <v>17.899999999999999</v>
      </c>
      <c r="AL108" s="78">
        <f t="shared" si="203"/>
        <v>2.2450126212603032</v>
      </c>
      <c r="AM108" s="57">
        <f t="shared" si="204"/>
        <v>1</v>
      </c>
      <c r="AN108" s="57">
        <f t="shared" si="205"/>
        <v>0.8</v>
      </c>
      <c r="AO108" s="77">
        <v>430</v>
      </c>
      <c r="AP108" s="79">
        <v>30</v>
      </c>
      <c r="AQ108" s="77">
        <f t="shared" si="206"/>
        <v>23.965057306858977</v>
      </c>
      <c r="AR108" s="57">
        <f t="shared" si="328"/>
        <v>370</v>
      </c>
      <c r="AS108" s="77">
        <f t="shared" si="208"/>
        <v>406.03494269314103</v>
      </c>
      <c r="AT108" s="77">
        <v>22</v>
      </c>
      <c r="AU108" s="77">
        <v>400</v>
      </c>
      <c r="AV108" s="77">
        <f t="shared" si="209"/>
        <v>8140</v>
      </c>
      <c r="AW108" s="77">
        <f t="shared" si="339"/>
        <v>8700</v>
      </c>
      <c r="AX108" s="77">
        <f t="shared" si="210"/>
        <v>9460</v>
      </c>
      <c r="AY108" s="77">
        <v>16840</v>
      </c>
      <c r="AZ108" s="77">
        <v>323.39999999999998</v>
      </c>
      <c r="BA108" s="77">
        <v>323.39999999999998</v>
      </c>
      <c r="BB108" s="77">
        <v>407</v>
      </c>
      <c r="BC108" s="77">
        <v>401.8</v>
      </c>
      <c r="BD108" s="77">
        <v>7.3000000000000001E-3</v>
      </c>
      <c r="BE108" s="77">
        <v>7.1999999999999998E-3</v>
      </c>
      <c r="BF108" s="77">
        <v>1.52E-2</v>
      </c>
      <c r="BH108" s="79"/>
      <c r="BI108" s="79"/>
      <c r="BJ108" s="79"/>
      <c r="BK108" s="57"/>
      <c r="BL108" s="57">
        <f t="shared" si="243"/>
        <v>59.422000000000004</v>
      </c>
      <c r="BM108" s="80">
        <f t="shared" si="273"/>
        <v>1.5393804002589986</v>
      </c>
      <c r="BN108" s="80">
        <v>20</v>
      </c>
      <c r="BO108" s="57">
        <f t="shared" si="329"/>
        <v>30.787608005179973</v>
      </c>
      <c r="BP108" s="57">
        <f t="shared" si="213"/>
        <v>36092.245821297969</v>
      </c>
      <c r="BQ108" s="77">
        <f t="shared" si="214"/>
        <v>-5.5661075748503208E-10</v>
      </c>
      <c r="BR108" s="57">
        <f t="shared" si="330"/>
        <v>14436898.328519188</v>
      </c>
      <c r="BS108" s="57">
        <v>47.930114613717954</v>
      </c>
      <c r="BT108" s="57">
        <f t="shared" si="220"/>
        <v>33.270497004846362</v>
      </c>
      <c r="BU108" s="57"/>
      <c r="BV108" s="57">
        <v>3.3E-3</v>
      </c>
      <c r="BW108" s="57">
        <v>30000</v>
      </c>
      <c r="BX108" s="57">
        <v>200000</v>
      </c>
      <c r="BY108" s="77">
        <v>5.9</v>
      </c>
      <c r="BZ108" s="77">
        <v>5.9</v>
      </c>
      <c r="CA108" s="77">
        <v>15</v>
      </c>
      <c r="CB108" s="77">
        <v>24.1</v>
      </c>
      <c r="CC108" s="77">
        <v>24.1</v>
      </c>
      <c r="CD108" s="77">
        <v>35</v>
      </c>
      <c r="CE108" s="77">
        <v>55</v>
      </c>
      <c r="CF108" s="77">
        <v>75</v>
      </c>
      <c r="CG108" s="77">
        <v>95</v>
      </c>
      <c r="CH108" s="77">
        <v>115</v>
      </c>
      <c r="CI108" s="77">
        <v>135</v>
      </c>
      <c r="CJ108" s="77">
        <v>155</v>
      </c>
      <c r="CK108" s="77">
        <v>175</v>
      </c>
      <c r="CL108" s="77">
        <v>195</v>
      </c>
      <c r="CM108" s="77">
        <v>215</v>
      </c>
      <c r="CN108" s="77">
        <v>235</v>
      </c>
      <c r="CO108" s="77">
        <v>255</v>
      </c>
      <c r="CP108" s="77">
        <v>275</v>
      </c>
      <c r="CQ108" s="77">
        <v>295</v>
      </c>
      <c r="CR108" s="77">
        <v>315</v>
      </c>
      <c r="CS108" s="77">
        <v>335</v>
      </c>
      <c r="CT108" s="77">
        <v>355</v>
      </c>
      <c r="CU108" s="77">
        <v>375</v>
      </c>
      <c r="CV108" s="77">
        <v>395</v>
      </c>
      <c r="CW108" s="77">
        <v>405.9</v>
      </c>
      <c r="CX108" s="77">
        <v>405.9</v>
      </c>
      <c r="CY108" s="77">
        <v>415</v>
      </c>
      <c r="CZ108" s="77">
        <v>424.1</v>
      </c>
      <c r="DA108" s="77">
        <v>424.1</v>
      </c>
      <c r="DM108" s="77">
        <v>21.2</v>
      </c>
      <c r="DN108" s="77">
        <v>15.4</v>
      </c>
      <c r="DO108" s="77">
        <v>3.1</v>
      </c>
      <c r="DP108" s="77">
        <v>14.1</v>
      </c>
      <c r="DQ108" s="77">
        <v>12.3</v>
      </c>
      <c r="DR108" s="77">
        <v>3.1</v>
      </c>
      <c r="DS108" s="77">
        <v>3.1</v>
      </c>
      <c r="DT108" s="77">
        <v>3.1</v>
      </c>
      <c r="DU108" s="77">
        <v>3.1</v>
      </c>
      <c r="DV108" s="77">
        <v>3.1</v>
      </c>
      <c r="DW108" s="77">
        <v>3.1</v>
      </c>
      <c r="DX108" s="77">
        <v>3.1</v>
      </c>
      <c r="DY108" s="77">
        <v>3.1</v>
      </c>
      <c r="DZ108" s="77">
        <v>3.1</v>
      </c>
      <c r="EA108" s="77">
        <v>3.1</v>
      </c>
      <c r="EB108" s="77">
        <v>3.1</v>
      </c>
      <c r="EC108" s="77">
        <v>3.1</v>
      </c>
      <c r="ED108" s="77">
        <v>3.1</v>
      </c>
      <c r="EE108" s="77">
        <v>3.1</v>
      </c>
      <c r="EF108" s="77">
        <v>3.1</v>
      </c>
      <c r="EG108" s="77">
        <v>3.1</v>
      </c>
      <c r="EH108" s="77">
        <v>3.1</v>
      </c>
      <c r="EI108" s="77">
        <v>3.1</v>
      </c>
      <c r="EJ108" s="77">
        <v>3.1</v>
      </c>
      <c r="EK108" s="77">
        <v>12.3</v>
      </c>
      <c r="EL108" s="77">
        <v>14.1</v>
      </c>
      <c r="EM108" s="77">
        <v>3.1</v>
      </c>
      <c r="EN108" s="77">
        <v>15.4</v>
      </c>
      <c r="EO108" s="77">
        <v>21.2</v>
      </c>
      <c r="FA108" s="77">
        <f t="shared" si="269"/>
        <v>-8628.4</v>
      </c>
      <c r="FB108" s="77">
        <f t="shared" si="270"/>
        <v>-6267.8</v>
      </c>
      <c r="FC108" s="77">
        <f t="shared" si="347"/>
        <v>-1261.7</v>
      </c>
      <c r="FD108" s="77">
        <f t="shared" si="347"/>
        <v>-4626.7998393600556</v>
      </c>
      <c r="FE108" s="77">
        <f t="shared" si="347"/>
        <v>-4036.1445407183469</v>
      </c>
      <c r="FF108" s="77">
        <f t="shared" si="348"/>
        <v>-551.94974418223717</v>
      </c>
      <c r="FG108" s="77">
        <f t="shared" si="348"/>
        <v>301.79325914219868</v>
      </c>
      <c r="FH108" s="77">
        <f t="shared" si="348"/>
        <v>1002.54</v>
      </c>
      <c r="FI108" s="77">
        <f t="shared" si="348"/>
        <v>1002.54</v>
      </c>
      <c r="FJ108" s="77">
        <f t="shared" si="348"/>
        <v>1002.54</v>
      </c>
      <c r="FK108" s="77">
        <f t="shared" si="348"/>
        <v>1002.54</v>
      </c>
      <c r="FL108" s="77">
        <f t="shared" si="348"/>
        <v>1002.54</v>
      </c>
      <c r="FM108" s="77">
        <f t="shared" si="348"/>
        <v>1002.54</v>
      </c>
      <c r="FN108" s="77">
        <f t="shared" si="348"/>
        <v>1002.54</v>
      </c>
      <c r="FO108" s="77">
        <f t="shared" si="348"/>
        <v>1002.54</v>
      </c>
      <c r="FP108" s="77">
        <f t="shared" si="348"/>
        <v>1002.54</v>
      </c>
      <c r="FQ108" s="77">
        <f t="shared" si="348"/>
        <v>1002.54</v>
      </c>
      <c r="FR108" s="77">
        <f t="shared" si="348"/>
        <v>1002.54</v>
      </c>
      <c r="FS108" s="77">
        <f t="shared" ref="FS108:FX109" si="351">IF(ABS(-$BV108*($BS108-CQ108)/$BS108*$BX108)&gt;$BA108,$BA108*SIGN(-($BS108-CQ108)),-$BV108*($BS108-CQ108)/$BS108*$BX108)*EE108</f>
        <v>1002.54</v>
      </c>
      <c r="FT108" s="77">
        <f t="shared" si="351"/>
        <v>1002.54</v>
      </c>
      <c r="FU108" s="77">
        <f t="shared" si="351"/>
        <v>1002.54</v>
      </c>
      <c r="FV108" s="77">
        <f t="shared" si="351"/>
        <v>1002.54</v>
      </c>
      <c r="FW108" s="77">
        <f t="shared" si="351"/>
        <v>1002.54</v>
      </c>
      <c r="FX108" s="77">
        <f t="shared" si="351"/>
        <v>1002.54</v>
      </c>
      <c r="FY108" s="77">
        <f t="shared" ref="FY108:GC109" si="352">IF(ABS(-$BV108*($BS108-CW108)/$BS108*$BX108)&gt;$BB108,$BB108*SIGN(-($BS108-CW108)),-$BV108*($BS108-CW108)/$BS108*$BX108)*EK108</f>
        <v>5006.1000000000004</v>
      </c>
      <c r="FZ108" s="77">
        <f t="shared" si="352"/>
        <v>5738.7</v>
      </c>
      <c r="GA108" s="77">
        <f t="shared" si="352"/>
        <v>1261.7</v>
      </c>
      <c r="GB108" s="77">
        <f t="shared" si="352"/>
        <v>6267.8</v>
      </c>
      <c r="GC108" s="77">
        <f t="shared" si="352"/>
        <v>8628.4</v>
      </c>
      <c r="GO108" s="77">
        <f t="shared" si="275"/>
        <v>1804198.44</v>
      </c>
      <c r="GP108" s="77">
        <f t="shared" si="276"/>
        <v>1310596.98</v>
      </c>
      <c r="GQ108" s="77">
        <f t="shared" si="277"/>
        <v>252340</v>
      </c>
      <c r="GR108" s="77">
        <f t="shared" si="278"/>
        <v>883256.08933383459</v>
      </c>
      <c r="GS108" s="77">
        <f t="shared" si="341"/>
        <v>770499.99282313243</v>
      </c>
      <c r="GT108" s="77">
        <f t="shared" si="342"/>
        <v>99350.953952802694</v>
      </c>
      <c r="GU108" s="77">
        <f t="shared" si="343"/>
        <v>-48286.921462751787</v>
      </c>
      <c r="GV108" s="77">
        <f t="shared" si="344"/>
        <v>-140355.6</v>
      </c>
      <c r="GW108" s="77">
        <f t="shared" si="345"/>
        <v>-120304.79999999999</v>
      </c>
      <c r="GX108" s="77">
        <f t="shared" si="346"/>
        <v>-100254</v>
      </c>
      <c r="GY108" s="77">
        <f t="shared" si="350"/>
        <v>-80203.199999999997</v>
      </c>
      <c r="GZ108" s="77">
        <f t="shared" si="350"/>
        <v>-60152.399999999994</v>
      </c>
      <c r="HA108" s="77">
        <f t="shared" si="350"/>
        <v>-40101.599999999999</v>
      </c>
      <c r="HB108" s="77">
        <f t="shared" si="350"/>
        <v>-20050.8</v>
      </c>
      <c r="HC108" s="77">
        <f t="shared" si="350"/>
        <v>0</v>
      </c>
      <c r="HD108" s="77">
        <f t="shared" si="350"/>
        <v>20050.8</v>
      </c>
      <c r="HE108" s="77">
        <f t="shared" si="350"/>
        <v>40101.599999999999</v>
      </c>
      <c r="HF108" s="77">
        <f t="shared" si="350"/>
        <v>60152.399999999994</v>
      </c>
      <c r="HG108" s="77">
        <f t="shared" si="350"/>
        <v>80203.199999999997</v>
      </c>
      <c r="HH108" s="77">
        <f t="shared" si="350"/>
        <v>100254</v>
      </c>
      <c r="HI108" s="77">
        <f t="shared" si="350"/>
        <v>120304.79999999999</v>
      </c>
      <c r="HJ108" s="77">
        <f t="shared" si="350"/>
        <v>140355.6</v>
      </c>
      <c r="HK108" s="77">
        <f t="shared" si="350"/>
        <v>160406.39999999999</v>
      </c>
      <c r="HL108" s="77">
        <f t="shared" ref="HL108:HQ109" si="353">FX108*(CV108-0.5*$AO108)</f>
        <v>180457.19999999998</v>
      </c>
      <c r="HM108" s="77">
        <f t="shared" si="353"/>
        <v>955664.49</v>
      </c>
      <c r="HN108" s="77">
        <f t="shared" si="353"/>
        <v>1095517.8299999998</v>
      </c>
      <c r="HO108" s="77">
        <f t="shared" si="353"/>
        <v>252340</v>
      </c>
      <c r="HP108" s="77">
        <f t="shared" si="353"/>
        <v>1310596.9800000002</v>
      </c>
      <c r="HQ108" s="77">
        <f t="shared" si="353"/>
        <v>1804198.4400000002</v>
      </c>
      <c r="IC108" s="82">
        <v>110</v>
      </c>
    </row>
    <row r="109" spans="1:237" s="77" customFormat="1">
      <c r="A109" s="77">
        <v>108</v>
      </c>
      <c r="B109" s="69">
        <v>166</v>
      </c>
      <c r="C109" s="69" t="s">
        <v>236</v>
      </c>
      <c r="D109" s="70" t="s">
        <v>127</v>
      </c>
      <c r="E109" s="70">
        <v>3</v>
      </c>
      <c r="F109" s="70">
        <v>9.1448931116389548E-2</v>
      </c>
      <c r="G109" s="70"/>
      <c r="H109" s="70">
        <v>2.7499999999999998E-3</v>
      </c>
      <c r="I109" s="70">
        <v>2.7500000000000003E-3</v>
      </c>
      <c r="J109" s="71">
        <v>0.93023255813953487</v>
      </c>
      <c r="K109" s="72">
        <v>19.545454545454547</v>
      </c>
      <c r="L109" s="71">
        <v>0.14052499999999998</v>
      </c>
      <c r="M109" s="71">
        <v>0.1386</v>
      </c>
      <c r="N109" s="71">
        <v>0.3682380952380952</v>
      </c>
      <c r="O109" s="71">
        <v>1.3624401243671591E-2</v>
      </c>
      <c r="P109" s="71">
        <v>0</v>
      </c>
      <c r="Q109" s="73" t="s">
        <v>243</v>
      </c>
      <c r="R109" s="74">
        <v>0.25831353919239908</v>
      </c>
      <c r="S109" s="75">
        <f t="shared" si="216"/>
        <v>0.37482907789970976</v>
      </c>
      <c r="T109" s="59">
        <f t="shared" si="188"/>
        <v>1.4813025745167536</v>
      </c>
      <c r="U109" s="59">
        <f t="shared" si="189"/>
        <v>1.1361838554690908</v>
      </c>
      <c r="V109" s="59">
        <f t="shared" si="190"/>
        <v>1.3930476668652676</v>
      </c>
      <c r="W109" s="59">
        <f t="shared" si="191"/>
        <v>0.94042074241295537</v>
      </c>
      <c r="X109" s="59">
        <f t="shared" si="192"/>
        <v>1.2260759208641689</v>
      </c>
      <c r="Y109" s="86">
        <v>25872</v>
      </c>
      <c r="Z109" s="57">
        <f t="shared" si="193"/>
        <v>31721.036224597781</v>
      </c>
      <c r="AA109" s="57">
        <f t="shared" si="194"/>
        <v>24330.565447707981</v>
      </c>
      <c r="AB109" s="57">
        <f t="shared" si="326"/>
        <v>22724.191122062326</v>
      </c>
      <c r="AC109" s="57">
        <f t="shared" si="196"/>
        <v>0.25</v>
      </c>
      <c r="AD109" s="57">
        <f t="shared" si="197"/>
        <v>1.5</v>
      </c>
      <c r="AE109" s="57">
        <f t="shared" si="198"/>
        <v>0</v>
      </c>
      <c r="AF109" s="57">
        <f t="shared" si="199"/>
        <v>7728.9144109015015</v>
      </c>
      <c r="AG109" s="57">
        <f t="shared" si="271"/>
        <v>16601.651036806477</v>
      </c>
      <c r="AH109" s="57">
        <f t="shared" si="327"/>
        <v>4325468.700434654</v>
      </c>
      <c r="AI109" s="57">
        <f t="shared" si="338"/>
        <v>4764207.7483902769</v>
      </c>
      <c r="AJ109" s="77">
        <v>0</v>
      </c>
      <c r="AK109" s="77">
        <v>16.8</v>
      </c>
      <c r="AL109" s="78">
        <f t="shared" si="203"/>
        <v>2.1680521518729363</v>
      </c>
      <c r="AM109" s="57">
        <f t="shared" si="204"/>
        <v>1</v>
      </c>
      <c r="AN109" s="57">
        <f t="shared" si="205"/>
        <v>0.8</v>
      </c>
      <c r="AO109" s="77">
        <v>430</v>
      </c>
      <c r="AP109" s="79">
        <v>30</v>
      </c>
      <c r="AQ109" s="77">
        <f t="shared" si="206"/>
        <v>24.896401475951098</v>
      </c>
      <c r="AR109" s="57">
        <f t="shared" si="328"/>
        <v>370</v>
      </c>
      <c r="AS109" s="77">
        <f t="shared" si="208"/>
        <v>405.10359852404889</v>
      </c>
      <c r="AT109" s="77">
        <v>22</v>
      </c>
      <c r="AU109" s="77">
        <v>400</v>
      </c>
      <c r="AV109" s="77">
        <f t="shared" si="209"/>
        <v>8140</v>
      </c>
      <c r="AW109" s="77">
        <f t="shared" si="339"/>
        <v>8700</v>
      </c>
      <c r="AX109" s="77">
        <f t="shared" si="210"/>
        <v>9460</v>
      </c>
      <c r="AY109" s="77">
        <v>16840</v>
      </c>
      <c r="AZ109" s="77">
        <v>323.39999999999998</v>
      </c>
      <c r="BA109" s="77">
        <v>323.39999999999998</v>
      </c>
      <c r="BB109" s="77">
        <v>407</v>
      </c>
      <c r="BC109" s="77">
        <v>401.8</v>
      </c>
      <c r="BD109" s="77">
        <v>7.3000000000000001E-3</v>
      </c>
      <c r="BE109" s="77">
        <v>7.1999999999999998E-3</v>
      </c>
      <c r="BF109" s="77">
        <v>1.52E-2</v>
      </c>
      <c r="BH109" s="79"/>
      <c r="BI109" s="79"/>
      <c r="BJ109" s="79"/>
      <c r="BK109" s="57"/>
      <c r="BL109" s="57">
        <f t="shared" si="243"/>
        <v>59.422000000000004</v>
      </c>
      <c r="BM109" s="80">
        <f t="shared" si="273"/>
        <v>1.5393804002589986</v>
      </c>
      <c r="BN109" s="80">
        <v>20</v>
      </c>
      <c r="BO109" s="57">
        <f t="shared" si="329"/>
        <v>30.787608005179973</v>
      </c>
      <c r="BP109" s="57">
        <f t="shared" si="213"/>
        <v>36040.929237138203</v>
      </c>
      <c r="BQ109" s="77">
        <f t="shared" si="214"/>
        <v>3.92901711165905E-10</v>
      </c>
      <c r="BR109" s="57">
        <f t="shared" si="330"/>
        <v>14416371.694855282</v>
      </c>
      <c r="BS109" s="57">
        <v>49.792802951902196</v>
      </c>
      <c r="BT109" s="57">
        <f t="shared" si="220"/>
        <v>35.14943074003795</v>
      </c>
      <c r="BU109" s="57"/>
      <c r="BV109" s="57">
        <v>3.3E-3</v>
      </c>
      <c r="BW109" s="57">
        <v>30000</v>
      </c>
      <c r="BX109" s="57">
        <v>200000</v>
      </c>
      <c r="BY109" s="77">
        <v>5.9</v>
      </c>
      <c r="BZ109" s="77">
        <v>5.9</v>
      </c>
      <c r="CA109" s="77">
        <v>15</v>
      </c>
      <c r="CB109" s="77">
        <v>24.1</v>
      </c>
      <c r="CC109" s="77">
        <v>24.1</v>
      </c>
      <c r="CD109" s="77">
        <v>35</v>
      </c>
      <c r="CE109" s="77">
        <v>55</v>
      </c>
      <c r="CF109" s="77">
        <v>75</v>
      </c>
      <c r="CG109" s="77">
        <v>95</v>
      </c>
      <c r="CH109" s="77">
        <v>115</v>
      </c>
      <c r="CI109" s="77">
        <v>135</v>
      </c>
      <c r="CJ109" s="77">
        <v>155</v>
      </c>
      <c r="CK109" s="77">
        <v>175</v>
      </c>
      <c r="CL109" s="77">
        <v>195</v>
      </c>
      <c r="CM109" s="77">
        <v>215</v>
      </c>
      <c r="CN109" s="77">
        <v>235</v>
      </c>
      <c r="CO109" s="77">
        <v>255</v>
      </c>
      <c r="CP109" s="77">
        <v>275</v>
      </c>
      <c r="CQ109" s="77">
        <v>295</v>
      </c>
      <c r="CR109" s="77">
        <v>315</v>
      </c>
      <c r="CS109" s="77">
        <v>335</v>
      </c>
      <c r="CT109" s="77">
        <v>355</v>
      </c>
      <c r="CU109" s="77">
        <v>375</v>
      </c>
      <c r="CV109" s="77">
        <v>395</v>
      </c>
      <c r="CW109" s="77">
        <v>405.9</v>
      </c>
      <c r="CX109" s="77">
        <v>405.9</v>
      </c>
      <c r="CY109" s="77">
        <v>415</v>
      </c>
      <c r="CZ109" s="77">
        <v>424.1</v>
      </c>
      <c r="DA109" s="77">
        <v>424.1</v>
      </c>
      <c r="DM109" s="77">
        <v>21.2</v>
      </c>
      <c r="DN109" s="77">
        <v>15.4</v>
      </c>
      <c r="DO109" s="77">
        <v>3.1</v>
      </c>
      <c r="DP109" s="77">
        <v>14.1</v>
      </c>
      <c r="DQ109" s="77">
        <v>12.3</v>
      </c>
      <c r="DR109" s="77">
        <v>3.1</v>
      </c>
      <c r="DS109" s="77">
        <v>3.1</v>
      </c>
      <c r="DT109" s="77">
        <v>3.1</v>
      </c>
      <c r="DU109" s="77">
        <v>3.1</v>
      </c>
      <c r="DV109" s="77">
        <v>3.1</v>
      </c>
      <c r="DW109" s="77">
        <v>3.1</v>
      </c>
      <c r="DX109" s="77">
        <v>3.1</v>
      </c>
      <c r="DY109" s="77">
        <v>3.1</v>
      </c>
      <c r="DZ109" s="77">
        <v>3.1</v>
      </c>
      <c r="EA109" s="77">
        <v>3.1</v>
      </c>
      <c r="EB109" s="77">
        <v>3.1</v>
      </c>
      <c r="EC109" s="77">
        <v>3.1</v>
      </c>
      <c r="ED109" s="77">
        <v>3.1</v>
      </c>
      <c r="EE109" s="77">
        <v>3.1</v>
      </c>
      <c r="EF109" s="77">
        <v>3.1</v>
      </c>
      <c r="EG109" s="77">
        <v>3.1</v>
      </c>
      <c r="EH109" s="77">
        <v>3.1</v>
      </c>
      <c r="EI109" s="77">
        <v>3.1</v>
      </c>
      <c r="EJ109" s="77">
        <v>3.1</v>
      </c>
      <c r="EK109" s="77">
        <v>12.3</v>
      </c>
      <c r="EL109" s="77">
        <v>14.1</v>
      </c>
      <c r="EM109" s="77">
        <v>3.1</v>
      </c>
      <c r="EN109" s="77">
        <v>15.4</v>
      </c>
      <c r="EO109" s="77">
        <v>21.2</v>
      </c>
      <c r="FA109" s="77">
        <f t="shared" si="269"/>
        <v>-8628.4</v>
      </c>
      <c r="FB109" s="77">
        <f t="shared" si="270"/>
        <v>-6267.8</v>
      </c>
      <c r="FC109" s="77">
        <f t="shared" si="347"/>
        <v>-1261.7</v>
      </c>
      <c r="FD109" s="77">
        <f t="shared" si="347"/>
        <v>-4801.843039472189</v>
      </c>
      <c r="FE109" s="77">
        <f t="shared" si="347"/>
        <v>-4188.8418003906336</v>
      </c>
      <c r="FF109" s="77">
        <f t="shared" si="348"/>
        <v>-607.84035132201086</v>
      </c>
      <c r="FG109" s="77">
        <f t="shared" si="348"/>
        <v>213.96516220826859</v>
      </c>
      <c r="FH109" s="77">
        <f t="shared" si="348"/>
        <v>1002.54</v>
      </c>
      <c r="FI109" s="77">
        <f t="shared" si="348"/>
        <v>1002.54</v>
      </c>
      <c r="FJ109" s="77">
        <f t="shared" si="348"/>
        <v>1002.54</v>
      </c>
      <c r="FK109" s="77">
        <f t="shared" si="348"/>
        <v>1002.54</v>
      </c>
      <c r="FL109" s="77">
        <f t="shared" si="348"/>
        <v>1002.54</v>
      </c>
      <c r="FM109" s="77">
        <f t="shared" si="348"/>
        <v>1002.54</v>
      </c>
      <c r="FN109" s="77">
        <f t="shared" si="348"/>
        <v>1002.54</v>
      </c>
      <c r="FO109" s="77">
        <f t="shared" si="348"/>
        <v>1002.54</v>
      </c>
      <c r="FP109" s="77">
        <f t="shared" si="348"/>
        <v>1002.54</v>
      </c>
      <c r="FQ109" s="77">
        <f t="shared" si="348"/>
        <v>1002.54</v>
      </c>
      <c r="FR109" s="77">
        <f t="shared" si="348"/>
        <v>1002.54</v>
      </c>
      <c r="FS109" s="77">
        <f t="shared" si="351"/>
        <v>1002.54</v>
      </c>
      <c r="FT109" s="77">
        <f t="shared" si="351"/>
        <v>1002.54</v>
      </c>
      <c r="FU109" s="77">
        <f t="shared" si="351"/>
        <v>1002.54</v>
      </c>
      <c r="FV109" s="77">
        <f t="shared" si="351"/>
        <v>1002.54</v>
      </c>
      <c r="FW109" s="77">
        <f t="shared" si="351"/>
        <v>1002.54</v>
      </c>
      <c r="FX109" s="77">
        <f t="shared" si="351"/>
        <v>1002.54</v>
      </c>
      <c r="FY109" s="77">
        <f t="shared" si="352"/>
        <v>5006.1000000000004</v>
      </c>
      <c r="FZ109" s="77">
        <f t="shared" si="352"/>
        <v>5738.7</v>
      </c>
      <c r="GA109" s="77">
        <f t="shared" si="352"/>
        <v>1261.7</v>
      </c>
      <c r="GB109" s="77">
        <f t="shared" si="352"/>
        <v>6267.8</v>
      </c>
      <c r="GC109" s="77">
        <f t="shared" si="352"/>
        <v>8628.4</v>
      </c>
      <c r="GO109" s="77">
        <f t="shared" si="275"/>
        <v>1804198.44</v>
      </c>
      <c r="GP109" s="77">
        <f t="shared" si="276"/>
        <v>1310596.98</v>
      </c>
      <c r="GQ109" s="77">
        <f t="shared" si="277"/>
        <v>252340</v>
      </c>
      <c r="GR109" s="77">
        <f t="shared" si="278"/>
        <v>916671.83623524092</v>
      </c>
      <c r="GS109" s="77">
        <f t="shared" si="341"/>
        <v>799649.89969457197</v>
      </c>
      <c r="GT109" s="77">
        <f t="shared" si="342"/>
        <v>109411.26323796196</v>
      </c>
      <c r="GU109" s="77">
        <f t="shared" si="343"/>
        <v>-34234.425953322978</v>
      </c>
      <c r="GV109" s="77">
        <f t="shared" si="344"/>
        <v>-140355.6</v>
      </c>
      <c r="GW109" s="77">
        <f t="shared" si="345"/>
        <v>-120304.79999999999</v>
      </c>
      <c r="GX109" s="77">
        <f t="shared" si="346"/>
        <v>-100254</v>
      </c>
      <c r="GY109" s="77">
        <f t="shared" si="350"/>
        <v>-80203.199999999997</v>
      </c>
      <c r="GZ109" s="77">
        <f t="shared" si="350"/>
        <v>-60152.399999999994</v>
      </c>
      <c r="HA109" s="77">
        <f t="shared" si="350"/>
        <v>-40101.599999999999</v>
      </c>
      <c r="HB109" s="77">
        <f t="shared" si="350"/>
        <v>-20050.8</v>
      </c>
      <c r="HC109" s="77">
        <f t="shared" si="350"/>
        <v>0</v>
      </c>
      <c r="HD109" s="77">
        <f t="shared" si="350"/>
        <v>20050.8</v>
      </c>
      <c r="HE109" s="77">
        <f t="shared" si="350"/>
        <v>40101.599999999999</v>
      </c>
      <c r="HF109" s="77">
        <f t="shared" si="350"/>
        <v>60152.399999999994</v>
      </c>
      <c r="HG109" s="77">
        <f t="shared" si="350"/>
        <v>80203.199999999997</v>
      </c>
      <c r="HH109" s="77">
        <f t="shared" si="350"/>
        <v>100254</v>
      </c>
      <c r="HI109" s="77">
        <f t="shared" si="350"/>
        <v>120304.79999999999</v>
      </c>
      <c r="HJ109" s="77">
        <f t="shared" si="350"/>
        <v>140355.6</v>
      </c>
      <c r="HK109" s="77">
        <f t="shared" si="350"/>
        <v>160406.39999999999</v>
      </c>
      <c r="HL109" s="77">
        <f t="shared" si="353"/>
        <v>180457.19999999998</v>
      </c>
      <c r="HM109" s="77">
        <f t="shared" si="353"/>
        <v>955664.49</v>
      </c>
      <c r="HN109" s="77">
        <f t="shared" si="353"/>
        <v>1095517.8299999998</v>
      </c>
      <c r="HO109" s="77">
        <f t="shared" si="353"/>
        <v>252340</v>
      </c>
      <c r="HP109" s="77">
        <f t="shared" si="353"/>
        <v>1310596.9800000002</v>
      </c>
      <c r="HQ109" s="77">
        <f t="shared" si="353"/>
        <v>1804198.4400000002</v>
      </c>
      <c r="IC109" s="82">
        <v>111</v>
      </c>
    </row>
    <row r="110" spans="1:237" s="77" customFormat="1">
      <c r="A110" s="77">
        <v>109</v>
      </c>
      <c r="B110" s="69">
        <v>167</v>
      </c>
      <c r="C110" s="69" t="s">
        <v>236</v>
      </c>
      <c r="D110" s="70" t="s">
        <v>128</v>
      </c>
      <c r="E110" s="70">
        <v>3</v>
      </c>
      <c r="F110" s="70">
        <v>0.17281549247606021</v>
      </c>
      <c r="G110" s="70">
        <v>2.9411760000000002E-3</v>
      </c>
      <c r="H110" s="70">
        <v>5.1764710000000002E-3</v>
      </c>
      <c r="I110" s="70">
        <v>9.4117647058823521E-3</v>
      </c>
      <c r="J110" s="71">
        <v>1</v>
      </c>
      <c r="K110" s="72">
        <v>10.625</v>
      </c>
      <c r="L110" s="71">
        <v>0.11822674418604652</v>
      </c>
      <c r="M110" s="71">
        <v>6.3337209302325573E-2</v>
      </c>
      <c r="N110" s="71">
        <v>1.2426651162790698</v>
      </c>
      <c r="O110" s="71">
        <v>0.22647566952927539</v>
      </c>
      <c r="P110" s="71">
        <v>0.11395348837209303</v>
      </c>
      <c r="Q110" s="73" t="s">
        <v>3</v>
      </c>
      <c r="R110" s="74">
        <v>0</v>
      </c>
      <c r="S110" s="75">
        <f t="shared" si="216"/>
        <v>0.71671566493525418</v>
      </c>
      <c r="T110" s="59">
        <f t="shared" si="188"/>
        <v>1.9061082872898372</v>
      </c>
      <c r="U110" s="59">
        <f t="shared" si="189"/>
        <v>1.5902556906134531</v>
      </c>
      <c r="V110" s="59">
        <f t="shared" si="190"/>
        <v>1.1375341917020523</v>
      </c>
      <c r="W110" s="59">
        <f t="shared" si="191"/>
        <v>0.59678361365262889</v>
      </c>
      <c r="X110" s="59">
        <f t="shared" si="192"/>
        <v>0.71531527817595164</v>
      </c>
      <c r="Y110" s="86">
        <v>808500</v>
      </c>
      <c r="Z110" s="57">
        <f t="shared" si="193"/>
        <v>578332.40240525687</v>
      </c>
      <c r="AA110" s="57">
        <f t="shared" si="194"/>
        <v>482499.55163815041</v>
      </c>
      <c r="AB110" s="57">
        <f t="shared" si="326"/>
        <v>862789.18726954225</v>
      </c>
      <c r="AC110" s="57">
        <f t="shared" si="196"/>
        <v>0.25</v>
      </c>
      <c r="AD110" s="57">
        <f t="shared" si="197"/>
        <v>1.5</v>
      </c>
      <c r="AE110" s="57">
        <f t="shared" si="198"/>
        <v>533120</v>
      </c>
      <c r="AF110" s="57">
        <f t="shared" si="199"/>
        <v>268763.78643648617</v>
      </c>
      <c r="AG110" s="57">
        <f t="shared" si="271"/>
        <v>213735.76520166424</v>
      </c>
      <c r="AH110" s="57">
        <f t="shared" si="327"/>
        <v>677329452.59049273</v>
      </c>
      <c r="AI110" s="57">
        <f t="shared" si="338"/>
        <v>789412165.76772904</v>
      </c>
      <c r="AJ110" s="77">
        <v>533120</v>
      </c>
      <c r="AK110" s="77">
        <v>17.2</v>
      </c>
      <c r="AL110" s="78">
        <f t="shared" si="203"/>
        <v>2.1962929407013485</v>
      </c>
      <c r="AM110" s="57">
        <f t="shared" si="204"/>
        <v>1</v>
      </c>
      <c r="AN110" s="57">
        <f t="shared" si="205"/>
        <v>0.8</v>
      </c>
      <c r="AO110" s="77">
        <v>1700</v>
      </c>
      <c r="AP110" s="79">
        <v>170</v>
      </c>
      <c r="AQ110" s="77">
        <f t="shared" si="206"/>
        <v>167.21987732880334</v>
      </c>
      <c r="AR110" s="57">
        <f t="shared" si="328"/>
        <v>1360</v>
      </c>
      <c r="AS110" s="77">
        <f t="shared" si="208"/>
        <v>1532.7801226711968</v>
      </c>
      <c r="AT110" s="77">
        <v>160</v>
      </c>
      <c r="AU110" s="77">
        <v>1700</v>
      </c>
      <c r="AV110" s="77">
        <f t="shared" si="209"/>
        <v>272000</v>
      </c>
      <c r="AW110" s="77">
        <v>0</v>
      </c>
      <c r="AX110" s="77">
        <f t="shared" si="210"/>
        <v>272000</v>
      </c>
      <c r="AY110" s="77">
        <v>272000</v>
      </c>
      <c r="AZ110" s="77">
        <v>419</v>
      </c>
      <c r="BA110" s="77">
        <v>406.7</v>
      </c>
      <c r="BB110" s="77">
        <v>376.3</v>
      </c>
      <c r="BC110" s="77">
        <v>419</v>
      </c>
      <c r="BD110" s="77">
        <v>5.0000000000000001E-3</v>
      </c>
      <c r="BE110" s="77">
        <v>2.5999999999999999E-3</v>
      </c>
      <c r="BF110" s="77">
        <v>5.6800000000000003E-2</v>
      </c>
      <c r="BG110" s="77">
        <v>0.01</v>
      </c>
      <c r="BH110" s="79"/>
      <c r="BI110" s="79"/>
      <c r="BJ110" s="79"/>
      <c r="BK110" s="57"/>
      <c r="BL110" s="57">
        <f t="shared" si="243"/>
        <v>1088</v>
      </c>
      <c r="BM110" s="80">
        <f>PI()*19*19/4*2+PI()*16*16/4</f>
        <v>768.11940380270437</v>
      </c>
      <c r="BN110" s="80">
        <v>2</v>
      </c>
      <c r="BO110" s="57">
        <f t="shared" si="329"/>
        <v>1536.2388076054087</v>
      </c>
      <c r="BP110" s="57">
        <f t="shared" si="213"/>
        <v>919696.39399110922</v>
      </c>
      <c r="BQ110" s="77">
        <f t="shared" si="214"/>
        <v>4.6566128730773926E-10</v>
      </c>
      <c r="BR110" s="57">
        <f t="shared" si="330"/>
        <v>1563483869.7848856</v>
      </c>
      <c r="BS110" s="57">
        <v>334.43975465760667</v>
      </c>
      <c r="BT110" s="57">
        <f t="shared" si="220"/>
        <v>271.31991973340024</v>
      </c>
      <c r="BU110" s="57"/>
      <c r="BV110" s="57">
        <v>3.3E-3</v>
      </c>
      <c r="BW110" s="57">
        <v>30000</v>
      </c>
      <c r="BX110" s="57">
        <v>200000</v>
      </c>
      <c r="BY110" s="77">
        <v>37.5</v>
      </c>
      <c r="BZ110" s="77">
        <v>85</v>
      </c>
      <c r="CA110" s="77">
        <v>132.5</v>
      </c>
      <c r="CB110" s="77">
        <v>318</v>
      </c>
      <c r="CC110" s="77">
        <v>451</v>
      </c>
      <c r="CD110" s="77">
        <v>584</v>
      </c>
      <c r="CE110" s="77">
        <v>717</v>
      </c>
      <c r="CF110" s="77">
        <v>850</v>
      </c>
      <c r="CG110" s="77">
        <v>983</v>
      </c>
      <c r="CH110" s="77">
        <v>1116</v>
      </c>
      <c r="CI110" s="77">
        <v>1249</v>
      </c>
      <c r="CJ110" s="77">
        <v>1382</v>
      </c>
      <c r="CK110" s="77">
        <v>1567.5</v>
      </c>
      <c r="CL110" s="77">
        <v>1615</v>
      </c>
      <c r="CM110" s="77">
        <v>1662.5</v>
      </c>
      <c r="DM110" s="77">
        <v>574</v>
      </c>
      <c r="DN110" s="77">
        <v>574</v>
      </c>
      <c r="DO110" s="77">
        <v>398</v>
      </c>
      <c r="DP110" s="77">
        <v>127.2</v>
      </c>
      <c r="DQ110" s="77">
        <v>127.2</v>
      </c>
      <c r="DR110" s="77">
        <v>127.2</v>
      </c>
      <c r="DS110" s="77">
        <v>127.2</v>
      </c>
      <c r="DT110" s="77">
        <v>127.2</v>
      </c>
      <c r="DU110" s="77">
        <v>127.2</v>
      </c>
      <c r="DV110" s="77">
        <v>127.2</v>
      </c>
      <c r="DW110" s="77">
        <v>127.2</v>
      </c>
      <c r="DX110" s="77">
        <v>127.2</v>
      </c>
      <c r="DY110" s="77">
        <v>398</v>
      </c>
      <c r="DZ110" s="77">
        <v>574</v>
      </c>
      <c r="EA110" s="77">
        <v>574</v>
      </c>
      <c r="FA110" s="77">
        <f t="shared" si="269"/>
        <v>-215996.2</v>
      </c>
      <c r="FB110" s="77">
        <f t="shared" si="270"/>
        <v>-215996.2</v>
      </c>
      <c r="FC110" s="77">
        <f>IF(ABS(-$BV110*($BS110-CA110)/$BS110*$BX110)&gt;$BB110,$BB110*SIGN(-($BS110-CA110)),-$BV110*($BS110-CA110)/$BS110*$BX110)*DO110</f>
        <v>-149767.4</v>
      </c>
      <c r="FD110" s="77">
        <f t="shared" ref="FD110:FL114" si="354">IF(ABS(-$BV110*($BS110-CB110)/$BS110*$BX110)&gt;$BA110,$BA110*SIGN(-($BS110-CB110)),-$BV110*($BS110-CB110)/$BS110*$BX110)*DP110</f>
        <v>-4126.7530662685958</v>
      </c>
      <c r="FE110" s="77">
        <f t="shared" si="354"/>
        <v>29259.277884002717</v>
      </c>
      <c r="FF110" s="77">
        <f t="shared" si="354"/>
        <v>51732.24</v>
      </c>
      <c r="FG110" s="77">
        <f t="shared" si="354"/>
        <v>51732.24</v>
      </c>
      <c r="FH110" s="77">
        <f t="shared" si="354"/>
        <v>51732.24</v>
      </c>
      <c r="FI110" s="77">
        <f t="shared" si="354"/>
        <v>51732.24</v>
      </c>
      <c r="FJ110" s="77">
        <f t="shared" si="354"/>
        <v>51732.24</v>
      </c>
      <c r="FK110" s="77">
        <f t="shared" si="354"/>
        <v>51732.24</v>
      </c>
      <c r="FL110" s="77">
        <f t="shared" si="354"/>
        <v>51732.24</v>
      </c>
      <c r="FM110" s="77">
        <f t="shared" ref="FM110:FO114" si="355">IF(ABS(-$BV110*($BS110-CK110)/$BS110*$BX110)&gt;$BB110,$BB110*SIGN(-($BS110-CK110)),-$BV110*($BS110-CK110)/$BS110*$BX110)*DY110</f>
        <v>149767.4</v>
      </c>
      <c r="FN110" s="77">
        <f t="shared" si="355"/>
        <v>215996.2</v>
      </c>
      <c r="FO110" s="77">
        <f t="shared" si="355"/>
        <v>215996.2</v>
      </c>
      <c r="GO110" s="77">
        <f t="shared" si="275"/>
        <v>175496912.5</v>
      </c>
      <c r="GP110" s="77">
        <f t="shared" si="276"/>
        <v>165237093</v>
      </c>
      <c r="GQ110" s="77">
        <f t="shared" si="277"/>
        <v>107458109.5</v>
      </c>
      <c r="GR110" s="77">
        <f t="shared" si="278"/>
        <v>2195432.6312548928</v>
      </c>
      <c r="GS110" s="77">
        <f t="shared" si="341"/>
        <v>-11674451.875717085</v>
      </c>
      <c r="GT110" s="77">
        <f t="shared" si="342"/>
        <v>-13760775.84</v>
      </c>
      <c r="GU110" s="77">
        <f t="shared" si="343"/>
        <v>-6880387.9199999999</v>
      </c>
      <c r="GV110" s="77">
        <f t="shared" si="344"/>
        <v>0</v>
      </c>
      <c r="GW110" s="77">
        <f t="shared" si="345"/>
        <v>6880387.9199999999</v>
      </c>
      <c r="GX110" s="77">
        <f t="shared" si="346"/>
        <v>13760775.84</v>
      </c>
      <c r="GY110" s="77">
        <f t="shared" ref="GY110:HC114" si="356">FK110*(CI110-0.5*$AO110)</f>
        <v>20641163.759999998</v>
      </c>
      <c r="GZ110" s="77">
        <f t="shared" si="356"/>
        <v>27521551.68</v>
      </c>
      <c r="HA110" s="77">
        <f t="shared" si="356"/>
        <v>107458109.5</v>
      </c>
      <c r="HB110" s="77">
        <f t="shared" si="356"/>
        <v>165237093</v>
      </c>
      <c r="HC110" s="77">
        <f t="shared" si="356"/>
        <v>175496912.5</v>
      </c>
      <c r="IC110" s="82">
        <v>112</v>
      </c>
    </row>
    <row r="111" spans="1:237" s="77" customFormat="1">
      <c r="A111" s="77">
        <v>110</v>
      </c>
      <c r="B111" s="69">
        <v>168</v>
      </c>
      <c r="C111" s="69" t="s">
        <v>236</v>
      </c>
      <c r="D111" s="70" t="s">
        <v>129</v>
      </c>
      <c r="E111" s="70">
        <v>3</v>
      </c>
      <c r="F111" s="70">
        <v>0.12818156108597284</v>
      </c>
      <c r="G111" s="70">
        <v>2.3529409999999999E-3</v>
      </c>
      <c r="H111" s="70">
        <v>5.058824E-3</v>
      </c>
      <c r="I111" s="70">
        <v>7.6470588235294122E-3</v>
      </c>
      <c r="J111" s="71">
        <v>1</v>
      </c>
      <c r="K111" s="72">
        <v>10.625</v>
      </c>
      <c r="L111" s="71">
        <v>9.7764423076923082E-2</v>
      </c>
      <c r="M111" s="71">
        <v>5.2374999999999998E-2</v>
      </c>
      <c r="N111" s="71">
        <v>1.0275884615384616</v>
      </c>
      <c r="O111" s="71">
        <v>0.18727795749536233</v>
      </c>
      <c r="P111" s="71">
        <v>9.4230769230769229E-2</v>
      </c>
      <c r="Q111" s="73" t="s">
        <v>3</v>
      </c>
      <c r="R111" s="74">
        <v>0</v>
      </c>
      <c r="S111" s="75">
        <f t="shared" si="216"/>
        <v>0.58459786360428079</v>
      </c>
      <c r="T111" s="59">
        <f t="shared" si="188"/>
        <v>1.8257677259524294</v>
      </c>
      <c r="U111" s="59">
        <f t="shared" si="189"/>
        <v>1.5446468827962225</v>
      </c>
      <c r="V111" s="59">
        <f t="shared" si="190"/>
        <v>1.2917024691837524</v>
      </c>
      <c r="W111" s="59">
        <f t="shared" si="191"/>
        <v>0.70748455612551886</v>
      </c>
      <c r="X111" s="59">
        <f t="shared" si="192"/>
        <v>0.83624450582868926</v>
      </c>
      <c r="Y111" s="86">
        <v>725200</v>
      </c>
      <c r="Z111" s="57">
        <f t="shared" si="193"/>
        <v>606444.51562696544</v>
      </c>
      <c r="AA111" s="57">
        <f t="shared" si="194"/>
        <v>513067.80010222626</v>
      </c>
      <c r="AB111" s="57">
        <f t="shared" si="326"/>
        <v>969591.14108377846</v>
      </c>
      <c r="AC111" s="57">
        <f t="shared" si="196"/>
        <v>0.25</v>
      </c>
      <c r="AD111" s="57">
        <f t="shared" si="197"/>
        <v>1.5</v>
      </c>
      <c r="AE111" s="57">
        <f t="shared" si="198"/>
        <v>533120</v>
      </c>
      <c r="AF111" s="57">
        <f t="shared" si="199"/>
        <v>296109.27477487008</v>
      </c>
      <c r="AG111" s="57">
        <f t="shared" si="271"/>
        <v>216958.52532735618</v>
      </c>
      <c r="AH111" s="57">
        <f t="shared" si="327"/>
        <v>832171719.94392717</v>
      </c>
      <c r="AI111" s="57">
        <f t="shared" si="338"/>
        <v>816133219.89849639</v>
      </c>
      <c r="AJ111" s="77">
        <v>533120</v>
      </c>
      <c r="AK111" s="77">
        <v>20.8</v>
      </c>
      <c r="AL111" s="78">
        <f t="shared" si="203"/>
        <v>2.4382849278741148</v>
      </c>
      <c r="AM111" s="57">
        <f t="shared" si="204"/>
        <v>1</v>
      </c>
      <c r="AN111" s="57">
        <f t="shared" si="205"/>
        <v>0.8</v>
      </c>
      <c r="AO111" s="77">
        <v>1700</v>
      </c>
      <c r="AP111" s="79">
        <v>170</v>
      </c>
      <c r="AQ111" s="77">
        <f t="shared" si="206"/>
        <v>144.10824387739126</v>
      </c>
      <c r="AR111" s="57">
        <f t="shared" si="328"/>
        <v>1360</v>
      </c>
      <c r="AS111" s="77">
        <f t="shared" si="208"/>
        <v>1555.8917561226087</v>
      </c>
      <c r="AT111" s="77">
        <v>160</v>
      </c>
      <c r="AU111" s="77">
        <v>1700</v>
      </c>
      <c r="AV111" s="77">
        <f t="shared" si="209"/>
        <v>272000</v>
      </c>
      <c r="AW111" s="77">
        <v>0</v>
      </c>
      <c r="AX111" s="77">
        <f t="shared" si="210"/>
        <v>272000</v>
      </c>
      <c r="AY111" s="77">
        <v>272000</v>
      </c>
      <c r="AZ111" s="77">
        <v>419</v>
      </c>
      <c r="BA111" s="77">
        <v>406.7</v>
      </c>
      <c r="BB111" s="77">
        <v>376.3</v>
      </c>
      <c r="BC111" s="77">
        <v>419</v>
      </c>
      <c r="BD111" s="77">
        <v>5.0000000000000001E-3</v>
      </c>
      <c r="BE111" s="77">
        <v>2.5999999999999999E-3</v>
      </c>
      <c r="BF111" s="77">
        <v>5.6800000000000003E-2</v>
      </c>
      <c r="BG111" s="77">
        <v>0.01</v>
      </c>
      <c r="BH111" s="79"/>
      <c r="BI111" s="79"/>
      <c r="BJ111" s="79"/>
      <c r="BK111" s="57"/>
      <c r="BL111" s="57">
        <f t="shared" si="243"/>
        <v>1088</v>
      </c>
      <c r="BM111" s="80">
        <f>PI()*19*19/4*2+PI()*16*16/4</f>
        <v>768.11940380270437</v>
      </c>
      <c r="BN111" s="80">
        <v>2</v>
      </c>
      <c r="BO111" s="57">
        <f t="shared" si="329"/>
        <v>1536.2388076054087</v>
      </c>
      <c r="BP111" s="57">
        <f t="shared" si="213"/>
        <v>936742.63065205724</v>
      </c>
      <c r="BQ111" s="77">
        <f t="shared" si="214"/>
        <v>-1.0477378964424133E-9</v>
      </c>
      <c r="BR111" s="57">
        <f t="shared" si="330"/>
        <v>1592462472.1084974</v>
      </c>
      <c r="BS111" s="57">
        <v>288.21648775478252</v>
      </c>
      <c r="BT111" s="57">
        <f t="shared" si="220"/>
        <v>230.7608496891381</v>
      </c>
      <c r="BU111" s="57"/>
      <c r="BV111" s="57">
        <v>3.3E-3</v>
      </c>
      <c r="BW111" s="57">
        <v>30000</v>
      </c>
      <c r="BX111" s="57">
        <v>200000</v>
      </c>
      <c r="BY111" s="77">
        <v>37.5</v>
      </c>
      <c r="BZ111" s="77">
        <v>85</v>
      </c>
      <c r="CA111" s="77">
        <v>132.5</v>
      </c>
      <c r="CB111" s="77">
        <v>318</v>
      </c>
      <c r="CC111" s="77">
        <v>451</v>
      </c>
      <c r="CD111" s="77">
        <v>584</v>
      </c>
      <c r="CE111" s="77">
        <v>717</v>
      </c>
      <c r="CF111" s="77">
        <v>850</v>
      </c>
      <c r="CG111" s="77">
        <v>983</v>
      </c>
      <c r="CH111" s="77">
        <v>1116</v>
      </c>
      <c r="CI111" s="77">
        <v>1249</v>
      </c>
      <c r="CJ111" s="77">
        <v>1382</v>
      </c>
      <c r="CK111" s="77">
        <v>1567.5</v>
      </c>
      <c r="CL111" s="77">
        <v>1615</v>
      </c>
      <c r="CM111" s="77">
        <v>1662.5</v>
      </c>
      <c r="DM111" s="77">
        <v>574</v>
      </c>
      <c r="DN111" s="77">
        <v>574</v>
      </c>
      <c r="DO111" s="77">
        <v>398</v>
      </c>
      <c r="DP111" s="77">
        <v>127.2</v>
      </c>
      <c r="DQ111" s="77">
        <v>127.2</v>
      </c>
      <c r="DR111" s="77">
        <v>127.2</v>
      </c>
      <c r="DS111" s="77">
        <v>127.2</v>
      </c>
      <c r="DT111" s="77">
        <v>127.2</v>
      </c>
      <c r="DU111" s="77">
        <v>127.2</v>
      </c>
      <c r="DV111" s="77">
        <v>127.2</v>
      </c>
      <c r="DW111" s="77">
        <v>127.2</v>
      </c>
      <c r="DX111" s="77">
        <v>127.2</v>
      </c>
      <c r="DY111" s="77">
        <v>398</v>
      </c>
      <c r="DZ111" s="77">
        <v>574</v>
      </c>
      <c r="EA111" s="77">
        <v>574</v>
      </c>
      <c r="FA111" s="77">
        <f t="shared" si="269"/>
        <v>-215996.2</v>
      </c>
      <c r="FB111" s="77">
        <f t="shared" si="270"/>
        <v>-215996.2</v>
      </c>
      <c r="FC111" s="77">
        <f>IF(ABS(-$BV111*($BS111-CA111)/$BS111*$BX111)&gt;$BB111,$BB111*SIGN(-($BS111-CA111)),-$BV111*($BS111-CA111)/$BS111*$BX111)*DO111</f>
        <v>-141919.73305228626</v>
      </c>
      <c r="FD111" s="77">
        <f t="shared" si="354"/>
        <v>8675.3725974825247</v>
      </c>
      <c r="FE111" s="77">
        <f t="shared" si="354"/>
        <v>47415.751702718924</v>
      </c>
      <c r="FF111" s="77">
        <f t="shared" si="354"/>
        <v>51732.24</v>
      </c>
      <c r="FG111" s="77">
        <f t="shared" si="354"/>
        <v>51732.24</v>
      </c>
      <c r="FH111" s="77">
        <f t="shared" si="354"/>
        <v>51732.24</v>
      </c>
      <c r="FI111" s="77">
        <f t="shared" si="354"/>
        <v>51732.24</v>
      </c>
      <c r="FJ111" s="77">
        <f t="shared" si="354"/>
        <v>51732.24</v>
      </c>
      <c r="FK111" s="77">
        <f t="shared" si="354"/>
        <v>51732.24</v>
      </c>
      <c r="FL111" s="77">
        <f t="shared" si="354"/>
        <v>51732.24</v>
      </c>
      <c r="FM111" s="77">
        <f t="shared" si="355"/>
        <v>149767.4</v>
      </c>
      <c r="FN111" s="77">
        <f t="shared" si="355"/>
        <v>215996.2</v>
      </c>
      <c r="FO111" s="77">
        <f t="shared" si="355"/>
        <v>215996.2</v>
      </c>
      <c r="GO111" s="77">
        <f t="shared" si="275"/>
        <v>175496912.5</v>
      </c>
      <c r="GP111" s="77">
        <f t="shared" si="276"/>
        <v>165237093</v>
      </c>
      <c r="GQ111" s="77">
        <f t="shared" si="277"/>
        <v>101827408.4650154</v>
      </c>
      <c r="GR111" s="77">
        <f t="shared" si="278"/>
        <v>-4615298.2218607031</v>
      </c>
      <c r="GS111" s="77">
        <f t="shared" si="341"/>
        <v>-18918884.92938485</v>
      </c>
      <c r="GT111" s="77">
        <f t="shared" si="342"/>
        <v>-13760775.84</v>
      </c>
      <c r="GU111" s="77">
        <f t="shared" si="343"/>
        <v>-6880387.9199999999</v>
      </c>
      <c r="GV111" s="77">
        <f t="shared" si="344"/>
        <v>0</v>
      </c>
      <c r="GW111" s="77">
        <f t="shared" si="345"/>
        <v>6880387.9199999999</v>
      </c>
      <c r="GX111" s="77">
        <f t="shared" si="346"/>
        <v>13760775.84</v>
      </c>
      <c r="GY111" s="77">
        <f t="shared" si="356"/>
        <v>20641163.759999998</v>
      </c>
      <c r="GZ111" s="77">
        <f t="shared" si="356"/>
        <v>27521551.68</v>
      </c>
      <c r="HA111" s="77">
        <f t="shared" si="356"/>
        <v>107458109.5</v>
      </c>
      <c r="HB111" s="77">
        <f t="shared" si="356"/>
        <v>165237093</v>
      </c>
      <c r="HC111" s="77">
        <f t="shared" si="356"/>
        <v>175496912.5</v>
      </c>
      <c r="IC111" s="82">
        <v>113</v>
      </c>
    </row>
    <row r="112" spans="1:237" s="77" customFormat="1">
      <c r="A112" s="77">
        <v>111</v>
      </c>
      <c r="B112" s="69">
        <v>169</v>
      </c>
      <c r="C112" s="69" t="s">
        <v>236</v>
      </c>
      <c r="D112" s="70" t="s">
        <v>130</v>
      </c>
      <c r="E112" s="70">
        <v>2</v>
      </c>
      <c r="F112" s="70">
        <v>0.14377121040723981</v>
      </c>
      <c r="G112" s="70">
        <v>2.9411760000000002E-3</v>
      </c>
      <c r="H112" s="70">
        <v>5.0000000000000001E-3</v>
      </c>
      <c r="I112" s="70">
        <v>5.8823529411764705E-3</v>
      </c>
      <c r="J112" s="71">
        <v>1</v>
      </c>
      <c r="K112" s="72">
        <v>10.625</v>
      </c>
      <c r="L112" s="71">
        <v>9.7764423076923082E-2</v>
      </c>
      <c r="M112" s="71">
        <v>0.11545240384615385</v>
      </c>
      <c r="N112" s="71">
        <v>1.0275884615384616</v>
      </c>
      <c r="O112" s="71">
        <v>0.37661194984628238</v>
      </c>
      <c r="P112" s="71">
        <v>9.4230769230769229E-2</v>
      </c>
      <c r="Q112" s="73" t="s">
        <v>3</v>
      </c>
      <c r="R112" s="74">
        <v>0</v>
      </c>
      <c r="S112" s="75">
        <f t="shared" si="216"/>
        <v>0.65569760377236896</v>
      </c>
      <c r="T112" s="59">
        <f t="shared" si="188"/>
        <v>1.2096990997018291</v>
      </c>
      <c r="U112" s="59">
        <f t="shared" si="189"/>
        <v>0.97241950058060267</v>
      </c>
      <c r="V112" s="59">
        <f t="shared" si="190"/>
        <v>1.1516383460192492</v>
      </c>
      <c r="W112" s="59">
        <f t="shared" si="191"/>
        <v>0.95200397049407492</v>
      </c>
      <c r="X112" s="59">
        <f t="shared" si="192"/>
        <v>1.1843019862637887</v>
      </c>
      <c r="Y112" s="86">
        <v>813400</v>
      </c>
      <c r="Z112" s="57">
        <f t="shared" si="193"/>
        <v>963311.23562696564</v>
      </c>
      <c r="AA112" s="57">
        <f t="shared" si="194"/>
        <v>774360.02959988057</v>
      </c>
      <c r="AB112" s="57">
        <f t="shared" si="326"/>
        <v>969591.14108377846</v>
      </c>
      <c r="AC112" s="57">
        <f t="shared" si="196"/>
        <v>0.25</v>
      </c>
      <c r="AD112" s="57">
        <f t="shared" si="197"/>
        <v>1.5</v>
      </c>
      <c r="AE112" s="57">
        <f t="shared" si="198"/>
        <v>533120</v>
      </c>
      <c r="AF112" s="57">
        <f t="shared" si="199"/>
        <v>296109.27477487008</v>
      </c>
      <c r="AG112" s="57">
        <f t="shared" si="271"/>
        <v>478250.75482501049</v>
      </c>
      <c r="AH112" s="57">
        <f t="shared" si="327"/>
        <v>832171719.94392717</v>
      </c>
      <c r="AI112" s="57">
        <f t="shared" si="338"/>
        <v>816133219.89849639</v>
      </c>
      <c r="AJ112" s="77">
        <v>533120</v>
      </c>
      <c r="AK112" s="77">
        <v>20.8</v>
      </c>
      <c r="AL112" s="78">
        <f t="shared" si="203"/>
        <v>2.4382849278741148</v>
      </c>
      <c r="AM112" s="57">
        <f t="shared" si="204"/>
        <v>1</v>
      </c>
      <c r="AN112" s="57">
        <f t="shared" si="205"/>
        <v>0.8</v>
      </c>
      <c r="AO112" s="77">
        <v>1700</v>
      </c>
      <c r="AP112" s="79">
        <v>170</v>
      </c>
      <c r="AQ112" s="77">
        <f t="shared" si="206"/>
        <v>144.10824387739126</v>
      </c>
      <c r="AR112" s="57">
        <f t="shared" si="328"/>
        <v>1360</v>
      </c>
      <c r="AS112" s="77">
        <f t="shared" si="208"/>
        <v>1555.8917561226087</v>
      </c>
      <c r="AT112" s="77">
        <v>160</v>
      </c>
      <c r="AU112" s="77">
        <v>1700</v>
      </c>
      <c r="AV112" s="77">
        <f t="shared" si="209"/>
        <v>272000</v>
      </c>
      <c r="AW112" s="77">
        <v>0</v>
      </c>
      <c r="AX112" s="77">
        <f t="shared" si="210"/>
        <v>272000</v>
      </c>
      <c r="AY112" s="77">
        <v>272000</v>
      </c>
      <c r="AZ112" s="77">
        <v>421.3</v>
      </c>
      <c r="BA112" s="77">
        <v>406.7</v>
      </c>
      <c r="BB112" s="77">
        <v>376.3</v>
      </c>
      <c r="BC112" s="77">
        <v>421.3</v>
      </c>
      <c r="BD112" s="77">
        <v>5.0000000000000001E-3</v>
      </c>
      <c r="BE112" s="77">
        <v>5.7000000000000002E-3</v>
      </c>
      <c r="BF112" s="77">
        <v>5.6800000000000003E-2</v>
      </c>
      <c r="BG112" s="77">
        <v>0.01</v>
      </c>
      <c r="BH112" s="79"/>
      <c r="BI112" s="79"/>
      <c r="BJ112" s="79"/>
      <c r="BK112" s="57"/>
      <c r="BL112" s="57">
        <f t="shared" si="243"/>
        <v>1088</v>
      </c>
      <c r="BM112" s="80">
        <f>PI()*19*19/4*2+PI()*16*16/4</f>
        <v>768.11940380270437</v>
      </c>
      <c r="BN112" s="80">
        <v>2</v>
      </c>
      <c r="BO112" s="57">
        <f t="shared" si="329"/>
        <v>1536.2388076054087</v>
      </c>
      <c r="BP112" s="57">
        <f t="shared" si="213"/>
        <v>936742.63065205724</v>
      </c>
      <c r="BQ112" s="77">
        <f t="shared" si="214"/>
        <v>-1.0477378964424133E-9</v>
      </c>
      <c r="BR112" s="57">
        <f t="shared" si="330"/>
        <v>1592462472.1084974</v>
      </c>
      <c r="BS112" s="57">
        <v>288.21648775478252</v>
      </c>
      <c r="BT112" s="57">
        <f t="shared" si="220"/>
        <v>230.7608496891381</v>
      </c>
      <c r="BU112" s="57"/>
      <c r="BV112" s="57">
        <v>3.3E-3</v>
      </c>
      <c r="BW112" s="57">
        <v>30000</v>
      </c>
      <c r="BX112" s="57">
        <v>200000</v>
      </c>
      <c r="BY112" s="77">
        <v>37.5</v>
      </c>
      <c r="BZ112" s="77">
        <v>85</v>
      </c>
      <c r="CA112" s="77">
        <v>132.5</v>
      </c>
      <c r="CB112" s="77">
        <v>318</v>
      </c>
      <c r="CC112" s="77">
        <v>451</v>
      </c>
      <c r="CD112" s="77">
        <v>584</v>
      </c>
      <c r="CE112" s="77">
        <v>717</v>
      </c>
      <c r="CF112" s="77">
        <v>850</v>
      </c>
      <c r="CG112" s="77">
        <v>983</v>
      </c>
      <c r="CH112" s="77">
        <v>1116</v>
      </c>
      <c r="CI112" s="77">
        <v>1249</v>
      </c>
      <c r="CJ112" s="77">
        <v>1382</v>
      </c>
      <c r="CK112" s="77">
        <v>1567.5</v>
      </c>
      <c r="CL112" s="77">
        <v>1615</v>
      </c>
      <c r="CM112" s="77">
        <v>1662.5</v>
      </c>
      <c r="DM112" s="77">
        <v>574</v>
      </c>
      <c r="DN112" s="77">
        <v>574</v>
      </c>
      <c r="DO112" s="77">
        <v>398</v>
      </c>
      <c r="DP112" s="77">
        <v>127.2</v>
      </c>
      <c r="DQ112" s="77">
        <v>127.2</v>
      </c>
      <c r="DR112" s="77">
        <v>127.2</v>
      </c>
      <c r="DS112" s="77">
        <v>127.2</v>
      </c>
      <c r="DT112" s="77">
        <v>127.2</v>
      </c>
      <c r="DU112" s="77">
        <v>127.2</v>
      </c>
      <c r="DV112" s="77">
        <v>127.2</v>
      </c>
      <c r="DW112" s="77">
        <v>127.2</v>
      </c>
      <c r="DX112" s="77">
        <v>127.2</v>
      </c>
      <c r="DY112" s="77">
        <v>398</v>
      </c>
      <c r="DZ112" s="77">
        <v>574</v>
      </c>
      <c r="EA112" s="77">
        <v>574</v>
      </c>
      <c r="FA112" s="77">
        <f t="shared" si="269"/>
        <v>-215996.2</v>
      </c>
      <c r="FB112" s="77">
        <f t="shared" si="270"/>
        <v>-215996.2</v>
      </c>
      <c r="FC112" s="77">
        <f>IF(ABS(-$BV112*($BS112-CA112)/$BS112*$BX112)&gt;$BB112,$BB112*SIGN(-($BS112-CA112)),-$BV112*($BS112-CA112)/$BS112*$BX112)*DO112</f>
        <v>-141919.73305228626</v>
      </c>
      <c r="FD112" s="77">
        <f t="shared" si="354"/>
        <v>8675.3725974825247</v>
      </c>
      <c r="FE112" s="77">
        <f t="shared" si="354"/>
        <v>47415.751702718924</v>
      </c>
      <c r="FF112" s="77">
        <f t="shared" si="354"/>
        <v>51732.24</v>
      </c>
      <c r="FG112" s="77">
        <f t="shared" si="354"/>
        <v>51732.24</v>
      </c>
      <c r="FH112" s="77">
        <f t="shared" si="354"/>
        <v>51732.24</v>
      </c>
      <c r="FI112" s="77">
        <f t="shared" si="354"/>
        <v>51732.24</v>
      </c>
      <c r="FJ112" s="77">
        <f t="shared" si="354"/>
        <v>51732.24</v>
      </c>
      <c r="FK112" s="77">
        <f t="shared" si="354"/>
        <v>51732.24</v>
      </c>
      <c r="FL112" s="77">
        <f t="shared" si="354"/>
        <v>51732.24</v>
      </c>
      <c r="FM112" s="77">
        <f t="shared" si="355"/>
        <v>149767.4</v>
      </c>
      <c r="FN112" s="77">
        <f t="shared" si="355"/>
        <v>215996.2</v>
      </c>
      <c r="FO112" s="77">
        <f t="shared" si="355"/>
        <v>215996.2</v>
      </c>
      <c r="GO112" s="77">
        <f t="shared" si="275"/>
        <v>175496912.5</v>
      </c>
      <c r="GP112" s="77">
        <f t="shared" si="276"/>
        <v>165237093</v>
      </c>
      <c r="GQ112" s="77">
        <f t="shared" si="277"/>
        <v>101827408.4650154</v>
      </c>
      <c r="GR112" s="77">
        <f t="shared" si="278"/>
        <v>-4615298.2218607031</v>
      </c>
      <c r="GS112" s="77">
        <f t="shared" si="341"/>
        <v>-18918884.92938485</v>
      </c>
      <c r="GT112" s="77">
        <f t="shared" si="342"/>
        <v>-13760775.84</v>
      </c>
      <c r="GU112" s="77">
        <f t="shared" si="343"/>
        <v>-6880387.9199999999</v>
      </c>
      <c r="GV112" s="77">
        <f t="shared" si="344"/>
        <v>0</v>
      </c>
      <c r="GW112" s="77">
        <f t="shared" si="345"/>
        <v>6880387.9199999999</v>
      </c>
      <c r="GX112" s="77">
        <f t="shared" si="346"/>
        <v>13760775.84</v>
      </c>
      <c r="GY112" s="77">
        <f t="shared" si="356"/>
        <v>20641163.759999998</v>
      </c>
      <c r="GZ112" s="77">
        <f t="shared" si="356"/>
        <v>27521551.68</v>
      </c>
      <c r="HA112" s="77">
        <f t="shared" si="356"/>
        <v>107458109.5</v>
      </c>
      <c r="HB112" s="77">
        <f t="shared" si="356"/>
        <v>165237093</v>
      </c>
      <c r="HC112" s="77">
        <f t="shared" si="356"/>
        <v>175496912.5</v>
      </c>
      <c r="IC112" s="82">
        <v>114</v>
      </c>
    </row>
    <row r="113" spans="1:237" s="77" customFormat="1">
      <c r="A113" s="77">
        <v>112</v>
      </c>
      <c r="B113" s="69">
        <v>171</v>
      </c>
      <c r="C113" s="69" t="s">
        <v>236</v>
      </c>
      <c r="D113" s="70" t="s">
        <v>131</v>
      </c>
      <c r="E113" s="70">
        <v>2</v>
      </c>
      <c r="F113" s="70">
        <v>0.20098039215686275</v>
      </c>
      <c r="G113" s="70">
        <v>2.9411760000000002E-3</v>
      </c>
      <c r="H113" s="70">
        <v>5.2941179999999996E-3</v>
      </c>
      <c r="I113" s="70">
        <v>1.2352941176470587E-2</v>
      </c>
      <c r="J113" s="71">
        <v>1</v>
      </c>
      <c r="K113" s="72">
        <v>10.625</v>
      </c>
      <c r="L113" s="71">
        <v>0.13833333333333334</v>
      </c>
      <c r="M113" s="71">
        <v>0.30482448979591842</v>
      </c>
      <c r="N113" s="71">
        <v>1.4540027210884354</v>
      </c>
      <c r="O113" s="71">
        <v>1.0495957598742567</v>
      </c>
      <c r="P113" s="71">
        <v>0.13333333333333336</v>
      </c>
      <c r="Q113" s="73" t="s">
        <v>3</v>
      </c>
      <c r="R113" s="74">
        <v>0</v>
      </c>
      <c r="S113" s="75">
        <f t="shared" si="216"/>
        <v>0.77057046080383673</v>
      </c>
      <c r="T113" s="59">
        <f t="shared" si="188"/>
        <v>0.81065634291206712</v>
      </c>
      <c r="U113" s="59">
        <f t="shared" si="189"/>
        <v>0.610611636998596</v>
      </c>
      <c r="V113" s="59">
        <f t="shared" si="190"/>
        <v>1.1242109272619119</v>
      </c>
      <c r="W113" s="59">
        <f t="shared" si="191"/>
        <v>1.3867910084111392</v>
      </c>
      <c r="X113" s="59">
        <f t="shared" si="192"/>
        <v>1.8411226697019152</v>
      </c>
      <c r="Y113" s="86">
        <v>803600</v>
      </c>
      <c r="Z113" s="57">
        <f t="shared" si="193"/>
        <v>1479526.1773724591</v>
      </c>
      <c r="AA113" s="57">
        <f t="shared" si="194"/>
        <v>1114425.2543591915</v>
      </c>
      <c r="AB113" s="57">
        <f t="shared" si="326"/>
        <v>784492.01449807256</v>
      </c>
      <c r="AC113" s="57">
        <f t="shared" si="196"/>
        <v>0.25</v>
      </c>
      <c r="AD113" s="57">
        <f t="shared" si="197"/>
        <v>1.5</v>
      </c>
      <c r="AE113" s="57">
        <f t="shared" si="198"/>
        <v>533120</v>
      </c>
      <c r="AF113" s="57">
        <f t="shared" si="199"/>
        <v>248061.82632647056</v>
      </c>
      <c r="AG113" s="57">
        <f t="shared" si="271"/>
        <v>866363.42803272104</v>
      </c>
      <c r="AH113" s="57">
        <f t="shared" si="327"/>
        <v>569975009.3349607</v>
      </c>
      <c r="AI113" s="57">
        <f t="shared" si="338"/>
        <v>763661415.31176245</v>
      </c>
      <c r="AJ113" s="77">
        <v>533120</v>
      </c>
      <c r="AK113" s="77">
        <v>14.7</v>
      </c>
      <c r="AL113" s="78">
        <f t="shared" si="203"/>
        <v>2.0145319240088</v>
      </c>
      <c r="AM113" s="57">
        <f t="shared" si="204"/>
        <v>1</v>
      </c>
      <c r="AN113" s="57">
        <f t="shared" si="205"/>
        <v>0.8</v>
      </c>
      <c r="AO113" s="77">
        <v>1700</v>
      </c>
      <c r="AP113" s="79">
        <v>170</v>
      </c>
      <c r="AQ113" s="77">
        <f t="shared" si="206"/>
        <v>189.49227357202705</v>
      </c>
      <c r="AR113" s="57">
        <f t="shared" si="328"/>
        <v>1360</v>
      </c>
      <c r="AS113" s="77">
        <f t="shared" si="208"/>
        <v>1510.507726427973</v>
      </c>
      <c r="AT113" s="77">
        <v>160</v>
      </c>
      <c r="AU113" s="77">
        <v>1700</v>
      </c>
      <c r="AV113" s="77">
        <f t="shared" si="209"/>
        <v>272000</v>
      </c>
      <c r="AW113" s="77">
        <v>0</v>
      </c>
      <c r="AX113" s="77">
        <f t="shared" si="210"/>
        <v>272000</v>
      </c>
      <c r="AY113" s="77">
        <v>272000</v>
      </c>
      <c r="AZ113" s="77">
        <v>414.9</v>
      </c>
      <c r="BA113" s="77">
        <v>406.7</v>
      </c>
      <c r="BB113" s="77">
        <v>376.3</v>
      </c>
      <c r="BC113" s="77">
        <v>414.9</v>
      </c>
      <c r="BD113" s="77">
        <v>5.0000000000000001E-3</v>
      </c>
      <c r="BE113" s="77">
        <v>1.0800000000000001E-2</v>
      </c>
      <c r="BF113" s="77">
        <v>5.6800000000000003E-2</v>
      </c>
      <c r="BG113" s="77">
        <v>0.01</v>
      </c>
      <c r="BH113" s="79"/>
      <c r="BI113" s="79"/>
      <c r="BJ113" s="79"/>
      <c r="BK113" s="57"/>
      <c r="BL113" s="57">
        <f t="shared" si="243"/>
        <v>1088</v>
      </c>
      <c r="BM113" s="80">
        <f>PI()*19*19/4*2+PI()*16*16/4</f>
        <v>768.11940380270437</v>
      </c>
      <c r="BN113" s="80">
        <v>2</v>
      </c>
      <c r="BO113" s="57">
        <f t="shared" si="329"/>
        <v>1536.2388076054087</v>
      </c>
      <c r="BP113" s="57">
        <f t="shared" si="213"/>
        <v>903415.90114767232</v>
      </c>
      <c r="BQ113" s="77">
        <f t="shared" si="214"/>
        <v>1.5133991837501526E-9</v>
      </c>
      <c r="BR113" s="57">
        <f t="shared" si="330"/>
        <v>1535807031.9510429</v>
      </c>
      <c r="BS113" s="57">
        <v>378.98454714405409</v>
      </c>
      <c r="BT113" s="57">
        <f t="shared" si="220"/>
        <v>311.46384479717813</v>
      </c>
      <c r="BU113" s="57"/>
      <c r="BV113" s="57">
        <v>3.3E-3</v>
      </c>
      <c r="BW113" s="57">
        <v>30000</v>
      </c>
      <c r="BX113" s="57">
        <v>200000</v>
      </c>
      <c r="BY113" s="77">
        <v>37.5</v>
      </c>
      <c r="BZ113" s="77">
        <v>85</v>
      </c>
      <c r="CA113" s="77">
        <v>132.5</v>
      </c>
      <c r="CB113" s="77">
        <v>318</v>
      </c>
      <c r="CC113" s="77">
        <v>451</v>
      </c>
      <c r="CD113" s="77">
        <v>584</v>
      </c>
      <c r="CE113" s="77">
        <v>717</v>
      </c>
      <c r="CF113" s="77">
        <v>850</v>
      </c>
      <c r="CG113" s="77">
        <v>983</v>
      </c>
      <c r="CH113" s="77">
        <v>1116</v>
      </c>
      <c r="CI113" s="77">
        <v>1249</v>
      </c>
      <c r="CJ113" s="77">
        <v>1382</v>
      </c>
      <c r="CK113" s="77">
        <v>1567.5</v>
      </c>
      <c r="CL113" s="77">
        <v>1615</v>
      </c>
      <c r="CM113" s="77">
        <v>1662.5</v>
      </c>
      <c r="DM113" s="77">
        <v>574</v>
      </c>
      <c r="DN113" s="77">
        <v>574</v>
      </c>
      <c r="DO113" s="77">
        <v>398</v>
      </c>
      <c r="DP113" s="77">
        <v>127.2</v>
      </c>
      <c r="DQ113" s="77">
        <v>127.2</v>
      </c>
      <c r="DR113" s="77">
        <v>127.2</v>
      </c>
      <c r="DS113" s="77">
        <v>127.2</v>
      </c>
      <c r="DT113" s="77">
        <v>127.2</v>
      </c>
      <c r="DU113" s="77">
        <v>127.2</v>
      </c>
      <c r="DV113" s="77">
        <v>127.2</v>
      </c>
      <c r="DW113" s="77">
        <v>127.2</v>
      </c>
      <c r="DX113" s="77">
        <v>127.2</v>
      </c>
      <c r="DY113" s="77">
        <v>398</v>
      </c>
      <c r="DZ113" s="77">
        <v>574</v>
      </c>
      <c r="EA113" s="77">
        <v>574</v>
      </c>
      <c r="FA113" s="77">
        <f t="shared" si="269"/>
        <v>-215996.2</v>
      </c>
      <c r="FB113" s="77">
        <f t="shared" si="270"/>
        <v>-215996.2</v>
      </c>
      <c r="FC113" s="77">
        <f>IF(ABS(-$BV113*($BS113-CA113)/$BS113*$BX113)&gt;$BB113,$BB113*SIGN(-($BS113-CA113)),-$BV113*($BS113-CA113)/$BS113*$BX113)*DO113</f>
        <v>-149767.4</v>
      </c>
      <c r="FD113" s="77">
        <f t="shared" si="354"/>
        <v>-13509.191180535325</v>
      </c>
      <c r="FE113" s="77">
        <f t="shared" si="354"/>
        <v>15952.738294272232</v>
      </c>
      <c r="FF113" s="77">
        <f t="shared" si="354"/>
        <v>45414.667769079788</v>
      </c>
      <c r="FG113" s="77">
        <f t="shared" si="354"/>
        <v>51732.24</v>
      </c>
      <c r="FH113" s="77">
        <f t="shared" si="354"/>
        <v>51732.24</v>
      </c>
      <c r="FI113" s="77">
        <f t="shared" si="354"/>
        <v>51732.24</v>
      </c>
      <c r="FJ113" s="77">
        <f t="shared" si="354"/>
        <v>51732.24</v>
      </c>
      <c r="FK113" s="77">
        <f t="shared" si="354"/>
        <v>51732.24</v>
      </c>
      <c r="FL113" s="77">
        <f t="shared" si="354"/>
        <v>51732.24</v>
      </c>
      <c r="FM113" s="77">
        <f t="shared" si="355"/>
        <v>149767.4</v>
      </c>
      <c r="FN113" s="77">
        <f t="shared" si="355"/>
        <v>215996.2</v>
      </c>
      <c r="FO113" s="77">
        <f t="shared" si="355"/>
        <v>215996.2</v>
      </c>
      <c r="GO113" s="77">
        <f t="shared" si="275"/>
        <v>175496912.5</v>
      </c>
      <c r="GP113" s="77">
        <f t="shared" si="276"/>
        <v>165237093</v>
      </c>
      <c r="GQ113" s="77">
        <f t="shared" si="277"/>
        <v>107458109.5</v>
      </c>
      <c r="GR113" s="77">
        <f t="shared" si="278"/>
        <v>7186889.7080447925</v>
      </c>
      <c r="GS113" s="77">
        <f t="shared" si="341"/>
        <v>-6365142.579414621</v>
      </c>
      <c r="GT113" s="77">
        <f t="shared" si="342"/>
        <v>-12080301.626575224</v>
      </c>
      <c r="GU113" s="77">
        <f t="shared" si="343"/>
        <v>-6880387.9199999999</v>
      </c>
      <c r="GV113" s="77">
        <f t="shared" si="344"/>
        <v>0</v>
      </c>
      <c r="GW113" s="77">
        <f t="shared" si="345"/>
        <v>6880387.9199999999</v>
      </c>
      <c r="GX113" s="77">
        <f t="shared" si="346"/>
        <v>13760775.84</v>
      </c>
      <c r="GY113" s="77">
        <f t="shared" si="356"/>
        <v>20641163.759999998</v>
      </c>
      <c r="GZ113" s="77">
        <f t="shared" si="356"/>
        <v>27521551.68</v>
      </c>
      <c r="HA113" s="77">
        <f t="shared" si="356"/>
        <v>107458109.5</v>
      </c>
      <c r="HB113" s="77">
        <f t="shared" si="356"/>
        <v>165237093</v>
      </c>
      <c r="HC113" s="77">
        <f t="shared" si="356"/>
        <v>175496912.5</v>
      </c>
      <c r="IC113" s="82">
        <v>116</v>
      </c>
    </row>
    <row r="114" spans="1:237" s="77" customFormat="1">
      <c r="A114" s="77">
        <v>113</v>
      </c>
      <c r="B114" s="69">
        <v>172</v>
      </c>
      <c r="C114" s="69" t="s">
        <v>236</v>
      </c>
      <c r="D114" s="70" t="s">
        <v>132</v>
      </c>
      <c r="E114" s="70">
        <v>1</v>
      </c>
      <c r="F114" s="70">
        <v>0.18310028929604627</v>
      </c>
      <c r="G114" s="70">
        <v>4.1176470000000003E-3</v>
      </c>
      <c r="H114" s="70">
        <v>1.0058823999999999E-2</v>
      </c>
      <c r="I114" s="70">
        <v>0.01</v>
      </c>
      <c r="J114" s="71">
        <v>1</v>
      </c>
      <c r="K114" s="72">
        <v>10.625</v>
      </c>
      <c r="L114" s="71">
        <v>0.11112021857923497</v>
      </c>
      <c r="M114" s="71">
        <v>0.24485901639344262</v>
      </c>
      <c r="N114" s="71">
        <v>1.1679693989071038</v>
      </c>
      <c r="O114" s="71">
        <v>0.84311790547276355</v>
      </c>
      <c r="P114" s="71">
        <v>0.10710382513661201</v>
      </c>
      <c r="Q114" s="73" t="s">
        <v>3</v>
      </c>
      <c r="R114" s="74">
        <v>0</v>
      </c>
      <c r="S114" s="75">
        <f t="shared" si="216"/>
        <v>0.78327555924298686</v>
      </c>
      <c r="T114" s="59">
        <f t="shared" si="188"/>
        <v>0.79700878367133454</v>
      </c>
      <c r="U114" s="59">
        <f t="shared" si="189"/>
        <v>0.61310943576216992</v>
      </c>
      <c r="V114" s="59">
        <f t="shared" si="190"/>
        <v>1.0155955552982896</v>
      </c>
      <c r="W114" s="59">
        <f t="shared" si="191"/>
        <v>1.2742589242493148</v>
      </c>
      <c r="X114" s="59">
        <f t="shared" si="192"/>
        <v>1.6564670123463039</v>
      </c>
      <c r="Y114" s="86">
        <v>911400</v>
      </c>
      <c r="Z114" s="57">
        <f t="shared" si="193"/>
        <v>1509704.0350524213</v>
      </c>
      <c r="AA114" s="57">
        <f t="shared" si="194"/>
        <v>1161359.5835608256</v>
      </c>
      <c r="AB114" s="57">
        <f t="shared" si="326"/>
        <v>896369.03653558425</v>
      </c>
      <c r="AC114" s="57">
        <f t="shared" si="196"/>
        <v>0.25</v>
      </c>
      <c r="AD114" s="57">
        <f t="shared" si="197"/>
        <v>1.5</v>
      </c>
      <c r="AE114" s="57">
        <f t="shared" si="198"/>
        <v>533120</v>
      </c>
      <c r="AF114" s="57">
        <f t="shared" si="199"/>
        <v>277447.07016159367</v>
      </c>
      <c r="AG114" s="57">
        <f t="shared" si="271"/>
        <v>883912.51339923195</v>
      </c>
      <c r="AH114" s="57">
        <f t="shared" si="327"/>
        <v>724790635.3269558</v>
      </c>
      <c r="AI114" s="57">
        <f t="shared" si="338"/>
        <v>799036726.78353727</v>
      </c>
      <c r="AJ114" s="77">
        <v>533120</v>
      </c>
      <c r="AK114" s="77">
        <v>18.3</v>
      </c>
      <c r="AL114" s="78">
        <f t="shared" si="203"/>
        <v>2.2724677009632233</v>
      </c>
      <c r="AM114" s="57">
        <f t="shared" si="204"/>
        <v>1</v>
      </c>
      <c r="AN114" s="57">
        <f t="shared" si="205"/>
        <v>0.8</v>
      </c>
      <c r="AO114" s="77">
        <v>1700</v>
      </c>
      <c r="AP114" s="79">
        <v>170</v>
      </c>
      <c r="AQ114" s="77">
        <f t="shared" si="206"/>
        <v>158.89538065140658</v>
      </c>
      <c r="AR114" s="57">
        <f t="shared" si="328"/>
        <v>1360</v>
      </c>
      <c r="AS114" s="77">
        <f t="shared" si="208"/>
        <v>1541.1046193485934</v>
      </c>
      <c r="AT114" s="77">
        <v>160</v>
      </c>
      <c r="AU114" s="77">
        <v>1700</v>
      </c>
      <c r="AV114" s="77">
        <f t="shared" si="209"/>
        <v>272000</v>
      </c>
      <c r="AW114" s="77">
        <v>0</v>
      </c>
      <c r="AX114" s="77">
        <f t="shared" si="210"/>
        <v>272000</v>
      </c>
      <c r="AY114" s="77">
        <v>272000</v>
      </c>
      <c r="AZ114" s="77">
        <v>414.9</v>
      </c>
      <c r="BA114" s="77">
        <v>406.7</v>
      </c>
      <c r="BB114" s="77">
        <v>376.3</v>
      </c>
      <c r="BC114" s="77">
        <v>414.9</v>
      </c>
      <c r="BD114" s="77">
        <v>5.0000000000000001E-3</v>
      </c>
      <c r="BE114" s="77">
        <v>1.0800000000000001E-2</v>
      </c>
      <c r="BF114" s="77">
        <v>5.6800000000000003E-2</v>
      </c>
      <c r="BG114" s="77">
        <v>0.01</v>
      </c>
      <c r="BH114" s="79"/>
      <c r="BI114" s="79"/>
      <c r="BJ114" s="79"/>
      <c r="BK114" s="57"/>
      <c r="BL114" s="57">
        <f t="shared" si="243"/>
        <v>1088</v>
      </c>
      <c r="BM114" s="80">
        <f>PI()*19*19/4*2+PI()*16*16/4</f>
        <v>768.11940380270437</v>
      </c>
      <c r="BN114" s="80">
        <v>2</v>
      </c>
      <c r="BO114" s="57">
        <f t="shared" si="329"/>
        <v>1536.2388076054087</v>
      </c>
      <c r="BP114" s="57">
        <f t="shared" si="213"/>
        <v>925613.78909886116</v>
      </c>
      <c r="BQ114" s="77">
        <f t="shared" si="214"/>
        <v>2.0954757928848267E-9</v>
      </c>
      <c r="BR114" s="57">
        <f t="shared" si="330"/>
        <v>1573543441.4680641</v>
      </c>
      <c r="BS114" s="57">
        <v>317.79076130281317</v>
      </c>
      <c r="BT114" s="57">
        <f t="shared" si="220"/>
        <v>257.19065391196534</v>
      </c>
      <c r="BU114" s="57"/>
      <c r="BV114" s="57">
        <v>3.3E-3</v>
      </c>
      <c r="BW114" s="57">
        <v>30000</v>
      </c>
      <c r="BX114" s="57">
        <v>200000</v>
      </c>
      <c r="BY114" s="77">
        <v>37.5</v>
      </c>
      <c r="BZ114" s="77">
        <v>85</v>
      </c>
      <c r="CA114" s="77">
        <v>132.5</v>
      </c>
      <c r="CB114" s="77">
        <v>318</v>
      </c>
      <c r="CC114" s="77">
        <v>451</v>
      </c>
      <c r="CD114" s="77">
        <v>584</v>
      </c>
      <c r="CE114" s="77">
        <v>717</v>
      </c>
      <c r="CF114" s="77">
        <v>850</v>
      </c>
      <c r="CG114" s="77">
        <v>983</v>
      </c>
      <c r="CH114" s="77">
        <v>1116</v>
      </c>
      <c r="CI114" s="77">
        <v>1249</v>
      </c>
      <c r="CJ114" s="77">
        <v>1382</v>
      </c>
      <c r="CK114" s="77">
        <v>1567.5</v>
      </c>
      <c r="CL114" s="77">
        <v>1615</v>
      </c>
      <c r="CM114" s="77">
        <v>1662.5</v>
      </c>
      <c r="DM114" s="77">
        <v>574</v>
      </c>
      <c r="DN114" s="77">
        <v>574</v>
      </c>
      <c r="DO114" s="77">
        <v>398</v>
      </c>
      <c r="DP114" s="77">
        <v>127.2</v>
      </c>
      <c r="DQ114" s="77">
        <v>127.2</v>
      </c>
      <c r="DR114" s="77">
        <v>127.2</v>
      </c>
      <c r="DS114" s="77">
        <v>127.2</v>
      </c>
      <c r="DT114" s="77">
        <v>127.2</v>
      </c>
      <c r="DU114" s="77">
        <v>127.2</v>
      </c>
      <c r="DV114" s="77">
        <v>127.2</v>
      </c>
      <c r="DW114" s="77">
        <v>127.2</v>
      </c>
      <c r="DX114" s="77">
        <v>127.2</v>
      </c>
      <c r="DY114" s="77">
        <v>398</v>
      </c>
      <c r="DZ114" s="77">
        <v>574</v>
      </c>
      <c r="EA114" s="77">
        <v>574</v>
      </c>
      <c r="FA114" s="77">
        <f t="shared" si="269"/>
        <v>-215996.2</v>
      </c>
      <c r="FB114" s="77">
        <f t="shared" si="270"/>
        <v>-215996.2</v>
      </c>
      <c r="FC114" s="77">
        <f>IF(ABS(-$BV114*($BS114-CA114)/$BS114*$BX114)&gt;$BB114,$BB114*SIGN(-($BS114-CA114)),-$BV114*($BS114-CA114)/$BS114*$BX114)*DO114</f>
        <v>-149767.4</v>
      </c>
      <c r="FD114" s="77">
        <f t="shared" si="354"/>
        <v>55.275386339790231</v>
      </c>
      <c r="FE114" s="77">
        <f t="shared" si="354"/>
        <v>35190.393708299518</v>
      </c>
      <c r="FF114" s="77">
        <f t="shared" si="354"/>
        <v>51732.24</v>
      </c>
      <c r="FG114" s="77">
        <f t="shared" si="354"/>
        <v>51732.24</v>
      </c>
      <c r="FH114" s="77">
        <f t="shared" si="354"/>
        <v>51732.24</v>
      </c>
      <c r="FI114" s="77">
        <f t="shared" si="354"/>
        <v>51732.24</v>
      </c>
      <c r="FJ114" s="77">
        <f t="shared" si="354"/>
        <v>51732.24</v>
      </c>
      <c r="FK114" s="77">
        <f t="shared" si="354"/>
        <v>51732.24</v>
      </c>
      <c r="FL114" s="77">
        <f t="shared" si="354"/>
        <v>51732.24</v>
      </c>
      <c r="FM114" s="77">
        <f t="shared" si="355"/>
        <v>149767.4</v>
      </c>
      <c r="FN114" s="77">
        <f t="shared" si="355"/>
        <v>215996.2</v>
      </c>
      <c r="FO114" s="77">
        <f t="shared" si="355"/>
        <v>215996.2</v>
      </c>
      <c r="GO114" s="77">
        <f t="shared" si="275"/>
        <v>175496912.5</v>
      </c>
      <c r="GP114" s="77">
        <f t="shared" si="276"/>
        <v>165237093</v>
      </c>
      <c r="GQ114" s="77">
        <f t="shared" si="277"/>
        <v>107458109.5</v>
      </c>
      <c r="GR114" s="77">
        <f t="shared" si="278"/>
        <v>-29406.505532768402</v>
      </c>
      <c r="GS114" s="77">
        <f t="shared" si="341"/>
        <v>-14040967.089611508</v>
      </c>
      <c r="GT114" s="77">
        <f t="shared" si="342"/>
        <v>-13760775.84</v>
      </c>
      <c r="GU114" s="77">
        <f t="shared" si="343"/>
        <v>-6880387.9199999999</v>
      </c>
      <c r="GV114" s="77">
        <f t="shared" si="344"/>
        <v>0</v>
      </c>
      <c r="GW114" s="77">
        <f t="shared" si="345"/>
        <v>6880387.9199999999</v>
      </c>
      <c r="GX114" s="77">
        <f t="shared" si="346"/>
        <v>13760775.84</v>
      </c>
      <c r="GY114" s="77">
        <f t="shared" si="356"/>
        <v>20641163.759999998</v>
      </c>
      <c r="GZ114" s="77">
        <f t="shared" si="356"/>
        <v>27521551.68</v>
      </c>
      <c r="HA114" s="77">
        <f t="shared" si="356"/>
        <v>107458109.5</v>
      </c>
      <c r="HB114" s="77">
        <f t="shared" si="356"/>
        <v>165237093</v>
      </c>
      <c r="HC114" s="77">
        <f t="shared" si="356"/>
        <v>175496912.5</v>
      </c>
      <c r="IC114" s="82">
        <v>117</v>
      </c>
    </row>
    <row r="115" spans="1:237" s="77" customFormat="1">
      <c r="A115" s="77">
        <v>114</v>
      </c>
      <c r="B115" s="69">
        <v>173</v>
      </c>
      <c r="C115" s="69" t="s">
        <v>236</v>
      </c>
      <c r="D115" s="70" t="s">
        <v>133</v>
      </c>
      <c r="E115" s="70">
        <v>1</v>
      </c>
      <c r="F115" s="70">
        <v>0.12125282805429863</v>
      </c>
      <c r="G115" s="70">
        <v>7.6470590000000003E-3</v>
      </c>
      <c r="H115" s="70">
        <v>0.02</v>
      </c>
      <c r="I115" s="70">
        <v>1.9411764705882354E-2</v>
      </c>
      <c r="J115" s="71">
        <v>1</v>
      </c>
      <c r="K115" s="72">
        <v>10.625</v>
      </c>
      <c r="L115" s="71">
        <v>9.7764423076923082E-2</v>
      </c>
      <c r="M115" s="71">
        <v>0.12329038461538461</v>
      </c>
      <c r="N115" s="71">
        <v>0.46097115384615384</v>
      </c>
      <c r="O115" s="71">
        <v>0.37580741446802063</v>
      </c>
      <c r="P115" s="71">
        <v>9.4230769230769229E-2</v>
      </c>
      <c r="Q115" s="73" t="s">
        <v>3</v>
      </c>
      <c r="R115" s="74">
        <v>0</v>
      </c>
      <c r="S115" s="75">
        <f t="shared" si="216"/>
        <v>0.55299797908513049</v>
      </c>
      <c r="T115" s="59">
        <f t="shared" si="188"/>
        <v>0.81528075821391621</v>
      </c>
      <c r="U115" s="59">
        <f t="shared" si="189"/>
        <v>0.65300710872499246</v>
      </c>
      <c r="V115" s="59">
        <f t="shared" si="190"/>
        <v>0.95919261878936313</v>
      </c>
      <c r="W115" s="59">
        <f t="shared" si="191"/>
        <v>1.1765181615358162</v>
      </c>
      <c r="X115" s="59">
        <f t="shared" si="192"/>
        <v>1.4688854163658389</v>
      </c>
      <c r="Y115" s="86">
        <v>686000</v>
      </c>
      <c r="Z115" s="57">
        <f t="shared" si="193"/>
        <v>1007655.3956269654</v>
      </c>
      <c r="AA115" s="57">
        <f t="shared" si="194"/>
        <v>807091.45881356997</v>
      </c>
      <c r="AB115" s="57">
        <f t="shared" si="326"/>
        <v>710117.83878159907</v>
      </c>
      <c r="AC115" s="57">
        <f t="shared" si="196"/>
        <v>0.25</v>
      </c>
      <c r="AD115" s="57">
        <f t="shared" si="197"/>
        <v>1.5</v>
      </c>
      <c r="AE115" s="57">
        <f t="shared" si="198"/>
        <v>533120</v>
      </c>
      <c r="AF115" s="57">
        <f t="shared" si="199"/>
        <v>296194.12439986743</v>
      </c>
      <c r="AG115" s="57">
        <f t="shared" si="271"/>
        <v>510897.33441370254</v>
      </c>
      <c r="AH115" s="57">
        <f t="shared" si="327"/>
        <v>832479342.18954825</v>
      </c>
      <c r="AI115" s="57">
        <f t="shared" si="338"/>
        <v>374720983.73917001</v>
      </c>
      <c r="AJ115" s="77">
        <v>533120</v>
      </c>
      <c r="AK115" s="77">
        <v>20.8</v>
      </c>
      <c r="AL115" s="78">
        <f t="shared" si="203"/>
        <v>2.4382849278741148</v>
      </c>
      <c r="AM115" s="57">
        <f t="shared" si="204"/>
        <v>1</v>
      </c>
      <c r="AN115" s="57">
        <f t="shared" si="205"/>
        <v>0.8</v>
      </c>
      <c r="AO115" s="77">
        <v>1700</v>
      </c>
      <c r="AP115" s="79">
        <v>170</v>
      </c>
      <c r="AQ115" s="77">
        <f t="shared" si="206"/>
        <v>143.56451111858692</v>
      </c>
      <c r="AR115" s="57">
        <f t="shared" si="328"/>
        <v>1360</v>
      </c>
      <c r="AS115" s="77">
        <f t="shared" si="208"/>
        <v>1556.435488881413</v>
      </c>
      <c r="AT115" s="77">
        <v>160</v>
      </c>
      <c r="AU115" s="77">
        <v>1700</v>
      </c>
      <c r="AV115" s="77">
        <f t="shared" si="209"/>
        <v>272000</v>
      </c>
      <c r="AW115" s="77">
        <v>0</v>
      </c>
      <c r="AX115" s="77">
        <f t="shared" si="210"/>
        <v>272000</v>
      </c>
      <c r="AY115" s="77">
        <v>272000</v>
      </c>
      <c r="AZ115" s="77">
        <v>420.4</v>
      </c>
      <c r="BA115" s="77">
        <v>406.7</v>
      </c>
      <c r="BB115" s="77">
        <v>382</v>
      </c>
      <c r="BC115" s="77">
        <v>420.4</v>
      </c>
      <c r="BD115" s="77">
        <v>5.0000000000000001E-3</v>
      </c>
      <c r="BE115" s="77">
        <v>6.1000000000000004E-3</v>
      </c>
      <c r="BF115" s="77">
        <v>2.5100000000000001E-2</v>
      </c>
      <c r="BH115" s="79"/>
      <c r="BI115" s="79"/>
      <c r="BJ115" s="79"/>
      <c r="BK115" s="57"/>
      <c r="BL115" s="57">
        <f t="shared" si="243"/>
        <v>1088</v>
      </c>
      <c r="BM115" s="80">
        <f>PI()*19*19/4+PI()*9*9/4</f>
        <v>347.1459882216721</v>
      </c>
      <c r="BN115" s="80">
        <v>2</v>
      </c>
      <c r="BO115" s="57">
        <f t="shared" si="329"/>
        <v>694.2919764433442</v>
      </c>
      <c r="BP115" s="57">
        <f t="shared" si="213"/>
        <v>658006.13648950309</v>
      </c>
      <c r="BQ115" s="77">
        <f t="shared" si="214"/>
        <v>0</v>
      </c>
      <c r="BR115" s="57">
        <f t="shared" si="330"/>
        <v>1118610432.0321553</v>
      </c>
      <c r="BS115" s="57">
        <v>287.12902223717384</v>
      </c>
      <c r="BT115" s="57">
        <f t="shared" si="220"/>
        <v>230.7608496891381</v>
      </c>
      <c r="BU115" s="57"/>
      <c r="BV115" s="57">
        <v>3.3E-3</v>
      </c>
      <c r="BW115" s="57">
        <v>30000</v>
      </c>
      <c r="BX115" s="57">
        <v>200000</v>
      </c>
      <c r="BY115" s="77">
        <v>37.5</v>
      </c>
      <c r="BZ115" s="77">
        <v>132.5</v>
      </c>
      <c r="CA115" s="77">
        <v>318</v>
      </c>
      <c r="CB115" s="77">
        <v>451</v>
      </c>
      <c r="CC115" s="77">
        <v>584</v>
      </c>
      <c r="CD115" s="77">
        <v>717</v>
      </c>
      <c r="CE115" s="77">
        <v>850</v>
      </c>
      <c r="CF115" s="77">
        <v>983</v>
      </c>
      <c r="CG115" s="77">
        <v>1116</v>
      </c>
      <c r="CH115" s="77">
        <v>1249</v>
      </c>
      <c r="CI115" s="77">
        <v>1382</v>
      </c>
      <c r="CJ115" s="77">
        <v>1567.5</v>
      </c>
      <c r="CK115" s="77">
        <v>1662.5</v>
      </c>
      <c r="DM115" s="77">
        <f>PI()*19*19/4*2</f>
        <v>567.05747397295761</v>
      </c>
      <c r="DN115" s="77">
        <f>PI()*9*9/4*2</f>
        <v>127.23450247038662</v>
      </c>
      <c r="DO115" s="77">
        <v>127.2</v>
      </c>
      <c r="DP115" s="77">
        <v>127.2</v>
      </c>
      <c r="DQ115" s="77">
        <v>127.2</v>
      </c>
      <c r="DR115" s="77">
        <v>127.2</v>
      </c>
      <c r="DS115" s="77">
        <v>127.2</v>
      </c>
      <c r="DT115" s="77">
        <v>127.2</v>
      </c>
      <c r="DU115" s="77">
        <v>127.2</v>
      </c>
      <c r="DV115" s="77">
        <v>127.2</v>
      </c>
      <c r="DW115" s="77">
        <v>127.2</v>
      </c>
      <c r="DX115" s="77">
        <f>PI()*9*9/4*2</f>
        <v>127.23450247038662</v>
      </c>
      <c r="DY115" s="77">
        <f>PI()*19*19/4*2</f>
        <v>567.05747397295761</v>
      </c>
      <c r="FA115" s="77">
        <f t="shared" ref="FA115:FA145" si="357">IF(ABS(-$BV115*($BS115-BY115)/$BS115*$BX115)&gt;$BB115,$BB115*SIGN(-($BS115-BY115)),-$BV115*($BS115-BY115)/$BS115*$BX115)*DM115</f>
        <v>-216615.95505766981</v>
      </c>
      <c r="FB115" s="77">
        <f t="shared" si="270"/>
        <v>-45223.351957370061</v>
      </c>
      <c r="FC115" s="77">
        <f t="shared" ref="FC115:FK117" si="358">IF(ABS(-$BV115*($BS115-CA115)/$BS115*$BX115)&gt;$BA115,$BA115*SIGN(-($BS115-CA115)),-$BV115*($BS115-CA115)/$BS115*$BX115)*DO115</f>
        <v>9026.1872692339894</v>
      </c>
      <c r="FD115" s="77">
        <f t="shared" si="358"/>
        <v>47913.290749762673</v>
      </c>
      <c r="FE115" s="77">
        <f t="shared" si="358"/>
        <v>51732.24</v>
      </c>
      <c r="FF115" s="77">
        <f t="shared" si="358"/>
        <v>51732.24</v>
      </c>
      <c r="FG115" s="77">
        <f t="shared" si="358"/>
        <v>51732.24</v>
      </c>
      <c r="FH115" s="77">
        <f t="shared" si="358"/>
        <v>51732.24</v>
      </c>
      <c r="FI115" s="77">
        <f t="shared" si="358"/>
        <v>51732.24</v>
      </c>
      <c r="FJ115" s="77">
        <f t="shared" si="358"/>
        <v>51732.24</v>
      </c>
      <c r="FK115" s="77">
        <f t="shared" si="358"/>
        <v>51732.24</v>
      </c>
      <c r="FL115" s="77">
        <f t="shared" ref="FL115:FM117" si="359">IF(ABS(-$BV115*($BS115-CJ115)/$BS115*$BX115)&gt;$BB115,$BB115*SIGN(-($BS115-CJ115)),-$BV115*($BS115-CJ115)/$BS115*$BX115)*DX115</f>
        <v>48603.579943687684</v>
      </c>
      <c r="FM115" s="77">
        <f t="shared" si="359"/>
        <v>216615.95505766981</v>
      </c>
      <c r="GO115" s="77">
        <f t="shared" si="275"/>
        <v>176000463.48435673</v>
      </c>
      <c r="GP115" s="77">
        <f t="shared" si="276"/>
        <v>32447755.029413018</v>
      </c>
      <c r="GQ115" s="77">
        <f t="shared" si="277"/>
        <v>-4801931.6272324827</v>
      </c>
      <c r="GR115" s="77">
        <f t="shared" si="278"/>
        <v>-19117403.009155307</v>
      </c>
      <c r="GS115" s="77">
        <f t="shared" si="341"/>
        <v>-13760775.84</v>
      </c>
      <c r="GT115" s="77">
        <f t="shared" si="342"/>
        <v>-6880387.9199999999</v>
      </c>
      <c r="GU115" s="77">
        <f t="shared" si="343"/>
        <v>0</v>
      </c>
      <c r="GV115" s="77">
        <f t="shared" si="344"/>
        <v>6880387.9199999999</v>
      </c>
      <c r="GW115" s="77">
        <f t="shared" si="345"/>
        <v>13760775.84</v>
      </c>
      <c r="GX115" s="77">
        <f t="shared" si="346"/>
        <v>20641163.759999998</v>
      </c>
      <c r="GY115" s="77">
        <f t="shared" ref="GY115:HA117" si="360">FK115*(CI115-0.5*$AO115)</f>
        <v>27521551.68</v>
      </c>
      <c r="GZ115" s="77">
        <f t="shared" si="360"/>
        <v>34873068.60959591</v>
      </c>
      <c r="HA115" s="77">
        <f t="shared" si="360"/>
        <v>176000463.48435673</v>
      </c>
      <c r="IC115" s="82">
        <v>118</v>
      </c>
    </row>
    <row r="116" spans="1:237" s="77" customFormat="1">
      <c r="A116" s="77">
        <v>115</v>
      </c>
      <c r="B116" s="69">
        <v>175</v>
      </c>
      <c r="C116" s="69" t="s">
        <v>236</v>
      </c>
      <c r="D116" s="70" t="s">
        <v>134</v>
      </c>
      <c r="E116" s="70">
        <v>1</v>
      </c>
      <c r="F116" s="70">
        <v>0.17647058823529413</v>
      </c>
      <c r="G116" s="70">
        <v>4.7058819999999998E-3</v>
      </c>
      <c r="H116" s="70">
        <v>2.0117646999999999E-2</v>
      </c>
      <c r="I116" s="70">
        <v>1.9411764705882354E-2</v>
      </c>
      <c r="J116" s="71">
        <v>1</v>
      </c>
      <c r="K116" s="72">
        <v>10.625</v>
      </c>
      <c r="L116" s="71">
        <v>0.13833333333333334</v>
      </c>
      <c r="M116" s="71">
        <v>0.30482448979591842</v>
      </c>
      <c r="N116" s="71">
        <v>0.6522585034013606</v>
      </c>
      <c r="O116" s="71">
        <v>1.0495957598742567</v>
      </c>
      <c r="P116" s="71">
        <v>0.13333333333333336</v>
      </c>
      <c r="Q116" s="73" t="s">
        <v>3</v>
      </c>
      <c r="R116" s="74">
        <v>0</v>
      </c>
      <c r="S116" s="75">
        <f t="shared" si="216"/>
        <v>0.6765984533887347</v>
      </c>
      <c r="T116" s="59">
        <f t="shared" si="188"/>
        <v>0.56012511011872357</v>
      </c>
      <c r="U116" s="59">
        <f t="shared" si="189"/>
        <v>0.42190369988964843</v>
      </c>
      <c r="V116" s="59">
        <f t="shared" si="190"/>
        <v>0.8846620866171041</v>
      </c>
      <c r="W116" s="59">
        <f t="shared" si="191"/>
        <v>1.5794008706904641</v>
      </c>
      <c r="X116" s="59">
        <f t="shared" si="192"/>
        <v>2.0968341516049591</v>
      </c>
      <c r="Y116" s="86">
        <v>705600</v>
      </c>
      <c r="Z116" s="57">
        <f t="shared" si="193"/>
        <v>1479526.1773724591</v>
      </c>
      <c r="AA116" s="57">
        <f t="shared" si="194"/>
        <v>1114425.2543591915</v>
      </c>
      <c r="AB116" s="57">
        <f t="shared" si="326"/>
        <v>541373.00792413065</v>
      </c>
      <c r="AC116" s="57">
        <f t="shared" si="196"/>
        <v>0.25</v>
      </c>
      <c r="AD116" s="57">
        <f t="shared" si="197"/>
        <v>1.5</v>
      </c>
      <c r="AE116" s="57">
        <f t="shared" si="198"/>
        <v>533120</v>
      </c>
      <c r="AF116" s="57">
        <f t="shared" si="199"/>
        <v>248061.82632647053</v>
      </c>
      <c r="AG116" s="57">
        <f t="shared" si="271"/>
        <v>866363.42803272093</v>
      </c>
      <c r="AH116" s="57">
        <f t="shared" si="327"/>
        <v>569975009.33496058</v>
      </c>
      <c r="AI116" s="57">
        <f t="shared" si="338"/>
        <v>350359104.13606155</v>
      </c>
      <c r="AJ116" s="77">
        <v>533120</v>
      </c>
      <c r="AK116" s="77">
        <v>14.7</v>
      </c>
      <c r="AL116" s="78">
        <f t="shared" si="203"/>
        <v>2.0145319240088</v>
      </c>
      <c r="AM116" s="57">
        <f t="shared" si="204"/>
        <v>1</v>
      </c>
      <c r="AN116" s="57">
        <f t="shared" si="205"/>
        <v>0.8</v>
      </c>
      <c r="AO116" s="77">
        <v>1700</v>
      </c>
      <c r="AP116" s="79">
        <v>170</v>
      </c>
      <c r="AQ116" s="77">
        <f t="shared" si="206"/>
        <v>189.49227357202722</v>
      </c>
      <c r="AR116" s="57">
        <f t="shared" si="328"/>
        <v>1360</v>
      </c>
      <c r="AS116" s="77">
        <f t="shared" si="208"/>
        <v>1510.5077264279728</v>
      </c>
      <c r="AT116" s="77">
        <v>160</v>
      </c>
      <c r="AU116" s="77">
        <v>1700</v>
      </c>
      <c r="AV116" s="77">
        <f t="shared" si="209"/>
        <v>272000</v>
      </c>
      <c r="AW116" s="77">
        <v>0</v>
      </c>
      <c r="AX116" s="77">
        <f t="shared" si="210"/>
        <v>272000</v>
      </c>
      <c r="AY116" s="77">
        <v>272000</v>
      </c>
      <c r="AZ116" s="77">
        <v>414.9</v>
      </c>
      <c r="BA116" s="77">
        <v>406.7</v>
      </c>
      <c r="BB116" s="77">
        <v>382</v>
      </c>
      <c r="BC116" s="77">
        <v>414.9</v>
      </c>
      <c r="BD116" s="77">
        <v>5.0000000000000001E-3</v>
      </c>
      <c r="BE116" s="77">
        <v>1.0800000000000001E-2</v>
      </c>
      <c r="BF116" s="77">
        <v>2.5100000000000001E-2</v>
      </c>
      <c r="BH116" s="79"/>
      <c r="BI116" s="79"/>
      <c r="BJ116" s="79"/>
      <c r="BK116" s="57"/>
      <c r="BL116" s="57">
        <f t="shared" si="243"/>
        <v>1088</v>
      </c>
      <c r="BM116" s="80">
        <f>PI()*19*19/4+PI()*9*9/4</f>
        <v>347.1459882216721</v>
      </c>
      <c r="BN116" s="80">
        <v>2</v>
      </c>
      <c r="BO116" s="57">
        <f t="shared" si="329"/>
        <v>694.2919764433442</v>
      </c>
      <c r="BP116" s="57">
        <f t="shared" si="213"/>
        <v>624217.56831702869</v>
      </c>
      <c r="BQ116" s="77">
        <f t="shared" si="214"/>
        <v>4.6566128730773926E-10</v>
      </c>
      <c r="BR116" s="57">
        <f t="shared" si="330"/>
        <v>1061169866.1389488</v>
      </c>
      <c r="BS116" s="57">
        <v>378.98454714405443</v>
      </c>
      <c r="BT116" s="57">
        <f t="shared" si="220"/>
        <v>311.46384479717813</v>
      </c>
      <c r="BU116" s="57"/>
      <c r="BV116" s="57">
        <v>3.3E-3</v>
      </c>
      <c r="BW116" s="57">
        <v>30000</v>
      </c>
      <c r="BX116" s="57">
        <v>200000</v>
      </c>
      <c r="BY116" s="77">
        <v>37.5</v>
      </c>
      <c r="BZ116" s="77">
        <v>132.5</v>
      </c>
      <c r="CA116" s="77">
        <v>318</v>
      </c>
      <c r="CB116" s="77">
        <v>451</v>
      </c>
      <c r="CC116" s="77">
        <v>584</v>
      </c>
      <c r="CD116" s="77">
        <v>717</v>
      </c>
      <c r="CE116" s="77">
        <v>850</v>
      </c>
      <c r="CF116" s="77">
        <v>983</v>
      </c>
      <c r="CG116" s="77">
        <v>1116</v>
      </c>
      <c r="CH116" s="77">
        <v>1249</v>
      </c>
      <c r="CI116" s="77">
        <v>1382</v>
      </c>
      <c r="CJ116" s="77">
        <v>1567.5</v>
      </c>
      <c r="CK116" s="77">
        <v>1662.5</v>
      </c>
      <c r="DM116" s="77">
        <f>PI()*19*19/4*2</f>
        <v>567.05747397295761</v>
      </c>
      <c r="DN116" s="77">
        <f>PI()*9*9/4*2</f>
        <v>127.23450247038662</v>
      </c>
      <c r="DO116" s="77">
        <v>127.2</v>
      </c>
      <c r="DP116" s="77">
        <v>127.2</v>
      </c>
      <c r="DQ116" s="77">
        <v>127.2</v>
      </c>
      <c r="DR116" s="77">
        <v>127.2</v>
      </c>
      <c r="DS116" s="77">
        <v>127.2</v>
      </c>
      <c r="DT116" s="77">
        <v>127.2</v>
      </c>
      <c r="DU116" s="77">
        <v>127.2</v>
      </c>
      <c r="DV116" s="77">
        <v>127.2</v>
      </c>
      <c r="DW116" s="77">
        <v>127.2</v>
      </c>
      <c r="DX116" s="77">
        <f>PI()*9*9/4*2</f>
        <v>127.23450247038662</v>
      </c>
      <c r="DY116" s="77">
        <f>PI()*19*19/4*2</f>
        <v>567.05747397295761</v>
      </c>
      <c r="FA116" s="77">
        <f t="shared" si="357"/>
        <v>-216615.95505766981</v>
      </c>
      <c r="FB116" s="77">
        <f t="shared" si="270"/>
        <v>-48603.579943687684</v>
      </c>
      <c r="FC116" s="77">
        <f t="shared" si="358"/>
        <v>-13509.191180535387</v>
      </c>
      <c r="FD116" s="77">
        <f t="shared" si="358"/>
        <v>15952.738294272142</v>
      </c>
      <c r="FE116" s="77">
        <f t="shared" si="358"/>
        <v>45414.667769079671</v>
      </c>
      <c r="FF116" s="77">
        <f t="shared" si="358"/>
        <v>51732.24</v>
      </c>
      <c r="FG116" s="77">
        <f t="shared" si="358"/>
        <v>51732.24</v>
      </c>
      <c r="FH116" s="77">
        <f t="shared" si="358"/>
        <v>51732.24</v>
      </c>
      <c r="FI116" s="77">
        <f t="shared" si="358"/>
        <v>51732.24</v>
      </c>
      <c r="FJ116" s="77">
        <f t="shared" si="358"/>
        <v>51732.24</v>
      </c>
      <c r="FK116" s="77">
        <f t="shared" si="358"/>
        <v>51732.24</v>
      </c>
      <c r="FL116" s="77">
        <f t="shared" si="359"/>
        <v>48603.579943687684</v>
      </c>
      <c r="FM116" s="77">
        <f t="shared" si="359"/>
        <v>216615.95505766981</v>
      </c>
      <c r="GO116" s="77">
        <f t="shared" si="275"/>
        <v>176000463.48435673</v>
      </c>
      <c r="GP116" s="77">
        <f t="shared" si="276"/>
        <v>34873068.60959591</v>
      </c>
      <c r="GQ116" s="77">
        <f t="shared" si="277"/>
        <v>7186889.7080448261</v>
      </c>
      <c r="GR116" s="77">
        <f t="shared" si="278"/>
        <v>-6365142.5794145847</v>
      </c>
      <c r="GS116" s="77">
        <f t="shared" si="341"/>
        <v>-12080301.626575192</v>
      </c>
      <c r="GT116" s="77">
        <f t="shared" si="342"/>
        <v>-6880387.9199999999</v>
      </c>
      <c r="GU116" s="77">
        <f t="shared" si="343"/>
        <v>0</v>
      </c>
      <c r="GV116" s="77">
        <f t="shared" si="344"/>
        <v>6880387.9199999999</v>
      </c>
      <c r="GW116" s="77">
        <f t="shared" si="345"/>
        <v>13760775.84</v>
      </c>
      <c r="GX116" s="77">
        <f t="shared" si="346"/>
        <v>20641163.759999998</v>
      </c>
      <c r="GY116" s="77">
        <f t="shared" si="360"/>
        <v>27521551.68</v>
      </c>
      <c r="GZ116" s="77">
        <f t="shared" si="360"/>
        <v>34873068.60959591</v>
      </c>
      <c r="HA116" s="77">
        <f t="shared" si="360"/>
        <v>176000463.48435673</v>
      </c>
      <c r="IC116" s="82">
        <v>120</v>
      </c>
    </row>
    <row r="117" spans="1:237" s="77" customFormat="1">
      <c r="A117" s="77">
        <v>116</v>
      </c>
      <c r="B117" s="69">
        <v>176</v>
      </c>
      <c r="C117" s="69" t="s">
        <v>236</v>
      </c>
      <c r="D117" s="70" t="s">
        <v>135</v>
      </c>
      <c r="E117" s="70">
        <v>1</v>
      </c>
      <c r="F117" s="70">
        <v>0.15258357441337192</v>
      </c>
      <c r="G117" s="70">
        <v>4.7058819999999998E-3</v>
      </c>
      <c r="H117" s="70">
        <v>1.7941176E-2</v>
      </c>
      <c r="I117" s="70">
        <v>1.8823529411764704E-2</v>
      </c>
      <c r="J117" s="71">
        <v>1</v>
      </c>
      <c r="K117" s="72">
        <v>10.625</v>
      </c>
      <c r="L117" s="71">
        <v>0.11112021857923497</v>
      </c>
      <c r="M117" s="71">
        <v>0.24485901639344262</v>
      </c>
      <c r="N117" s="71">
        <v>0.52394535519125685</v>
      </c>
      <c r="O117" s="71">
        <v>0.84311790547276355</v>
      </c>
      <c r="P117" s="71">
        <v>0.10710382513661201</v>
      </c>
      <c r="Q117" s="73" t="s">
        <v>3</v>
      </c>
      <c r="R117" s="74">
        <v>0</v>
      </c>
      <c r="S117" s="75">
        <f t="shared" si="216"/>
        <v>0.65272963270248907</v>
      </c>
      <c r="T117" s="59">
        <f t="shared" si="188"/>
        <v>0.55660233524422575</v>
      </c>
      <c r="U117" s="59">
        <f t="shared" si="189"/>
        <v>0.42817362957221727</v>
      </c>
      <c r="V117" s="59">
        <f t="shared" si="190"/>
        <v>0.85110659153155654</v>
      </c>
      <c r="W117" s="59">
        <f t="shared" si="191"/>
        <v>1.5291107090991782</v>
      </c>
      <c r="X117" s="59">
        <f t="shared" si="192"/>
        <v>1.9877604148155645</v>
      </c>
      <c r="Y117" s="86">
        <v>759500</v>
      </c>
      <c r="Z117" s="57">
        <f t="shared" si="193"/>
        <v>1509704.0350524213</v>
      </c>
      <c r="AA117" s="57">
        <f t="shared" si="194"/>
        <v>1161359.5835608258</v>
      </c>
      <c r="AB117" s="57">
        <f t="shared" si="326"/>
        <v>641987.95699341421</v>
      </c>
      <c r="AC117" s="57">
        <f t="shared" si="196"/>
        <v>0.25</v>
      </c>
      <c r="AD117" s="57">
        <f t="shared" si="197"/>
        <v>1.5</v>
      </c>
      <c r="AE117" s="57">
        <f t="shared" si="198"/>
        <v>533120</v>
      </c>
      <c r="AF117" s="57">
        <f t="shared" si="199"/>
        <v>277447.07016159373</v>
      </c>
      <c r="AG117" s="57">
        <f t="shared" si="271"/>
        <v>883912.51339923206</v>
      </c>
      <c r="AH117" s="57">
        <f t="shared" si="327"/>
        <v>724790635.32695591</v>
      </c>
      <c r="AI117" s="57">
        <f t="shared" si="338"/>
        <v>366588891.56184834</v>
      </c>
      <c r="AJ117" s="77">
        <v>533120</v>
      </c>
      <c r="AK117" s="77">
        <v>18.3</v>
      </c>
      <c r="AL117" s="78">
        <f t="shared" si="203"/>
        <v>2.2724677009632233</v>
      </c>
      <c r="AM117" s="57">
        <f t="shared" si="204"/>
        <v>1</v>
      </c>
      <c r="AN117" s="57">
        <f t="shared" si="205"/>
        <v>0.8</v>
      </c>
      <c r="AO117" s="77">
        <v>1700</v>
      </c>
      <c r="AP117" s="79">
        <v>170</v>
      </c>
      <c r="AQ117" s="77">
        <f t="shared" si="206"/>
        <v>158.89538065140653</v>
      </c>
      <c r="AR117" s="57">
        <f t="shared" si="328"/>
        <v>1360</v>
      </c>
      <c r="AS117" s="77">
        <f t="shared" si="208"/>
        <v>1541.1046193485936</v>
      </c>
      <c r="AT117" s="77">
        <v>160</v>
      </c>
      <c r="AU117" s="77">
        <v>1700</v>
      </c>
      <c r="AV117" s="77">
        <f t="shared" si="209"/>
        <v>272000</v>
      </c>
      <c r="AW117" s="77">
        <v>0</v>
      </c>
      <c r="AX117" s="77">
        <f t="shared" si="210"/>
        <v>272000</v>
      </c>
      <c r="AY117" s="77">
        <v>272000</v>
      </c>
      <c r="AZ117" s="77">
        <v>414.9</v>
      </c>
      <c r="BA117" s="77">
        <v>406.7</v>
      </c>
      <c r="BB117" s="77">
        <v>382</v>
      </c>
      <c r="BC117" s="77">
        <v>414.9</v>
      </c>
      <c r="BD117" s="77">
        <v>5.0000000000000001E-3</v>
      </c>
      <c r="BE117" s="77">
        <v>1.0800000000000001E-2</v>
      </c>
      <c r="BF117" s="77">
        <v>2.5100000000000001E-2</v>
      </c>
      <c r="BH117" s="79"/>
      <c r="BI117" s="79"/>
      <c r="BJ117" s="79"/>
      <c r="BK117" s="57"/>
      <c r="BL117" s="57">
        <f t="shared" si="243"/>
        <v>1088</v>
      </c>
      <c r="BM117" s="80">
        <f>PI()*19*19/4+PI()*9*9/4</f>
        <v>347.1459882216721</v>
      </c>
      <c r="BN117" s="80">
        <v>2</v>
      </c>
      <c r="BO117" s="57">
        <f t="shared" si="329"/>
        <v>694.2919764433442</v>
      </c>
      <c r="BP117" s="57">
        <f t="shared" si="213"/>
        <v>646415.45626821718</v>
      </c>
      <c r="BQ117" s="77">
        <f t="shared" si="214"/>
        <v>2.6775524020195007E-9</v>
      </c>
      <c r="BR117" s="57">
        <f t="shared" si="330"/>
        <v>1098906275.6559691</v>
      </c>
      <c r="BS117" s="57">
        <v>317.79076130281305</v>
      </c>
      <c r="BT117" s="57">
        <f t="shared" si="220"/>
        <v>257.19065391196534</v>
      </c>
      <c r="BU117" s="57"/>
      <c r="BV117" s="57">
        <v>3.3E-3</v>
      </c>
      <c r="BW117" s="57">
        <v>30000</v>
      </c>
      <c r="BX117" s="57">
        <v>200000</v>
      </c>
      <c r="BY117" s="77">
        <v>37.5</v>
      </c>
      <c r="BZ117" s="77">
        <v>132.5</v>
      </c>
      <c r="CA117" s="77">
        <v>318</v>
      </c>
      <c r="CB117" s="77">
        <v>451</v>
      </c>
      <c r="CC117" s="77">
        <v>584</v>
      </c>
      <c r="CD117" s="77">
        <v>717</v>
      </c>
      <c r="CE117" s="77">
        <v>850</v>
      </c>
      <c r="CF117" s="77">
        <v>983</v>
      </c>
      <c r="CG117" s="77">
        <v>1116</v>
      </c>
      <c r="CH117" s="77">
        <v>1249</v>
      </c>
      <c r="CI117" s="77">
        <v>1382</v>
      </c>
      <c r="CJ117" s="77">
        <v>1567.5</v>
      </c>
      <c r="CK117" s="77">
        <v>1662.5</v>
      </c>
      <c r="DM117" s="77">
        <f>PI()*19*19/4*2</f>
        <v>567.05747397295761</v>
      </c>
      <c r="DN117" s="77">
        <f>PI()*9*9/4*2</f>
        <v>127.23450247038662</v>
      </c>
      <c r="DO117" s="77">
        <v>127.2</v>
      </c>
      <c r="DP117" s="77">
        <v>127.2</v>
      </c>
      <c r="DQ117" s="77">
        <v>127.2</v>
      </c>
      <c r="DR117" s="77">
        <v>127.2</v>
      </c>
      <c r="DS117" s="77">
        <v>127.2</v>
      </c>
      <c r="DT117" s="77">
        <v>127.2</v>
      </c>
      <c r="DU117" s="77">
        <v>127.2</v>
      </c>
      <c r="DV117" s="77">
        <v>127.2</v>
      </c>
      <c r="DW117" s="77">
        <v>127.2</v>
      </c>
      <c r="DX117" s="77">
        <f>PI()*9*9/4*2</f>
        <v>127.23450247038662</v>
      </c>
      <c r="DY117" s="77">
        <f>PI()*19*19/4*2</f>
        <v>567.05747397295761</v>
      </c>
      <c r="FA117" s="77">
        <f t="shared" si="357"/>
        <v>-216615.95505766981</v>
      </c>
      <c r="FB117" s="77">
        <f t="shared" ref="FB117:FB148" si="361">IF(ABS(-$BV117*($BS117-BZ117)/$BS117*$BX117)&gt;$BB117,$BB117*SIGN(-($BS117-BZ117)),-$BV117*($BS117-BZ117)/$BS117*$BX117)*DN117</f>
        <v>-48603.579943687684</v>
      </c>
      <c r="FC117" s="77">
        <f t="shared" si="358"/>
        <v>55.275386339820287</v>
      </c>
      <c r="FD117" s="77">
        <f t="shared" si="358"/>
        <v>35190.393708299554</v>
      </c>
      <c r="FE117" s="77">
        <f t="shared" si="358"/>
        <v>51732.24</v>
      </c>
      <c r="FF117" s="77">
        <f t="shared" si="358"/>
        <v>51732.24</v>
      </c>
      <c r="FG117" s="77">
        <f t="shared" si="358"/>
        <v>51732.24</v>
      </c>
      <c r="FH117" s="77">
        <f t="shared" si="358"/>
        <v>51732.24</v>
      </c>
      <c r="FI117" s="77">
        <f t="shared" si="358"/>
        <v>51732.24</v>
      </c>
      <c r="FJ117" s="77">
        <f t="shared" si="358"/>
        <v>51732.24</v>
      </c>
      <c r="FK117" s="77">
        <f t="shared" si="358"/>
        <v>51732.24</v>
      </c>
      <c r="FL117" s="77">
        <f t="shared" si="359"/>
        <v>48603.579943687684</v>
      </c>
      <c r="FM117" s="77">
        <f t="shared" si="359"/>
        <v>216615.95505766981</v>
      </c>
      <c r="GO117" s="77">
        <f t="shared" si="275"/>
        <v>176000463.48435673</v>
      </c>
      <c r="GP117" s="77">
        <f t="shared" si="276"/>
        <v>34873068.60959591</v>
      </c>
      <c r="GQ117" s="77">
        <f t="shared" si="277"/>
        <v>-29406.505532784391</v>
      </c>
      <c r="GR117" s="77">
        <f t="shared" si="278"/>
        <v>-14040967.089611523</v>
      </c>
      <c r="GS117" s="77">
        <f t="shared" si="341"/>
        <v>-13760775.84</v>
      </c>
      <c r="GT117" s="77">
        <f t="shared" si="342"/>
        <v>-6880387.9199999999</v>
      </c>
      <c r="GU117" s="77">
        <f t="shared" si="343"/>
        <v>0</v>
      </c>
      <c r="GV117" s="77">
        <f t="shared" si="344"/>
        <v>6880387.9199999999</v>
      </c>
      <c r="GW117" s="77">
        <f t="shared" si="345"/>
        <v>13760775.84</v>
      </c>
      <c r="GX117" s="77">
        <f t="shared" si="346"/>
        <v>20641163.759999998</v>
      </c>
      <c r="GY117" s="77">
        <f t="shared" si="360"/>
        <v>27521551.68</v>
      </c>
      <c r="GZ117" s="77">
        <f t="shared" si="360"/>
        <v>34873068.60959591</v>
      </c>
      <c r="HA117" s="77">
        <f t="shared" si="360"/>
        <v>176000463.48435673</v>
      </c>
      <c r="IC117" s="82">
        <v>121</v>
      </c>
    </row>
    <row r="118" spans="1:237" s="77" customFormat="1">
      <c r="A118" s="77">
        <v>117</v>
      </c>
      <c r="B118" s="69">
        <v>181</v>
      </c>
      <c r="C118" s="69" t="s">
        <v>236</v>
      </c>
      <c r="D118" s="70" t="s">
        <v>136</v>
      </c>
      <c r="E118" s="70">
        <v>3</v>
      </c>
      <c r="F118" s="70">
        <v>2.9527622745288362E-2</v>
      </c>
      <c r="G118" s="70"/>
      <c r="H118" s="70">
        <v>2.4242420000000001E-3</v>
      </c>
      <c r="I118" s="87">
        <v>2.4242420000000001E-3</v>
      </c>
      <c r="J118" s="71">
        <v>0.7857142857142857</v>
      </c>
      <c r="K118" s="72">
        <v>42</v>
      </c>
      <c r="L118" s="71">
        <v>0</v>
      </c>
      <c r="M118" s="71">
        <v>0</v>
      </c>
      <c r="N118" s="71">
        <v>0.34895205047318617</v>
      </c>
      <c r="O118" s="71">
        <v>0</v>
      </c>
      <c r="P118" s="71">
        <v>0</v>
      </c>
      <c r="Q118" s="73" t="s">
        <v>28</v>
      </c>
      <c r="R118" s="74">
        <v>0.30769230769230771</v>
      </c>
      <c r="S118" s="75">
        <f t="shared" si="216"/>
        <v>0.23511108867138461</v>
      </c>
      <c r="T118" s="59">
        <f t="shared" si="188"/>
        <v>8.5009340833638873</v>
      </c>
      <c r="U118" s="59">
        <f t="shared" si="189"/>
        <v>7.2495989809779058</v>
      </c>
      <c r="V118" s="59">
        <f t="shared" si="190"/>
        <v>4.1508359331178539</v>
      </c>
      <c r="W118" s="59">
        <f t="shared" si="191"/>
        <v>0.48827998104831033</v>
      </c>
      <c r="X118" s="59">
        <f t="shared" si="192"/>
        <v>0.57256076425870717</v>
      </c>
      <c r="Y118" s="86">
        <v>14602</v>
      </c>
      <c r="Z118" s="57">
        <f t="shared" si="193"/>
        <v>8360.5322797056415</v>
      </c>
      <c r="AA118" s="57">
        <f t="shared" si="194"/>
        <v>7129.8642832674277</v>
      </c>
      <c r="AB118" s="57">
        <f t="shared" si="326"/>
        <v>100016.07877997482</v>
      </c>
      <c r="AC118" s="57">
        <f t="shared" si="196"/>
        <v>0.25</v>
      </c>
      <c r="AD118" s="57">
        <f t="shared" si="197"/>
        <v>1.5</v>
      </c>
      <c r="AE118" s="57">
        <f t="shared" si="198"/>
        <v>0</v>
      </c>
      <c r="AF118" s="57">
        <f t="shared" si="199"/>
        <v>7129.8642832674277</v>
      </c>
      <c r="AG118" s="57">
        <f t="shared" si="271"/>
        <v>0</v>
      </c>
      <c r="AH118" s="57">
        <f t="shared" si="327"/>
        <v>13088174.153347753</v>
      </c>
      <c r="AI118" s="57">
        <f t="shared" si="338"/>
        <v>19917131.844043937</v>
      </c>
      <c r="AJ118" s="77">
        <v>0</v>
      </c>
      <c r="AK118" s="77">
        <v>63.4</v>
      </c>
      <c r="AL118" s="78">
        <f t="shared" si="203"/>
        <v>4.5008932399672688</v>
      </c>
      <c r="AM118" s="57">
        <f t="shared" si="204"/>
        <v>0.94</v>
      </c>
      <c r="AN118" s="57">
        <f t="shared" si="205"/>
        <v>0.74</v>
      </c>
      <c r="AO118" s="77">
        <v>420</v>
      </c>
      <c r="AP118" s="79">
        <v>60</v>
      </c>
      <c r="AQ118" s="77">
        <f t="shared" si="206"/>
        <v>23.975038779231465</v>
      </c>
      <c r="AR118" s="57">
        <f t="shared" si="328"/>
        <v>300</v>
      </c>
      <c r="AS118" s="77">
        <f t="shared" si="208"/>
        <v>396.02496122076855</v>
      </c>
      <c r="AT118" s="77">
        <v>10</v>
      </c>
      <c r="AU118" s="77">
        <v>330</v>
      </c>
      <c r="AV118" s="77">
        <f t="shared" si="209"/>
        <v>3000</v>
      </c>
      <c r="AW118" s="77">
        <f>40*600*2</f>
        <v>48000</v>
      </c>
      <c r="AX118" s="77">
        <f t="shared" si="210"/>
        <v>4200</v>
      </c>
      <c r="AY118" s="77">
        <v>7800</v>
      </c>
      <c r="AZ118" s="77">
        <f t="shared" ref="AZ118:AZ123" si="362">BA118</f>
        <v>0</v>
      </c>
      <c r="BA118" s="77">
        <v>0</v>
      </c>
      <c r="BB118" s="77">
        <v>315.56</v>
      </c>
      <c r="BC118" s="77">
        <v>294</v>
      </c>
      <c r="BD118" s="77">
        <v>0</v>
      </c>
      <c r="BE118" s="77">
        <v>0</v>
      </c>
      <c r="BF118" s="77">
        <v>6.8199999999999997E-2</v>
      </c>
      <c r="BH118" s="79"/>
      <c r="BI118" s="79"/>
      <c r="BJ118" s="79"/>
      <c r="BK118" s="57"/>
      <c r="BL118" s="57">
        <f t="shared" si="243"/>
        <v>0</v>
      </c>
      <c r="BM118" s="80">
        <f t="shared" ref="BM118:BM147" si="363">PI()*6*6/4</f>
        <v>28.274333882308138</v>
      </c>
      <c r="BN118" s="80">
        <v>6</v>
      </c>
      <c r="BO118" s="57">
        <f t="shared" si="329"/>
        <v>169.64600329384882</v>
      </c>
      <c r="BP118" s="57">
        <f t="shared" si="213"/>
        <v>60610.506295386906</v>
      </c>
      <c r="BQ118" s="77">
        <f t="shared" si="214"/>
        <v>4.5329215936362743E-9</v>
      </c>
      <c r="BR118" s="57">
        <f t="shared" si="330"/>
        <v>20001467.077477679</v>
      </c>
      <c r="BS118" s="57">
        <v>47.95007755846293</v>
      </c>
      <c r="BT118" s="57">
        <f t="shared" si="220"/>
        <v>0</v>
      </c>
      <c r="BU118" s="57"/>
      <c r="BV118" s="57">
        <v>3.3E-3</v>
      </c>
      <c r="BW118" s="57">
        <v>30000</v>
      </c>
      <c r="BX118" s="57">
        <v>200000</v>
      </c>
      <c r="BY118" s="77">
        <f>10.5</f>
        <v>10.5</v>
      </c>
      <c r="BZ118" s="77">
        <f>49.5</f>
        <v>49.5</v>
      </c>
      <c r="CA118" s="77">
        <f>420-BZ118</f>
        <v>370.5</v>
      </c>
      <c r="CB118" s="77">
        <f>420-BY118</f>
        <v>409.5</v>
      </c>
      <c r="DM118" s="77">
        <f t="shared" ref="DM118:DP123" si="364">PI()*6*6/4*3</f>
        <v>84.823001646924411</v>
      </c>
      <c r="DN118" s="77">
        <f t="shared" si="364"/>
        <v>84.823001646924411</v>
      </c>
      <c r="DO118" s="77">
        <f t="shared" si="364"/>
        <v>84.823001646924411</v>
      </c>
      <c r="DP118" s="77">
        <f t="shared" si="364"/>
        <v>84.823001646924411</v>
      </c>
      <c r="FA118" s="77">
        <f t="shared" si="357"/>
        <v>-26766.746399703468</v>
      </c>
      <c r="FB118" s="77">
        <f t="shared" si="361"/>
        <v>1809.5818220426279</v>
      </c>
      <c r="FC118" s="77">
        <f t="shared" ref="FC118:FD123" si="365">IF(ABS(-$BV118*($BS118-CA118)/$BS118*$BX118)&gt;$BB118,$BB118*SIGN(-($BS118-CA118)),-$BV118*($BS118-CA118)/$BS118*$BX118)*DO118</f>
        <v>26766.746399703468</v>
      </c>
      <c r="FD118" s="77">
        <f t="shared" si="365"/>
        <v>26766.746399703468</v>
      </c>
      <c r="GO118" s="77">
        <f t="shared" si="275"/>
        <v>5339965.9067408424</v>
      </c>
      <c r="GP118" s="77">
        <f t="shared" si="276"/>
        <v>-290437.88243784179</v>
      </c>
      <c r="GQ118" s="77">
        <f t="shared" si="277"/>
        <v>4296062.7971524065</v>
      </c>
      <c r="GR118" s="77">
        <f t="shared" si="278"/>
        <v>5339965.9067408424</v>
      </c>
      <c r="IC118" s="82">
        <v>126</v>
      </c>
    </row>
    <row r="119" spans="1:237" s="77" customFormat="1">
      <c r="A119" s="77">
        <v>118</v>
      </c>
      <c r="B119" s="69">
        <v>182</v>
      </c>
      <c r="C119" s="69" t="s">
        <v>236</v>
      </c>
      <c r="D119" s="70" t="s">
        <v>137</v>
      </c>
      <c r="E119" s="70">
        <v>3</v>
      </c>
      <c r="F119" s="70">
        <v>5.639093352027106E-2</v>
      </c>
      <c r="G119" s="70"/>
      <c r="H119" s="70">
        <v>3.333333E-3</v>
      </c>
      <c r="I119" s="87">
        <v>3.333333E-3</v>
      </c>
      <c r="J119" s="71">
        <v>0.7857142857142857</v>
      </c>
      <c r="K119" s="72">
        <v>21</v>
      </c>
      <c r="L119" s="71">
        <v>0</v>
      </c>
      <c r="M119" s="71">
        <v>0</v>
      </c>
      <c r="N119" s="71">
        <v>0.34895205047318617</v>
      </c>
      <c r="O119" s="71">
        <v>0</v>
      </c>
      <c r="P119" s="71">
        <v>0</v>
      </c>
      <c r="Q119" s="73" t="s">
        <v>28</v>
      </c>
      <c r="R119" s="74">
        <v>0.22222222222222221</v>
      </c>
      <c r="S119" s="75">
        <f t="shared" si="216"/>
        <v>0.44900782855139149</v>
      </c>
      <c r="T119" s="59">
        <f t="shared" si="188"/>
        <v>4.3303638288510671</v>
      </c>
      <c r="U119" s="59">
        <f t="shared" si="189"/>
        <v>3.7416820654164611</v>
      </c>
      <c r="V119" s="59">
        <f t="shared" si="190"/>
        <v>1.6203487873360611</v>
      </c>
      <c r="W119" s="59">
        <f t="shared" si="191"/>
        <v>0.37418305975596799</v>
      </c>
      <c r="X119" s="59">
        <f t="shared" si="192"/>
        <v>0.4330535729672455</v>
      </c>
      <c r="Y119" s="86">
        <v>38612</v>
      </c>
      <c r="Z119" s="57">
        <f t="shared" si="193"/>
        <v>16721.064559411283</v>
      </c>
      <c r="AA119" s="57">
        <f t="shared" si="194"/>
        <v>14447.956303297437</v>
      </c>
      <c r="AB119" s="57">
        <f t="shared" si="326"/>
        <v>142506.12247846622</v>
      </c>
      <c r="AC119" s="57">
        <f t="shared" si="196"/>
        <v>0.25</v>
      </c>
      <c r="AD119" s="57">
        <f t="shared" si="197"/>
        <v>1.5</v>
      </c>
      <c r="AE119" s="57">
        <f t="shared" si="198"/>
        <v>0</v>
      </c>
      <c r="AF119" s="57">
        <f t="shared" si="199"/>
        <v>14447.956303297437</v>
      </c>
      <c r="AG119" s="57">
        <f t="shared" si="271"/>
        <v>0</v>
      </c>
      <c r="AH119" s="57">
        <f t="shared" si="327"/>
        <v>26550194.772342324</v>
      </c>
      <c r="AI119" s="57">
        <f t="shared" si="338"/>
        <v>20476825.645551525</v>
      </c>
      <c r="AJ119" s="77">
        <v>0</v>
      </c>
      <c r="AK119" s="77">
        <v>63.4</v>
      </c>
      <c r="AL119" s="78">
        <f t="shared" si="203"/>
        <v>4.5008932399672688</v>
      </c>
      <c r="AM119" s="57">
        <f t="shared" si="204"/>
        <v>0.94</v>
      </c>
      <c r="AN119" s="57">
        <f t="shared" si="205"/>
        <v>0.74</v>
      </c>
      <c r="AO119" s="77">
        <v>420</v>
      </c>
      <c r="AP119" s="79">
        <v>60</v>
      </c>
      <c r="AQ119" s="77">
        <f t="shared" si="206"/>
        <v>18.747528185024652</v>
      </c>
      <c r="AR119" s="57">
        <f t="shared" si="328"/>
        <v>300</v>
      </c>
      <c r="AS119" s="77">
        <f t="shared" si="208"/>
        <v>401.25247181497537</v>
      </c>
      <c r="AT119" s="77">
        <v>20</v>
      </c>
      <c r="AU119" s="77">
        <v>330</v>
      </c>
      <c r="AV119" s="77">
        <f t="shared" si="209"/>
        <v>6000</v>
      </c>
      <c r="AW119" s="77">
        <f>40*600*2</f>
        <v>48000</v>
      </c>
      <c r="AX119" s="77">
        <f t="shared" si="210"/>
        <v>8400</v>
      </c>
      <c r="AY119" s="77">
        <v>10800</v>
      </c>
      <c r="AZ119" s="77">
        <f t="shared" si="362"/>
        <v>0</v>
      </c>
      <c r="BA119" s="77">
        <v>0</v>
      </c>
      <c r="BB119" s="77">
        <v>315.56</v>
      </c>
      <c r="BC119" s="77">
        <v>294</v>
      </c>
      <c r="BD119" s="77">
        <v>0</v>
      </c>
      <c r="BE119" s="77">
        <v>0</v>
      </c>
      <c r="BF119" s="77">
        <v>6.8199999999999997E-2</v>
      </c>
      <c r="BH119" s="79"/>
      <c r="BI119" s="79"/>
      <c r="BJ119" s="79"/>
      <c r="BK119" s="57"/>
      <c r="BL119" s="57">
        <f t="shared" si="243"/>
        <v>0</v>
      </c>
      <c r="BM119" s="80">
        <f t="shared" si="363"/>
        <v>28.274333882308138</v>
      </c>
      <c r="BN119" s="80">
        <v>6</v>
      </c>
      <c r="BO119" s="57">
        <f t="shared" si="329"/>
        <v>169.64600329384882</v>
      </c>
      <c r="BP119" s="57">
        <f t="shared" si="213"/>
        <v>62564.907376619994</v>
      </c>
      <c r="BQ119" s="77">
        <f t="shared" si="214"/>
        <v>1.3824319466948509E-10</v>
      </c>
      <c r="BR119" s="57">
        <f t="shared" si="330"/>
        <v>20646419.434284598</v>
      </c>
      <c r="BS119" s="57">
        <v>37.495056370049305</v>
      </c>
      <c r="BT119" s="57">
        <f t="shared" si="220"/>
        <v>0</v>
      </c>
      <c r="BU119" s="57"/>
      <c r="BV119" s="57">
        <v>3.3E-3</v>
      </c>
      <c r="BW119" s="57">
        <v>30000</v>
      </c>
      <c r="BX119" s="57">
        <v>200000</v>
      </c>
      <c r="BY119" s="77">
        <f>10.5</f>
        <v>10.5</v>
      </c>
      <c r="BZ119" s="77">
        <f>49.5</f>
        <v>49.5</v>
      </c>
      <c r="CA119" s="77">
        <f>420-BZ119</f>
        <v>370.5</v>
      </c>
      <c r="CB119" s="77">
        <f>420-BY119</f>
        <v>409.5</v>
      </c>
      <c r="DM119" s="77">
        <f t="shared" si="364"/>
        <v>84.823001646924411</v>
      </c>
      <c r="DN119" s="77">
        <f t="shared" si="364"/>
        <v>84.823001646924411</v>
      </c>
      <c r="DO119" s="77">
        <f t="shared" si="364"/>
        <v>84.823001646924411</v>
      </c>
      <c r="DP119" s="77">
        <f t="shared" si="364"/>
        <v>84.823001646924411</v>
      </c>
      <c r="FA119" s="77">
        <f t="shared" si="357"/>
        <v>-26766.746399703468</v>
      </c>
      <c r="FB119" s="77">
        <f t="shared" si="361"/>
        <v>17924.361188885832</v>
      </c>
      <c r="FC119" s="77">
        <f t="shared" si="365"/>
        <v>26766.746399703468</v>
      </c>
      <c r="FD119" s="77">
        <f t="shared" si="365"/>
        <v>26766.746399703468</v>
      </c>
      <c r="GO119" s="77">
        <f t="shared" si="275"/>
        <v>5339965.9067408424</v>
      </c>
      <c r="GP119" s="77">
        <f t="shared" si="276"/>
        <v>-2876859.9708161759</v>
      </c>
      <c r="GQ119" s="77">
        <f t="shared" si="277"/>
        <v>4296062.7971524065</v>
      </c>
      <c r="GR119" s="77">
        <f t="shared" si="278"/>
        <v>5339965.9067408424</v>
      </c>
      <c r="IC119" s="82">
        <v>127</v>
      </c>
    </row>
    <row r="120" spans="1:237" s="77" customFormat="1">
      <c r="A120" s="77">
        <v>119</v>
      </c>
      <c r="B120" s="69">
        <v>183</v>
      </c>
      <c r="C120" s="69" t="s">
        <v>236</v>
      </c>
      <c r="D120" s="70" t="s">
        <v>138</v>
      </c>
      <c r="E120" s="70">
        <v>3</v>
      </c>
      <c r="F120" s="70">
        <v>4.7292323869610943E-2</v>
      </c>
      <c r="G120" s="70"/>
      <c r="H120" s="70">
        <v>5.7575760000000004E-3</v>
      </c>
      <c r="I120" s="87">
        <v>5.7575760000000004E-3</v>
      </c>
      <c r="J120" s="71">
        <v>0.7857142857142857</v>
      </c>
      <c r="K120" s="72">
        <v>10.5</v>
      </c>
      <c r="L120" s="71">
        <v>0</v>
      </c>
      <c r="M120" s="71">
        <v>0</v>
      </c>
      <c r="N120" s="71">
        <v>0.49779179810725555</v>
      </c>
      <c r="O120" s="71">
        <v>0</v>
      </c>
      <c r="P120" s="71">
        <v>0</v>
      </c>
      <c r="Q120" s="73" t="s">
        <v>28</v>
      </c>
      <c r="R120" s="74">
        <v>0.1</v>
      </c>
      <c r="S120" s="75">
        <f t="shared" si="216"/>
        <v>0.37656095266111983</v>
      </c>
      <c r="T120" s="59">
        <f t="shared" si="188"/>
        <v>2.1947829061610178</v>
      </c>
      <c r="U120" s="59">
        <f t="shared" si="189"/>
        <v>1.9319551600963683</v>
      </c>
      <c r="V120" s="59">
        <f t="shared" si="190"/>
        <v>1.2826311029087245</v>
      </c>
      <c r="W120" s="59">
        <f t="shared" si="191"/>
        <v>0.58439998749225985</v>
      </c>
      <c r="X120" s="59">
        <f t="shared" si="192"/>
        <v>0.66390314299258646</v>
      </c>
      <c r="Y120" s="86">
        <v>50372</v>
      </c>
      <c r="Z120" s="57">
        <f t="shared" si="193"/>
        <v>33442.129118822566</v>
      </c>
      <c r="AA120" s="57">
        <f t="shared" si="194"/>
        <v>29437.396169960113</v>
      </c>
      <c r="AB120" s="57">
        <f t="shared" si="326"/>
        <v>228659.7744649348</v>
      </c>
      <c r="AC120" s="57">
        <f t="shared" si="196"/>
        <v>0.25</v>
      </c>
      <c r="AD120" s="57">
        <f t="shared" si="197"/>
        <v>1.5</v>
      </c>
      <c r="AE120" s="57">
        <f t="shared" si="198"/>
        <v>0</v>
      </c>
      <c r="AF120" s="57">
        <f t="shared" si="199"/>
        <v>29437.396169960113</v>
      </c>
      <c r="AG120" s="57">
        <f t="shared" ref="AG120:AG147" si="366">0.8*AZ120*BE120*AT120*AS120</f>
        <v>0</v>
      </c>
      <c r="AH120" s="57">
        <f t="shared" si="327"/>
        <v>54175851.21601779</v>
      </c>
      <c r="AI120" s="57">
        <f t="shared" si="338"/>
        <v>21281874.357410692</v>
      </c>
      <c r="AJ120" s="77">
        <v>0</v>
      </c>
      <c r="AK120" s="77">
        <v>63.4</v>
      </c>
      <c r="AL120" s="78">
        <f t="shared" si="203"/>
        <v>4.5008932399672688</v>
      </c>
      <c r="AM120" s="57">
        <f t="shared" si="204"/>
        <v>0.94</v>
      </c>
      <c r="AN120" s="57">
        <f t="shared" si="205"/>
        <v>0.74</v>
      </c>
      <c r="AO120" s="77">
        <v>420</v>
      </c>
      <c r="AP120" s="79">
        <v>60</v>
      </c>
      <c r="AQ120" s="77">
        <f t="shared" si="206"/>
        <v>11.228415665356515</v>
      </c>
      <c r="AR120" s="57">
        <f t="shared" si="328"/>
        <v>300</v>
      </c>
      <c r="AS120" s="77">
        <f t="shared" si="208"/>
        <v>408.77158433464348</v>
      </c>
      <c r="AT120" s="77">
        <v>40</v>
      </c>
      <c r="AU120" s="77">
        <v>330</v>
      </c>
      <c r="AV120" s="77">
        <f t="shared" si="209"/>
        <v>12000</v>
      </c>
      <c r="AW120" s="77">
        <f>40*600*2</f>
        <v>48000</v>
      </c>
      <c r="AX120" s="77">
        <f t="shared" si="210"/>
        <v>16800</v>
      </c>
      <c r="AY120" s="77">
        <v>16800</v>
      </c>
      <c r="AZ120" s="77">
        <f t="shared" si="362"/>
        <v>0</v>
      </c>
      <c r="BA120" s="77">
        <v>0</v>
      </c>
      <c r="BB120" s="77">
        <v>315.56</v>
      </c>
      <c r="BC120" s="77">
        <v>294</v>
      </c>
      <c r="BD120" s="77">
        <v>0</v>
      </c>
      <c r="BE120" s="77">
        <v>0</v>
      </c>
      <c r="BF120" s="77">
        <v>9.7500000000000003E-2</v>
      </c>
      <c r="BH120" s="79"/>
      <c r="BI120" s="79"/>
      <c r="BJ120" s="79"/>
      <c r="BK120" s="57"/>
      <c r="BL120" s="57">
        <f t="shared" si="243"/>
        <v>0</v>
      </c>
      <c r="BM120" s="80">
        <f t="shared" si="363"/>
        <v>28.274333882308138</v>
      </c>
      <c r="BN120" s="80">
        <v>6</v>
      </c>
      <c r="BO120" s="57">
        <f t="shared" si="329"/>
        <v>169.64600329384882</v>
      </c>
      <c r="BP120" s="57">
        <f t="shared" si="213"/>
        <v>64608.693915718271</v>
      </c>
      <c r="BQ120" s="77">
        <f t="shared" si="214"/>
        <v>0</v>
      </c>
      <c r="BR120" s="57">
        <f t="shared" si="330"/>
        <v>21320868.992187031</v>
      </c>
      <c r="BS120" s="57">
        <v>22.45683133071303</v>
      </c>
      <c r="BT120" s="57">
        <f t="shared" si="220"/>
        <v>0</v>
      </c>
      <c r="BU120" s="57"/>
      <c r="BV120" s="57">
        <v>3.3E-3</v>
      </c>
      <c r="BW120" s="57">
        <v>30000</v>
      </c>
      <c r="BX120" s="57">
        <v>200000</v>
      </c>
      <c r="BY120" s="77">
        <f>10.5</f>
        <v>10.5</v>
      </c>
      <c r="BZ120" s="77">
        <f>49.5</f>
        <v>49.5</v>
      </c>
      <c r="CA120" s="77">
        <f>420-BZ120</f>
        <v>370.5</v>
      </c>
      <c r="CB120" s="77">
        <f>420-BY120</f>
        <v>409.5</v>
      </c>
      <c r="DM120" s="77">
        <f t="shared" si="364"/>
        <v>84.823001646924411</v>
      </c>
      <c r="DN120" s="77">
        <f t="shared" si="364"/>
        <v>84.823001646924411</v>
      </c>
      <c r="DO120" s="77">
        <f t="shared" si="364"/>
        <v>84.823001646924411</v>
      </c>
      <c r="DP120" s="77">
        <f t="shared" si="364"/>
        <v>84.823001646924411</v>
      </c>
      <c r="FA120" s="77">
        <f t="shared" si="357"/>
        <v>-26766.746399703468</v>
      </c>
      <c r="FB120" s="77">
        <f t="shared" si="361"/>
        <v>26766.746399703468</v>
      </c>
      <c r="FC120" s="77">
        <f t="shared" si="365"/>
        <v>26766.746399703468</v>
      </c>
      <c r="FD120" s="77">
        <f t="shared" si="365"/>
        <v>26766.746399703468</v>
      </c>
      <c r="GO120" s="77">
        <f t="shared" si="275"/>
        <v>5339965.9067408424</v>
      </c>
      <c r="GP120" s="77">
        <f t="shared" si="276"/>
        <v>-4296062.7971524065</v>
      </c>
      <c r="GQ120" s="77">
        <f t="shared" si="277"/>
        <v>4296062.7971524065</v>
      </c>
      <c r="GR120" s="77">
        <f t="shared" si="278"/>
        <v>5339965.9067408424</v>
      </c>
      <c r="IC120" s="82">
        <v>128</v>
      </c>
    </row>
    <row r="121" spans="1:237" s="77" customFormat="1">
      <c r="A121" s="77">
        <v>120</v>
      </c>
      <c r="B121" s="69">
        <v>184</v>
      </c>
      <c r="C121" s="69" t="s">
        <v>236</v>
      </c>
      <c r="D121" s="70" t="s">
        <v>139</v>
      </c>
      <c r="E121" s="70">
        <v>3</v>
      </c>
      <c r="F121" s="70">
        <v>6.0493827160493827E-2</v>
      </c>
      <c r="G121" s="70"/>
      <c r="H121" s="70">
        <v>3.9583329999999996E-3</v>
      </c>
      <c r="I121" s="87">
        <v>3.9583329999999996E-3</v>
      </c>
      <c r="J121" s="71">
        <v>0.84210526315789469</v>
      </c>
      <c r="K121" s="72">
        <v>28.5</v>
      </c>
      <c r="L121" s="71">
        <v>0</v>
      </c>
      <c r="M121" s="71">
        <v>0</v>
      </c>
      <c r="N121" s="71">
        <v>0.53976562500000003</v>
      </c>
      <c r="O121" s="71">
        <v>0</v>
      </c>
      <c r="P121" s="71">
        <v>0</v>
      </c>
      <c r="Q121" s="73" t="s">
        <v>28</v>
      </c>
      <c r="R121" s="74">
        <v>0.22222222222222221</v>
      </c>
      <c r="S121" s="75">
        <f t="shared" si="216"/>
        <v>0.34220476324089705</v>
      </c>
      <c r="T121" s="59">
        <f t="shared" si="188"/>
        <v>5.0341689666135272</v>
      </c>
      <c r="U121" s="59">
        <f t="shared" si="189"/>
        <v>4.2100708832962139</v>
      </c>
      <c r="V121" s="59">
        <f t="shared" si="190"/>
        <v>2.1643784596775903</v>
      </c>
      <c r="W121" s="59">
        <f t="shared" si="191"/>
        <v>0.42993758732209619</v>
      </c>
      <c r="X121" s="59">
        <f t="shared" si="192"/>
        <v>0.51409549142389299</v>
      </c>
      <c r="Y121" s="86">
        <v>31360</v>
      </c>
      <c r="Z121" s="57">
        <f t="shared" si="193"/>
        <v>16122.034611053285</v>
      </c>
      <c r="AA121" s="57">
        <f t="shared" si="194"/>
        <v>13482.842738420937</v>
      </c>
      <c r="AB121" s="57">
        <f t="shared" si="326"/>
        <v>108873.76569740791</v>
      </c>
      <c r="AC121" s="57">
        <f t="shared" si="196"/>
        <v>0.25</v>
      </c>
      <c r="AD121" s="57">
        <f t="shared" si="197"/>
        <v>1.5</v>
      </c>
      <c r="AE121" s="57">
        <f t="shared" si="198"/>
        <v>0</v>
      </c>
      <c r="AF121" s="57">
        <f t="shared" si="199"/>
        <v>13482.842738420937</v>
      </c>
      <c r="AG121" s="57">
        <f t="shared" si="366"/>
        <v>0</v>
      </c>
      <c r="AH121" s="57">
        <f t="shared" si="327"/>
        <v>19791082.254906397</v>
      </c>
      <c r="AI121" s="57">
        <f t="shared" si="338"/>
        <v>32468325.279849403</v>
      </c>
      <c r="AJ121" s="77">
        <v>0</v>
      </c>
      <c r="AK121" s="77">
        <v>32</v>
      </c>
      <c r="AL121" s="78">
        <f t="shared" si="203"/>
        <v>3.0901681212305276</v>
      </c>
      <c r="AM121" s="57">
        <f t="shared" si="204"/>
        <v>1</v>
      </c>
      <c r="AN121" s="57">
        <f t="shared" si="205"/>
        <v>0.8</v>
      </c>
      <c r="AO121" s="77">
        <v>570</v>
      </c>
      <c r="AP121" s="79">
        <v>60</v>
      </c>
      <c r="AQ121" s="77">
        <f t="shared" si="206"/>
        <v>24.607232945145949</v>
      </c>
      <c r="AR121" s="57">
        <f t="shared" si="328"/>
        <v>450</v>
      </c>
      <c r="AS121" s="77">
        <f t="shared" si="208"/>
        <v>545.39276705485406</v>
      </c>
      <c r="AT121" s="77">
        <v>20</v>
      </c>
      <c r="AU121" s="77">
        <v>480</v>
      </c>
      <c r="AV121" s="77">
        <f t="shared" si="209"/>
        <v>9000</v>
      </c>
      <c r="AW121" s="77">
        <f t="shared" ref="AW121:AW147" si="367">60*60*2</f>
        <v>7200</v>
      </c>
      <c r="AX121" s="77">
        <f t="shared" si="210"/>
        <v>11400</v>
      </c>
      <c r="AY121" s="77">
        <v>16200</v>
      </c>
      <c r="AZ121" s="77">
        <f t="shared" si="362"/>
        <v>0</v>
      </c>
      <c r="BA121" s="77">
        <v>0</v>
      </c>
      <c r="BB121" s="77">
        <v>367.5</v>
      </c>
      <c r="BC121" s="77">
        <v>294</v>
      </c>
      <c r="BD121" s="77">
        <v>0</v>
      </c>
      <c r="BE121" s="77">
        <v>0</v>
      </c>
      <c r="BF121" s="77">
        <v>4.7E-2</v>
      </c>
      <c r="BH121" s="79"/>
      <c r="BI121" s="79"/>
      <c r="BJ121" s="79"/>
      <c r="BK121" s="57"/>
      <c r="BL121" s="57">
        <f t="shared" si="243"/>
        <v>0</v>
      </c>
      <c r="BM121" s="80">
        <f t="shared" si="363"/>
        <v>28.274333882308138</v>
      </c>
      <c r="BN121" s="80">
        <v>6</v>
      </c>
      <c r="BO121" s="57">
        <f t="shared" si="329"/>
        <v>169.64600329384882</v>
      </c>
      <c r="BP121" s="57">
        <f t="shared" si="213"/>
        <v>67874.908495489231</v>
      </c>
      <c r="BQ121" s="77">
        <f t="shared" si="214"/>
        <v>8.0144673120230436E-9</v>
      </c>
      <c r="BR121" s="57">
        <f t="shared" si="330"/>
        <v>32579956.07783483</v>
      </c>
      <c r="BS121" s="57">
        <v>49.214465890291898</v>
      </c>
      <c r="BT121" s="57">
        <f t="shared" si="220"/>
        <v>0</v>
      </c>
      <c r="BU121" s="57"/>
      <c r="BV121" s="57">
        <v>3.3E-3</v>
      </c>
      <c r="BW121" s="57">
        <v>30000</v>
      </c>
      <c r="BX121" s="57">
        <v>200000</v>
      </c>
      <c r="BY121" s="77">
        <v>10.5</v>
      </c>
      <c r="BZ121" s="77">
        <v>49.5</v>
      </c>
      <c r="CA121" s="77">
        <v>520.5</v>
      </c>
      <c r="CB121" s="77">
        <v>559.5</v>
      </c>
      <c r="DM121" s="77">
        <f t="shared" si="364"/>
        <v>84.823001646924411</v>
      </c>
      <c r="DN121" s="77">
        <f t="shared" si="364"/>
        <v>84.823001646924411</v>
      </c>
      <c r="DO121" s="77">
        <f t="shared" si="364"/>
        <v>84.823001646924411</v>
      </c>
      <c r="DP121" s="77">
        <f t="shared" si="364"/>
        <v>84.823001646924411</v>
      </c>
      <c r="FA121" s="77">
        <f t="shared" si="357"/>
        <v>-31172.45310524472</v>
      </c>
      <c r="FB121" s="77">
        <f t="shared" si="361"/>
        <v>324.80506455011073</v>
      </c>
      <c r="FC121" s="77">
        <f t="shared" si="365"/>
        <v>31172.45310524472</v>
      </c>
      <c r="FD121" s="77">
        <f t="shared" si="365"/>
        <v>31172.45310524472</v>
      </c>
      <c r="GO121" s="77">
        <f t="shared" si="275"/>
        <v>8556838.377389675</v>
      </c>
      <c r="GP121" s="77">
        <f t="shared" si="276"/>
        <v>-76491.592701551082</v>
      </c>
      <c r="GQ121" s="77">
        <f t="shared" si="277"/>
        <v>7341112.7062851312</v>
      </c>
      <c r="GR121" s="77">
        <f t="shared" si="278"/>
        <v>8556838.377389675</v>
      </c>
      <c r="IC121" s="82">
        <v>129</v>
      </c>
    </row>
    <row r="122" spans="1:237" s="77" customFormat="1">
      <c r="A122" s="77">
        <v>121</v>
      </c>
      <c r="B122" s="69">
        <v>185</v>
      </c>
      <c r="C122" s="69" t="s">
        <v>236</v>
      </c>
      <c r="D122" s="70" t="s">
        <v>140</v>
      </c>
      <c r="E122" s="70">
        <v>3</v>
      </c>
      <c r="F122" s="70">
        <v>5.8994386503529124E-2</v>
      </c>
      <c r="G122" s="70"/>
      <c r="H122" s="70">
        <v>1.8749999999999999E-3</v>
      </c>
      <c r="I122" s="87">
        <v>1.8749999999999999E-3</v>
      </c>
      <c r="J122" s="71">
        <v>0.84210526315789469</v>
      </c>
      <c r="K122" s="72">
        <v>19</v>
      </c>
      <c r="L122" s="71">
        <v>0</v>
      </c>
      <c r="M122" s="71">
        <v>0</v>
      </c>
      <c r="N122" s="71">
        <v>0.53808411214953267</v>
      </c>
      <c r="O122" s="71">
        <v>0</v>
      </c>
      <c r="P122" s="71">
        <v>0</v>
      </c>
      <c r="Q122" s="73" t="s">
        <v>28</v>
      </c>
      <c r="R122" s="74">
        <v>0.17391304347826086</v>
      </c>
      <c r="S122" s="75">
        <f t="shared" si="216"/>
        <v>0.33424368088205003</v>
      </c>
      <c r="T122" s="59">
        <f t="shared" si="188"/>
        <v>3.3670930053138841</v>
      </c>
      <c r="U122" s="59">
        <f t="shared" si="189"/>
        <v>2.8342231349697533</v>
      </c>
      <c r="V122" s="59">
        <f t="shared" si="190"/>
        <v>1.7512034614177816</v>
      </c>
      <c r="W122" s="59">
        <f t="shared" si="191"/>
        <v>0.52009358180901588</v>
      </c>
      <c r="X122" s="59">
        <f t="shared" si="192"/>
        <v>0.61787776685990192</v>
      </c>
      <c r="Y122" s="86">
        <v>39200</v>
      </c>
      <c r="Z122" s="57">
        <f t="shared" si="193"/>
        <v>24220.808460908156</v>
      </c>
      <c r="AA122" s="57">
        <f t="shared" si="194"/>
        <v>20387.668406913421</v>
      </c>
      <c r="AB122" s="57">
        <f t="shared" si="326"/>
        <v>130999.52662130431</v>
      </c>
      <c r="AC122" s="57">
        <f t="shared" si="196"/>
        <v>0.25</v>
      </c>
      <c r="AD122" s="57">
        <f t="shared" si="197"/>
        <v>1.5</v>
      </c>
      <c r="AE122" s="57">
        <f t="shared" si="198"/>
        <v>0</v>
      </c>
      <c r="AF122" s="57">
        <f t="shared" si="199"/>
        <v>20387.668406913421</v>
      </c>
      <c r="AG122" s="57">
        <f t="shared" si="366"/>
        <v>0</v>
      </c>
      <c r="AH122" s="57">
        <f t="shared" si="327"/>
        <v>29979537.030128639</v>
      </c>
      <c r="AI122" s="57">
        <f t="shared" si="338"/>
        <v>32900235.748097431</v>
      </c>
      <c r="AJ122" s="77">
        <v>0</v>
      </c>
      <c r="AK122" s="77">
        <v>32.1</v>
      </c>
      <c r="AL122" s="78">
        <f t="shared" si="203"/>
        <v>3.0954756188626003</v>
      </c>
      <c r="AM122" s="57">
        <f t="shared" si="204"/>
        <v>1</v>
      </c>
      <c r="AN122" s="57">
        <f t="shared" si="205"/>
        <v>0.8</v>
      </c>
      <c r="AO122" s="77">
        <v>570</v>
      </c>
      <c r="AP122" s="79">
        <v>60</v>
      </c>
      <c r="AQ122" s="77">
        <f t="shared" si="206"/>
        <v>21.143353580328167</v>
      </c>
      <c r="AR122" s="57">
        <f t="shared" si="328"/>
        <v>450</v>
      </c>
      <c r="AS122" s="77">
        <f t="shared" si="208"/>
        <v>548.85664641967185</v>
      </c>
      <c r="AT122" s="77">
        <v>30</v>
      </c>
      <c r="AU122" s="77">
        <v>480</v>
      </c>
      <c r="AV122" s="77">
        <f t="shared" si="209"/>
        <v>13500</v>
      </c>
      <c r="AW122" s="77">
        <f t="shared" si="367"/>
        <v>7200</v>
      </c>
      <c r="AX122" s="77">
        <f t="shared" si="210"/>
        <v>17100</v>
      </c>
      <c r="AY122" s="77">
        <v>20700</v>
      </c>
      <c r="AZ122" s="77">
        <f t="shared" si="362"/>
        <v>0</v>
      </c>
      <c r="BA122" s="77">
        <v>0</v>
      </c>
      <c r="BB122" s="77">
        <v>367.5</v>
      </c>
      <c r="BC122" s="77">
        <v>294</v>
      </c>
      <c r="BD122" s="77">
        <v>0</v>
      </c>
      <c r="BE122" s="77">
        <v>0</v>
      </c>
      <c r="BF122" s="77">
        <v>4.7E-2</v>
      </c>
      <c r="BH122" s="79"/>
      <c r="BI122" s="79"/>
      <c r="BJ122" s="79"/>
      <c r="BK122" s="57"/>
      <c r="BL122" s="57">
        <f t="shared" si="243"/>
        <v>0</v>
      </c>
      <c r="BM122" s="80">
        <f t="shared" si="363"/>
        <v>28.274333882308138</v>
      </c>
      <c r="BN122" s="80">
        <v>6</v>
      </c>
      <c r="BO122" s="57">
        <f t="shared" si="329"/>
        <v>169.64600329384882</v>
      </c>
      <c r="BP122" s="57">
        <f t="shared" si="213"/>
        <v>68647.175687577037</v>
      </c>
      <c r="BQ122" s="77">
        <f t="shared" si="214"/>
        <v>3.878085408359766E-9</v>
      </c>
      <c r="BR122" s="57">
        <f t="shared" si="330"/>
        <v>32950644.330036975</v>
      </c>
      <c r="BS122" s="57">
        <v>42.286707160656334</v>
      </c>
      <c r="BT122" s="57">
        <f t="shared" si="220"/>
        <v>0</v>
      </c>
      <c r="BU122" s="57"/>
      <c r="BV122" s="57">
        <v>3.3E-3</v>
      </c>
      <c r="BW122" s="57">
        <v>30000</v>
      </c>
      <c r="BX122" s="57">
        <v>200000</v>
      </c>
      <c r="BY122" s="77">
        <v>10.5</v>
      </c>
      <c r="BZ122" s="77">
        <v>49.5</v>
      </c>
      <c r="CA122" s="77">
        <v>520.5</v>
      </c>
      <c r="CB122" s="77">
        <v>559.5</v>
      </c>
      <c r="DM122" s="77">
        <f t="shared" si="364"/>
        <v>84.823001646924411</v>
      </c>
      <c r="DN122" s="77">
        <f t="shared" si="364"/>
        <v>84.823001646924411</v>
      </c>
      <c r="DO122" s="77">
        <f t="shared" si="364"/>
        <v>84.823001646924411</v>
      </c>
      <c r="DP122" s="77">
        <f t="shared" si="364"/>
        <v>84.823001646924411</v>
      </c>
      <c r="FA122" s="77">
        <f t="shared" si="357"/>
        <v>-31172.45310524472</v>
      </c>
      <c r="FB122" s="77">
        <f t="shared" si="361"/>
        <v>9549.6458904712108</v>
      </c>
      <c r="FC122" s="77">
        <f t="shared" si="365"/>
        <v>31172.45310524472</v>
      </c>
      <c r="FD122" s="77">
        <f t="shared" si="365"/>
        <v>31172.45310524472</v>
      </c>
      <c r="GO122" s="77">
        <f t="shared" si="275"/>
        <v>8556838.377389675</v>
      </c>
      <c r="GP122" s="77">
        <f t="shared" si="276"/>
        <v>-2248941.6072059702</v>
      </c>
      <c r="GQ122" s="77">
        <f t="shared" si="277"/>
        <v>7341112.7062851312</v>
      </c>
      <c r="GR122" s="77">
        <f t="shared" si="278"/>
        <v>8556838.377389675</v>
      </c>
      <c r="IC122" s="82">
        <v>130</v>
      </c>
    </row>
    <row r="123" spans="1:237" s="77" customFormat="1">
      <c r="A123" s="77">
        <v>122</v>
      </c>
      <c r="B123" s="69">
        <v>186</v>
      </c>
      <c r="C123" s="69" t="s">
        <v>236</v>
      </c>
      <c r="D123" s="70" t="s">
        <v>141</v>
      </c>
      <c r="E123" s="70">
        <v>3</v>
      </c>
      <c r="F123" s="70">
        <v>7.0046236712903387E-2</v>
      </c>
      <c r="G123" s="70"/>
      <c r="H123" s="70">
        <v>2.7083329999999998E-3</v>
      </c>
      <c r="I123" s="87">
        <v>2.7083329999999998E-3</v>
      </c>
      <c r="J123" s="71">
        <v>0.84210526315789469</v>
      </c>
      <c r="K123" s="72">
        <v>14.25</v>
      </c>
      <c r="L123" s="71">
        <v>0</v>
      </c>
      <c r="M123" s="71">
        <v>0</v>
      </c>
      <c r="N123" s="71">
        <v>0.51869369369369378</v>
      </c>
      <c r="O123" s="71">
        <v>0</v>
      </c>
      <c r="P123" s="71">
        <v>0</v>
      </c>
      <c r="Q123" s="73" t="s">
        <v>28</v>
      </c>
      <c r="R123" s="74">
        <v>0.14285714285714285</v>
      </c>
      <c r="S123" s="75">
        <f t="shared" si="216"/>
        <v>0.40420987957423199</v>
      </c>
      <c r="T123" s="59">
        <f t="shared" si="188"/>
        <v>2.491716175673004</v>
      </c>
      <c r="U123" s="59">
        <f t="shared" si="189"/>
        <v>2.1108949397860401</v>
      </c>
      <c r="V123" s="59">
        <f t="shared" si="190"/>
        <v>1.1812287520562348</v>
      </c>
      <c r="W123" s="59">
        <f t="shared" si="191"/>
        <v>0.47406232041544177</v>
      </c>
      <c r="X123" s="59">
        <f t="shared" si="192"/>
        <v>0.55958670883732564</v>
      </c>
      <c r="Y123" s="86">
        <v>58780</v>
      </c>
      <c r="Z123" s="57">
        <f t="shared" si="193"/>
        <v>32892.506745457998</v>
      </c>
      <c r="AA123" s="57">
        <f t="shared" si="194"/>
        <v>27865.383194019669</v>
      </c>
      <c r="AB123" s="57">
        <f t="shared" si="326"/>
        <v>156007.46360312999</v>
      </c>
      <c r="AC123" s="57">
        <f t="shared" si="196"/>
        <v>0.25</v>
      </c>
      <c r="AD123" s="57">
        <f t="shared" si="197"/>
        <v>1.5</v>
      </c>
      <c r="AE123" s="57">
        <f t="shared" si="198"/>
        <v>0</v>
      </c>
      <c r="AF123" s="57">
        <f t="shared" si="199"/>
        <v>27865.383194019669</v>
      </c>
      <c r="AG123" s="57">
        <f t="shared" si="366"/>
        <v>0</v>
      </c>
      <c r="AH123" s="57">
        <f t="shared" si="327"/>
        <v>41668697.684110925</v>
      </c>
      <c r="AI123" s="57">
        <f t="shared" si="338"/>
        <v>33214884.845391475</v>
      </c>
      <c r="AJ123" s="77">
        <v>0</v>
      </c>
      <c r="AK123" s="77">
        <v>33.299999999999997</v>
      </c>
      <c r="AL123" s="78">
        <f t="shared" si="203"/>
        <v>3.1585950345067313</v>
      </c>
      <c r="AM123" s="57">
        <f t="shared" si="204"/>
        <v>1</v>
      </c>
      <c r="AN123" s="57">
        <f t="shared" si="205"/>
        <v>0.8</v>
      </c>
      <c r="AO123" s="77">
        <v>570</v>
      </c>
      <c r="AP123" s="79">
        <v>60</v>
      </c>
      <c r="AQ123" s="77">
        <f t="shared" si="206"/>
        <v>18.619898847460895</v>
      </c>
      <c r="AR123" s="57">
        <f t="shared" si="328"/>
        <v>450</v>
      </c>
      <c r="AS123" s="77">
        <f t="shared" si="208"/>
        <v>551.38010115253905</v>
      </c>
      <c r="AT123" s="77">
        <v>40</v>
      </c>
      <c r="AU123" s="77">
        <v>480</v>
      </c>
      <c r="AV123" s="77">
        <f t="shared" si="209"/>
        <v>18000</v>
      </c>
      <c r="AW123" s="77">
        <f t="shared" si="367"/>
        <v>7200</v>
      </c>
      <c r="AX123" s="77">
        <f t="shared" si="210"/>
        <v>22800</v>
      </c>
      <c r="AY123" s="77">
        <v>25200</v>
      </c>
      <c r="AZ123" s="77">
        <f t="shared" si="362"/>
        <v>0</v>
      </c>
      <c r="BA123" s="77">
        <v>0</v>
      </c>
      <c r="BB123" s="77">
        <v>367.5</v>
      </c>
      <c r="BC123" s="77">
        <v>294</v>
      </c>
      <c r="BD123" s="77">
        <v>0</v>
      </c>
      <c r="BE123" s="77">
        <v>0</v>
      </c>
      <c r="BF123" s="77">
        <v>4.7E-2</v>
      </c>
      <c r="BH123" s="79"/>
      <c r="BI123" s="79"/>
      <c r="BJ123" s="79"/>
      <c r="BK123" s="57"/>
      <c r="BL123" s="57">
        <f t="shared" si="243"/>
        <v>0</v>
      </c>
      <c r="BM123" s="80">
        <f t="shared" si="363"/>
        <v>28.274333882308138</v>
      </c>
      <c r="BN123" s="80">
        <v>6</v>
      </c>
      <c r="BO123" s="57">
        <f t="shared" si="329"/>
        <v>169.64600329384882</v>
      </c>
      <c r="BP123" s="57">
        <f t="shared" si="213"/>
        <v>69432.626045865487</v>
      </c>
      <c r="BQ123" s="77">
        <f t="shared" si="214"/>
        <v>1.0913936421275139E-9</v>
      </c>
      <c r="BR123" s="57">
        <f t="shared" si="330"/>
        <v>33327660.502015434</v>
      </c>
      <c r="BS123" s="57">
        <v>37.239797694921791</v>
      </c>
      <c r="BT123" s="57">
        <f t="shared" si="220"/>
        <v>0</v>
      </c>
      <c r="BU123" s="57"/>
      <c r="BV123" s="57">
        <v>3.3E-3</v>
      </c>
      <c r="BW123" s="57">
        <v>30000</v>
      </c>
      <c r="BX123" s="57">
        <v>200000</v>
      </c>
      <c r="BY123" s="77">
        <v>10.5</v>
      </c>
      <c r="BZ123" s="77">
        <v>49.5</v>
      </c>
      <c r="CA123" s="77">
        <v>520.5</v>
      </c>
      <c r="CB123" s="77">
        <v>559.5</v>
      </c>
      <c r="DM123" s="77">
        <f t="shared" si="364"/>
        <v>84.823001646924411</v>
      </c>
      <c r="DN123" s="77">
        <f t="shared" si="364"/>
        <v>84.823001646924411</v>
      </c>
      <c r="DO123" s="77">
        <f t="shared" si="364"/>
        <v>84.823001646924411</v>
      </c>
      <c r="DP123" s="77">
        <f t="shared" si="364"/>
        <v>84.823001646924411</v>
      </c>
      <c r="FA123" s="77">
        <f t="shared" si="357"/>
        <v>-31172.45310524472</v>
      </c>
      <c r="FB123" s="77">
        <f t="shared" si="361"/>
        <v>18430.957424392185</v>
      </c>
      <c r="FC123" s="77">
        <f t="shared" si="365"/>
        <v>31172.45310524472</v>
      </c>
      <c r="FD123" s="77">
        <f t="shared" si="365"/>
        <v>31172.45310524472</v>
      </c>
      <c r="GO123" s="77">
        <f t="shared" si="275"/>
        <v>8556838.377389675</v>
      </c>
      <c r="GP123" s="77">
        <f t="shared" si="276"/>
        <v>-4340490.4734443594</v>
      </c>
      <c r="GQ123" s="77">
        <f t="shared" si="277"/>
        <v>7341112.7062851312</v>
      </c>
      <c r="GR123" s="77">
        <f t="shared" si="278"/>
        <v>8556838.377389675</v>
      </c>
      <c r="IC123" s="82">
        <v>131</v>
      </c>
    </row>
    <row r="124" spans="1:237" s="77" customFormat="1">
      <c r="A124" s="77">
        <v>123</v>
      </c>
      <c r="B124" s="69">
        <v>188</v>
      </c>
      <c r="C124" s="69" t="s">
        <v>236</v>
      </c>
      <c r="D124" s="70" t="s">
        <v>142</v>
      </c>
      <c r="E124" s="70">
        <v>3</v>
      </c>
      <c r="F124" s="70">
        <v>0.11287477954144622</v>
      </c>
      <c r="G124" s="70"/>
      <c r="H124" s="70">
        <v>3.9583329999999996E-3</v>
      </c>
      <c r="I124" s="87">
        <v>3.9583329999999996E-3</v>
      </c>
      <c r="J124" s="71">
        <v>0.84210526315789469</v>
      </c>
      <c r="K124" s="72">
        <v>28.5</v>
      </c>
      <c r="L124" s="71">
        <v>0.15162857142857142</v>
      </c>
      <c r="M124" s="71">
        <v>0.15162857142857142</v>
      </c>
      <c r="N124" s="71">
        <v>0.50357142857142867</v>
      </c>
      <c r="O124" s="71">
        <v>1.3015169564872002E-2</v>
      </c>
      <c r="P124" s="71">
        <v>0</v>
      </c>
      <c r="Q124" s="73" t="s">
        <v>28</v>
      </c>
      <c r="R124" s="74">
        <v>0.22222222222222221</v>
      </c>
      <c r="S124" s="75">
        <f t="shared" si="216"/>
        <v>0.66106471232322017</v>
      </c>
      <c r="T124" s="59">
        <f t="shared" si="188"/>
        <v>1.5865806286137114</v>
      </c>
      <c r="U124" s="59">
        <f t="shared" si="189"/>
        <v>1.2109246304460135</v>
      </c>
      <c r="V124" s="59">
        <f t="shared" si="190"/>
        <v>1.4669558682244761</v>
      </c>
      <c r="W124" s="59">
        <f t="shared" si="191"/>
        <v>0.92460215495397891</v>
      </c>
      <c r="X124" s="59">
        <f t="shared" si="192"/>
        <v>1.211434495047111</v>
      </c>
      <c r="Y124" s="86">
        <v>62720</v>
      </c>
      <c r="Z124" s="57">
        <f t="shared" si="193"/>
        <v>75981.171529354804</v>
      </c>
      <c r="AA124" s="57">
        <f t="shared" si="194"/>
        <v>57991.047158713554</v>
      </c>
      <c r="AB124" s="57">
        <f t="shared" si="326"/>
        <v>107393.17431888767</v>
      </c>
      <c r="AC124" s="57">
        <f t="shared" si="196"/>
        <v>0.25</v>
      </c>
      <c r="AD124" s="57">
        <f t="shared" si="197"/>
        <v>1.5</v>
      </c>
      <c r="AE124" s="57">
        <f t="shared" si="198"/>
        <v>0</v>
      </c>
      <c r="AF124" s="57">
        <f t="shared" si="199"/>
        <v>13677.163535352731</v>
      </c>
      <c r="AG124" s="57">
        <f t="shared" si="366"/>
        <v>44313.883623360824</v>
      </c>
      <c r="AH124" s="57">
        <f t="shared" si="327"/>
        <v>20684164.483007755</v>
      </c>
      <c r="AI124" s="57">
        <f t="shared" si="338"/>
        <v>30864559.190058321</v>
      </c>
      <c r="AJ124" s="77">
        <v>0</v>
      </c>
      <c r="AK124" s="77">
        <v>34.299999999999997</v>
      </c>
      <c r="AL124" s="78">
        <f t="shared" si="203"/>
        <v>3.2104165524763721</v>
      </c>
      <c r="AM124" s="57">
        <f t="shared" si="204"/>
        <v>1</v>
      </c>
      <c r="AN124" s="57">
        <f t="shared" si="205"/>
        <v>0.8</v>
      </c>
      <c r="AO124" s="77">
        <v>570</v>
      </c>
      <c r="AP124" s="79">
        <v>60</v>
      </c>
      <c r="AQ124" s="77">
        <f t="shared" si="206"/>
        <v>37.469278838489934</v>
      </c>
      <c r="AR124" s="57">
        <f t="shared" si="328"/>
        <v>450</v>
      </c>
      <c r="AS124" s="77">
        <f t="shared" si="208"/>
        <v>532.53072116151009</v>
      </c>
      <c r="AT124" s="77">
        <v>20</v>
      </c>
      <c r="AU124" s="77">
        <v>480</v>
      </c>
      <c r="AV124" s="77">
        <f t="shared" si="209"/>
        <v>9000</v>
      </c>
      <c r="AW124" s="77">
        <f t="shared" si="367"/>
        <v>7200</v>
      </c>
      <c r="AX124" s="77">
        <f t="shared" si="210"/>
        <v>11400</v>
      </c>
      <c r="AY124" s="77">
        <v>16200</v>
      </c>
      <c r="AZ124" s="77">
        <v>284.2</v>
      </c>
      <c r="BA124" s="77">
        <v>284.2</v>
      </c>
      <c r="BB124" s="77">
        <v>367.5</v>
      </c>
      <c r="BC124" s="77">
        <v>294</v>
      </c>
      <c r="BD124" s="77">
        <v>1.83E-2</v>
      </c>
      <c r="BE124" s="77">
        <v>1.83E-2</v>
      </c>
      <c r="BF124" s="77">
        <v>4.7E-2</v>
      </c>
      <c r="BH124" s="79"/>
      <c r="BI124" s="79"/>
      <c r="BJ124" s="79"/>
      <c r="BK124" s="57"/>
      <c r="BL124" s="57">
        <f t="shared" si="243"/>
        <v>164.7</v>
      </c>
      <c r="BM124" s="80">
        <f t="shared" si="363"/>
        <v>28.274333882308138</v>
      </c>
      <c r="BN124" s="80">
        <v>6</v>
      </c>
      <c r="BO124" s="57">
        <f t="shared" si="329"/>
        <v>169.64600329384882</v>
      </c>
      <c r="BP124" s="57">
        <f t="shared" si="213"/>
        <v>92007.472055039136</v>
      </c>
      <c r="BQ124" s="77">
        <f t="shared" si="214"/>
        <v>1.4915713109076023E-9</v>
      </c>
      <c r="BR124" s="57">
        <f t="shared" si="330"/>
        <v>44163586.586418785</v>
      </c>
      <c r="BS124" s="57">
        <v>74.938557676979869</v>
      </c>
      <c r="BT124" s="57">
        <f t="shared" si="220"/>
        <v>39.887676809854376</v>
      </c>
      <c r="BU124" s="57"/>
      <c r="BV124" s="57">
        <v>3.3E-3</v>
      </c>
      <c r="BW124" s="57">
        <v>30000</v>
      </c>
      <c r="BX124" s="57">
        <v>200000</v>
      </c>
      <c r="BY124" s="77">
        <v>10.5</v>
      </c>
      <c r="BZ124" s="77">
        <v>49.5</v>
      </c>
      <c r="CA124" s="77">
        <v>67.5</v>
      </c>
      <c r="CB124" s="77">
        <v>82.5</v>
      </c>
      <c r="CC124" s="77">
        <v>97.5</v>
      </c>
      <c r="CD124" s="77">
        <v>112.5</v>
      </c>
      <c r="CE124" s="77">
        <v>127.5</v>
      </c>
      <c r="CF124" s="77">
        <v>142.5</v>
      </c>
      <c r="CG124" s="77">
        <v>157.5</v>
      </c>
      <c r="CH124" s="77">
        <v>172.5</v>
      </c>
      <c r="CI124" s="77">
        <v>187.5</v>
      </c>
      <c r="CJ124" s="77">
        <v>202.5</v>
      </c>
      <c r="CK124" s="77">
        <v>217.5</v>
      </c>
      <c r="CL124" s="77">
        <v>232.5</v>
      </c>
      <c r="CM124" s="77">
        <v>247.5</v>
      </c>
      <c r="CN124" s="77">
        <v>262.5</v>
      </c>
      <c r="CO124" s="77">
        <v>277.5</v>
      </c>
      <c r="CP124" s="77">
        <v>292.5</v>
      </c>
      <c r="CQ124" s="77">
        <v>307.5</v>
      </c>
      <c r="CR124" s="77">
        <v>322.5</v>
      </c>
      <c r="CS124" s="77">
        <v>337.5</v>
      </c>
      <c r="CT124" s="77">
        <v>352.5</v>
      </c>
      <c r="CU124" s="77">
        <v>367.5</v>
      </c>
      <c r="CV124" s="77">
        <v>382.5</v>
      </c>
      <c r="CW124" s="77">
        <v>397.5</v>
      </c>
      <c r="CX124" s="77">
        <v>412.5</v>
      </c>
      <c r="CY124" s="77">
        <v>427.5</v>
      </c>
      <c r="CZ124" s="77">
        <v>442.5</v>
      </c>
      <c r="DA124" s="77">
        <v>457.5</v>
      </c>
      <c r="DB124" s="77">
        <v>472.5</v>
      </c>
      <c r="DC124" s="77">
        <v>487.5</v>
      </c>
      <c r="DD124" s="77">
        <v>502.5</v>
      </c>
      <c r="DE124" s="77">
        <v>520.5</v>
      </c>
      <c r="DF124" s="77">
        <v>559.5</v>
      </c>
      <c r="DM124" s="77">
        <v>113.1</v>
      </c>
      <c r="DN124" s="77">
        <v>56.5</v>
      </c>
      <c r="DO124" s="77">
        <v>5.5</v>
      </c>
      <c r="DP124" s="77">
        <v>5.5</v>
      </c>
      <c r="DQ124" s="77">
        <v>5.5</v>
      </c>
      <c r="DR124" s="77">
        <v>5.5</v>
      </c>
      <c r="DS124" s="77">
        <v>5.5</v>
      </c>
      <c r="DT124" s="77">
        <v>5.5</v>
      </c>
      <c r="DU124" s="77">
        <v>5.5</v>
      </c>
      <c r="DV124" s="77">
        <v>5.5</v>
      </c>
      <c r="DW124" s="77">
        <v>5.5</v>
      </c>
      <c r="DX124" s="77">
        <v>5.5</v>
      </c>
      <c r="DY124" s="77">
        <v>5.5</v>
      </c>
      <c r="DZ124" s="77">
        <v>5.5</v>
      </c>
      <c r="EA124" s="77">
        <v>5.5</v>
      </c>
      <c r="EB124" s="77">
        <v>5.5</v>
      </c>
      <c r="EC124" s="77">
        <v>5.5</v>
      </c>
      <c r="ED124" s="77">
        <v>5.5</v>
      </c>
      <c r="EE124" s="77">
        <v>5.5</v>
      </c>
      <c r="EF124" s="77">
        <v>5.5</v>
      </c>
      <c r="EG124" s="77">
        <v>5.5</v>
      </c>
      <c r="EH124" s="77">
        <v>5.5</v>
      </c>
      <c r="EI124" s="77">
        <v>5.5</v>
      </c>
      <c r="EJ124" s="77">
        <v>5.5</v>
      </c>
      <c r="EK124" s="77">
        <v>5.5</v>
      </c>
      <c r="EL124" s="77">
        <v>5.5</v>
      </c>
      <c r="EM124" s="77">
        <v>5.5</v>
      </c>
      <c r="EN124" s="77">
        <v>5.5</v>
      </c>
      <c r="EO124" s="77">
        <v>5.5</v>
      </c>
      <c r="EP124" s="77">
        <v>5.5</v>
      </c>
      <c r="EQ124" s="77">
        <v>5.5</v>
      </c>
      <c r="ER124" s="77">
        <v>5.5</v>
      </c>
      <c r="ES124" s="77">
        <v>56.5</v>
      </c>
      <c r="ET124" s="77">
        <v>113.1</v>
      </c>
      <c r="FA124" s="77">
        <f t="shared" si="357"/>
        <v>-41564.25</v>
      </c>
      <c r="FB124" s="77">
        <f t="shared" si="361"/>
        <v>-12658.421047593471</v>
      </c>
      <c r="FC124" s="77">
        <f t="shared" ref="FC124:FC132" si="368">IF(ABS(-$BV124*($BS124-CA124)/$BS124*$BX124)&gt;$BA124,$BA124*SIGN(-($BS124-CA124)),-$BV124*($BS124-CA124)/$BS124*$BX124)*DO124</f>
        <v>-360.3213779991334</v>
      </c>
      <c r="FD124" s="77">
        <f t="shared" ref="FD124:FD132" si="369">IF(ABS(-$BV124*($BS124-CB124)/$BS124*$BX124)&gt;$BA124,$BA124*SIGN(-($BS124-CB124)),-$BV124*($BS124-CB124)/$BS124*$BX124)*DP124</f>
        <v>366.27387133439254</v>
      </c>
      <c r="FE124" s="77">
        <f t="shared" ref="FE124:FE132" si="370">IF(ABS(-$BV124*($BS124-CC124)/$BS124*$BX124)&gt;$BA124,$BA124*SIGN(-($BS124-CC124)),-$BV124*($BS124-CC124)/$BS124*$BX124)*DQ124</f>
        <v>1092.8691206679184</v>
      </c>
      <c r="FF124" s="77">
        <f t="shared" ref="FF124:FF132" si="371">IF(ABS(-$BV124*($BS124-CD124)/$BS124*$BX124)&gt;$BA124,$BA124*SIGN(-($BS124-CD124)),-$BV124*($BS124-CD124)/$BS124*$BX124)*DR124</f>
        <v>1563.1</v>
      </c>
      <c r="FG124" s="77">
        <f t="shared" ref="FG124:FG132" si="372">IF(ABS(-$BV124*($BS124-CE124)/$BS124*$BX124)&gt;$BA124,$BA124*SIGN(-($BS124-CE124)),-$BV124*($BS124-CE124)/$BS124*$BX124)*DS124</f>
        <v>1563.1</v>
      </c>
      <c r="FH124" s="77">
        <f t="shared" ref="FH124:FH132" si="373">IF(ABS(-$BV124*($BS124-CF124)/$BS124*$BX124)&gt;$BA124,$BA124*SIGN(-($BS124-CF124)),-$BV124*($BS124-CF124)/$BS124*$BX124)*DT124</f>
        <v>1563.1</v>
      </c>
      <c r="FI124" s="77">
        <f t="shared" ref="FI124:FI132" si="374">IF(ABS(-$BV124*($BS124-CG124)/$BS124*$BX124)&gt;$BA124,$BA124*SIGN(-($BS124-CG124)),-$BV124*($BS124-CG124)/$BS124*$BX124)*DU124</f>
        <v>1563.1</v>
      </c>
      <c r="FJ124" s="77">
        <f t="shared" ref="FJ124:FJ132" si="375">IF(ABS(-$BV124*($BS124-CH124)/$BS124*$BX124)&gt;$BA124,$BA124*SIGN(-($BS124-CH124)),-$BV124*($BS124-CH124)/$BS124*$BX124)*DV124</f>
        <v>1563.1</v>
      </c>
      <c r="FK124" s="77">
        <f t="shared" ref="FK124:FK132" si="376">IF(ABS(-$BV124*($BS124-CI124)/$BS124*$BX124)&gt;$BA124,$BA124*SIGN(-($BS124-CI124)),-$BV124*($BS124-CI124)/$BS124*$BX124)*DW124</f>
        <v>1563.1</v>
      </c>
      <c r="FL124" s="77">
        <f t="shared" ref="FL124:FL132" si="377">IF(ABS(-$BV124*($BS124-CJ124)/$BS124*$BX124)&gt;$BA124,$BA124*SIGN(-($BS124-CJ124)),-$BV124*($BS124-CJ124)/$BS124*$BX124)*DX124</f>
        <v>1563.1</v>
      </c>
      <c r="FM124" s="77">
        <f t="shared" ref="FM124:FM132" si="378">IF(ABS(-$BV124*($BS124-CK124)/$BS124*$BX124)&gt;$BA124,$BA124*SIGN(-($BS124-CK124)),-$BV124*($BS124-CK124)/$BS124*$BX124)*DY124</f>
        <v>1563.1</v>
      </c>
      <c r="FN124" s="77">
        <f t="shared" ref="FN124:FN132" si="379">IF(ABS(-$BV124*($BS124-CL124)/$BS124*$BX124)&gt;$BA124,$BA124*SIGN(-($BS124-CL124)),-$BV124*($BS124-CL124)/$BS124*$BX124)*DZ124</f>
        <v>1563.1</v>
      </c>
      <c r="FO124" s="77">
        <f t="shared" ref="FO124:FO132" si="380">IF(ABS(-$BV124*($BS124-CM124)/$BS124*$BX124)&gt;$BA124,$BA124*SIGN(-($BS124-CM124)),-$BV124*($BS124-CM124)/$BS124*$BX124)*EA124</f>
        <v>1563.1</v>
      </c>
      <c r="FP124" s="77">
        <f t="shared" ref="FP124:FP132" si="381">IF(ABS(-$BV124*($BS124-CN124)/$BS124*$BX124)&gt;$BA124,$BA124*SIGN(-($BS124-CN124)),-$BV124*($BS124-CN124)/$BS124*$BX124)*EB124</f>
        <v>1563.1</v>
      </c>
      <c r="FQ124" s="77">
        <f t="shared" ref="FQ124:FQ132" si="382">IF(ABS(-$BV124*($BS124-CO124)/$BS124*$BX124)&gt;$BA124,$BA124*SIGN(-($BS124-CO124)),-$BV124*($BS124-CO124)/$BS124*$BX124)*EC124</f>
        <v>1563.1</v>
      </c>
      <c r="FR124" s="77">
        <f t="shared" ref="FR124:FR132" si="383">IF(ABS(-$BV124*($BS124-CP124)/$BS124*$BX124)&gt;$BA124,$BA124*SIGN(-($BS124-CP124)),-$BV124*($BS124-CP124)/$BS124*$BX124)*ED124</f>
        <v>1563.1</v>
      </c>
      <c r="FS124" s="77">
        <f t="shared" ref="FS124:FS132" si="384">IF(ABS(-$BV124*($BS124-CQ124)/$BS124*$BX124)&gt;$BA124,$BA124*SIGN(-($BS124-CQ124)),-$BV124*($BS124-CQ124)/$BS124*$BX124)*EE124</f>
        <v>1563.1</v>
      </c>
      <c r="FT124" s="77">
        <f t="shared" ref="FT124:FT132" si="385">IF(ABS(-$BV124*($BS124-CR124)/$BS124*$BX124)&gt;$BA124,$BA124*SIGN(-($BS124-CR124)),-$BV124*($BS124-CR124)/$BS124*$BX124)*EF124</f>
        <v>1563.1</v>
      </c>
      <c r="FU124" s="77">
        <f t="shared" ref="FU124:FU132" si="386">IF(ABS(-$BV124*($BS124-CS124)/$BS124*$BX124)&gt;$BA124,$BA124*SIGN(-($BS124-CS124)),-$BV124*($BS124-CS124)/$BS124*$BX124)*EG124</f>
        <v>1563.1</v>
      </c>
      <c r="FV124" s="77">
        <f t="shared" ref="FV124:FV132" si="387">IF(ABS(-$BV124*($BS124-CT124)/$BS124*$BX124)&gt;$BA124,$BA124*SIGN(-($BS124-CT124)),-$BV124*($BS124-CT124)/$BS124*$BX124)*EH124</f>
        <v>1563.1</v>
      </c>
      <c r="FW124" s="77">
        <f t="shared" ref="FW124:FW132" si="388">IF(ABS(-$BV124*($BS124-CU124)/$BS124*$BX124)&gt;$BA124,$BA124*SIGN(-($BS124-CU124)),-$BV124*($BS124-CU124)/$BS124*$BX124)*EI124</f>
        <v>1563.1</v>
      </c>
      <c r="FX124" s="77">
        <f t="shared" ref="FX124:FX132" si="389">IF(ABS(-$BV124*($BS124-CV124)/$BS124*$BX124)&gt;$BA124,$BA124*SIGN(-($BS124-CV124)),-$BV124*($BS124-CV124)/$BS124*$BX124)*EJ124</f>
        <v>1563.1</v>
      </c>
      <c r="FY124" s="77">
        <f t="shared" ref="FY124:FY132" si="390">IF(ABS(-$BV124*($BS124-CW124)/$BS124*$BX124)&gt;$BA124,$BA124*SIGN(-($BS124-CW124)),-$BV124*($BS124-CW124)/$BS124*$BX124)*EK124</f>
        <v>1563.1</v>
      </c>
      <c r="FZ124" s="77">
        <f t="shared" ref="FZ124:FZ132" si="391">IF(ABS(-$BV124*($BS124-CX124)/$BS124*$BX124)&gt;$BA124,$BA124*SIGN(-($BS124-CX124)),-$BV124*($BS124-CX124)/$BS124*$BX124)*EL124</f>
        <v>1563.1</v>
      </c>
      <c r="GA124" s="77">
        <f t="shared" ref="GA124:GA132" si="392">IF(ABS(-$BV124*($BS124-CY124)/$BS124*$BX124)&gt;$BA124,$BA124*SIGN(-($BS124-CY124)),-$BV124*($BS124-CY124)/$BS124*$BX124)*EM124</f>
        <v>1563.1</v>
      </c>
      <c r="GB124" s="77">
        <f t="shared" ref="GB124:GB132" si="393">IF(ABS(-$BV124*($BS124-CZ124)/$BS124*$BX124)&gt;$BA124,$BA124*SIGN(-($BS124-CZ124)),-$BV124*($BS124-CZ124)/$BS124*$BX124)*EN124</f>
        <v>1563.1</v>
      </c>
      <c r="GC124" s="77">
        <f t="shared" ref="GC124:GC132" si="394">IF(ABS(-$BV124*($BS124-DA124)/$BS124*$BX124)&gt;$BA124,$BA124*SIGN(-($BS124-DA124)),-$BV124*($BS124-DA124)/$BS124*$BX124)*EO124</f>
        <v>1563.1</v>
      </c>
      <c r="GD124" s="77">
        <f t="shared" ref="GD124:GD132" si="395">IF(ABS(-$BV124*($BS124-DB124)/$BS124*$BX124)&gt;$BA124,$BA124*SIGN(-($BS124-DB124)),-$BV124*($BS124-DB124)/$BS124*$BX124)*EP124</f>
        <v>1563.1</v>
      </c>
      <c r="GE124" s="77">
        <f t="shared" ref="GE124:GE132" si="396">IF(ABS(-$BV124*($BS124-DC124)/$BS124*$BX124)&gt;$BA124,$BA124*SIGN(-($BS124-DC124)),-$BV124*($BS124-DC124)/$BS124*$BX124)*EQ124</f>
        <v>1563.1</v>
      </c>
      <c r="GF124" s="77">
        <f t="shared" ref="GF124:GF132" si="397">IF(ABS(-$BV124*($BS124-DD124)/$BS124*$BX124)&gt;$BA124,$BA124*SIGN(-($BS124-DD124)),-$BV124*($BS124-DD124)/$BS124*$BX124)*ER124</f>
        <v>1563.1</v>
      </c>
      <c r="GG124" s="77">
        <f t="shared" ref="GG124:GG132" si="398">IF(ABS(-$BV124*($BS124-DE124)/$BS124*$BX124)&gt;$BB124,$BB124*SIGN(-($BS124-DE124)),-$BV124*($BS124-DE124)/$BS124*$BX124)*ES124</f>
        <v>20763.75</v>
      </c>
      <c r="GH124" s="77">
        <f t="shared" ref="GH124:GH132" si="399">IF(ABS(-$BV124*($BS124-DF124)/$BS124*$BX124)&gt;$BB124,$BB124*SIGN(-($BS124-DF124)),-$BV124*($BS124-DF124)/$BS124*$BX124)*ET124</f>
        <v>41564.25</v>
      </c>
      <c r="GO124" s="77">
        <f t="shared" si="275"/>
        <v>11409386.625</v>
      </c>
      <c r="GP124" s="77">
        <f t="shared" si="276"/>
        <v>2981058.1567082624</v>
      </c>
      <c r="GQ124" s="77">
        <f t="shared" si="277"/>
        <v>78369.899714811516</v>
      </c>
      <c r="GR124" s="77">
        <f t="shared" si="278"/>
        <v>-74170.458945214486</v>
      </c>
      <c r="GS124" s="77">
        <f t="shared" ref="GS124:GS132" si="400">FE124*(CC124-0.5*$AO124)</f>
        <v>-204912.96012523471</v>
      </c>
      <c r="GT124" s="77">
        <f t="shared" ref="GT124:GT132" si="401">FF124*(CD124-0.5*$AO124)</f>
        <v>-269634.75</v>
      </c>
      <c r="GU124" s="77">
        <f t="shared" ref="GU124:GU132" si="402">FG124*(CE124-0.5*$AO124)</f>
        <v>-246188.25</v>
      </c>
      <c r="GV124" s="77">
        <f t="shared" ref="GV124:GV132" si="403">FH124*(CF124-0.5*$AO124)</f>
        <v>-222741.75</v>
      </c>
      <c r="GW124" s="77">
        <f t="shared" ref="GW124:GW132" si="404">FI124*(CG124-0.5*$AO124)</f>
        <v>-199295.25</v>
      </c>
      <c r="GX124" s="77">
        <f t="shared" ref="GX124:GX132" si="405">FJ124*(CH124-0.5*$AO124)</f>
        <v>-175848.75</v>
      </c>
      <c r="GY124" s="77">
        <f t="shared" ref="GY124:GY132" si="406">FK124*(CI124-0.5*$AO124)</f>
        <v>-152402.25</v>
      </c>
      <c r="GZ124" s="77">
        <f t="shared" ref="GZ124:GZ132" si="407">FL124*(CJ124-0.5*$AO124)</f>
        <v>-128955.74999999999</v>
      </c>
      <c r="HA124" s="77">
        <f t="shared" ref="HA124:HA132" si="408">FM124*(CK124-0.5*$AO124)</f>
        <v>-105509.25</v>
      </c>
      <c r="HB124" s="77">
        <f t="shared" ref="HB124:HB132" si="409">FN124*(CL124-0.5*$AO124)</f>
        <v>-82062.75</v>
      </c>
      <c r="HC124" s="77">
        <f t="shared" ref="HC124:HC132" si="410">FO124*(CM124-0.5*$AO124)</f>
        <v>-58616.25</v>
      </c>
      <c r="HD124" s="77">
        <f t="shared" ref="HD124:HD132" si="411">FP124*(CN124-0.5*$AO124)</f>
        <v>-35169.75</v>
      </c>
      <c r="HE124" s="77">
        <f t="shared" ref="HE124:HE132" si="412">FQ124*(CO124-0.5*$AO124)</f>
        <v>-11723.25</v>
      </c>
      <c r="HF124" s="77">
        <f t="shared" ref="HF124:HF132" si="413">FR124*(CP124-0.5*$AO124)</f>
        <v>11723.25</v>
      </c>
      <c r="HG124" s="77">
        <f t="shared" ref="HG124:HG132" si="414">FS124*(CQ124-0.5*$AO124)</f>
        <v>35169.75</v>
      </c>
      <c r="HH124" s="77">
        <f t="shared" ref="HH124:HH132" si="415">FT124*(CR124-0.5*$AO124)</f>
        <v>58616.25</v>
      </c>
      <c r="HI124" s="77">
        <f t="shared" ref="HI124:HI132" si="416">FU124*(CS124-0.5*$AO124)</f>
        <v>82062.75</v>
      </c>
      <c r="HJ124" s="77">
        <f t="shared" ref="HJ124:HJ132" si="417">FV124*(CT124-0.5*$AO124)</f>
        <v>105509.25</v>
      </c>
      <c r="HK124" s="77">
        <f t="shared" ref="HK124:HK132" si="418">FW124*(CU124-0.5*$AO124)</f>
        <v>128955.74999999999</v>
      </c>
      <c r="HL124" s="77">
        <f t="shared" ref="HL124:HL132" si="419">FX124*(CV124-0.5*$AO124)</f>
        <v>152402.25</v>
      </c>
      <c r="HM124" s="77">
        <f t="shared" ref="HM124:HM132" si="420">FY124*(CW124-0.5*$AO124)</f>
        <v>175848.75</v>
      </c>
      <c r="HN124" s="77">
        <f t="shared" ref="HN124:HN132" si="421">FZ124*(CX124-0.5*$AO124)</f>
        <v>199295.25</v>
      </c>
      <c r="HO124" s="77">
        <f t="shared" ref="HO124:HO132" si="422">GA124*(CY124-0.5*$AO124)</f>
        <v>222741.75</v>
      </c>
      <c r="HP124" s="77">
        <f t="shared" ref="HP124:HP132" si="423">GB124*(CZ124-0.5*$AO124)</f>
        <v>246188.25</v>
      </c>
      <c r="HQ124" s="77">
        <f t="shared" ref="HQ124:HQ132" si="424">GC124*(DA124-0.5*$AO124)</f>
        <v>269634.75</v>
      </c>
      <c r="HR124" s="77">
        <f t="shared" ref="HR124:HR132" si="425">GD124*(DB124-0.5*$AO124)</f>
        <v>293081.25</v>
      </c>
      <c r="HS124" s="77">
        <f t="shared" ref="HS124:HS132" si="426">GE124*(DC124-0.5*$AO124)</f>
        <v>316527.75</v>
      </c>
      <c r="HT124" s="77">
        <f t="shared" ref="HT124:HT132" si="427">GF124*(DD124-0.5*$AO124)</f>
        <v>339974.25</v>
      </c>
      <c r="HU124" s="77">
        <f t="shared" ref="HU124:HU132" si="428">GG124*(DE124-0.5*$AO124)</f>
        <v>4889863.125</v>
      </c>
      <c r="HV124" s="77">
        <f t="shared" ref="HV124:HV132" si="429">GH124*(DF124-0.5*$AO124)</f>
        <v>11409386.625</v>
      </c>
      <c r="IC124" s="82">
        <v>132</v>
      </c>
    </row>
    <row r="125" spans="1:237" s="77" customFormat="1">
      <c r="A125" s="77">
        <v>124</v>
      </c>
      <c r="B125" s="69">
        <v>189</v>
      </c>
      <c r="C125" s="69" t="s">
        <v>236</v>
      </c>
      <c r="D125" s="70" t="s">
        <v>143</v>
      </c>
      <c r="E125" s="70">
        <v>3</v>
      </c>
      <c r="F125" s="70">
        <v>0.15274188917599771</v>
      </c>
      <c r="G125" s="70"/>
      <c r="H125" s="70">
        <v>3.9583329999999996E-3</v>
      </c>
      <c r="I125" s="87">
        <v>3.9583329999999996E-3</v>
      </c>
      <c r="J125" s="71">
        <v>0.84210526315789469</v>
      </c>
      <c r="K125" s="72">
        <v>28.5</v>
      </c>
      <c r="L125" s="71">
        <v>0.17278604651162788</v>
      </c>
      <c r="M125" s="71">
        <v>0.17278604651162788</v>
      </c>
      <c r="N125" s="71">
        <v>0.57383720930232562</v>
      </c>
      <c r="O125" s="71">
        <v>1.4831239736714606E-2</v>
      </c>
      <c r="P125" s="71">
        <v>0</v>
      </c>
      <c r="Q125" s="73" t="s">
        <v>28</v>
      </c>
      <c r="R125" s="74">
        <v>0.22222222222222221</v>
      </c>
      <c r="S125" s="75">
        <f t="shared" si="216"/>
        <v>0.83799495806507596</v>
      </c>
      <c r="T125" s="59">
        <f t="shared" si="188"/>
        <v>1.6139724534987177</v>
      </c>
      <c r="U125" s="59">
        <f t="shared" si="189"/>
        <v>1.2220258006036406</v>
      </c>
      <c r="V125" s="59">
        <f t="shared" si="190"/>
        <v>1.2293417459397746</v>
      </c>
      <c r="W125" s="59">
        <f t="shared" si="191"/>
        <v>0.76168694408312043</v>
      </c>
      <c r="X125" s="59">
        <f t="shared" si="192"/>
        <v>1.005986735576712</v>
      </c>
      <c r="Y125" s="86">
        <v>74480</v>
      </c>
      <c r="Z125" s="57">
        <f t="shared" si="193"/>
        <v>74925.89206575352</v>
      </c>
      <c r="AA125" s="57">
        <f t="shared" si="194"/>
        <v>56730.443595310811</v>
      </c>
      <c r="AB125" s="57">
        <f t="shared" si="326"/>
        <v>101139.26469008405</v>
      </c>
      <c r="AC125" s="57">
        <f t="shared" si="196"/>
        <v>0.25</v>
      </c>
      <c r="AD125" s="57">
        <f t="shared" si="197"/>
        <v>1.5</v>
      </c>
      <c r="AE125" s="57">
        <f t="shared" si="198"/>
        <v>0</v>
      </c>
      <c r="AF125" s="57">
        <f t="shared" si="199"/>
        <v>12659.314983107419</v>
      </c>
      <c r="AG125" s="57">
        <f t="shared" si="366"/>
        <v>44071.128612203393</v>
      </c>
      <c r="AH125" s="57">
        <f t="shared" si="327"/>
        <v>18046038.721682407</v>
      </c>
      <c r="AI125" s="57">
        <f t="shared" si="338"/>
        <v>30500808.329557929</v>
      </c>
      <c r="AJ125" s="77">
        <v>0</v>
      </c>
      <c r="AK125" s="77">
        <v>30.1</v>
      </c>
      <c r="AL125" s="78">
        <f t="shared" si="203"/>
        <v>2.9878665237909519</v>
      </c>
      <c r="AM125" s="57">
        <f t="shared" si="204"/>
        <v>1</v>
      </c>
      <c r="AN125" s="57">
        <f t="shared" si="205"/>
        <v>0.8</v>
      </c>
      <c r="AO125" s="77">
        <v>570</v>
      </c>
      <c r="AP125" s="79">
        <v>60</v>
      </c>
      <c r="AQ125" s="77">
        <f t="shared" si="206"/>
        <v>40.386524870365342</v>
      </c>
      <c r="AR125" s="57">
        <f t="shared" si="328"/>
        <v>450</v>
      </c>
      <c r="AS125" s="77">
        <f t="shared" si="208"/>
        <v>529.61347512963471</v>
      </c>
      <c r="AT125" s="77">
        <v>20</v>
      </c>
      <c r="AU125" s="77">
        <v>480</v>
      </c>
      <c r="AV125" s="77">
        <f t="shared" si="209"/>
        <v>9000</v>
      </c>
      <c r="AW125" s="77">
        <f t="shared" si="367"/>
        <v>7200</v>
      </c>
      <c r="AX125" s="77">
        <f t="shared" si="210"/>
        <v>11400</v>
      </c>
      <c r="AY125" s="77">
        <v>16200</v>
      </c>
      <c r="AZ125" s="77">
        <v>284.2</v>
      </c>
      <c r="BA125" s="77">
        <v>284.2</v>
      </c>
      <c r="BB125" s="77">
        <v>367.5</v>
      </c>
      <c r="BC125" s="77">
        <v>294</v>
      </c>
      <c r="BD125" s="77">
        <v>1.83E-2</v>
      </c>
      <c r="BE125" s="77">
        <v>1.83E-2</v>
      </c>
      <c r="BF125" s="77">
        <v>4.7E-2</v>
      </c>
      <c r="BH125" s="79"/>
      <c r="BI125" s="79"/>
      <c r="BJ125" s="79"/>
      <c r="BK125" s="57"/>
      <c r="BL125" s="57">
        <f t="shared" si="243"/>
        <v>164.7</v>
      </c>
      <c r="BM125" s="80">
        <f t="shared" si="363"/>
        <v>28.274333882308138</v>
      </c>
      <c r="BN125" s="80">
        <v>6</v>
      </c>
      <c r="BO125" s="57">
        <f t="shared" si="329"/>
        <v>169.64600329384882</v>
      </c>
      <c r="BP125" s="57">
        <f t="shared" si="213"/>
        <v>91561.373237594409</v>
      </c>
      <c r="BQ125" s="77">
        <f t="shared" si="214"/>
        <v>8.7311491370201111E-11</v>
      </c>
      <c r="BR125" s="57">
        <f t="shared" si="330"/>
        <v>43949459.154045314</v>
      </c>
      <c r="BS125" s="57">
        <v>80.773049740730684</v>
      </c>
      <c r="BT125" s="57">
        <f t="shared" si="220"/>
        <v>43.820342898334644</v>
      </c>
      <c r="BU125" s="57"/>
      <c r="BV125" s="57">
        <v>3.3E-3</v>
      </c>
      <c r="BW125" s="57">
        <v>30000</v>
      </c>
      <c r="BX125" s="57">
        <v>200000</v>
      </c>
      <c r="BY125" s="77">
        <v>10.5</v>
      </c>
      <c r="BZ125" s="77">
        <v>49.5</v>
      </c>
      <c r="CA125" s="77">
        <v>67.5</v>
      </c>
      <c r="CB125" s="77">
        <v>82.5</v>
      </c>
      <c r="CC125" s="77">
        <v>97.5</v>
      </c>
      <c r="CD125" s="77">
        <v>112.5</v>
      </c>
      <c r="CE125" s="77">
        <v>127.5</v>
      </c>
      <c r="CF125" s="77">
        <v>142.5</v>
      </c>
      <c r="CG125" s="77">
        <v>157.5</v>
      </c>
      <c r="CH125" s="77">
        <v>172.5</v>
      </c>
      <c r="CI125" s="77">
        <v>187.5</v>
      </c>
      <c r="CJ125" s="77">
        <v>202.5</v>
      </c>
      <c r="CK125" s="77">
        <v>217.5</v>
      </c>
      <c r="CL125" s="77">
        <v>232.5</v>
      </c>
      <c r="CM125" s="77">
        <v>247.5</v>
      </c>
      <c r="CN125" s="77">
        <v>262.5</v>
      </c>
      <c r="CO125" s="77">
        <v>277.5</v>
      </c>
      <c r="CP125" s="77">
        <v>292.5</v>
      </c>
      <c r="CQ125" s="77">
        <v>307.5</v>
      </c>
      <c r="CR125" s="77">
        <v>322.5</v>
      </c>
      <c r="CS125" s="77">
        <v>337.5</v>
      </c>
      <c r="CT125" s="77">
        <v>352.5</v>
      </c>
      <c r="CU125" s="77">
        <v>367.5</v>
      </c>
      <c r="CV125" s="77">
        <v>382.5</v>
      </c>
      <c r="CW125" s="77">
        <v>397.5</v>
      </c>
      <c r="CX125" s="77">
        <v>412.5</v>
      </c>
      <c r="CY125" s="77">
        <v>427.5</v>
      </c>
      <c r="CZ125" s="77">
        <v>442.5</v>
      </c>
      <c r="DA125" s="77">
        <v>457.5</v>
      </c>
      <c r="DB125" s="77">
        <v>472.5</v>
      </c>
      <c r="DC125" s="77">
        <v>487.5</v>
      </c>
      <c r="DD125" s="77">
        <v>502.5</v>
      </c>
      <c r="DE125" s="77">
        <v>520.5</v>
      </c>
      <c r="DF125" s="77">
        <v>559.5</v>
      </c>
      <c r="DM125" s="77">
        <v>113.1</v>
      </c>
      <c r="DN125" s="77">
        <v>56.5</v>
      </c>
      <c r="DO125" s="77">
        <v>5.5</v>
      </c>
      <c r="DP125" s="77">
        <v>5.5</v>
      </c>
      <c r="DQ125" s="77">
        <v>5.5</v>
      </c>
      <c r="DR125" s="77">
        <v>5.5</v>
      </c>
      <c r="DS125" s="77">
        <v>5.5</v>
      </c>
      <c r="DT125" s="77">
        <v>5.5</v>
      </c>
      <c r="DU125" s="77">
        <v>5.5</v>
      </c>
      <c r="DV125" s="77">
        <v>5.5</v>
      </c>
      <c r="DW125" s="77">
        <v>5.5</v>
      </c>
      <c r="DX125" s="77">
        <v>5.5</v>
      </c>
      <c r="DY125" s="77">
        <v>5.5</v>
      </c>
      <c r="DZ125" s="77">
        <v>5.5</v>
      </c>
      <c r="EA125" s="77">
        <v>5.5</v>
      </c>
      <c r="EB125" s="77">
        <v>5.5</v>
      </c>
      <c r="EC125" s="77">
        <v>5.5</v>
      </c>
      <c r="ED125" s="77">
        <v>5.5</v>
      </c>
      <c r="EE125" s="77">
        <v>5.5</v>
      </c>
      <c r="EF125" s="77">
        <v>5.5</v>
      </c>
      <c r="EG125" s="77">
        <v>5.5</v>
      </c>
      <c r="EH125" s="77">
        <v>5.5</v>
      </c>
      <c r="EI125" s="77">
        <v>5.5</v>
      </c>
      <c r="EJ125" s="77">
        <v>5.5</v>
      </c>
      <c r="EK125" s="77">
        <v>5.5</v>
      </c>
      <c r="EL125" s="77">
        <v>5.5</v>
      </c>
      <c r="EM125" s="77">
        <v>5.5</v>
      </c>
      <c r="EN125" s="77">
        <v>5.5</v>
      </c>
      <c r="EO125" s="77">
        <v>5.5</v>
      </c>
      <c r="EP125" s="77">
        <v>5.5</v>
      </c>
      <c r="EQ125" s="77">
        <v>5.5</v>
      </c>
      <c r="ER125" s="77">
        <v>5.5</v>
      </c>
      <c r="ES125" s="77">
        <v>56.5</v>
      </c>
      <c r="ET125" s="77">
        <v>113.1</v>
      </c>
      <c r="FA125" s="77">
        <f t="shared" si="357"/>
        <v>-41564.25</v>
      </c>
      <c r="FB125" s="77">
        <f t="shared" si="361"/>
        <v>-14437.637659777409</v>
      </c>
      <c r="FC125" s="77">
        <f t="shared" si="368"/>
        <v>-596.50057430673564</v>
      </c>
      <c r="FD125" s="77">
        <f t="shared" si="369"/>
        <v>77.610409180656347</v>
      </c>
      <c r="FE125" s="77">
        <f t="shared" si="370"/>
        <v>751.72139266804845</v>
      </c>
      <c r="FF125" s="77">
        <f t="shared" si="371"/>
        <v>1425.8323761554407</v>
      </c>
      <c r="FG125" s="77">
        <f t="shared" si="372"/>
        <v>1563.1</v>
      </c>
      <c r="FH125" s="77">
        <f t="shared" si="373"/>
        <v>1563.1</v>
      </c>
      <c r="FI125" s="77">
        <f t="shared" si="374"/>
        <v>1563.1</v>
      </c>
      <c r="FJ125" s="77">
        <f t="shared" si="375"/>
        <v>1563.1</v>
      </c>
      <c r="FK125" s="77">
        <f t="shared" si="376"/>
        <v>1563.1</v>
      </c>
      <c r="FL125" s="77">
        <f t="shared" si="377"/>
        <v>1563.1</v>
      </c>
      <c r="FM125" s="77">
        <f t="shared" si="378"/>
        <v>1563.1</v>
      </c>
      <c r="FN125" s="77">
        <f t="shared" si="379"/>
        <v>1563.1</v>
      </c>
      <c r="FO125" s="77">
        <f t="shared" si="380"/>
        <v>1563.1</v>
      </c>
      <c r="FP125" s="77">
        <f t="shared" si="381"/>
        <v>1563.1</v>
      </c>
      <c r="FQ125" s="77">
        <f t="shared" si="382"/>
        <v>1563.1</v>
      </c>
      <c r="FR125" s="77">
        <f t="shared" si="383"/>
        <v>1563.1</v>
      </c>
      <c r="FS125" s="77">
        <f t="shared" si="384"/>
        <v>1563.1</v>
      </c>
      <c r="FT125" s="77">
        <f t="shared" si="385"/>
        <v>1563.1</v>
      </c>
      <c r="FU125" s="77">
        <f t="shared" si="386"/>
        <v>1563.1</v>
      </c>
      <c r="FV125" s="77">
        <f t="shared" si="387"/>
        <v>1563.1</v>
      </c>
      <c r="FW125" s="77">
        <f t="shared" si="388"/>
        <v>1563.1</v>
      </c>
      <c r="FX125" s="77">
        <f t="shared" si="389"/>
        <v>1563.1</v>
      </c>
      <c r="FY125" s="77">
        <f t="shared" si="390"/>
        <v>1563.1</v>
      </c>
      <c r="FZ125" s="77">
        <f t="shared" si="391"/>
        <v>1563.1</v>
      </c>
      <c r="GA125" s="77">
        <f t="shared" si="392"/>
        <v>1563.1</v>
      </c>
      <c r="GB125" s="77">
        <f t="shared" si="393"/>
        <v>1563.1</v>
      </c>
      <c r="GC125" s="77">
        <f t="shared" si="394"/>
        <v>1563.1</v>
      </c>
      <c r="GD125" s="77">
        <f t="shared" si="395"/>
        <v>1563.1</v>
      </c>
      <c r="GE125" s="77">
        <f t="shared" si="396"/>
        <v>1563.1</v>
      </c>
      <c r="GF125" s="77">
        <f t="shared" si="397"/>
        <v>1563.1</v>
      </c>
      <c r="GG125" s="77">
        <f t="shared" si="398"/>
        <v>20763.75</v>
      </c>
      <c r="GH125" s="77">
        <f t="shared" si="399"/>
        <v>41564.25</v>
      </c>
      <c r="GO125" s="77">
        <f t="shared" si="275"/>
        <v>11409386.625</v>
      </c>
      <c r="GP125" s="77">
        <f t="shared" si="276"/>
        <v>3400063.6688775797</v>
      </c>
      <c r="GQ125" s="77">
        <f t="shared" si="277"/>
        <v>129738.874911715</v>
      </c>
      <c r="GR125" s="77">
        <f t="shared" si="278"/>
        <v>-15716.107859082911</v>
      </c>
      <c r="GS125" s="77">
        <f t="shared" si="400"/>
        <v>-140947.76112525907</v>
      </c>
      <c r="GT125" s="77">
        <f t="shared" si="401"/>
        <v>-245956.08488681351</v>
      </c>
      <c r="GU125" s="77">
        <f t="shared" si="402"/>
        <v>-246188.25</v>
      </c>
      <c r="GV125" s="77">
        <f t="shared" si="403"/>
        <v>-222741.75</v>
      </c>
      <c r="GW125" s="77">
        <f t="shared" si="404"/>
        <v>-199295.25</v>
      </c>
      <c r="GX125" s="77">
        <f t="shared" si="405"/>
        <v>-175848.75</v>
      </c>
      <c r="GY125" s="77">
        <f t="shared" si="406"/>
        <v>-152402.25</v>
      </c>
      <c r="GZ125" s="77">
        <f t="shared" si="407"/>
        <v>-128955.74999999999</v>
      </c>
      <c r="HA125" s="77">
        <f t="shared" si="408"/>
        <v>-105509.25</v>
      </c>
      <c r="HB125" s="77">
        <f t="shared" si="409"/>
        <v>-82062.75</v>
      </c>
      <c r="HC125" s="77">
        <f t="shared" si="410"/>
        <v>-58616.25</v>
      </c>
      <c r="HD125" s="77">
        <f t="shared" si="411"/>
        <v>-35169.75</v>
      </c>
      <c r="HE125" s="77">
        <f t="shared" si="412"/>
        <v>-11723.25</v>
      </c>
      <c r="HF125" s="77">
        <f t="shared" si="413"/>
        <v>11723.25</v>
      </c>
      <c r="HG125" s="77">
        <f t="shared" si="414"/>
        <v>35169.75</v>
      </c>
      <c r="HH125" s="77">
        <f t="shared" si="415"/>
        <v>58616.25</v>
      </c>
      <c r="HI125" s="77">
        <f t="shared" si="416"/>
        <v>82062.75</v>
      </c>
      <c r="HJ125" s="77">
        <f t="shared" si="417"/>
        <v>105509.25</v>
      </c>
      <c r="HK125" s="77">
        <f t="shared" si="418"/>
        <v>128955.74999999999</v>
      </c>
      <c r="HL125" s="77">
        <f t="shared" si="419"/>
        <v>152402.25</v>
      </c>
      <c r="HM125" s="77">
        <f t="shared" si="420"/>
        <v>175848.75</v>
      </c>
      <c r="HN125" s="77">
        <f t="shared" si="421"/>
        <v>199295.25</v>
      </c>
      <c r="HO125" s="77">
        <f t="shared" si="422"/>
        <v>222741.75</v>
      </c>
      <c r="HP125" s="77">
        <f t="shared" si="423"/>
        <v>246188.25</v>
      </c>
      <c r="HQ125" s="77">
        <f t="shared" si="424"/>
        <v>269634.75</v>
      </c>
      <c r="HR125" s="77">
        <f t="shared" si="425"/>
        <v>293081.25</v>
      </c>
      <c r="HS125" s="77">
        <f t="shared" si="426"/>
        <v>316527.75</v>
      </c>
      <c r="HT125" s="77">
        <f t="shared" si="427"/>
        <v>339974.25</v>
      </c>
      <c r="HU125" s="77">
        <f t="shared" si="428"/>
        <v>4889863.125</v>
      </c>
      <c r="HV125" s="77">
        <f t="shared" si="429"/>
        <v>11409386.625</v>
      </c>
      <c r="IC125" s="82">
        <v>133</v>
      </c>
    </row>
    <row r="126" spans="1:237" s="77" customFormat="1">
      <c r="A126" s="77">
        <v>125</v>
      </c>
      <c r="B126" s="69">
        <v>190</v>
      </c>
      <c r="C126" s="69" t="s">
        <v>236</v>
      </c>
      <c r="D126" s="70" t="s">
        <v>144</v>
      </c>
      <c r="E126" s="70">
        <v>3</v>
      </c>
      <c r="F126" s="70">
        <v>0.11093423891895716</v>
      </c>
      <c r="G126" s="70"/>
      <c r="H126" s="70">
        <v>3.9583329999999996E-3</v>
      </c>
      <c r="I126" s="87">
        <v>3.9583329999999996E-3</v>
      </c>
      <c r="J126" s="71">
        <v>0.84210526315789469</v>
      </c>
      <c r="K126" s="72">
        <v>28.5</v>
      </c>
      <c r="L126" s="71">
        <v>0.14902177650429799</v>
      </c>
      <c r="M126" s="71">
        <v>0.14902177650429799</v>
      </c>
      <c r="N126" s="71">
        <v>0.49491404011461321</v>
      </c>
      <c r="O126" s="71">
        <v>1.2791413068054718E-2</v>
      </c>
      <c r="P126" s="71">
        <v>0</v>
      </c>
      <c r="Q126" s="73" t="s">
        <v>28</v>
      </c>
      <c r="R126" s="74">
        <v>0.22222222222222221</v>
      </c>
      <c r="S126" s="75">
        <f t="shared" si="216"/>
        <v>0.65535757203379941</v>
      </c>
      <c r="T126" s="59">
        <f t="shared" si="188"/>
        <v>1.5828942617725057</v>
      </c>
      <c r="U126" s="59">
        <f t="shared" si="189"/>
        <v>1.2093860384818222</v>
      </c>
      <c r="V126" s="59">
        <f t="shared" si="190"/>
        <v>1.467894757996548</v>
      </c>
      <c r="W126" s="59">
        <f t="shared" si="191"/>
        <v>0.92734858761369021</v>
      </c>
      <c r="X126" s="59">
        <f t="shared" si="192"/>
        <v>1.2137520289544927</v>
      </c>
      <c r="Y126" s="86">
        <v>62720</v>
      </c>
      <c r="Z126" s="57">
        <f t="shared" si="193"/>
        <v>76126.527256025787</v>
      </c>
      <c r="AA126" s="57">
        <f t="shared" si="194"/>
        <v>58163.303415130649</v>
      </c>
      <c r="AB126" s="57">
        <f t="shared" si="326"/>
        <v>108277.90828808621</v>
      </c>
      <c r="AC126" s="57">
        <f t="shared" si="196"/>
        <v>0.25</v>
      </c>
      <c r="AD126" s="57">
        <f t="shared" si="197"/>
        <v>1.5</v>
      </c>
      <c r="AE126" s="57">
        <f t="shared" si="198"/>
        <v>0</v>
      </c>
      <c r="AF126" s="57">
        <f t="shared" si="199"/>
        <v>13818.021543695944</v>
      </c>
      <c r="AG126" s="57">
        <f t="shared" si="366"/>
        <v>44345.281871434701</v>
      </c>
      <c r="AH126" s="57">
        <f t="shared" si="327"/>
        <v>21061788.780024905</v>
      </c>
      <c r="AI126" s="57">
        <f t="shared" si="338"/>
        <v>30911607.19825647</v>
      </c>
      <c r="AJ126" s="77">
        <v>0</v>
      </c>
      <c r="AK126" s="77">
        <v>34.9</v>
      </c>
      <c r="AL126" s="78">
        <f t="shared" si="203"/>
        <v>3.2411833905621954</v>
      </c>
      <c r="AM126" s="57">
        <f t="shared" si="204"/>
        <v>1</v>
      </c>
      <c r="AN126" s="57">
        <f t="shared" si="205"/>
        <v>0.8</v>
      </c>
      <c r="AO126" s="77">
        <v>570</v>
      </c>
      <c r="AP126" s="79">
        <v>60</v>
      </c>
      <c r="AQ126" s="77">
        <f t="shared" si="206"/>
        <v>37.091958452127436</v>
      </c>
      <c r="AR126" s="57">
        <f t="shared" si="328"/>
        <v>450</v>
      </c>
      <c r="AS126" s="77">
        <f t="shared" si="208"/>
        <v>532.90804154787259</v>
      </c>
      <c r="AT126" s="77">
        <v>20</v>
      </c>
      <c r="AU126" s="77">
        <v>480</v>
      </c>
      <c r="AV126" s="77">
        <f t="shared" si="209"/>
        <v>9000</v>
      </c>
      <c r="AW126" s="77">
        <f t="shared" si="367"/>
        <v>7200</v>
      </c>
      <c r="AX126" s="77">
        <f t="shared" si="210"/>
        <v>11400</v>
      </c>
      <c r="AY126" s="77">
        <v>16200</v>
      </c>
      <c r="AZ126" s="77">
        <v>284.2</v>
      </c>
      <c r="BA126" s="77">
        <v>284.2</v>
      </c>
      <c r="BB126" s="77">
        <v>367.5</v>
      </c>
      <c r="BC126" s="77">
        <v>294</v>
      </c>
      <c r="BD126" s="77">
        <v>1.83E-2</v>
      </c>
      <c r="BE126" s="77">
        <v>1.83E-2</v>
      </c>
      <c r="BF126" s="77">
        <v>4.7E-2</v>
      </c>
      <c r="BH126" s="79"/>
      <c r="BI126" s="79"/>
      <c r="BJ126" s="79"/>
      <c r="BK126" s="57"/>
      <c r="BL126" s="57">
        <f t="shared" si="243"/>
        <v>164.7</v>
      </c>
      <c r="BM126" s="80">
        <f t="shared" si="363"/>
        <v>28.274333882308138</v>
      </c>
      <c r="BN126" s="80">
        <v>6</v>
      </c>
      <c r="BO126" s="57">
        <f t="shared" si="329"/>
        <v>169.64600329384882</v>
      </c>
      <c r="BP126" s="57">
        <f t="shared" si="213"/>
        <v>92066.359221543491</v>
      </c>
      <c r="BQ126" s="77">
        <f t="shared" si="214"/>
        <v>2.1827872842550278E-9</v>
      </c>
      <c r="BR126" s="57">
        <f t="shared" si="330"/>
        <v>44191852.426340878</v>
      </c>
      <c r="BS126" s="57">
        <v>74.183916904254872</v>
      </c>
      <c r="BT126" s="57">
        <f t="shared" si="220"/>
        <v>39.411751775287918</v>
      </c>
      <c r="BU126" s="57"/>
      <c r="BV126" s="57">
        <v>3.3E-3</v>
      </c>
      <c r="BW126" s="57">
        <v>30000</v>
      </c>
      <c r="BX126" s="57">
        <v>200000</v>
      </c>
      <c r="BY126" s="77">
        <v>10.5</v>
      </c>
      <c r="BZ126" s="77">
        <v>49.5</v>
      </c>
      <c r="CA126" s="77">
        <v>67.5</v>
      </c>
      <c r="CB126" s="77">
        <v>82.5</v>
      </c>
      <c r="CC126" s="77">
        <v>97.5</v>
      </c>
      <c r="CD126" s="77">
        <v>112.5</v>
      </c>
      <c r="CE126" s="77">
        <v>127.5</v>
      </c>
      <c r="CF126" s="77">
        <v>142.5</v>
      </c>
      <c r="CG126" s="77">
        <v>157.5</v>
      </c>
      <c r="CH126" s="77">
        <v>172.5</v>
      </c>
      <c r="CI126" s="77">
        <v>187.5</v>
      </c>
      <c r="CJ126" s="77">
        <v>202.5</v>
      </c>
      <c r="CK126" s="77">
        <v>217.5</v>
      </c>
      <c r="CL126" s="77">
        <v>232.5</v>
      </c>
      <c r="CM126" s="77">
        <v>247.5</v>
      </c>
      <c r="CN126" s="77">
        <v>262.5</v>
      </c>
      <c r="CO126" s="77">
        <v>277.5</v>
      </c>
      <c r="CP126" s="77">
        <v>292.5</v>
      </c>
      <c r="CQ126" s="77">
        <v>307.5</v>
      </c>
      <c r="CR126" s="77">
        <v>322.5</v>
      </c>
      <c r="CS126" s="77">
        <v>337.5</v>
      </c>
      <c r="CT126" s="77">
        <v>352.5</v>
      </c>
      <c r="CU126" s="77">
        <v>367.5</v>
      </c>
      <c r="CV126" s="77">
        <v>382.5</v>
      </c>
      <c r="CW126" s="77">
        <v>397.5</v>
      </c>
      <c r="CX126" s="77">
        <v>412.5</v>
      </c>
      <c r="CY126" s="77">
        <v>427.5</v>
      </c>
      <c r="CZ126" s="77">
        <v>442.5</v>
      </c>
      <c r="DA126" s="77">
        <v>457.5</v>
      </c>
      <c r="DB126" s="77">
        <v>472.5</v>
      </c>
      <c r="DC126" s="77">
        <v>487.5</v>
      </c>
      <c r="DD126" s="77">
        <v>502.5</v>
      </c>
      <c r="DE126" s="77">
        <v>520.5</v>
      </c>
      <c r="DF126" s="77">
        <v>559.5</v>
      </c>
      <c r="DM126" s="77">
        <v>113.1</v>
      </c>
      <c r="DN126" s="77">
        <v>56.5</v>
      </c>
      <c r="DO126" s="77">
        <v>5.5</v>
      </c>
      <c r="DP126" s="77">
        <v>5.5</v>
      </c>
      <c r="DQ126" s="77">
        <v>5.5</v>
      </c>
      <c r="DR126" s="77">
        <v>5.5</v>
      </c>
      <c r="DS126" s="77">
        <v>5.5</v>
      </c>
      <c r="DT126" s="77">
        <v>5.5</v>
      </c>
      <c r="DU126" s="77">
        <v>5.5</v>
      </c>
      <c r="DV126" s="77">
        <v>5.5</v>
      </c>
      <c r="DW126" s="77">
        <v>5.5</v>
      </c>
      <c r="DX126" s="77">
        <v>5.5</v>
      </c>
      <c r="DY126" s="77">
        <v>5.5</v>
      </c>
      <c r="DZ126" s="77">
        <v>5.5</v>
      </c>
      <c r="EA126" s="77">
        <v>5.5</v>
      </c>
      <c r="EB126" s="77">
        <v>5.5</v>
      </c>
      <c r="EC126" s="77">
        <v>5.5</v>
      </c>
      <c r="ED126" s="77">
        <v>5.5</v>
      </c>
      <c r="EE126" s="77">
        <v>5.5</v>
      </c>
      <c r="EF126" s="77">
        <v>5.5</v>
      </c>
      <c r="EG126" s="77">
        <v>5.5</v>
      </c>
      <c r="EH126" s="77">
        <v>5.5</v>
      </c>
      <c r="EI126" s="77">
        <v>5.5</v>
      </c>
      <c r="EJ126" s="77">
        <v>5.5</v>
      </c>
      <c r="EK126" s="77">
        <v>5.5</v>
      </c>
      <c r="EL126" s="77">
        <v>5.5</v>
      </c>
      <c r="EM126" s="77">
        <v>5.5</v>
      </c>
      <c r="EN126" s="77">
        <v>5.5</v>
      </c>
      <c r="EO126" s="77">
        <v>5.5</v>
      </c>
      <c r="EP126" s="77">
        <v>5.5</v>
      </c>
      <c r="EQ126" s="77">
        <v>5.5</v>
      </c>
      <c r="ER126" s="77">
        <v>5.5</v>
      </c>
      <c r="ES126" s="77">
        <v>56.5</v>
      </c>
      <c r="ET126" s="77">
        <v>113.1</v>
      </c>
      <c r="FA126" s="77">
        <f t="shared" si="357"/>
        <v>-41564.25</v>
      </c>
      <c r="FB126" s="77">
        <f t="shared" si="361"/>
        <v>-12407.854691033042</v>
      </c>
      <c r="FC126" s="77">
        <f t="shared" si="368"/>
        <v>-327.06035721677546</v>
      </c>
      <c r="FD126" s="77">
        <f t="shared" si="369"/>
        <v>406.92623006838556</v>
      </c>
      <c r="FE126" s="77">
        <f t="shared" si="370"/>
        <v>1140.9128173535466</v>
      </c>
      <c r="FF126" s="77">
        <f t="shared" si="371"/>
        <v>1563.1</v>
      </c>
      <c r="FG126" s="77">
        <f t="shared" si="372"/>
        <v>1563.1</v>
      </c>
      <c r="FH126" s="77">
        <f t="shared" si="373"/>
        <v>1563.1</v>
      </c>
      <c r="FI126" s="77">
        <f t="shared" si="374"/>
        <v>1563.1</v>
      </c>
      <c r="FJ126" s="77">
        <f t="shared" si="375"/>
        <v>1563.1</v>
      </c>
      <c r="FK126" s="77">
        <f t="shared" si="376"/>
        <v>1563.1</v>
      </c>
      <c r="FL126" s="77">
        <f t="shared" si="377"/>
        <v>1563.1</v>
      </c>
      <c r="FM126" s="77">
        <f t="shared" si="378"/>
        <v>1563.1</v>
      </c>
      <c r="FN126" s="77">
        <f t="shared" si="379"/>
        <v>1563.1</v>
      </c>
      <c r="FO126" s="77">
        <f t="shared" si="380"/>
        <v>1563.1</v>
      </c>
      <c r="FP126" s="77">
        <f t="shared" si="381"/>
        <v>1563.1</v>
      </c>
      <c r="FQ126" s="77">
        <f t="shared" si="382"/>
        <v>1563.1</v>
      </c>
      <c r="FR126" s="77">
        <f t="shared" si="383"/>
        <v>1563.1</v>
      </c>
      <c r="FS126" s="77">
        <f t="shared" si="384"/>
        <v>1563.1</v>
      </c>
      <c r="FT126" s="77">
        <f t="shared" si="385"/>
        <v>1563.1</v>
      </c>
      <c r="FU126" s="77">
        <f t="shared" si="386"/>
        <v>1563.1</v>
      </c>
      <c r="FV126" s="77">
        <f t="shared" si="387"/>
        <v>1563.1</v>
      </c>
      <c r="FW126" s="77">
        <f t="shared" si="388"/>
        <v>1563.1</v>
      </c>
      <c r="FX126" s="77">
        <f t="shared" si="389"/>
        <v>1563.1</v>
      </c>
      <c r="FY126" s="77">
        <f t="shared" si="390"/>
        <v>1563.1</v>
      </c>
      <c r="FZ126" s="77">
        <f t="shared" si="391"/>
        <v>1563.1</v>
      </c>
      <c r="GA126" s="77">
        <f t="shared" si="392"/>
        <v>1563.1</v>
      </c>
      <c r="GB126" s="77">
        <f t="shared" si="393"/>
        <v>1563.1</v>
      </c>
      <c r="GC126" s="77">
        <f t="shared" si="394"/>
        <v>1563.1</v>
      </c>
      <c r="GD126" s="77">
        <f t="shared" si="395"/>
        <v>1563.1</v>
      </c>
      <c r="GE126" s="77">
        <f t="shared" si="396"/>
        <v>1563.1</v>
      </c>
      <c r="GF126" s="77">
        <f t="shared" si="397"/>
        <v>1563.1</v>
      </c>
      <c r="GG126" s="77">
        <f t="shared" si="398"/>
        <v>20763.75</v>
      </c>
      <c r="GH126" s="77">
        <f t="shared" si="399"/>
        <v>41564.25</v>
      </c>
      <c r="GO126" s="77">
        <f t="shared" si="275"/>
        <v>11409386.625</v>
      </c>
      <c r="GP126" s="77">
        <f t="shared" si="276"/>
        <v>2922049.7797382814</v>
      </c>
      <c r="GQ126" s="77">
        <f t="shared" si="277"/>
        <v>71135.627694648661</v>
      </c>
      <c r="GR126" s="77">
        <f t="shared" si="278"/>
        <v>-82402.561588848082</v>
      </c>
      <c r="GS126" s="77">
        <f t="shared" si="400"/>
        <v>-213921.15325378999</v>
      </c>
      <c r="GT126" s="77">
        <f t="shared" si="401"/>
        <v>-269634.75</v>
      </c>
      <c r="GU126" s="77">
        <f t="shared" si="402"/>
        <v>-246188.25</v>
      </c>
      <c r="GV126" s="77">
        <f t="shared" si="403"/>
        <v>-222741.75</v>
      </c>
      <c r="GW126" s="77">
        <f t="shared" si="404"/>
        <v>-199295.25</v>
      </c>
      <c r="GX126" s="77">
        <f t="shared" si="405"/>
        <v>-175848.75</v>
      </c>
      <c r="GY126" s="77">
        <f t="shared" si="406"/>
        <v>-152402.25</v>
      </c>
      <c r="GZ126" s="77">
        <f t="shared" si="407"/>
        <v>-128955.74999999999</v>
      </c>
      <c r="HA126" s="77">
        <f t="shared" si="408"/>
        <v>-105509.25</v>
      </c>
      <c r="HB126" s="77">
        <f t="shared" si="409"/>
        <v>-82062.75</v>
      </c>
      <c r="HC126" s="77">
        <f t="shared" si="410"/>
        <v>-58616.25</v>
      </c>
      <c r="HD126" s="77">
        <f t="shared" si="411"/>
        <v>-35169.75</v>
      </c>
      <c r="HE126" s="77">
        <f t="shared" si="412"/>
        <v>-11723.25</v>
      </c>
      <c r="HF126" s="77">
        <f t="shared" si="413"/>
        <v>11723.25</v>
      </c>
      <c r="HG126" s="77">
        <f t="shared" si="414"/>
        <v>35169.75</v>
      </c>
      <c r="HH126" s="77">
        <f t="shared" si="415"/>
        <v>58616.25</v>
      </c>
      <c r="HI126" s="77">
        <f t="shared" si="416"/>
        <v>82062.75</v>
      </c>
      <c r="HJ126" s="77">
        <f t="shared" si="417"/>
        <v>105509.25</v>
      </c>
      <c r="HK126" s="77">
        <f t="shared" si="418"/>
        <v>128955.74999999999</v>
      </c>
      <c r="HL126" s="77">
        <f t="shared" si="419"/>
        <v>152402.25</v>
      </c>
      <c r="HM126" s="77">
        <f t="shared" si="420"/>
        <v>175848.75</v>
      </c>
      <c r="HN126" s="77">
        <f t="shared" si="421"/>
        <v>199295.25</v>
      </c>
      <c r="HO126" s="77">
        <f t="shared" si="422"/>
        <v>222741.75</v>
      </c>
      <c r="HP126" s="77">
        <f t="shared" si="423"/>
        <v>246188.25</v>
      </c>
      <c r="HQ126" s="77">
        <f t="shared" si="424"/>
        <v>269634.75</v>
      </c>
      <c r="HR126" s="77">
        <f t="shared" si="425"/>
        <v>293081.25</v>
      </c>
      <c r="HS126" s="77">
        <f t="shared" si="426"/>
        <v>316527.75</v>
      </c>
      <c r="HT126" s="77">
        <f t="shared" si="427"/>
        <v>339974.25</v>
      </c>
      <c r="HU126" s="77">
        <f t="shared" si="428"/>
        <v>4889863.125</v>
      </c>
      <c r="HV126" s="77">
        <f t="shared" si="429"/>
        <v>11409386.625</v>
      </c>
      <c r="IC126" s="82">
        <v>134</v>
      </c>
    </row>
    <row r="127" spans="1:237" s="77" customFormat="1">
      <c r="A127" s="77">
        <v>126</v>
      </c>
      <c r="B127" s="69">
        <v>191</v>
      </c>
      <c r="C127" s="69" t="s">
        <v>236</v>
      </c>
      <c r="D127" s="70" t="s">
        <v>145</v>
      </c>
      <c r="E127" s="70">
        <v>3</v>
      </c>
      <c r="F127" s="70">
        <v>0.1276665038267383</v>
      </c>
      <c r="G127" s="70"/>
      <c r="H127" s="70">
        <v>6.6666670000000003E-3</v>
      </c>
      <c r="I127" s="87">
        <v>6.6666670000000003E-3</v>
      </c>
      <c r="J127" s="71">
        <v>0.84210526315789469</v>
      </c>
      <c r="K127" s="72">
        <v>19</v>
      </c>
      <c r="L127" s="71">
        <v>9.7394382022471901E-2</v>
      </c>
      <c r="M127" s="71">
        <v>9.7394382022471901E-2</v>
      </c>
      <c r="N127" s="71">
        <v>0.48518258426966293</v>
      </c>
      <c r="O127" s="71">
        <v>1.2539896518963752E-2</v>
      </c>
      <c r="P127" s="71">
        <v>0</v>
      </c>
      <c r="Q127" s="73" t="s">
        <v>28</v>
      </c>
      <c r="R127" s="74">
        <v>0.17391304347826086</v>
      </c>
      <c r="S127" s="75">
        <f t="shared" si="216"/>
        <v>0.76173158572859268</v>
      </c>
      <c r="T127" s="59">
        <f t="shared" si="188"/>
        <v>1.4104657212188187</v>
      </c>
      <c r="U127" s="59">
        <f t="shared" si="189"/>
        <v>1.1030902303151082</v>
      </c>
      <c r="V127" s="59">
        <f t="shared" si="190"/>
        <v>0.99424573253425275</v>
      </c>
      <c r="W127" s="59">
        <f t="shared" si="191"/>
        <v>0.70490598784286662</v>
      </c>
      <c r="X127" s="59">
        <f t="shared" si="192"/>
        <v>0.9013276568048626</v>
      </c>
      <c r="Y127" s="86">
        <v>94080</v>
      </c>
      <c r="Z127" s="57">
        <f t="shared" si="193"/>
        <v>84796.905952201472</v>
      </c>
      <c r="AA127" s="57">
        <f t="shared" si="194"/>
        <v>66317.55533625689</v>
      </c>
      <c r="AB127" s="57">
        <f t="shared" si="326"/>
        <v>134803.38289201027</v>
      </c>
      <c r="AC127" s="57">
        <f t="shared" si="196"/>
        <v>0.25</v>
      </c>
      <c r="AD127" s="57">
        <f t="shared" si="197"/>
        <v>1.5</v>
      </c>
      <c r="AE127" s="57">
        <f t="shared" si="198"/>
        <v>0</v>
      </c>
      <c r="AF127" s="57">
        <f t="shared" si="199"/>
        <v>21281.211402630775</v>
      </c>
      <c r="AG127" s="57">
        <f t="shared" si="366"/>
        <v>45036.343933626107</v>
      </c>
      <c r="AH127" s="57">
        <f t="shared" si="327"/>
        <v>32758509.975306492</v>
      </c>
      <c r="AI127" s="57">
        <f t="shared" si="338"/>
        <v>31947113.81285844</v>
      </c>
      <c r="AJ127" s="77">
        <v>0</v>
      </c>
      <c r="AK127" s="77">
        <v>35.6</v>
      </c>
      <c r="AL127" s="78">
        <f t="shared" si="203"/>
        <v>3.2767787515080631</v>
      </c>
      <c r="AM127" s="57">
        <f t="shared" si="204"/>
        <v>1</v>
      </c>
      <c r="AN127" s="57">
        <f t="shared" si="205"/>
        <v>0.8</v>
      </c>
      <c r="AO127" s="77">
        <v>570</v>
      </c>
      <c r="AP127" s="79">
        <v>60</v>
      </c>
      <c r="AQ127" s="77">
        <f t="shared" si="206"/>
        <v>28.787297513943653</v>
      </c>
      <c r="AR127" s="57">
        <f t="shared" si="328"/>
        <v>450</v>
      </c>
      <c r="AS127" s="77">
        <f t="shared" si="208"/>
        <v>541.2127024860564</v>
      </c>
      <c r="AT127" s="77">
        <v>30</v>
      </c>
      <c r="AU127" s="77">
        <v>480</v>
      </c>
      <c r="AV127" s="77">
        <f t="shared" si="209"/>
        <v>13500</v>
      </c>
      <c r="AW127" s="77">
        <f t="shared" si="367"/>
        <v>7200</v>
      </c>
      <c r="AX127" s="77">
        <f t="shared" si="210"/>
        <v>17100</v>
      </c>
      <c r="AY127" s="77">
        <v>20700</v>
      </c>
      <c r="AZ127" s="77">
        <v>284.2</v>
      </c>
      <c r="BA127" s="77">
        <v>284.2</v>
      </c>
      <c r="BB127" s="77">
        <v>367.5</v>
      </c>
      <c r="BC127" s="77">
        <v>294</v>
      </c>
      <c r="BD127" s="77">
        <v>1.2200000000000001E-2</v>
      </c>
      <c r="BE127" s="77">
        <v>1.2200000000000001E-2</v>
      </c>
      <c r="BF127" s="77">
        <v>4.7E-2</v>
      </c>
      <c r="BH127" s="79"/>
      <c r="BI127" s="79"/>
      <c r="BJ127" s="79"/>
      <c r="BK127" s="57"/>
      <c r="BL127" s="57">
        <f t="shared" si="243"/>
        <v>164.70000000000002</v>
      </c>
      <c r="BM127" s="80">
        <f t="shared" si="363"/>
        <v>28.274333882308138</v>
      </c>
      <c r="BN127" s="80">
        <v>6</v>
      </c>
      <c r="BO127" s="57">
        <f t="shared" si="329"/>
        <v>169.64600329384882</v>
      </c>
      <c r="BP127" s="57">
        <f t="shared" si="213"/>
        <v>93538.638516822495</v>
      </c>
      <c r="BQ127" s="77">
        <f t="shared" si="214"/>
        <v>5.7480065152049065E-10</v>
      </c>
      <c r="BR127" s="57">
        <f t="shared" si="330"/>
        <v>44898546.488074794</v>
      </c>
      <c r="BS127" s="57">
        <v>57.574595027887305</v>
      </c>
      <c r="BT127" s="57">
        <f t="shared" si="220"/>
        <v>17.279814320176659</v>
      </c>
      <c r="BU127" s="57"/>
      <c r="BV127" s="57">
        <v>3.3E-3</v>
      </c>
      <c r="BW127" s="57">
        <v>30000</v>
      </c>
      <c r="BX127" s="57">
        <v>200000</v>
      </c>
      <c r="BY127" s="77">
        <v>10.5</v>
      </c>
      <c r="BZ127" s="77">
        <v>49.5</v>
      </c>
      <c r="CA127" s="77">
        <v>67.5</v>
      </c>
      <c r="CB127" s="77">
        <v>82.5</v>
      </c>
      <c r="CC127" s="77">
        <v>97.5</v>
      </c>
      <c r="CD127" s="77">
        <v>112.5</v>
      </c>
      <c r="CE127" s="77">
        <v>127.5</v>
      </c>
      <c r="CF127" s="77">
        <v>142.5</v>
      </c>
      <c r="CG127" s="77">
        <v>157.5</v>
      </c>
      <c r="CH127" s="77">
        <v>172.5</v>
      </c>
      <c r="CI127" s="77">
        <v>187.5</v>
      </c>
      <c r="CJ127" s="77">
        <v>202.5</v>
      </c>
      <c r="CK127" s="77">
        <v>217.5</v>
      </c>
      <c r="CL127" s="77">
        <v>232.5</v>
      </c>
      <c r="CM127" s="77">
        <v>247.5</v>
      </c>
      <c r="CN127" s="77">
        <v>262.5</v>
      </c>
      <c r="CO127" s="77">
        <v>277.5</v>
      </c>
      <c r="CP127" s="77">
        <v>292.5</v>
      </c>
      <c r="CQ127" s="77">
        <v>307.5</v>
      </c>
      <c r="CR127" s="77">
        <v>322.5</v>
      </c>
      <c r="CS127" s="77">
        <v>337.5</v>
      </c>
      <c r="CT127" s="77">
        <v>352.5</v>
      </c>
      <c r="CU127" s="77">
        <v>367.5</v>
      </c>
      <c r="CV127" s="77">
        <v>382.5</v>
      </c>
      <c r="CW127" s="77">
        <v>397.5</v>
      </c>
      <c r="CX127" s="77">
        <v>412.5</v>
      </c>
      <c r="CY127" s="77">
        <v>427.5</v>
      </c>
      <c r="CZ127" s="77">
        <v>442.5</v>
      </c>
      <c r="DA127" s="77">
        <v>457.5</v>
      </c>
      <c r="DB127" s="77">
        <v>472.5</v>
      </c>
      <c r="DC127" s="77">
        <v>487.5</v>
      </c>
      <c r="DD127" s="77">
        <v>502.5</v>
      </c>
      <c r="DE127" s="77">
        <v>520.5</v>
      </c>
      <c r="DF127" s="77">
        <v>559.5</v>
      </c>
      <c r="DM127" s="77">
        <v>113.1</v>
      </c>
      <c r="DN127" s="77">
        <v>56.5</v>
      </c>
      <c r="DO127" s="77">
        <v>5.5</v>
      </c>
      <c r="DP127" s="77">
        <v>5.5</v>
      </c>
      <c r="DQ127" s="77">
        <v>5.5</v>
      </c>
      <c r="DR127" s="77">
        <v>5.5</v>
      </c>
      <c r="DS127" s="77">
        <v>5.5</v>
      </c>
      <c r="DT127" s="77">
        <v>5.5</v>
      </c>
      <c r="DU127" s="77">
        <v>5.5</v>
      </c>
      <c r="DV127" s="77">
        <v>5.5</v>
      </c>
      <c r="DW127" s="77">
        <v>5.5</v>
      </c>
      <c r="DX127" s="77">
        <v>5.5</v>
      </c>
      <c r="DY127" s="77">
        <v>5.5</v>
      </c>
      <c r="DZ127" s="77">
        <v>5.5</v>
      </c>
      <c r="EA127" s="77">
        <v>5.5</v>
      </c>
      <c r="EB127" s="77">
        <v>5.5</v>
      </c>
      <c r="EC127" s="77">
        <v>5.5</v>
      </c>
      <c r="ED127" s="77">
        <v>5.5</v>
      </c>
      <c r="EE127" s="77">
        <v>5.5</v>
      </c>
      <c r="EF127" s="77">
        <v>5.5</v>
      </c>
      <c r="EG127" s="77">
        <v>5.5</v>
      </c>
      <c r="EH127" s="77">
        <v>5.5</v>
      </c>
      <c r="EI127" s="77">
        <v>5.5</v>
      </c>
      <c r="EJ127" s="77">
        <v>5.5</v>
      </c>
      <c r="EK127" s="77">
        <v>5.5</v>
      </c>
      <c r="EL127" s="77">
        <v>5.5</v>
      </c>
      <c r="EM127" s="77">
        <v>5.5</v>
      </c>
      <c r="EN127" s="77">
        <v>5.5</v>
      </c>
      <c r="EO127" s="77">
        <v>5.5</v>
      </c>
      <c r="EP127" s="77">
        <v>5.5</v>
      </c>
      <c r="EQ127" s="77">
        <v>5.5</v>
      </c>
      <c r="ER127" s="77">
        <v>5.5</v>
      </c>
      <c r="ES127" s="77">
        <v>56.5</v>
      </c>
      <c r="ET127" s="77">
        <v>113.1</v>
      </c>
      <c r="FA127" s="77">
        <f t="shared" si="357"/>
        <v>-41564.25</v>
      </c>
      <c r="FB127" s="77">
        <f t="shared" si="361"/>
        <v>-5229.7658097998519</v>
      </c>
      <c r="FC127" s="77">
        <f t="shared" si="368"/>
        <v>625.7832995840904</v>
      </c>
      <c r="FD127" s="77">
        <f t="shared" si="369"/>
        <v>1563.1</v>
      </c>
      <c r="FE127" s="77">
        <f t="shared" si="370"/>
        <v>1563.1</v>
      </c>
      <c r="FF127" s="77">
        <f t="shared" si="371"/>
        <v>1563.1</v>
      </c>
      <c r="FG127" s="77">
        <f t="shared" si="372"/>
        <v>1563.1</v>
      </c>
      <c r="FH127" s="77">
        <f t="shared" si="373"/>
        <v>1563.1</v>
      </c>
      <c r="FI127" s="77">
        <f t="shared" si="374"/>
        <v>1563.1</v>
      </c>
      <c r="FJ127" s="77">
        <f t="shared" si="375"/>
        <v>1563.1</v>
      </c>
      <c r="FK127" s="77">
        <f t="shared" si="376"/>
        <v>1563.1</v>
      </c>
      <c r="FL127" s="77">
        <f t="shared" si="377"/>
        <v>1563.1</v>
      </c>
      <c r="FM127" s="77">
        <f t="shared" si="378"/>
        <v>1563.1</v>
      </c>
      <c r="FN127" s="77">
        <f t="shared" si="379"/>
        <v>1563.1</v>
      </c>
      <c r="FO127" s="77">
        <f t="shared" si="380"/>
        <v>1563.1</v>
      </c>
      <c r="FP127" s="77">
        <f t="shared" si="381"/>
        <v>1563.1</v>
      </c>
      <c r="FQ127" s="77">
        <f t="shared" si="382"/>
        <v>1563.1</v>
      </c>
      <c r="FR127" s="77">
        <f t="shared" si="383"/>
        <v>1563.1</v>
      </c>
      <c r="FS127" s="77">
        <f t="shared" si="384"/>
        <v>1563.1</v>
      </c>
      <c r="FT127" s="77">
        <f t="shared" si="385"/>
        <v>1563.1</v>
      </c>
      <c r="FU127" s="77">
        <f t="shared" si="386"/>
        <v>1563.1</v>
      </c>
      <c r="FV127" s="77">
        <f t="shared" si="387"/>
        <v>1563.1</v>
      </c>
      <c r="FW127" s="77">
        <f t="shared" si="388"/>
        <v>1563.1</v>
      </c>
      <c r="FX127" s="77">
        <f t="shared" si="389"/>
        <v>1563.1</v>
      </c>
      <c r="FY127" s="77">
        <f t="shared" si="390"/>
        <v>1563.1</v>
      </c>
      <c r="FZ127" s="77">
        <f t="shared" si="391"/>
        <v>1563.1</v>
      </c>
      <c r="GA127" s="77">
        <f t="shared" si="392"/>
        <v>1563.1</v>
      </c>
      <c r="GB127" s="77">
        <f t="shared" si="393"/>
        <v>1563.1</v>
      </c>
      <c r="GC127" s="77">
        <f t="shared" si="394"/>
        <v>1563.1</v>
      </c>
      <c r="GD127" s="77">
        <f t="shared" si="395"/>
        <v>1563.1</v>
      </c>
      <c r="GE127" s="77">
        <f t="shared" si="396"/>
        <v>1563.1</v>
      </c>
      <c r="GF127" s="77">
        <f t="shared" si="397"/>
        <v>1563.1</v>
      </c>
      <c r="GG127" s="77">
        <f t="shared" si="398"/>
        <v>20763.75</v>
      </c>
      <c r="GH127" s="77">
        <f t="shared" si="399"/>
        <v>41564.25</v>
      </c>
      <c r="GO127" s="77">
        <f t="shared" si="275"/>
        <v>11409386.625</v>
      </c>
      <c r="GP127" s="77">
        <f t="shared" si="276"/>
        <v>1231609.8482078651</v>
      </c>
      <c r="GQ127" s="77">
        <f t="shared" si="277"/>
        <v>-136107.86765953965</v>
      </c>
      <c r="GR127" s="77">
        <f t="shared" si="278"/>
        <v>-316527.75</v>
      </c>
      <c r="GS127" s="77">
        <f t="shared" si="400"/>
        <v>-293081.25</v>
      </c>
      <c r="GT127" s="77">
        <f t="shared" si="401"/>
        <v>-269634.75</v>
      </c>
      <c r="GU127" s="77">
        <f t="shared" si="402"/>
        <v>-246188.25</v>
      </c>
      <c r="GV127" s="77">
        <f t="shared" si="403"/>
        <v>-222741.75</v>
      </c>
      <c r="GW127" s="77">
        <f t="shared" si="404"/>
        <v>-199295.25</v>
      </c>
      <c r="GX127" s="77">
        <f t="shared" si="405"/>
        <v>-175848.75</v>
      </c>
      <c r="GY127" s="77">
        <f t="shared" si="406"/>
        <v>-152402.25</v>
      </c>
      <c r="GZ127" s="77">
        <f t="shared" si="407"/>
        <v>-128955.74999999999</v>
      </c>
      <c r="HA127" s="77">
        <f t="shared" si="408"/>
        <v>-105509.25</v>
      </c>
      <c r="HB127" s="77">
        <f t="shared" si="409"/>
        <v>-82062.75</v>
      </c>
      <c r="HC127" s="77">
        <f t="shared" si="410"/>
        <v>-58616.25</v>
      </c>
      <c r="HD127" s="77">
        <f t="shared" si="411"/>
        <v>-35169.75</v>
      </c>
      <c r="HE127" s="77">
        <f t="shared" si="412"/>
        <v>-11723.25</v>
      </c>
      <c r="HF127" s="77">
        <f t="shared" si="413"/>
        <v>11723.25</v>
      </c>
      <c r="HG127" s="77">
        <f t="shared" si="414"/>
        <v>35169.75</v>
      </c>
      <c r="HH127" s="77">
        <f t="shared" si="415"/>
        <v>58616.25</v>
      </c>
      <c r="HI127" s="77">
        <f t="shared" si="416"/>
        <v>82062.75</v>
      </c>
      <c r="HJ127" s="77">
        <f t="shared" si="417"/>
        <v>105509.25</v>
      </c>
      <c r="HK127" s="77">
        <f t="shared" si="418"/>
        <v>128955.74999999999</v>
      </c>
      <c r="HL127" s="77">
        <f t="shared" si="419"/>
        <v>152402.25</v>
      </c>
      <c r="HM127" s="77">
        <f t="shared" si="420"/>
        <v>175848.75</v>
      </c>
      <c r="HN127" s="77">
        <f t="shared" si="421"/>
        <v>199295.25</v>
      </c>
      <c r="HO127" s="77">
        <f t="shared" si="422"/>
        <v>222741.75</v>
      </c>
      <c r="HP127" s="77">
        <f t="shared" si="423"/>
        <v>246188.25</v>
      </c>
      <c r="HQ127" s="77">
        <f t="shared" si="424"/>
        <v>269634.75</v>
      </c>
      <c r="HR127" s="77">
        <f t="shared" si="425"/>
        <v>293081.25</v>
      </c>
      <c r="HS127" s="77">
        <f t="shared" si="426"/>
        <v>316527.75</v>
      </c>
      <c r="HT127" s="77">
        <f t="shared" si="427"/>
        <v>339974.25</v>
      </c>
      <c r="HU127" s="77">
        <f t="shared" si="428"/>
        <v>4889863.125</v>
      </c>
      <c r="HV127" s="77">
        <f t="shared" si="429"/>
        <v>11409386.625</v>
      </c>
      <c r="IC127" s="82">
        <v>135</v>
      </c>
    </row>
    <row r="128" spans="1:237" s="77" customFormat="1">
      <c r="A128" s="77">
        <v>127</v>
      </c>
      <c r="B128" s="69">
        <v>192</v>
      </c>
      <c r="C128" s="69" t="s">
        <v>236</v>
      </c>
      <c r="D128" s="70" t="s">
        <v>146</v>
      </c>
      <c r="E128" s="70">
        <v>3</v>
      </c>
      <c r="F128" s="70">
        <v>0.12615596963423051</v>
      </c>
      <c r="G128" s="70"/>
      <c r="H128" s="70">
        <v>4.7916670000000003E-3</v>
      </c>
      <c r="I128" s="87">
        <v>4.7916670000000003E-3</v>
      </c>
      <c r="J128" s="71">
        <v>0.84210526315789469</v>
      </c>
      <c r="K128" s="72">
        <v>19</v>
      </c>
      <c r="L128" s="71">
        <v>0.10108571428571429</v>
      </c>
      <c r="M128" s="71">
        <v>0.10108571428571429</v>
      </c>
      <c r="N128" s="71">
        <v>0.50357142857142867</v>
      </c>
      <c r="O128" s="71">
        <v>1.3015169564872002E-2</v>
      </c>
      <c r="P128" s="71">
        <v>0</v>
      </c>
      <c r="Q128" s="73" t="s">
        <v>28</v>
      </c>
      <c r="R128" s="74">
        <v>0.17391304347826086</v>
      </c>
      <c r="S128" s="75">
        <f t="shared" si="216"/>
        <v>0.73884759831125124</v>
      </c>
      <c r="T128" s="59">
        <f t="shared" ref="T128:T191" si="430">BP128/AA128</f>
        <v>1.4193923936396087</v>
      </c>
      <c r="U128" s="59">
        <f t="shared" ref="U128:U191" si="431">BP128/Z128</f>
        <v>1.1076732288325959</v>
      </c>
      <c r="V128" s="59">
        <f t="shared" ref="V128:V191" si="432">BP128/Y128</f>
        <v>1.0428102541066375</v>
      </c>
      <c r="W128" s="59">
        <f t="shared" ref="W128:W191" si="433">AA128/Y128</f>
        <v>0.73468778526610357</v>
      </c>
      <c r="X128" s="59">
        <f t="shared" ref="X128:X191" si="434">Z128/Y128</f>
        <v>0.94144213921797226</v>
      </c>
      <c r="Y128" s="86">
        <v>89572</v>
      </c>
      <c r="Z128" s="57">
        <f t="shared" ref="Z128:Z191" si="435">(AC128*1*AK128^0.5+BE128*AZ128)*AX128</f>
        <v>84326.855294032212</v>
      </c>
      <c r="AA128" s="57">
        <f t="shared" ref="AA128:AA191" si="436">IF(AF128&lt;0,AG128,AF128+AG128)</f>
        <v>65807.454301855425</v>
      </c>
      <c r="AB128" s="57">
        <f t="shared" ref="AB128:AB159" si="437">(AH128+AI128)/AU128</f>
        <v>132058.83392610584</v>
      </c>
      <c r="AC128" s="57">
        <f t="shared" ref="AC128:AC191" si="438">IF(J128&lt;=1.5,0.25,IF(J128&gt;=2,0.17,0.25-(J128-1.5)/(2-1.5)*(0.25-0.17)))</f>
        <v>0.25</v>
      </c>
      <c r="AD128" s="57">
        <f t="shared" ref="AD128:AD191" si="439">IF(J128&lt;1.5,1.5,IF(J128&gt;2.2,2.2,J128))</f>
        <v>1.5</v>
      </c>
      <c r="AE128" s="57">
        <f t="shared" ref="AE128:AE191" si="440">IF(P128&gt;0.2,0.2*AY128*AK128,P128*AY128*AK128)</f>
        <v>0</v>
      </c>
      <c r="AF128" s="57">
        <f t="shared" ref="AF128:AF191" si="441">(1/(AD128-0.5))*(0.4*AL128*AT128*AS128+0.1*AE128*AV128/AY128)</f>
        <v>20825.184315500799</v>
      </c>
      <c r="AG128" s="57">
        <f t="shared" si="366"/>
        <v>44982.269986354622</v>
      </c>
      <c r="AH128" s="57">
        <f t="shared" ref="AH128:AH159" si="442">AM128*AK128*AT128*AP128*(AS128-0.5*AP128)</f>
        <v>31522152.378230888</v>
      </c>
      <c r="AI128" s="57">
        <f t="shared" si="338"/>
        <v>31866087.906299923</v>
      </c>
      <c r="AJ128" s="77">
        <v>0</v>
      </c>
      <c r="AK128" s="77">
        <v>34.299999999999997</v>
      </c>
      <c r="AL128" s="78">
        <f t="shared" ref="AL128:AL191" si="443">0.395*(AK128/0.76)^0.55</f>
        <v>3.2104165524763721</v>
      </c>
      <c r="AM128" s="57">
        <f t="shared" ref="AM128:AM191" si="444">IF(AK128&lt;=38,1,IF(AK128&gt;=60.8,0.94,(1-(AK128-38)*(1-0.94)/(60.8-38))))</f>
        <v>1</v>
      </c>
      <c r="AN128" s="57">
        <f t="shared" ref="AN128:AN191" si="445">IF(AK128&lt;=38,0.8,IF(AK128&gt;=60.8,0.74,0.8-(AK128-38)*(0.8-0.74)/(60.8-38)))</f>
        <v>0.8</v>
      </c>
      <c r="AO128" s="77">
        <v>570</v>
      </c>
      <c r="AP128" s="79">
        <v>60</v>
      </c>
      <c r="AQ128" s="77">
        <f t="shared" ref="AQ128:AQ191" si="446">0.5*BS128</f>
        <v>29.437117294608296</v>
      </c>
      <c r="AR128" s="57">
        <f t="shared" ref="AR128:AR159" si="447">AO128-2*AP128</f>
        <v>450</v>
      </c>
      <c r="AS128" s="77">
        <f t="shared" ref="AS128:AS191" si="448">AO128-AQ128</f>
        <v>540.56288270539176</v>
      </c>
      <c r="AT128" s="77">
        <v>30</v>
      </c>
      <c r="AU128" s="77">
        <v>480</v>
      </c>
      <c r="AV128" s="77">
        <f t="shared" ref="AV128:AV191" si="449">IF(Q128="R",AY128,AR128*AT128)</f>
        <v>13500</v>
      </c>
      <c r="AW128" s="77">
        <f t="shared" si="367"/>
        <v>7200</v>
      </c>
      <c r="AX128" s="77">
        <f t="shared" ref="AX128:AX191" si="450">AO128*AT128</f>
        <v>17100</v>
      </c>
      <c r="AY128" s="77">
        <v>20700</v>
      </c>
      <c r="AZ128" s="77">
        <v>284.2</v>
      </c>
      <c r="BA128" s="77">
        <v>284.2</v>
      </c>
      <c r="BB128" s="77">
        <v>367.5</v>
      </c>
      <c r="BC128" s="77">
        <v>294</v>
      </c>
      <c r="BD128" s="77">
        <v>1.2200000000000001E-2</v>
      </c>
      <c r="BE128" s="77">
        <v>1.2200000000000001E-2</v>
      </c>
      <c r="BF128" s="77">
        <v>4.7E-2</v>
      </c>
      <c r="BH128" s="79"/>
      <c r="BI128" s="79"/>
      <c r="BJ128" s="79"/>
      <c r="BK128" s="57"/>
      <c r="BL128" s="57">
        <f t="shared" si="243"/>
        <v>164.70000000000002</v>
      </c>
      <c r="BM128" s="80">
        <f t="shared" si="363"/>
        <v>28.274333882308138</v>
      </c>
      <c r="BN128" s="80">
        <v>6</v>
      </c>
      <c r="BO128" s="57">
        <f t="shared" ref="BO128:BO159" si="451">BM128*BN128</f>
        <v>169.64600329384882</v>
      </c>
      <c r="BP128" s="57">
        <f t="shared" ref="BP128:BP191" si="452">BR128/AU128</f>
        <v>93406.600080839737</v>
      </c>
      <c r="BQ128" s="77">
        <f t="shared" ref="BQ128:BQ191" si="453">AJ128-AM128*AT128*BS128*AK128+SUM(FA128:GN128)</f>
        <v>-9.2404661700129509E-10</v>
      </c>
      <c r="BR128" s="57">
        <f t="shared" ref="BR128:BR137" si="454">-AM128*AT128*BS128*AK128*(BS128/2-0.5*AO128)+SUM(GO128:IB128)</f>
        <v>44835168.038803071</v>
      </c>
      <c r="BS128" s="57">
        <v>58.874234589216591</v>
      </c>
      <c r="BT128" s="57">
        <f t="shared" si="220"/>
        <v>17.727856359935277</v>
      </c>
      <c r="BU128" s="57"/>
      <c r="BV128" s="57">
        <v>3.3E-3</v>
      </c>
      <c r="BW128" s="57">
        <v>30000</v>
      </c>
      <c r="BX128" s="57">
        <v>200000</v>
      </c>
      <c r="BY128" s="77">
        <v>10.5</v>
      </c>
      <c r="BZ128" s="77">
        <v>49.5</v>
      </c>
      <c r="CA128" s="77">
        <v>67.5</v>
      </c>
      <c r="CB128" s="77">
        <v>82.5</v>
      </c>
      <c r="CC128" s="77">
        <v>97.5</v>
      </c>
      <c r="CD128" s="77">
        <v>112.5</v>
      </c>
      <c r="CE128" s="77">
        <v>127.5</v>
      </c>
      <c r="CF128" s="77">
        <v>142.5</v>
      </c>
      <c r="CG128" s="77">
        <v>157.5</v>
      </c>
      <c r="CH128" s="77">
        <v>172.5</v>
      </c>
      <c r="CI128" s="77">
        <v>187.5</v>
      </c>
      <c r="CJ128" s="77">
        <v>202.5</v>
      </c>
      <c r="CK128" s="77">
        <v>217.5</v>
      </c>
      <c r="CL128" s="77">
        <v>232.5</v>
      </c>
      <c r="CM128" s="77">
        <v>247.5</v>
      </c>
      <c r="CN128" s="77">
        <v>262.5</v>
      </c>
      <c r="CO128" s="77">
        <v>277.5</v>
      </c>
      <c r="CP128" s="77">
        <v>292.5</v>
      </c>
      <c r="CQ128" s="77">
        <v>307.5</v>
      </c>
      <c r="CR128" s="77">
        <v>322.5</v>
      </c>
      <c r="CS128" s="77">
        <v>337.5</v>
      </c>
      <c r="CT128" s="77">
        <v>352.5</v>
      </c>
      <c r="CU128" s="77">
        <v>367.5</v>
      </c>
      <c r="CV128" s="77">
        <v>382.5</v>
      </c>
      <c r="CW128" s="77">
        <v>397.5</v>
      </c>
      <c r="CX128" s="77">
        <v>412.5</v>
      </c>
      <c r="CY128" s="77">
        <v>427.5</v>
      </c>
      <c r="CZ128" s="77">
        <v>442.5</v>
      </c>
      <c r="DA128" s="77">
        <v>457.5</v>
      </c>
      <c r="DB128" s="77">
        <v>472.5</v>
      </c>
      <c r="DC128" s="77">
        <v>487.5</v>
      </c>
      <c r="DD128" s="77">
        <v>502.5</v>
      </c>
      <c r="DE128" s="77">
        <v>520.5</v>
      </c>
      <c r="DF128" s="77">
        <v>559.5</v>
      </c>
      <c r="DM128" s="77">
        <v>113.1</v>
      </c>
      <c r="DN128" s="77">
        <v>56.5</v>
      </c>
      <c r="DO128" s="77">
        <v>5.5</v>
      </c>
      <c r="DP128" s="77">
        <v>5.5</v>
      </c>
      <c r="DQ128" s="77">
        <v>5.5</v>
      </c>
      <c r="DR128" s="77">
        <v>5.5</v>
      </c>
      <c r="DS128" s="77">
        <v>5.5</v>
      </c>
      <c r="DT128" s="77">
        <v>5.5</v>
      </c>
      <c r="DU128" s="77">
        <v>5.5</v>
      </c>
      <c r="DV128" s="77">
        <v>5.5</v>
      </c>
      <c r="DW128" s="77">
        <v>5.5</v>
      </c>
      <c r="DX128" s="77">
        <v>5.5</v>
      </c>
      <c r="DY128" s="77">
        <v>5.5</v>
      </c>
      <c r="DZ128" s="77">
        <v>5.5</v>
      </c>
      <c r="EA128" s="77">
        <v>5.5</v>
      </c>
      <c r="EB128" s="77">
        <v>5.5</v>
      </c>
      <c r="EC128" s="77">
        <v>5.5</v>
      </c>
      <c r="ED128" s="77">
        <v>5.5</v>
      </c>
      <c r="EE128" s="77">
        <v>5.5</v>
      </c>
      <c r="EF128" s="77">
        <v>5.5</v>
      </c>
      <c r="EG128" s="77">
        <v>5.5</v>
      </c>
      <c r="EH128" s="77">
        <v>5.5</v>
      </c>
      <c r="EI128" s="77">
        <v>5.5</v>
      </c>
      <c r="EJ128" s="77">
        <v>5.5</v>
      </c>
      <c r="EK128" s="77">
        <v>5.5</v>
      </c>
      <c r="EL128" s="77">
        <v>5.5</v>
      </c>
      <c r="EM128" s="77">
        <v>5.5</v>
      </c>
      <c r="EN128" s="77">
        <v>5.5</v>
      </c>
      <c r="EO128" s="77">
        <v>5.5</v>
      </c>
      <c r="EP128" s="77">
        <v>5.5</v>
      </c>
      <c r="EQ128" s="77">
        <v>5.5</v>
      </c>
      <c r="ER128" s="77">
        <v>5.5</v>
      </c>
      <c r="ES128" s="77">
        <v>56.5</v>
      </c>
      <c r="ET128" s="77">
        <v>113.1</v>
      </c>
      <c r="FA128" s="77">
        <f t="shared" si="357"/>
        <v>-41564.25</v>
      </c>
      <c r="FB128" s="77">
        <f t="shared" si="361"/>
        <v>-5937.4904874926924</v>
      </c>
      <c r="FC128" s="77">
        <f t="shared" si="368"/>
        <v>531.83754590804983</v>
      </c>
      <c r="FD128" s="77">
        <f t="shared" si="369"/>
        <v>1456.6903338876166</v>
      </c>
      <c r="FE128" s="77">
        <f t="shared" si="370"/>
        <v>1563.1</v>
      </c>
      <c r="FF128" s="77">
        <f t="shared" si="371"/>
        <v>1563.1</v>
      </c>
      <c r="FG128" s="77">
        <f t="shared" si="372"/>
        <v>1563.1</v>
      </c>
      <c r="FH128" s="77">
        <f t="shared" si="373"/>
        <v>1563.1</v>
      </c>
      <c r="FI128" s="77">
        <f t="shared" si="374"/>
        <v>1563.1</v>
      </c>
      <c r="FJ128" s="77">
        <f t="shared" si="375"/>
        <v>1563.1</v>
      </c>
      <c r="FK128" s="77">
        <f t="shared" si="376"/>
        <v>1563.1</v>
      </c>
      <c r="FL128" s="77">
        <f t="shared" si="377"/>
        <v>1563.1</v>
      </c>
      <c r="FM128" s="77">
        <f t="shared" si="378"/>
        <v>1563.1</v>
      </c>
      <c r="FN128" s="77">
        <f t="shared" si="379"/>
        <v>1563.1</v>
      </c>
      <c r="FO128" s="77">
        <f t="shared" si="380"/>
        <v>1563.1</v>
      </c>
      <c r="FP128" s="77">
        <f t="shared" si="381"/>
        <v>1563.1</v>
      </c>
      <c r="FQ128" s="77">
        <f t="shared" si="382"/>
        <v>1563.1</v>
      </c>
      <c r="FR128" s="77">
        <f t="shared" si="383"/>
        <v>1563.1</v>
      </c>
      <c r="FS128" s="77">
        <f t="shared" si="384"/>
        <v>1563.1</v>
      </c>
      <c r="FT128" s="77">
        <f t="shared" si="385"/>
        <v>1563.1</v>
      </c>
      <c r="FU128" s="77">
        <f t="shared" si="386"/>
        <v>1563.1</v>
      </c>
      <c r="FV128" s="77">
        <f t="shared" si="387"/>
        <v>1563.1</v>
      </c>
      <c r="FW128" s="77">
        <f t="shared" si="388"/>
        <v>1563.1</v>
      </c>
      <c r="FX128" s="77">
        <f t="shared" si="389"/>
        <v>1563.1</v>
      </c>
      <c r="FY128" s="77">
        <f t="shared" si="390"/>
        <v>1563.1</v>
      </c>
      <c r="FZ128" s="77">
        <f t="shared" si="391"/>
        <v>1563.1</v>
      </c>
      <c r="GA128" s="77">
        <f t="shared" si="392"/>
        <v>1563.1</v>
      </c>
      <c r="GB128" s="77">
        <f t="shared" si="393"/>
        <v>1563.1</v>
      </c>
      <c r="GC128" s="77">
        <f t="shared" si="394"/>
        <v>1563.1</v>
      </c>
      <c r="GD128" s="77">
        <f t="shared" si="395"/>
        <v>1563.1</v>
      </c>
      <c r="GE128" s="77">
        <f t="shared" si="396"/>
        <v>1563.1</v>
      </c>
      <c r="GF128" s="77">
        <f t="shared" si="397"/>
        <v>1563.1</v>
      </c>
      <c r="GG128" s="77">
        <f t="shared" si="398"/>
        <v>20763.75</v>
      </c>
      <c r="GH128" s="77">
        <f t="shared" si="399"/>
        <v>41564.25</v>
      </c>
      <c r="GO128" s="77">
        <f t="shared" si="275"/>
        <v>11409386.625</v>
      </c>
      <c r="GP128" s="77">
        <f t="shared" si="276"/>
        <v>1398279.0098045291</v>
      </c>
      <c r="GQ128" s="77">
        <f t="shared" si="277"/>
        <v>-115674.66623500084</v>
      </c>
      <c r="GR128" s="77">
        <f t="shared" si="278"/>
        <v>-294979.79261224234</v>
      </c>
      <c r="GS128" s="77">
        <f t="shared" si="400"/>
        <v>-293081.25</v>
      </c>
      <c r="GT128" s="77">
        <f t="shared" si="401"/>
        <v>-269634.75</v>
      </c>
      <c r="GU128" s="77">
        <f t="shared" si="402"/>
        <v>-246188.25</v>
      </c>
      <c r="GV128" s="77">
        <f t="shared" si="403"/>
        <v>-222741.75</v>
      </c>
      <c r="GW128" s="77">
        <f t="shared" si="404"/>
        <v>-199295.25</v>
      </c>
      <c r="GX128" s="77">
        <f t="shared" si="405"/>
        <v>-175848.75</v>
      </c>
      <c r="GY128" s="77">
        <f t="shared" si="406"/>
        <v>-152402.25</v>
      </c>
      <c r="GZ128" s="77">
        <f t="shared" si="407"/>
        <v>-128955.74999999999</v>
      </c>
      <c r="HA128" s="77">
        <f t="shared" si="408"/>
        <v>-105509.25</v>
      </c>
      <c r="HB128" s="77">
        <f t="shared" si="409"/>
        <v>-82062.75</v>
      </c>
      <c r="HC128" s="77">
        <f t="shared" si="410"/>
        <v>-58616.25</v>
      </c>
      <c r="HD128" s="77">
        <f t="shared" si="411"/>
        <v>-35169.75</v>
      </c>
      <c r="HE128" s="77">
        <f t="shared" si="412"/>
        <v>-11723.25</v>
      </c>
      <c r="HF128" s="77">
        <f t="shared" si="413"/>
        <v>11723.25</v>
      </c>
      <c r="HG128" s="77">
        <f t="shared" si="414"/>
        <v>35169.75</v>
      </c>
      <c r="HH128" s="77">
        <f t="shared" si="415"/>
        <v>58616.25</v>
      </c>
      <c r="HI128" s="77">
        <f t="shared" si="416"/>
        <v>82062.75</v>
      </c>
      <c r="HJ128" s="77">
        <f t="shared" si="417"/>
        <v>105509.25</v>
      </c>
      <c r="HK128" s="77">
        <f t="shared" si="418"/>
        <v>128955.74999999999</v>
      </c>
      <c r="HL128" s="77">
        <f t="shared" si="419"/>
        <v>152402.25</v>
      </c>
      <c r="HM128" s="77">
        <f t="shared" si="420"/>
        <v>175848.75</v>
      </c>
      <c r="HN128" s="77">
        <f t="shared" si="421"/>
        <v>199295.25</v>
      </c>
      <c r="HO128" s="77">
        <f t="shared" si="422"/>
        <v>222741.75</v>
      </c>
      <c r="HP128" s="77">
        <f t="shared" si="423"/>
        <v>246188.25</v>
      </c>
      <c r="HQ128" s="77">
        <f t="shared" si="424"/>
        <v>269634.75</v>
      </c>
      <c r="HR128" s="77">
        <f t="shared" si="425"/>
        <v>293081.25</v>
      </c>
      <c r="HS128" s="77">
        <f t="shared" si="426"/>
        <v>316527.75</v>
      </c>
      <c r="HT128" s="77">
        <f t="shared" si="427"/>
        <v>339974.25</v>
      </c>
      <c r="HU128" s="77">
        <f t="shared" si="428"/>
        <v>4889863.125</v>
      </c>
      <c r="HV128" s="77">
        <f t="shared" si="429"/>
        <v>11409386.625</v>
      </c>
      <c r="IC128" s="82">
        <v>136</v>
      </c>
    </row>
    <row r="129" spans="1:237" s="77" customFormat="1">
      <c r="A129" s="77">
        <v>128</v>
      </c>
      <c r="B129" s="69">
        <v>193</v>
      </c>
      <c r="C129" s="69" t="s">
        <v>236</v>
      </c>
      <c r="D129" s="70" t="s">
        <v>147</v>
      </c>
      <c r="E129" s="70">
        <v>3</v>
      </c>
      <c r="F129" s="70">
        <v>0.12325986907926709</v>
      </c>
      <c r="G129" s="70"/>
      <c r="H129" s="70">
        <v>6.6666670000000003E-3</v>
      </c>
      <c r="I129" s="87">
        <v>6.6666670000000003E-3</v>
      </c>
      <c r="J129" s="71">
        <v>0.84210526315789469</v>
      </c>
      <c r="K129" s="72">
        <v>19</v>
      </c>
      <c r="L129" s="71">
        <v>0.1025810650887574</v>
      </c>
      <c r="M129" s="71">
        <v>0.1025810650887574</v>
      </c>
      <c r="N129" s="71">
        <v>0.51102071005917171</v>
      </c>
      <c r="O129" s="71">
        <v>1.3207701659026913E-2</v>
      </c>
      <c r="P129" s="71">
        <v>0</v>
      </c>
      <c r="Q129" s="73" t="s">
        <v>28</v>
      </c>
      <c r="R129" s="74">
        <v>0.17391304347826086</v>
      </c>
      <c r="S129" s="75">
        <f t="shared" ref="S129:S192" si="455">Y129/AY129/SQRT(AK129)</f>
        <v>0.71660536001331054</v>
      </c>
      <c r="T129" s="59">
        <f t="shared" si="430"/>
        <v>1.4229083193681109</v>
      </c>
      <c r="U129" s="59">
        <f t="shared" si="431"/>
        <v>1.1094671465178239</v>
      </c>
      <c r="V129" s="59">
        <f t="shared" si="432"/>
        <v>1.082498495585358</v>
      </c>
      <c r="W129" s="59">
        <f t="shared" si="433"/>
        <v>0.76076475262023702</v>
      </c>
      <c r="X129" s="59">
        <f t="shared" si="434"/>
        <v>0.97569224918727004</v>
      </c>
      <c r="Y129" s="86">
        <v>86240</v>
      </c>
      <c r="Z129" s="57">
        <f t="shared" si="435"/>
        <v>84143.699569910168</v>
      </c>
      <c r="AA129" s="57">
        <f t="shared" si="436"/>
        <v>65608.352265969239</v>
      </c>
      <c r="AB129" s="57">
        <f t="shared" si="437"/>
        <v>131000.99104190576</v>
      </c>
      <c r="AC129" s="57">
        <f t="shared" si="438"/>
        <v>0.25</v>
      </c>
      <c r="AD129" s="57">
        <f t="shared" si="439"/>
        <v>1.5</v>
      </c>
      <c r="AE129" s="57">
        <f t="shared" si="440"/>
        <v>0</v>
      </c>
      <c r="AF129" s="57">
        <f t="shared" si="441"/>
        <v>20647.726934691756</v>
      </c>
      <c r="AG129" s="57">
        <f t="shared" si="366"/>
        <v>44960.625331277486</v>
      </c>
      <c r="AH129" s="57">
        <f t="shared" si="442"/>
        <v>31046820.746988501</v>
      </c>
      <c r="AI129" s="57">
        <f t="shared" si="338"/>
        <v>31833654.953126263</v>
      </c>
      <c r="AJ129" s="77">
        <v>0</v>
      </c>
      <c r="AK129" s="77">
        <v>33.799999999999997</v>
      </c>
      <c r="AL129" s="78">
        <f t="shared" si="443"/>
        <v>3.1845920384580424</v>
      </c>
      <c r="AM129" s="57">
        <f t="shared" si="444"/>
        <v>1</v>
      </c>
      <c r="AN129" s="57">
        <f t="shared" si="445"/>
        <v>0.8</v>
      </c>
      <c r="AO129" s="77">
        <v>570</v>
      </c>
      <c r="AP129" s="79">
        <v>60</v>
      </c>
      <c r="AQ129" s="77">
        <f t="shared" si="446"/>
        <v>29.697226380859501</v>
      </c>
      <c r="AR129" s="57">
        <f t="shared" si="447"/>
        <v>450</v>
      </c>
      <c r="AS129" s="77">
        <f t="shared" si="448"/>
        <v>540.30277361914045</v>
      </c>
      <c r="AT129" s="77">
        <v>30</v>
      </c>
      <c r="AU129" s="77">
        <v>480</v>
      </c>
      <c r="AV129" s="77">
        <f t="shared" si="449"/>
        <v>13500</v>
      </c>
      <c r="AW129" s="77">
        <f t="shared" si="367"/>
        <v>7200</v>
      </c>
      <c r="AX129" s="77">
        <f t="shared" si="450"/>
        <v>17100</v>
      </c>
      <c r="AY129" s="77">
        <v>20700</v>
      </c>
      <c r="AZ129" s="77">
        <v>284.2</v>
      </c>
      <c r="BA129" s="77">
        <v>284.2</v>
      </c>
      <c r="BB129" s="77">
        <v>367.5</v>
      </c>
      <c r="BC129" s="77">
        <v>294</v>
      </c>
      <c r="BD129" s="77">
        <v>1.2200000000000001E-2</v>
      </c>
      <c r="BE129" s="77">
        <v>1.2200000000000001E-2</v>
      </c>
      <c r="BF129" s="77">
        <v>4.7E-2</v>
      </c>
      <c r="BH129" s="79"/>
      <c r="BI129" s="79"/>
      <c r="BJ129" s="79"/>
      <c r="BK129" s="57"/>
      <c r="BL129" s="57">
        <f t="shared" si="243"/>
        <v>164.70000000000002</v>
      </c>
      <c r="BM129" s="80">
        <f t="shared" si="363"/>
        <v>28.274333882308138</v>
      </c>
      <c r="BN129" s="80">
        <v>6</v>
      </c>
      <c r="BO129" s="57">
        <f t="shared" si="451"/>
        <v>169.64600329384882</v>
      </c>
      <c r="BP129" s="57">
        <f t="shared" si="452"/>
        <v>93354.67025928128</v>
      </c>
      <c r="BQ129" s="77">
        <f t="shared" si="453"/>
        <v>-6.5483618527650833E-11</v>
      </c>
      <c r="BR129" s="57">
        <f t="shared" si="454"/>
        <v>44810241.724455014</v>
      </c>
      <c r="BS129" s="57">
        <v>59.394452761719002</v>
      </c>
      <c r="BT129" s="57">
        <f t="shared" ref="BT129:BT192" si="456">(AE129 + BD129*MAX(AW129/2,AT129*AP129) * BA129)/(0.85 * AK129  * AT129 * (1.05 - AK129/140))</f>
        <v>17.910641171181922</v>
      </c>
      <c r="BU129" s="57"/>
      <c r="BV129" s="57">
        <v>3.3E-3</v>
      </c>
      <c r="BW129" s="57">
        <v>30000</v>
      </c>
      <c r="BX129" s="57">
        <v>200000</v>
      </c>
      <c r="BY129" s="77">
        <v>10.5</v>
      </c>
      <c r="BZ129" s="77">
        <v>49.5</v>
      </c>
      <c r="CA129" s="77">
        <v>67.5</v>
      </c>
      <c r="CB129" s="77">
        <v>82.5</v>
      </c>
      <c r="CC129" s="77">
        <v>97.5</v>
      </c>
      <c r="CD129" s="77">
        <v>112.5</v>
      </c>
      <c r="CE129" s="77">
        <v>127.5</v>
      </c>
      <c r="CF129" s="77">
        <v>142.5</v>
      </c>
      <c r="CG129" s="77">
        <v>157.5</v>
      </c>
      <c r="CH129" s="77">
        <v>172.5</v>
      </c>
      <c r="CI129" s="77">
        <v>187.5</v>
      </c>
      <c r="CJ129" s="77">
        <v>202.5</v>
      </c>
      <c r="CK129" s="77">
        <v>217.5</v>
      </c>
      <c r="CL129" s="77">
        <v>232.5</v>
      </c>
      <c r="CM129" s="77">
        <v>247.5</v>
      </c>
      <c r="CN129" s="77">
        <v>262.5</v>
      </c>
      <c r="CO129" s="77">
        <v>277.5</v>
      </c>
      <c r="CP129" s="77">
        <v>292.5</v>
      </c>
      <c r="CQ129" s="77">
        <v>307.5</v>
      </c>
      <c r="CR129" s="77">
        <v>322.5</v>
      </c>
      <c r="CS129" s="77">
        <v>337.5</v>
      </c>
      <c r="CT129" s="77">
        <v>352.5</v>
      </c>
      <c r="CU129" s="77">
        <v>367.5</v>
      </c>
      <c r="CV129" s="77">
        <v>382.5</v>
      </c>
      <c r="CW129" s="77">
        <v>397.5</v>
      </c>
      <c r="CX129" s="77">
        <v>412.5</v>
      </c>
      <c r="CY129" s="77">
        <v>427.5</v>
      </c>
      <c r="CZ129" s="77">
        <v>442.5</v>
      </c>
      <c r="DA129" s="77">
        <v>457.5</v>
      </c>
      <c r="DB129" s="77">
        <v>472.5</v>
      </c>
      <c r="DC129" s="77">
        <v>487.5</v>
      </c>
      <c r="DD129" s="77">
        <v>502.5</v>
      </c>
      <c r="DE129" s="77">
        <v>520.5</v>
      </c>
      <c r="DF129" s="77">
        <v>559.5</v>
      </c>
      <c r="DM129" s="77">
        <v>113.1</v>
      </c>
      <c r="DN129" s="77">
        <v>56.5</v>
      </c>
      <c r="DO129" s="77">
        <v>5.5</v>
      </c>
      <c r="DP129" s="77">
        <v>5.5</v>
      </c>
      <c r="DQ129" s="77">
        <v>5.5</v>
      </c>
      <c r="DR129" s="77">
        <v>5.5</v>
      </c>
      <c r="DS129" s="77">
        <v>5.5</v>
      </c>
      <c r="DT129" s="77">
        <v>5.5</v>
      </c>
      <c r="DU129" s="77">
        <v>5.5</v>
      </c>
      <c r="DV129" s="77">
        <v>5.5</v>
      </c>
      <c r="DW129" s="77">
        <v>5.5</v>
      </c>
      <c r="DX129" s="77">
        <v>5.5</v>
      </c>
      <c r="DY129" s="77">
        <v>5.5</v>
      </c>
      <c r="DZ129" s="77">
        <v>5.5</v>
      </c>
      <c r="EA129" s="77">
        <v>5.5</v>
      </c>
      <c r="EB129" s="77">
        <v>5.5</v>
      </c>
      <c r="EC129" s="77">
        <v>5.5</v>
      </c>
      <c r="ED129" s="77">
        <v>5.5</v>
      </c>
      <c r="EE129" s="77">
        <v>5.5</v>
      </c>
      <c r="EF129" s="77">
        <v>5.5</v>
      </c>
      <c r="EG129" s="77">
        <v>5.5</v>
      </c>
      <c r="EH129" s="77">
        <v>5.5</v>
      </c>
      <c r="EI129" s="77">
        <v>5.5</v>
      </c>
      <c r="EJ129" s="77">
        <v>5.5</v>
      </c>
      <c r="EK129" s="77">
        <v>5.5</v>
      </c>
      <c r="EL129" s="77">
        <v>5.5</v>
      </c>
      <c r="EM129" s="77">
        <v>5.5</v>
      </c>
      <c r="EN129" s="77">
        <v>5.5</v>
      </c>
      <c r="EO129" s="77">
        <v>5.5</v>
      </c>
      <c r="EP129" s="77">
        <v>5.5</v>
      </c>
      <c r="EQ129" s="77">
        <v>5.5</v>
      </c>
      <c r="ER129" s="77">
        <v>5.5</v>
      </c>
      <c r="ES129" s="77">
        <v>56.5</v>
      </c>
      <c r="ET129" s="77">
        <v>113.1</v>
      </c>
      <c r="FA129" s="77">
        <f t="shared" si="357"/>
        <v>-41564.25</v>
      </c>
      <c r="FB129" s="77">
        <f t="shared" si="361"/>
        <v>-6212.0977015265444</v>
      </c>
      <c r="FC129" s="77">
        <f t="shared" si="368"/>
        <v>495.38526085930812</v>
      </c>
      <c r="FD129" s="77">
        <f t="shared" si="369"/>
        <v>1412.1375410502653</v>
      </c>
      <c r="FE129" s="77">
        <f t="shared" si="370"/>
        <v>1563.1</v>
      </c>
      <c r="FF129" s="77">
        <f t="shared" si="371"/>
        <v>1563.1</v>
      </c>
      <c r="FG129" s="77">
        <f t="shared" si="372"/>
        <v>1563.1</v>
      </c>
      <c r="FH129" s="77">
        <f t="shared" si="373"/>
        <v>1563.1</v>
      </c>
      <c r="FI129" s="77">
        <f t="shared" si="374"/>
        <v>1563.1</v>
      </c>
      <c r="FJ129" s="77">
        <f t="shared" si="375"/>
        <v>1563.1</v>
      </c>
      <c r="FK129" s="77">
        <f t="shared" si="376"/>
        <v>1563.1</v>
      </c>
      <c r="FL129" s="77">
        <f t="shared" si="377"/>
        <v>1563.1</v>
      </c>
      <c r="FM129" s="77">
        <f t="shared" si="378"/>
        <v>1563.1</v>
      </c>
      <c r="FN129" s="77">
        <f t="shared" si="379"/>
        <v>1563.1</v>
      </c>
      <c r="FO129" s="77">
        <f t="shared" si="380"/>
        <v>1563.1</v>
      </c>
      <c r="FP129" s="77">
        <f t="shared" si="381"/>
        <v>1563.1</v>
      </c>
      <c r="FQ129" s="77">
        <f t="shared" si="382"/>
        <v>1563.1</v>
      </c>
      <c r="FR129" s="77">
        <f t="shared" si="383"/>
        <v>1563.1</v>
      </c>
      <c r="FS129" s="77">
        <f t="shared" si="384"/>
        <v>1563.1</v>
      </c>
      <c r="FT129" s="77">
        <f t="shared" si="385"/>
        <v>1563.1</v>
      </c>
      <c r="FU129" s="77">
        <f t="shared" si="386"/>
        <v>1563.1</v>
      </c>
      <c r="FV129" s="77">
        <f t="shared" si="387"/>
        <v>1563.1</v>
      </c>
      <c r="FW129" s="77">
        <f t="shared" si="388"/>
        <v>1563.1</v>
      </c>
      <c r="FX129" s="77">
        <f t="shared" si="389"/>
        <v>1563.1</v>
      </c>
      <c r="FY129" s="77">
        <f t="shared" si="390"/>
        <v>1563.1</v>
      </c>
      <c r="FZ129" s="77">
        <f t="shared" si="391"/>
        <v>1563.1</v>
      </c>
      <c r="GA129" s="77">
        <f t="shared" si="392"/>
        <v>1563.1</v>
      </c>
      <c r="GB129" s="77">
        <f t="shared" si="393"/>
        <v>1563.1</v>
      </c>
      <c r="GC129" s="77">
        <f t="shared" si="394"/>
        <v>1563.1</v>
      </c>
      <c r="GD129" s="77">
        <f t="shared" si="395"/>
        <v>1563.1</v>
      </c>
      <c r="GE129" s="77">
        <f t="shared" si="396"/>
        <v>1563.1</v>
      </c>
      <c r="GF129" s="77">
        <f t="shared" si="397"/>
        <v>1563.1</v>
      </c>
      <c r="GG129" s="77">
        <f t="shared" si="398"/>
        <v>20763.75</v>
      </c>
      <c r="GH129" s="77">
        <f t="shared" si="399"/>
        <v>41564.25</v>
      </c>
      <c r="GO129" s="77">
        <f t="shared" si="275"/>
        <v>11409386.625</v>
      </c>
      <c r="GP129" s="77">
        <f t="shared" si="276"/>
        <v>1462949.0087095012</v>
      </c>
      <c r="GQ129" s="77">
        <f t="shared" si="277"/>
        <v>-107746.29423689951</v>
      </c>
      <c r="GR129" s="77">
        <f t="shared" si="278"/>
        <v>-285957.85206267872</v>
      </c>
      <c r="GS129" s="77">
        <f t="shared" si="400"/>
        <v>-293081.25</v>
      </c>
      <c r="GT129" s="77">
        <f t="shared" si="401"/>
        <v>-269634.75</v>
      </c>
      <c r="GU129" s="77">
        <f t="shared" si="402"/>
        <v>-246188.25</v>
      </c>
      <c r="GV129" s="77">
        <f t="shared" si="403"/>
        <v>-222741.75</v>
      </c>
      <c r="GW129" s="77">
        <f t="shared" si="404"/>
        <v>-199295.25</v>
      </c>
      <c r="GX129" s="77">
        <f t="shared" si="405"/>
        <v>-175848.75</v>
      </c>
      <c r="GY129" s="77">
        <f t="shared" si="406"/>
        <v>-152402.25</v>
      </c>
      <c r="GZ129" s="77">
        <f t="shared" si="407"/>
        <v>-128955.74999999999</v>
      </c>
      <c r="HA129" s="77">
        <f t="shared" si="408"/>
        <v>-105509.25</v>
      </c>
      <c r="HB129" s="77">
        <f t="shared" si="409"/>
        <v>-82062.75</v>
      </c>
      <c r="HC129" s="77">
        <f t="shared" si="410"/>
        <v>-58616.25</v>
      </c>
      <c r="HD129" s="77">
        <f t="shared" si="411"/>
        <v>-35169.75</v>
      </c>
      <c r="HE129" s="77">
        <f t="shared" si="412"/>
        <v>-11723.25</v>
      </c>
      <c r="HF129" s="77">
        <f t="shared" si="413"/>
        <v>11723.25</v>
      </c>
      <c r="HG129" s="77">
        <f t="shared" si="414"/>
        <v>35169.75</v>
      </c>
      <c r="HH129" s="77">
        <f t="shared" si="415"/>
        <v>58616.25</v>
      </c>
      <c r="HI129" s="77">
        <f t="shared" si="416"/>
        <v>82062.75</v>
      </c>
      <c r="HJ129" s="77">
        <f t="shared" si="417"/>
        <v>105509.25</v>
      </c>
      <c r="HK129" s="77">
        <f t="shared" si="418"/>
        <v>128955.74999999999</v>
      </c>
      <c r="HL129" s="77">
        <f t="shared" si="419"/>
        <v>152402.25</v>
      </c>
      <c r="HM129" s="77">
        <f t="shared" si="420"/>
        <v>175848.75</v>
      </c>
      <c r="HN129" s="77">
        <f t="shared" si="421"/>
        <v>199295.25</v>
      </c>
      <c r="HO129" s="77">
        <f t="shared" si="422"/>
        <v>222741.75</v>
      </c>
      <c r="HP129" s="77">
        <f t="shared" si="423"/>
        <v>246188.25</v>
      </c>
      <c r="HQ129" s="77">
        <f t="shared" si="424"/>
        <v>269634.75</v>
      </c>
      <c r="HR129" s="77">
        <f t="shared" si="425"/>
        <v>293081.25</v>
      </c>
      <c r="HS129" s="77">
        <f t="shared" si="426"/>
        <v>316527.75</v>
      </c>
      <c r="HT129" s="77">
        <f t="shared" si="427"/>
        <v>339974.25</v>
      </c>
      <c r="HU129" s="77">
        <f t="shared" si="428"/>
        <v>4889863.125</v>
      </c>
      <c r="HV129" s="77">
        <f t="shared" si="429"/>
        <v>11409386.625</v>
      </c>
      <c r="IC129" s="82">
        <v>137</v>
      </c>
    </row>
    <row r="130" spans="1:237" s="77" customFormat="1">
      <c r="A130" s="77">
        <v>129</v>
      </c>
      <c r="B130" s="69">
        <v>194</v>
      </c>
      <c r="C130" s="69" t="s">
        <v>236</v>
      </c>
      <c r="D130" s="70" t="s">
        <v>148</v>
      </c>
      <c r="E130" s="70">
        <v>3</v>
      </c>
      <c r="F130" s="70">
        <v>0.11856368563685638</v>
      </c>
      <c r="G130" s="70"/>
      <c r="H130" s="70">
        <v>6.875E-3</v>
      </c>
      <c r="I130" s="87">
        <v>6.875E-3</v>
      </c>
      <c r="J130" s="71">
        <v>0.84210526315789469</v>
      </c>
      <c r="K130" s="72">
        <v>14.25</v>
      </c>
      <c r="L130" s="71">
        <v>7.9714634146341459E-2</v>
      </c>
      <c r="M130" s="71">
        <v>7.9714634146341459E-2</v>
      </c>
      <c r="N130" s="71">
        <v>0.52660060975609768</v>
      </c>
      <c r="O130" s="71">
        <v>1.3610375490094806E-2</v>
      </c>
      <c r="P130" s="71">
        <v>0</v>
      </c>
      <c r="Q130" s="73" t="s">
        <v>28</v>
      </c>
      <c r="R130" s="74">
        <v>0.14285714285714285</v>
      </c>
      <c r="S130" s="75">
        <f t="shared" si="455"/>
        <v>0.67902945422042327</v>
      </c>
      <c r="T130" s="59">
        <f t="shared" si="430"/>
        <v>1.2934444958965916</v>
      </c>
      <c r="U130" s="59">
        <f t="shared" si="431"/>
        <v>1.0216297406997588</v>
      </c>
      <c r="V130" s="59">
        <f t="shared" si="432"/>
        <v>0.96177499809472888</v>
      </c>
      <c r="W130" s="59">
        <f t="shared" si="433"/>
        <v>0.74357655171592374</v>
      </c>
      <c r="X130" s="59">
        <f t="shared" si="434"/>
        <v>0.94141249004357208</v>
      </c>
      <c r="Y130" s="86">
        <v>98000</v>
      </c>
      <c r="Z130" s="57">
        <f t="shared" si="435"/>
        <v>92258.424024270062</v>
      </c>
      <c r="AA130" s="57">
        <f t="shared" si="436"/>
        <v>72870.502068160524</v>
      </c>
      <c r="AB130" s="57">
        <f t="shared" si="437"/>
        <v>151862.41058899448</v>
      </c>
      <c r="AC130" s="57">
        <f t="shared" si="438"/>
        <v>0.25</v>
      </c>
      <c r="AD130" s="57">
        <f t="shared" si="439"/>
        <v>1.5</v>
      </c>
      <c r="AE130" s="57">
        <f t="shared" si="440"/>
        <v>0</v>
      </c>
      <c r="AF130" s="57">
        <f t="shared" si="441"/>
        <v>27298.408081108373</v>
      </c>
      <c r="AG130" s="57">
        <f t="shared" si="366"/>
        <v>45572.093987052147</v>
      </c>
      <c r="AH130" s="57">
        <f t="shared" si="442"/>
        <v>40515182.734199837</v>
      </c>
      <c r="AI130" s="57">
        <f t="shared" si="338"/>
        <v>32378774.348517507</v>
      </c>
      <c r="AJ130" s="77">
        <v>0</v>
      </c>
      <c r="AK130" s="77">
        <v>32.799999999999997</v>
      </c>
      <c r="AL130" s="78">
        <f t="shared" si="443"/>
        <v>3.132421772212981</v>
      </c>
      <c r="AM130" s="57">
        <f t="shared" si="444"/>
        <v>1</v>
      </c>
      <c r="AN130" s="57">
        <f t="shared" si="445"/>
        <v>0.8</v>
      </c>
      <c r="AO130" s="77">
        <v>570</v>
      </c>
      <c r="AP130" s="79">
        <v>60</v>
      </c>
      <c r="AQ130" s="77">
        <f t="shared" si="446"/>
        <v>25.325422583843533</v>
      </c>
      <c r="AR130" s="57">
        <f t="shared" si="447"/>
        <v>450</v>
      </c>
      <c r="AS130" s="77">
        <f t="shared" si="448"/>
        <v>544.67457741615647</v>
      </c>
      <c r="AT130" s="77">
        <v>40</v>
      </c>
      <c r="AU130" s="77">
        <v>480</v>
      </c>
      <c r="AV130" s="77">
        <f t="shared" si="449"/>
        <v>18000</v>
      </c>
      <c r="AW130" s="77">
        <f t="shared" si="367"/>
        <v>7200</v>
      </c>
      <c r="AX130" s="77">
        <f t="shared" si="450"/>
        <v>22800</v>
      </c>
      <c r="AY130" s="77">
        <v>25200</v>
      </c>
      <c r="AZ130" s="77">
        <v>284.2</v>
      </c>
      <c r="BA130" s="77">
        <v>284.2</v>
      </c>
      <c r="BB130" s="77">
        <v>367.5</v>
      </c>
      <c r="BC130" s="77">
        <v>294</v>
      </c>
      <c r="BD130" s="77">
        <v>9.1999999999999998E-3</v>
      </c>
      <c r="BE130" s="77">
        <v>9.1999999999999998E-3</v>
      </c>
      <c r="BF130" s="77">
        <v>4.7E-2</v>
      </c>
      <c r="BH130" s="79"/>
      <c r="BI130" s="79"/>
      <c r="BJ130" s="79"/>
      <c r="BK130" s="57"/>
      <c r="BL130" s="57">
        <f t="shared" si="243"/>
        <v>165.6</v>
      </c>
      <c r="BM130" s="80">
        <f t="shared" si="363"/>
        <v>28.274333882308138</v>
      </c>
      <c r="BN130" s="80">
        <v>6</v>
      </c>
      <c r="BO130" s="57">
        <f t="shared" si="451"/>
        <v>169.64600329384882</v>
      </c>
      <c r="BP130" s="57">
        <f t="shared" si="452"/>
        <v>94253.949813283427</v>
      </c>
      <c r="BQ130" s="77">
        <f t="shared" si="453"/>
        <v>-3.5070115700364113E-9</v>
      </c>
      <c r="BR130" s="57">
        <f t="shared" si="454"/>
        <v>45241895.910376042</v>
      </c>
      <c r="BS130" s="57">
        <v>50.650845167687066</v>
      </c>
      <c r="BT130" s="57">
        <f t="shared" si="456"/>
        <v>10.34721737142168</v>
      </c>
      <c r="BU130" s="57"/>
      <c r="BV130" s="57">
        <v>3.3E-3</v>
      </c>
      <c r="BW130" s="57">
        <v>30000</v>
      </c>
      <c r="BX130" s="57">
        <v>200000</v>
      </c>
      <c r="BY130" s="77">
        <v>10.5</v>
      </c>
      <c r="BZ130" s="77">
        <v>49.5</v>
      </c>
      <c r="CA130" s="77">
        <v>67.5</v>
      </c>
      <c r="CB130" s="77">
        <v>82.5</v>
      </c>
      <c r="CC130" s="77">
        <v>97.5</v>
      </c>
      <c r="CD130" s="77">
        <v>112.5</v>
      </c>
      <c r="CE130" s="77">
        <v>127.5</v>
      </c>
      <c r="CF130" s="77">
        <v>142.5</v>
      </c>
      <c r="CG130" s="77">
        <v>157.5</v>
      </c>
      <c r="CH130" s="77">
        <v>172.5</v>
      </c>
      <c r="CI130" s="77">
        <v>187.5</v>
      </c>
      <c r="CJ130" s="77">
        <v>202.5</v>
      </c>
      <c r="CK130" s="77">
        <v>217.5</v>
      </c>
      <c r="CL130" s="77">
        <v>232.5</v>
      </c>
      <c r="CM130" s="77">
        <v>247.5</v>
      </c>
      <c r="CN130" s="77">
        <v>262.5</v>
      </c>
      <c r="CO130" s="77">
        <v>277.5</v>
      </c>
      <c r="CP130" s="77">
        <v>292.5</v>
      </c>
      <c r="CQ130" s="77">
        <v>307.5</v>
      </c>
      <c r="CR130" s="77">
        <v>322.5</v>
      </c>
      <c r="CS130" s="77">
        <v>337.5</v>
      </c>
      <c r="CT130" s="77">
        <v>352.5</v>
      </c>
      <c r="CU130" s="77">
        <v>367.5</v>
      </c>
      <c r="CV130" s="77">
        <v>382.5</v>
      </c>
      <c r="CW130" s="77">
        <v>397.5</v>
      </c>
      <c r="CX130" s="77">
        <v>412.5</v>
      </c>
      <c r="CY130" s="77">
        <v>427.5</v>
      </c>
      <c r="CZ130" s="77">
        <v>442.5</v>
      </c>
      <c r="DA130" s="77">
        <v>457.5</v>
      </c>
      <c r="DB130" s="77">
        <v>472.5</v>
      </c>
      <c r="DC130" s="77">
        <v>487.5</v>
      </c>
      <c r="DD130" s="77">
        <v>502.5</v>
      </c>
      <c r="DE130" s="77">
        <v>520.5</v>
      </c>
      <c r="DF130" s="77">
        <v>559.5</v>
      </c>
      <c r="DM130" s="77">
        <v>113.1</v>
      </c>
      <c r="DN130" s="77">
        <v>56.5</v>
      </c>
      <c r="DO130" s="77">
        <v>5.5</v>
      </c>
      <c r="DP130" s="77">
        <v>5.5</v>
      </c>
      <c r="DQ130" s="77">
        <v>5.5</v>
      </c>
      <c r="DR130" s="77">
        <v>5.5</v>
      </c>
      <c r="DS130" s="77">
        <v>5.5</v>
      </c>
      <c r="DT130" s="77">
        <v>5.5</v>
      </c>
      <c r="DU130" s="77">
        <v>5.5</v>
      </c>
      <c r="DV130" s="77">
        <v>5.5</v>
      </c>
      <c r="DW130" s="77">
        <v>5.5</v>
      </c>
      <c r="DX130" s="77">
        <v>5.5</v>
      </c>
      <c r="DY130" s="77">
        <v>5.5</v>
      </c>
      <c r="DZ130" s="77">
        <v>5.5</v>
      </c>
      <c r="EA130" s="77">
        <v>5.5</v>
      </c>
      <c r="EB130" s="77">
        <v>5.5</v>
      </c>
      <c r="EC130" s="77">
        <v>5.5</v>
      </c>
      <c r="ED130" s="77">
        <v>5.5</v>
      </c>
      <c r="EE130" s="77">
        <v>5.5</v>
      </c>
      <c r="EF130" s="77">
        <v>5.5</v>
      </c>
      <c r="EG130" s="77">
        <v>5.5</v>
      </c>
      <c r="EH130" s="77">
        <v>5.5</v>
      </c>
      <c r="EI130" s="77">
        <v>5.5</v>
      </c>
      <c r="EJ130" s="77">
        <v>5.5</v>
      </c>
      <c r="EK130" s="77">
        <v>5.5</v>
      </c>
      <c r="EL130" s="77">
        <v>5.5</v>
      </c>
      <c r="EM130" s="77">
        <v>5.5</v>
      </c>
      <c r="EN130" s="77">
        <v>5.5</v>
      </c>
      <c r="EO130" s="77">
        <v>5.5</v>
      </c>
      <c r="EP130" s="77">
        <v>5.5</v>
      </c>
      <c r="EQ130" s="77">
        <v>5.5</v>
      </c>
      <c r="ER130" s="77">
        <v>5.5</v>
      </c>
      <c r="ES130" s="77">
        <v>56.5</v>
      </c>
      <c r="ET130" s="77">
        <v>113.1</v>
      </c>
      <c r="FA130" s="77">
        <f t="shared" si="357"/>
        <v>-41564.25</v>
      </c>
      <c r="FB130" s="77">
        <f t="shared" si="361"/>
        <v>-847.27147515454544</v>
      </c>
      <c r="FC130" s="77">
        <f t="shared" si="368"/>
        <v>1207.5303351564762</v>
      </c>
      <c r="FD130" s="77">
        <f t="shared" si="369"/>
        <v>1563.1</v>
      </c>
      <c r="FE130" s="77">
        <f t="shared" si="370"/>
        <v>1563.1</v>
      </c>
      <c r="FF130" s="77">
        <f t="shared" si="371"/>
        <v>1563.1</v>
      </c>
      <c r="FG130" s="77">
        <f t="shared" si="372"/>
        <v>1563.1</v>
      </c>
      <c r="FH130" s="77">
        <f t="shared" si="373"/>
        <v>1563.1</v>
      </c>
      <c r="FI130" s="77">
        <f t="shared" si="374"/>
        <v>1563.1</v>
      </c>
      <c r="FJ130" s="77">
        <f t="shared" si="375"/>
        <v>1563.1</v>
      </c>
      <c r="FK130" s="77">
        <f t="shared" si="376"/>
        <v>1563.1</v>
      </c>
      <c r="FL130" s="77">
        <f t="shared" si="377"/>
        <v>1563.1</v>
      </c>
      <c r="FM130" s="77">
        <f t="shared" si="378"/>
        <v>1563.1</v>
      </c>
      <c r="FN130" s="77">
        <f t="shared" si="379"/>
        <v>1563.1</v>
      </c>
      <c r="FO130" s="77">
        <f t="shared" si="380"/>
        <v>1563.1</v>
      </c>
      <c r="FP130" s="77">
        <f t="shared" si="381"/>
        <v>1563.1</v>
      </c>
      <c r="FQ130" s="77">
        <f t="shared" si="382"/>
        <v>1563.1</v>
      </c>
      <c r="FR130" s="77">
        <f t="shared" si="383"/>
        <v>1563.1</v>
      </c>
      <c r="FS130" s="77">
        <f t="shared" si="384"/>
        <v>1563.1</v>
      </c>
      <c r="FT130" s="77">
        <f t="shared" si="385"/>
        <v>1563.1</v>
      </c>
      <c r="FU130" s="77">
        <f t="shared" si="386"/>
        <v>1563.1</v>
      </c>
      <c r="FV130" s="77">
        <f t="shared" si="387"/>
        <v>1563.1</v>
      </c>
      <c r="FW130" s="77">
        <f t="shared" si="388"/>
        <v>1563.1</v>
      </c>
      <c r="FX130" s="77">
        <f t="shared" si="389"/>
        <v>1563.1</v>
      </c>
      <c r="FY130" s="77">
        <f t="shared" si="390"/>
        <v>1563.1</v>
      </c>
      <c r="FZ130" s="77">
        <f t="shared" si="391"/>
        <v>1563.1</v>
      </c>
      <c r="GA130" s="77">
        <f t="shared" si="392"/>
        <v>1563.1</v>
      </c>
      <c r="GB130" s="77">
        <f t="shared" si="393"/>
        <v>1563.1</v>
      </c>
      <c r="GC130" s="77">
        <f t="shared" si="394"/>
        <v>1563.1</v>
      </c>
      <c r="GD130" s="77">
        <f t="shared" si="395"/>
        <v>1563.1</v>
      </c>
      <c r="GE130" s="77">
        <f t="shared" si="396"/>
        <v>1563.1</v>
      </c>
      <c r="GF130" s="77">
        <f t="shared" si="397"/>
        <v>1563.1</v>
      </c>
      <c r="GG130" s="77">
        <f t="shared" si="398"/>
        <v>20763.75</v>
      </c>
      <c r="GH130" s="77">
        <f t="shared" si="399"/>
        <v>41564.25</v>
      </c>
      <c r="GO130" s="77">
        <f t="shared" si="275"/>
        <v>11409386.625</v>
      </c>
      <c r="GP130" s="77">
        <f t="shared" si="276"/>
        <v>199532.43239889544</v>
      </c>
      <c r="GQ130" s="77">
        <f t="shared" si="277"/>
        <v>-262637.84789653355</v>
      </c>
      <c r="GR130" s="77">
        <f t="shared" si="278"/>
        <v>-316527.75</v>
      </c>
      <c r="GS130" s="77">
        <f t="shared" si="400"/>
        <v>-293081.25</v>
      </c>
      <c r="GT130" s="77">
        <f t="shared" si="401"/>
        <v>-269634.75</v>
      </c>
      <c r="GU130" s="77">
        <f t="shared" si="402"/>
        <v>-246188.25</v>
      </c>
      <c r="GV130" s="77">
        <f t="shared" si="403"/>
        <v>-222741.75</v>
      </c>
      <c r="GW130" s="77">
        <f t="shared" si="404"/>
        <v>-199295.25</v>
      </c>
      <c r="GX130" s="77">
        <f t="shared" si="405"/>
        <v>-175848.75</v>
      </c>
      <c r="GY130" s="77">
        <f t="shared" si="406"/>
        <v>-152402.25</v>
      </c>
      <c r="GZ130" s="77">
        <f t="shared" si="407"/>
        <v>-128955.74999999999</v>
      </c>
      <c r="HA130" s="77">
        <f t="shared" si="408"/>
        <v>-105509.25</v>
      </c>
      <c r="HB130" s="77">
        <f t="shared" si="409"/>
        <v>-82062.75</v>
      </c>
      <c r="HC130" s="77">
        <f t="shared" si="410"/>
        <v>-58616.25</v>
      </c>
      <c r="HD130" s="77">
        <f t="shared" si="411"/>
        <v>-35169.75</v>
      </c>
      <c r="HE130" s="77">
        <f t="shared" si="412"/>
        <v>-11723.25</v>
      </c>
      <c r="HF130" s="77">
        <f t="shared" si="413"/>
        <v>11723.25</v>
      </c>
      <c r="HG130" s="77">
        <f t="shared" si="414"/>
        <v>35169.75</v>
      </c>
      <c r="HH130" s="77">
        <f t="shared" si="415"/>
        <v>58616.25</v>
      </c>
      <c r="HI130" s="77">
        <f t="shared" si="416"/>
        <v>82062.75</v>
      </c>
      <c r="HJ130" s="77">
        <f t="shared" si="417"/>
        <v>105509.25</v>
      </c>
      <c r="HK130" s="77">
        <f t="shared" si="418"/>
        <v>128955.74999999999</v>
      </c>
      <c r="HL130" s="77">
        <f t="shared" si="419"/>
        <v>152402.25</v>
      </c>
      <c r="HM130" s="77">
        <f t="shared" si="420"/>
        <v>175848.75</v>
      </c>
      <c r="HN130" s="77">
        <f t="shared" si="421"/>
        <v>199295.25</v>
      </c>
      <c r="HO130" s="77">
        <f t="shared" si="422"/>
        <v>222741.75</v>
      </c>
      <c r="HP130" s="77">
        <f t="shared" si="423"/>
        <v>246188.25</v>
      </c>
      <c r="HQ130" s="77">
        <f t="shared" si="424"/>
        <v>269634.75</v>
      </c>
      <c r="HR130" s="77">
        <f t="shared" si="425"/>
        <v>293081.25</v>
      </c>
      <c r="HS130" s="77">
        <f t="shared" si="426"/>
        <v>316527.75</v>
      </c>
      <c r="HT130" s="77">
        <f t="shared" si="427"/>
        <v>339974.25</v>
      </c>
      <c r="HU130" s="77">
        <f t="shared" si="428"/>
        <v>4889863.125</v>
      </c>
      <c r="HV130" s="77">
        <f t="shared" si="429"/>
        <v>11409386.625</v>
      </c>
      <c r="IC130" s="82">
        <v>138</v>
      </c>
    </row>
    <row r="131" spans="1:237" s="77" customFormat="1">
      <c r="A131" s="77">
        <v>130</v>
      </c>
      <c r="B131" s="69">
        <v>195</v>
      </c>
      <c r="C131" s="69" t="s">
        <v>236</v>
      </c>
      <c r="D131" s="70" t="s">
        <v>149</v>
      </c>
      <c r="E131" s="70">
        <v>3</v>
      </c>
      <c r="F131" s="70">
        <v>0.10906515580736545</v>
      </c>
      <c r="G131" s="70"/>
      <c r="H131" s="70">
        <v>6.875E-3</v>
      </c>
      <c r="I131" s="87">
        <v>6.875E-3</v>
      </c>
      <c r="J131" s="71">
        <v>0.84210526315789469</v>
      </c>
      <c r="K131" s="72">
        <v>14.25</v>
      </c>
      <c r="L131" s="71">
        <v>7.4069121813031158E-2</v>
      </c>
      <c r="M131" s="71">
        <v>7.4069121813031158E-2</v>
      </c>
      <c r="N131" s="71">
        <v>0.48930594900849866</v>
      </c>
      <c r="O131" s="71">
        <v>1.264646787748186E-2</v>
      </c>
      <c r="P131" s="71">
        <v>0</v>
      </c>
      <c r="Q131" s="73" t="s">
        <v>28</v>
      </c>
      <c r="R131" s="74">
        <v>0.14285714285714285</v>
      </c>
      <c r="S131" s="75">
        <f t="shared" si="455"/>
        <v>0.64799756933059327</v>
      </c>
      <c r="T131" s="59">
        <f t="shared" si="430"/>
        <v>1.2747183710749843</v>
      </c>
      <c r="U131" s="59">
        <f t="shared" si="431"/>
        <v>1.0111038174128804</v>
      </c>
      <c r="V131" s="59">
        <f t="shared" si="432"/>
        <v>0.97420780093448844</v>
      </c>
      <c r="W131" s="59">
        <f t="shared" si="433"/>
        <v>0.76425336218613382</v>
      </c>
      <c r="X131" s="59">
        <f t="shared" si="434"/>
        <v>0.96350917102380451</v>
      </c>
      <c r="Y131" s="86">
        <v>97020</v>
      </c>
      <c r="Z131" s="57">
        <f t="shared" si="435"/>
        <v>93479.659772729516</v>
      </c>
      <c r="AA131" s="57">
        <f t="shared" si="436"/>
        <v>74147.861199298699</v>
      </c>
      <c r="AB131" s="57">
        <f t="shared" si="437"/>
        <v>158783.72168809464</v>
      </c>
      <c r="AC131" s="57">
        <f t="shared" si="438"/>
        <v>0.25</v>
      </c>
      <c r="AD131" s="57">
        <f t="shared" si="439"/>
        <v>1.5</v>
      </c>
      <c r="AE131" s="57">
        <f t="shared" si="440"/>
        <v>0</v>
      </c>
      <c r="AF131" s="57">
        <f t="shared" si="441"/>
        <v>28482.201202611144</v>
      </c>
      <c r="AG131" s="57">
        <f t="shared" si="366"/>
        <v>45665.659996687558</v>
      </c>
      <c r="AH131" s="57">
        <f t="shared" si="442"/>
        <v>43697972.11747326</v>
      </c>
      <c r="AI131" s="57">
        <f t="shared" si="338"/>
        <v>32518214.292812165</v>
      </c>
      <c r="AJ131" s="77">
        <v>0</v>
      </c>
      <c r="AK131" s="77">
        <v>35.299999999999997</v>
      </c>
      <c r="AL131" s="78">
        <f t="shared" si="443"/>
        <v>3.2615625201868137</v>
      </c>
      <c r="AM131" s="57">
        <f t="shared" si="444"/>
        <v>1</v>
      </c>
      <c r="AN131" s="57">
        <f t="shared" si="445"/>
        <v>0.8</v>
      </c>
      <c r="AO131" s="77">
        <v>570</v>
      </c>
      <c r="AP131" s="79">
        <v>60</v>
      </c>
      <c r="AQ131" s="77">
        <f t="shared" si="446"/>
        <v>24.207127980721673</v>
      </c>
      <c r="AR131" s="57">
        <f t="shared" si="447"/>
        <v>450</v>
      </c>
      <c r="AS131" s="77">
        <f t="shared" si="448"/>
        <v>545.79287201927832</v>
      </c>
      <c r="AT131" s="77">
        <v>40</v>
      </c>
      <c r="AU131" s="77">
        <v>480</v>
      </c>
      <c r="AV131" s="77">
        <f t="shared" si="449"/>
        <v>18000</v>
      </c>
      <c r="AW131" s="77">
        <f t="shared" si="367"/>
        <v>7200</v>
      </c>
      <c r="AX131" s="77">
        <f t="shared" si="450"/>
        <v>22800</v>
      </c>
      <c r="AY131" s="77">
        <v>25200</v>
      </c>
      <c r="AZ131" s="77">
        <v>284.2</v>
      </c>
      <c r="BA131" s="77">
        <v>284.2</v>
      </c>
      <c r="BB131" s="77">
        <v>367.5</v>
      </c>
      <c r="BC131" s="77">
        <v>294</v>
      </c>
      <c r="BD131" s="77">
        <v>9.1999999999999998E-3</v>
      </c>
      <c r="BE131" s="77">
        <v>9.1999999999999998E-3</v>
      </c>
      <c r="BF131" s="77">
        <v>4.7E-2</v>
      </c>
      <c r="BH131" s="79"/>
      <c r="BI131" s="79"/>
      <c r="BJ131" s="79"/>
      <c r="BK131" s="57"/>
      <c r="BL131" s="57">
        <f t="shared" si="243"/>
        <v>165.6</v>
      </c>
      <c r="BM131" s="80">
        <f t="shared" si="363"/>
        <v>28.274333882308138</v>
      </c>
      <c r="BN131" s="80">
        <v>6</v>
      </c>
      <c r="BO131" s="57">
        <f t="shared" si="451"/>
        <v>169.64600329384882</v>
      </c>
      <c r="BP131" s="57">
        <f t="shared" si="452"/>
        <v>94517.640846664071</v>
      </c>
      <c r="BQ131" s="77">
        <f t="shared" si="453"/>
        <v>-5.6752469390630722E-10</v>
      </c>
      <c r="BR131" s="57">
        <f t="shared" si="454"/>
        <v>45368467.606398754</v>
      </c>
      <c r="BS131" s="57">
        <v>48.414255961443345</v>
      </c>
      <c r="BT131" s="57">
        <f t="shared" si="456"/>
        <v>9.8295953956942732</v>
      </c>
      <c r="BU131" s="57"/>
      <c r="BV131" s="57">
        <v>3.3E-3</v>
      </c>
      <c r="BW131" s="57">
        <v>30000</v>
      </c>
      <c r="BX131" s="57">
        <v>200000</v>
      </c>
      <c r="BY131" s="77">
        <v>10.5</v>
      </c>
      <c r="BZ131" s="77">
        <v>49.5</v>
      </c>
      <c r="CA131" s="77">
        <v>67.5</v>
      </c>
      <c r="CB131" s="77">
        <v>82.5</v>
      </c>
      <c r="CC131" s="77">
        <v>97.5</v>
      </c>
      <c r="CD131" s="77">
        <v>112.5</v>
      </c>
      <c r="CE131" s="77">
        <v>127.5</v>
      </c>
      <c r="CF131" s="77">
        <v>142.5</v>
      </c>
      <c r="CG131" s="77">
        <v>157.5</v>
      </c>
      <c r="CH131" s="77">
        <v>172.5</v>
      </c>
      <c r="CI131" s="77">
        <v>187.5</v>
      </c>
      <c r="CJ131" s="77">
        <v>202.5</v>
      </c>
      <c r="CK131" s="77">
        <v>217.5</v>
      </c>
      <c r="CL131" s="77">
        <v>232.5</v>
      </c>
      <c r="CM131" s="77">
        <v>247.5</v>
      </c>
      <c r="CN131" s="77">
        <v>262.5</v>
      </c>
      <c r="CO131" s="77">
        <v>277.5</v>
      </c>
      <c r="CP131" s="77">
        <v>292.5</v>
      </c>
      <c r="CQ131" s="77">
        <v>307.5</v>
      </c>
      <c r="CR131" s="77">
        <v>322.5</v>
      </c>
      <c r="CS131" s="77">
        <v>337.5</v>
      </c>
      <c r="CT131" s="77">
        <v>352.5</v>
      </c>
      <c r="CU131" s="77">
        <v>367.5</v>
      </c>
      <c r="CV131" s="77">
        <v>382.5</v>
      </c>
      <c r="CW131" s="77">
        <v>397.5</v>
      </c>
      <c r="CX131" s="77">
        <v>412.5</v>
      </c>
      <c r="CY131" s="77">
        <v>427.5</v>
      </c>
      <c r="CZ131" s="77">
        <v>442.5</v>
      </c>
      <c r="DA131" s="77">
        <v>457.5</v>
      </c>
      <c r="DB131" s="77">
        <v>472.5</v>
      </c>
      <c r="DC131" s="77">
        <v>487.5</v>
      </c>
      <c r="DD131" s="77">
        <v>502.5</v>
      </c>
      <c r="DE131" s="77">
        <v>520.5</v>
      </c>
      <c r="DF131" s="77">
        <v>559.5</v>
      </c>
      <c r="DM131" s="77">
        <v>113.1</v>
      </c>
      <c r="DN131" s="77">
        <v>56.5</v>
      </c>
      <c r="DO131" s="77">
        <v>5.5</v>
      </c>
      <c r="DP131" s="77">
        <v>5.5</v>
      </c>
      <c r="DQ131" s="77">
        <v>5.5</v>
      </c>
      <c r="DR131" s="77">
        <v>5.5</v>
      </c>
      <c r="DS131" s="77">
        <v>5.5</v>
      </c>
      <c r="DT131" s="77">
        <v>5.5</v>
      </c>
      <c r="DU131" s="77">
        <v>5.5</v>
      </c>
      <c r="DV131" s="77">
        <v>5.5</v>
      </c>
      <c r="DW131" s="77">
        <v>5.5</v>
      </c>
      <c r="DX131" s="77">
        <v>5.5</v>
      </c>
      <c r="DY131" s="77">
        <v>5.5</v>
      </c>
      <c r="DZ131" s="77">
        <v>5.5</v>
      </c>
      <c r="EA131" s="77">
        <v>5.5</v>
      </c>
      <c r="EB131" s="77">
        <v>5.5</v>
      </c>
      <c r="EC131" s="77">
        <v>5.5</v>
      </c>
      <c r="ED131" s="77">
        <v>5.5</v>
      </c>
      <c r="EE131" s="77">
        <v>5.5</v>
      </c>
      <c r="EF131" s="77">
        <v>5.5</v>
      </c>
      <c r="EG131" s="77">
        <v>5.5</v>
      </c>
      <c r="EH131" s="77">
        <v>5.5</v>
      </c>
      <c r="EI131" s="77">
        <v>5.5</v>
      </c>
      <c r="EJ131" s="77">
        <v>5.5</v>
      </c>
      <c r="EK131" s="77">
        <v>5.5</v>
      </c>
      <c r="EL131" s="77">
        <v>5.5</v>
      </c>
      <c r="EM131" s="77">
        <v>5.5</v>
      </c>
      <c r="EN131" s="77">
        <v>5.5</v>
      </c>
      <c r="EO131" s="77">
        <v>5.5</v>
      </c>
      <c r="EP131" s="77">
        <v>5.5</v>
      </c>
      <c r="EQ131" s="77">
        <v>5.5</v>
      </c>
      <c r="ER131" s="77">
        <v>5.5</v>
      </c>
      <c r="ES131" s="77">
        <v>56.5</v>
      </c>
      <c r="ET131" s="77">
        <v>113.1</v>
      </c>
      <c r="FA131" s="77">
        <f t="shared" si="357"/>
        <v>-41564.25</v>
      </c>
      <c r="FB131" s="77">
        <f t="shared" si="361"/>
        <v>836.27011081243165</v>
      </c>
      <c r="FC131" s="77">
        <f t="shared" si="368"/>
        <v>1431.0093067450132</v>
      </c>
      <c r="FD131" s="77">
        <f t="shared" si="369"/>
        <v>1563.1</v>
      </c>
      <c r="FE131" s="77">
        <f t="shared" si="370"/>
        <v>1563.1</v>
      </c>
      <c r="FF131" s="77">
        <f t="shared" si="371"/>
        <v>1563.1</v>
      </c>
      <c r="FG131" s="77">
        <f t="shared" si="372"/>
        <v>1563.1</v>
      </c>
      <c r="FH131" s="77">
        <f t="shared" si="373"/>
        <v>1563.1</v>
      </c>
      <c r="FI131" s="77">
        <f t="shared" si="374"/>
        <v>1563.1</v>
      </c>
      <c r="FJ131" s="77">
        <f t="shared" si="375"/>
        <v>1563.1</v>
      </c>
      <c r="FK131" s="77">
        <f t="shared" si="376"/>
        <v>1563.1</v>
      </c>
      <c r="FL131" s="77">
        <f t="shared" si="377"/>
        <v>1563.1</v>
      </c>
      <c r="FM131" s="77">
        <f t="shared" si="378"/>
        <v>1563.1</v>
      </c>
      <c r="FN131" s="77">
        <f t="shared" si="379"/>
        <v>1563.1</v>
      </c>
      <c r="FO131" s="77">
        <f t="shared" si="380"/>
        <v>1563.1</v>
      </c>
      <c r="FP131" s="77">
        <f t="shared" si="381"/>
        <v>1563.1</v>
      </c>
      <c r="FQ131" s="77">
        <f t="shared" si="382"/>
        <v>1563.1</v>
      </c>
      <c r="FR131" s="77">
        <f t="shared" si="383"/>
        <v>1563.1</v>
      </c>
      <c r="FS131" s="77">
        <f t="shared" si="384"/>
        <v>1563.1</v>
      </c>
      <c r="FT131" s="77">
        <f t="shared" si="385"/>
        <v>1563.1</v>
      </c>
      <c r="FU131" s="77">
        <f t="shared" si="386"/>
        <v>1563.1</v>
      </c>
      <c r="FV131" s="77">
        <f t="shared" si="387"/>
        <v>1563.1</v>
      </c>
      <c r="FW131" s="77">
        <f t="shared" si="388"/>
        <v>1563.1</v>
      </c>
      <c r="FX131" s="77">
        <f t="shared" si="389"/>
        <v>1563.1</v>
      </c>
      <c r="FY131" s="77">
        <f t="shared" si="390"/>
        <v>1563.1</v>
      </c>
      <c r="FZ131" s="77">
        <f t="shared" si="391"/>
        <v>1563.1</v>
      </c>
      <c r="GA131" s="77">
        <f t="shared" si="392"/>
        <v>1563.1</v>
      </c>
      <c r="GB131" s="77">
        <f t="shared" si="393"/>
        <v>1563.1</v>
      </c>
      <c r="GC131" s="77">
        <f t="shared" si="394"/>
        <v>1563.1</v>
      </c>
      <c r="GD131" s="77">
        <f t="shared" si="395"/>
        <v>1563.1</v>
      </c>
      <c r="GE131" s="77">
        <f t="shared" si="396"/>
        <v>1563.1</v>
      </c>
      <c r="GF131" s="77">
        <f t="shared" si="397"/>
        <v>1563.1</v>
      </c>
      <c r="GG131" s="77">
        <f t="shared" si="398"/>
        <v>20763.75</v>
      </c>
      <c r="GH131" s="77">
        <f t="shared" si="399"/>
        <v>41564.25</v>
      </c>
      <c r="GO131" s="77">
        <f t="shared" si="275"/>
        <v>11409386.625</v>
      </c>
      <c r="GP131" s="77">
        <f t="shared" si="276"/>
        <v>-196941.61109632766</v>
      </c>
      <c r="GQ131" s="77">
        <f t="shared" si="277"/>
        <v>-311244.52421704039</v>
      </c>
      <c r="GR131" s="77">
        <f t="shared" si="278"/>
        <v>-316527.75</v>
      </c>
      <c r="GS131" s="77">
        <f t="shared" si="400"/>
        <v>-293081.25</v>
      </c>
      <c r="GT131" s="77">
        <f t="shared" si="401"/>
        <v>-269634.75</v>
      </c>
      <c r="GU131" s="77">
        <f t="shared" si="402"/>
        <v>-246188.25</v>
      </c>
      <c r="GV131" s="77">
        <f t="shared" si="403"/>
        <v>-222741.75</v>
      </c>
      <c r="GW131" s="77">
        <f t="shared" si="404"/>
        <v>-199295.25</v>
      </c>
      <c r="GX131" s="77">
        <f t="shared" si="405"/>
        <v>-175848.75</v>
      </c>
      <c r="GY131" s="77">
        <f t="shared" si="406"/>
        <v>-152402.25</v>
      </c>
      <c r="GZ131" s="77">
        <f t="shared" si="407"/>
        <v>-128955.74999999999</v>
      </c>
      <c r="HA131" s="77">
        <f t="shared" si="408"/>
        <v>-105509.25</v>
      </c>
      <c r="HB131" s="77">
        <f t="shared" si="409"/>
        <v>-82062.75</v>
      </c>
      <c r="HC131" s="77">
        <f t="shared" si="410"/>
        <v>-58616.25</v>
      </c>
      <c r="HD131" s="77">
        <f t="shared" si="411"/>
        <v>-35169.75</v>
      </c>
      <c r="HE131" s="77">
        <f t="shared" si="412"/>
        <v>-11723.25</v>
      </c>
      <c r="HF131" s="77">
        <f t="shared" si="413"/>
        <v>11723.25</v>
      </c>
      <c r="HG131" s="77">
        <f t="shared" si="414"/>
        <v>35169.75</v>
      </c>
      <c r="HH131" s="77">
        <f t="shared" si="415"/>
        <v>58616.25</v>
      </c>
      <c r="HI131" s="77">
        <f t="shared" si="416"/>
        <v>82062.75</v>
      </c>
      <c r="HJ131" s="77">
        <f t="shared" si="417"/>
        <v>105509.25</v>
      </c>
      <c r="HK131" s="77">
        <f t="shared" si="418"/>
        <v>128955.74999999999</v>
      </c>
      <c r="HL131" s="77">
        <f t="shared" si="419"/>
        <v>152402.25</v>
      </c>
      <c r="HM131" s="77">
        <f t="shared" si="420"/>
        <v>175848.75</v>
      </c>
      <c r="HN131" s="77">
        <f t="shared" si="421"/>
        <v>199295.25</v>
      </c>
      <c r="HO131" s="77">
        <f t="shared" si="422"/>
        <v>222741.75</v>
      </c>
      <c r="HP131" s="77">
        <f t="shared" si="423"/>
        <v>246188.25</v>
      </c>
      <c r="HQ131" s="77">
        <f t="shared" si="424"/>
        <v>269634.75</v>
      </c>
      <c r="HR131" s="77">
        <f t="shared" si="425"/>
        <v>293081.25</v>
      </c>
      <c r="HS131" s="77">
        <f t="shared" si="426"/>
        <v>316527.75</v>
      </c>
      <c r="HT131" s="77">
        <f t="shared" si="427"/>
        <v>339974.25</v>
      </c>
      <c r="HU131" s="77">
        <f t="shared" si="428"/>
        <v>4889863.125</v>
      </c>
      <c r="HV131" s="77">
        <f t="shared" si="429"/>
        <v>11409386.625</v>
      </c>
      <c r="IC131" s="82">
        <v>139</v>
      </c>
    </row>
    <row r="132" spans="1:237" s="77" customFormat="1">
      <c r="A132" s="77">
        <v>131</v>
      </c>
      <c r="B132" s="69">
        <v>196</v>
      </c>
      <c r="C132" s="69" t="s">
        <v>236</v>
      </c>
      <c r="D132" s="70" t="s">
        <v>150</v>
      </c>
      <c r="E132" s="70">
        <v>3</v>
      </c>
      <c r="F132" s="70">
        <v>0.11297330850403477</v>
      </c>
      <c r="G132" s="70"/>
      <c r="H132" s="70">
        <v>6.875E-3</v>
      </c>
      <c r="I132" s="87">
        <v>6.875E-3</v>
      </c>
      <c r="J132" s="71">
        <v>0.84210526315789469</v>
      </c>
      <c r="K132" s="72">
        <v>14.25</v>
      </c>
      <c r="L132" s="71">
        <v>7.3034636871508379E-2</v>
      </c>
      <c r="M132" s="71">
        <v>7.3034636871508379E-2</v>
      </c>
      <c r="N132" s="71">
        <v>0.48247206703910622</v>
      </c>
      <c r="O132" s="71">
        <v>1.2469841231148315E-2</v>
      </c>
      <c r="P132" s="71">
        <v>0</v>
      </c>
      <c r="Q132" s="73" t="s">
        <v>28</v>
      </c>
      <c r="R132" s="74">
        <v>0.14285714285714285</v>
      </c>
      <c r="S132" s="75">
        <f t="shared" si="455"/>
        <v>0.67595434013670752</v>
      </c>
      <c r="T132" s="59">
        <f t="shared" si="430"/>
        <v>1.2711302104556046</v>
      </c>
      <c r="U132" s="59">
        <f t="shared" si="431"/>
        <v>1.0090701585548776</v>
      </c>
      <c r="V132" s="59">
        <f t="shared" si="432"/>
        <v>0.92787188766369977</v>
      </c>
      <c r="W132" s="59">
        <f t="shared" si="433"/>
        <v>0.72995817425433351</v>
      </c>
      <c r="X132" s="59">
        <f t="shared" si="434"/>
        <v>0.9195315903430693</v>
      </c>
      <c r="Y132" s="86">
        <v>101920</v>
      </c>
      <c r="Z132" s="57">
        <f t="shared" si="435"/>
        <v>93718.659687765627</v>
      </c>
      <c r="AA132" s="57">
        <f t="shared" si="436"/>
        <v>74397.33712000167</v>
      </c>
      <c r="AB132" s="57">
        <f t="shared" si="437"/>
        <v>160164.30587197089</v>
      </c>
      <c r="AC132" s="57">
        <f t="shared" si="438"/>
        <v>0.25</v>
      </c>
      <c r="AD132" s="57">
        <f t="shared" si="439"/>
        <v>1.5</v>
      </c>
      <c r="AE132" s="57">
        <f t="shared" si="440"/>
        <v>0</v>
      </c>
      <c r="AF132" s="57">
        <f t="shared" si="441"/>
        <v>28714.305018344909</v>
      </c>
      <c r="AG132" s="57">
        <f t="shared" si="366"/>
        <v>45683.032101656754</v>
      </c>
      <c r="AH132" s="57">
        <f t="shared" si="442"/>
        <v>44334763.152460128</v>
      </c>
      <c r="AI132" s="57">
        <f t="shared" si="338"/>
        <v>32544103.666085906</v>
      </c>
      <c r="AJ132" s="77">
        <v>0</v>
      </c>
      <c r="AK132" s="77">
        <v>35.799999999999997</v>
      </c>
      <c r="AL132" s="78">
        <f t="shared" si="443"/>
        <v>3.2868908660046041</v>
      </c>
      <c r="AM132" s="57">
        <f t="shared" si="444"/>
        <v>1</v>
      </c>
      <c r="AN132" s="57">
        <f t="shared" si="445"/>
        <v>0.8</v>
      </c>
      <c r="AO132" s="77">
        <v>570</v>
      </c>
      <c r="AP132" s="79">
        <v>60</v>
      </c>
      <c r="AQ132" s="77">
        <f t="shared" si="446"/>
        <v>23.999497760007785</v>
      </c>
      <c r="AR132" s="57">
        <f t="shared" si="447"/>
        <v>450</v>
      </c>
      <c r="AS132" s="77">
        <f t="shared" si="448"/>
        <v>546.00050223999222</v>
      </c>
      <c r="AT132" s="77">
        <v>40</v>
      </c>
      <c r="AU132" s="77">
        <v>480</v>
      </c>
      <c r="AV132" s="77">
        <f t="shared" si="449"/>
        <v>18000</v>
      </c>
      <c r="AW132" s="77">
        <f t="shared" si="367"/>
        <v>7200</v>
      </c>
      <c r="AX132" s="77">
        <f t="shared" si="450"/>
        <v>22800</v>
      </c>
      <c r="AY132" s="77">
        <v>25200</v>
      </c>
      <c r="AZ132" s="77">
        <v>284.2</v>
      </c>
      <c r="BA132" s="77">
        <v>284.2</v>
      </c>
      <c r="BB132" s="77">
        <v>367.5</v>
      </c>
      <c r="BC132" s="77">
        <v>294</v>
      </c>
      <c r="BD132" s="77">
        <v>9.1999999999999998E-3</v>
      </c>
      <c r="BE132" s="77">
        <v>9.1999999999999998E-3</v>
      </c>
      <c r="BF132" s="77">
        <v>4.7E-2</v>
      </c>
      <c r="BH132" s="79"/>
      <c r="BI132" s="79"/>
      <c r="BJ132" s="79"/>
      <c r="BK132" s="57"/>
      <c r="BL132" s="57">
        <f t="shared" si="243"/>
        <v>165.6</v>
      </c>
      <c r="BM132" s="80">
        <f t="shared" si="363"/>
        <v>28.274333882308138</v>
      </c>
      <c r="BN132" s="80">
        <v>6</v>
      </c>
      <c r="BO132" s="57">
        <f t="shared" si="451"/>
        <v>169.64600329384882</v>
      </c>
      <c r="BP132" s="57">
        <f t="shared" si="452"/>
        <v>94568.702790684285</v>
      </c>
      <c r="BQ132" s="77">
        <f t="shared" si="453"/>
        <v>0</v>
      </c>
      <c r="BR132" s="57">
        <f t="shared" si="454"/>
        <v>45392977.339528456</v>
      </c>
      <c r="BS132" s="57">
        <v>47.998995520015569</v>
      </c>
      <c r="BT132" s="57">
        <f t="shared" si="456"/>
        <v>9.7358910768197795</v>
      </c>
      <c r="BU132" s="57"/>
      <c r="BV132" s="57">
        <v>3.3E-3</v>
      </c>
      <c r="BW132" s="57">
        <v>30000</v>
      </c>
      <c r="BX132" s="57">
        <v>200000</v>
      </c>
      <c r="BY132" s="77">
        <v>10.5</v>
      </c>
      <c r="BZ132" s="77">
        <v>49.5</v>
      </c>
      <c r="CA132" s="77">
        <v>67.5</v>
      </c>
      <c r="CB132" s="77">
        <v>82.5</v>
      </c>
      <c r="CC132" s="77">
        <v>97.5</v>
      </c>
      <c r="CD132" s="77">
        <v>112.5</v>
      </c>
      <c r="CE132" s="77">
        <v>127.5</v>
      </c>
      <c r="CF132" s="77">
        <v>142.5</v>
      </c>
      <c r="CG132" s="77">
        <v>157.5</v>
      </c>
      <c r="CH132" s="77">
        <v>172.5</v>
      </c>
      <c r="CI132" s="77">
        <v>187.5</v>
      </c>
      <c r="CJ132" s="77">
        <v>202.5</v>
      </c>
      <c r="CK132" s="77">
        <v>217.5</v>
      </c>
      <c r="CL132" s="77">
        <v>232.5</v>
      </c>
      <c r="CM132" s="77">
        <v>247.5</v>
      </c>
      <c r="CN132" s="77">
        <v>262.5</v>
      </c>
      <c r="CO132" s="77">
        <v>277.5</v>
      </c>
      <c r="CP132" s="77">
        <v>292.5</v>
      </c>
      <c r="CQ132" s="77">
        <v>307.5</v>
      </c>
      <c r="CR132" s="77">
        <v>322.5</v>
      </c>
      <c r="CS132" s="77">
        <v>337.5</v>
      </c>
      <c r="CT132" s="77">
        <v>352.5</v>
      </c>
      <c r="CU132" s="77">
        <v>367.5</v>
      </c>
      <c r="CV132" s="77">
        <v>382.5</v>
      </c>
      <c r="CW132" s="77">
        <v>397.5</v>
      </c>
      <c r="CX132" s="77">
        <v>412.5</v>
      </c>
      <c r="CY132" s="77">
        <v>427.5</v>
      </c>
      <c r="CZ132" s="77">
        <v>442.5</v>
      </c>
      <c r="DA132" s="77">
        <v>457.5</v>
      </c>
      <c r="DB132" s="77">
        <v>472.5</v>
      </c>
      <c r="DC132" s="77">
        <v>487.5</v>
      </c>
      <c r="DD132" s="77">
        <v>502.5</v>
      </c>
      <c r="DE132" s="77">
        <v>520.5</v>
      </c>
      <c r="DF132" s="77">
        <v>559.5</v>
      </c>
      <c r="DM132" s="77">
        <v>113.1</v>
      </c>
      <c r="DN132" s="77">
        <v>56.5</v>
      </c>
      <c r="DO132" s="77">
        <v>5.5</v>
      </c>
      <c r="DP132" s="77">
        <v>5.5</v>
      </c>
      <c r="DQ132" s="77">
        <v>5.5</v>
      </c>
      <c r="DR132" s="77">
        <v>5.5</v>
      </c>
      <c r="DS132" s="77">
        <v>5.5</v>
      </c>
      <c r="DT132" s="77">
        <v>5.5</v>
      </c>
      <c r="DU132" s="77">
        <v>5.5</v>
      </c>
      <c r="DV132" s="77">
        <v>5.5</v>
      </c>
      <c r="DW132" s="77">
        <v>5.5</v>
      </c>
      <c r="DX132" s="77">
        <v>5.5</v>
      </c>
      <c r="DY132" s="77">
        <v>5.5</v>
      </c>
      <c r="DZ132" s="77">
        <v>5.5</v>
      </c>
      <c r="EA132" s="77">
        <v>5.5</v>
      </c>
      <c r="EB132" s="77">
        <v>5.5</v>
      </c>
      <c r="EC132" s="77">
        <v>5.5</v>
      </c>
      <c r="ED132" s="77">
        <v>5.5</v>
      </c>
      <c r="EE132" s="77">
        <v>5.5</v>
      </c>
      <c r="EF132" s="77">
        <v>5.5</v>
      </c>
      <c r="EG132" s="77">
        <v>5.5</v>
      </c>
      <c r="EH132" s="77">
        <v>5.5</v>
      </c>
      <c r="EI132" s="77">
        <v>5.5</v>
      </c>
      <c r="EJ132" s="77">
        <v>5.5</v>
      </c>
      <c r="EK132" s="77">
        <v>5.5</v>
      </c>
      <c r="EL132" s="77">
        <v>5.5</v>
      </c>
      <c r="EM132" s="77">
        <v>5.5</v>
      </c>
      <c r="EN132" s="77">
        <v>5.5</v>
      </c>
      <c r="EO132" s="77">
        <v>5.5</v>
      </c>
      <c r="EP132" s="77">
        <v>5.5</v>
      </c>
      <c r="EQ132" s="77">
        <v>5.5</v>
      </c>
      <c r="ER132" s="77">
        <v>5.5</v>
      </c>
      <c r="ES132" s="77">
        <v>56.5</v>
      </c>
      <c r="ET132" s="77">
        <v>113.1</v>
      </c>
      <c r="FA132" s="77">
        <f t="shared" si="357"/>
        <v>-41564.25</v>
      </c>
      <c r="FB132" s="77">
        <f t="shared" si="361"/>
        <v>1166.1172583346859</v>
      </c>
      <c r="FC132" s="77">
        <f t="shared" si="368"/>
        <v>1474.7943263276134</v>
      </c>
      <c r="FD132" s="77">
        <f t="shared" si="369"/>
        <v>1563.1</v>
      </c>
      <c r="FE132" s="77">
        <f t="shared" si="370"/>
        <v>1563.1</v>
      </c>
      <c r="FF132" s="77">
        <f t="shared" si="371"/>
        <v>1563.1</v>
      </c>
      <c r="FG132" s="77">
        <f t="shared" si="372"/>
        <v>1563.1</v>
      </c>
      <c r="FH132" s="77">
        <f t="shared" si="373"/>
        <v>1563.1</v>
      </c>
      <c r="FI132" s="77">
        <f t="shared" si="374"/>
        <v>1563.1</v>
      </c>
      <c r="FJ132" s="77">
        <f t="shared" si="375"/>
        <v>1563.1</v>
      </c>
      <c r="FK132" s="77">
        <f t="shared" si="376"/>
        <v>1563.1</v>
      </c>
      <c r="FL132" s="77">
        <f t="shared" si="377"/>
        <v>1563.1</v>
      </c>
      <c r="FM132" s="77">
        <f t="shared" si="378"/>
        <v>1563.1</v>
      </c>
      <c r="FN132" s="77">
        <f t="shared" si="379"/>
        <v>1563.1</v>
      </c>
      <c r="FO132" s="77">
        <f t="shared" si="380"/>
        <v>1563.1</v>
      </c>
      <c r="FP132" s="77">
        <f t="shared" si="381"/>
        <v>1563.1</v>
      </c>
      <c r="FQ132" s="77">
        <f t="shared" si="382"/>
        <v>1563.1</v>
      </c>
      <c r="FR132" s="77">
        <f t="shared" si="383"/>
        <v>1563.1</v>
      </c>
      <c r="FS132" s="77">
        <f t="shared" si="384"/>
        <v>1563.1</v>
      </c>
      <c r="FT132" s="77">
        <f t="shared" si="385"/>
        <v>1563.1</v>
      </c>
      <c r="FU132" s="77">
        <f t="shared" si="386"/>
        <v>1563.1</v>
      </c>
      <c r="FV132" s="77">
        <f t="shared" si="387"/>
        <v>1563.1</v>
      </c>
      <c r="FW132" s="77">
        <f t="shared" si="388"/>
        <v>1563.1</v>
      </c>
      <c r="FX132" s="77">
        <f t="shared" si="389"/>
        <v>1563.1</v>
      </c>
      <c r="FY132" s="77">
        <f t="shared" si="390"/>
        <v>1563.1</v>
      </c>
      <c r="FZ132" s="77">
        <f t="shared" si="391"/>
        <v>1563.1</v>
      </c>
      <c r="GA132" s="77">
        <f t="shared" si="392"/>
        <v>1563.1</v>
      </c>
      <c r="GB132" s="77">
        <f t="shared" si="393"/>
        <v>1563.1</v>
      </c>
      <c r="GC132" s="77">
        <f t="shared" si="394"/>
        <v>1563.1</v>
      </c>
      <c r="GD132" s="77">
        <f t="shared" si="395"/>
        <v>1563.1</v>
      </c>
      <c r="GE132" s="77">
        <f t="shared" si="396"/>
        <v>1563.1</v>
      </c>
      <c r="GF132" s="77">
        <f t="shared" si="397"/>
        <v>1563.1</v>
      </c>
      <c r="GG132" s="77">
        <f t="shared" si="398"/>
        <v>20763.75</v>
      </c>
      <c r="GH132" s="77">
        <f t="shared" si="399"/>
        <v>41564.25</v>
      </c>
      <c r="GO132" s="77">
        <f t="shared" si="275"/>
        <v>11409386.625</v>
      </c>
      <c r="GP132" s="77">
        <f t="shared" si="276"/>
        <v>-274620.61433781852</v>
      </c>
      <c r="GQ132" s="77">
        <f t="shared" si="277"/>
        <v>-320767.76597625593</v>
      </c>
      <c r="GR132" s="77">
        <f t="shared" si="278"/>
        <v>-316527.75</v>
      </c>
      <c r="GS132" s="77">
        <f t="shared" si="400"/>
        <v>-293081.25</v>
      </c>
      <c r="GT132" s="77">
        <f t="shared" si="401"/>
        <v>-269634.75</v>
      </c>
      <c r="GU132" s="77">
        <f t="shared" si="402"/>
        <v>-246188.25</v>
      </c>
      <c r="GV132" s="77">
        <f t="shared" si="403"/>
        <v>-222741.75</v>
      </c>
      <c r="GW132" s="77">
        <f t="shared" si="404"/>
        <v>-199295.25</v>
      </c>
      <c r="GX132" s="77">
        <f t="shared" si="405"/>
        <v>-175848.75</v>
      </c>
      <c r="GY132" s="77">
        <f t="shared" si="406"/>
        <v>-152402.25</v>
      </c>
      <c r="GZ132" s="77">
        <f t="shared" si="407"/>
        <v>-128955.74999999999</v>
      </c>
      <c r="HA132" s="77">
        <f t="shared" si="408"/>
        <v>-105509.25</v>
      </c>
      <c r="HB132" s="77">
        <f t="shared" si="409"/>
        <v>-82062.75</v>
      </c>
      <c r="HC132" s="77">
        <f t="shared" si="410"/>
        <v>-58616.25</v>
      </c>
      <c r="HD132" s="77">
        <f t="shared" si="411"/>
        <v>-35169.75</v>
      </c>
      <c r="HE132" s="77">
        <f t="shared" si="412"/>
        <v>-11723.25</v>
      </c>
      <c r="HF132" s="77">
        <f t="shared" si="413"/>
        <v>11723.25</v>
      </c>
      <c r="HG132" s="77">
        <f t="shared" si="414"/>
        <v>35169.75</v>
      </c>
      <c r="HH132" s="77">
        <f t="shared" si="415"/>
        <v>58616.25</v>
      </c>
      <c r="HI132" s="77">
        <f t="shared" si="416"/>
        <v>82062.75</v>
      </c>
      <c r="HJ132" s="77">
        <f t="shared" si="417"/>
        <v>105509.25</v>
      </c>
      <c r="HK132" s="77">
        <f t="shared" si="418"/>
        <v>128955.74999999999</v>
      </c>
      <c r="HL132" s="77">
        <f t="shared" si="419"/>
        <v>152402.25</v>
      </c>
      <c r="HM132" s="77">
        <f t="shared" si="420"/>
        <v>175848.75</v>
      </c>
      <c r="HN132" s="77">
        <f t="shared" si="421"/>
        <v>199295.25</v>
      </c>
      <c r="HO132" s="77">
        <f t="shared" si="422"/>
        <v>222741.75</v>
      </c>
      <c r="HP132" s="77">
        <f t="shared" si="423"/>
        <v>246188.25</v>
      </c>
      <c r="HQ132" s="77">
        <f t="shared" si="424"/>
        <v>269634.75</v>
      </c>
      <c r="HR132" s="77">
        <f t="shared" si="425"/>
        <v>293081.25</v>
      </c>
      <c r="HS132" s="77">
        <f t="shared" si="426"/>
        <v>316527.75</v>
      </c>
      <c r="HT132" s="77">
        <f t="shared" si="427"/>
        <v>339974.25</v>
      </c>
      <c r="HU132" s="77">
        <f t="shared" si="428"/>
        <v>4889863.125</v>
      </c>
      <c r="HV132" s="77">
        <f t="shared" si="429"/>
        <v>11409386.625</v>
      </c>
      <c r="IC132" s="82">
        <v>140</v>
      </c>
    </row>
    <row r="133" spans="1:237" s="77" customFormat="1">
      <c r="A133" s="77">
        <v>132</v>
      </c>
      <c r="B133" s="69">
        <v>199</v>
      </c>
      <c r="C133" s="69" t="s">
        <v>236</v>
      </c>
      <c r="D133" s="70" t="s">
        <v>151</v>
      </c>
      <c r="E133" s="70">
        <v>3</v>
      </c>
      <c r="F133" s="70">
        <v>9.8707876485654267E-2</v>
      </c>
      <c r="G133" s="70"/>
      <c r="H133" s="70">
        <v>4.3750000000000004E-3</v>
      </c>
      <c r="I133" s="87">
        <v>4.3750000000000004E-3</v>
      </c>
      <c r="J133" s="71">
        <v>0.84210526315789469</v>
      </c>
      <c r="K133" s="72">
        <v>28.5</v>
      </c>
      <c r="L133" s="71">
        <v>0.12541258741258743</v>
      </c>
      <c r="M133" s="71">
        <v>0.12541258741258743</v>
      </c>
      <c r="N133" s="71">
        <v>0.32045454545454549</v>
      </c>
      <c r="O133" s="71">
        <v>1.0764897903909082E-2</v>
      </c>
      <c r="P133" s="71">
        <v>0</v>
      </c>
      <c r="Q133" s="73" t="s">
        <v>28</v>
      </c>
      <c r="R133" s="74">
        <v>0.22222222222222221</v>
      </c>
      <c r="S133" s="75">
        <f t="shared" si="455"/>
        <v>0.64651775332559736</v>
      </c>
      <c r="T133" s="59">
        <f t="shared" si="430"/>
        <v>1.2873170038697654</v>
      </c>
      <c r="U133" s="59">
        <f t="shared" si="431"/>
        <v>0.9964267456120256</v>
      </c>
      <c r="V133" s="59">
        <f t="shared" si="432"/>
        <v>1.1620316520555785</v>
      </c>
      <c r="W133" s="59">
        <f t="shared" si="433"/>
        <v>0.90267715610252142</v>
      </c>
      <c r="X133" s="59">
        <f t="shared" si="434"/>
        <v>1.1661987769525746</v>
      </c>
      <c r="Y133" s="86">
        <v>68600</v>
      </c>
      <c r="Z133" s="57">
        <f t="shared" si="435"/>
        <v>80001.236098946611</v>
      </c>
      <c r="AA133" s="57">
        <f t="shared" si="436"/>
        <v>61923.652908632968</v>
      </c>
      <c r="AB133" s="57">
        <f t="shared" si="437"/>
        <v>106046.21608673273</v>
      </c>
      <c r="AC133" s="57">
        <f t="shared" si="438"/>
        <v>0.25</v>
      </c>
      <c r="AD133" s="57">
        <f t="shared" si="439"/>
        <v>1.5</v>
      </c>
      <c r="AE133" s="57">
        <f t="shared" si="440"/>
        <v>0</v>
      </c>
      <c r="AF133" s="57">
        <f t="shared" si="441"/>
        <v>15622.876198675445</v>
      </c>
      <c r="AG133" s="57">
        <f t="shared" si="366"/>
        <v>46300.776709957521</v>
      </c>
      <c r="AH133" s="57">
        <f t="shared" si="442"/>
        <v>25807544.048414625</v>
      </c>
      <c r="AI133" s="57">
        <f t="shared" ref="AI133:AI164" si="457">BB133*BO133*(AS133-AQ133)</f>
        <v>25094639.673217088</v>
      </c>
      <c r="AJ133" s="77">
        <v>0</v>
      </c>
      <c r="AK133" s="77">
        <v>42.9</v>
      </c>
      <c r="AL133" s="78">
        <f t="shared" si="443"/>
        <v>3.6307899995136284</v>
      </c>
      <c r="AM133" s="57">
        <f t="shared" si="444"/>
        <v>0.98710526315789471</v>
      </c>
      <c r="AN133" s="57">
        <f t="shared" si="445"/>
        <v>0.78710526315789475</v>
      </c>
      <c r="AO133" s="77">
        <v>570</v>
      </c>
      <c r="AP133" s="79">
        <v>60</v>
      </c>
      <c r="AQ133" s="77">
        <f t="shared" si="446"/>
        <v>32.139224494936066</v>
      </c>
      <c r="AR133" s="57">
        <f t="shared" si="447"/>
        <v>450</v>
      </c>
      <c r="AS133" s="77">
        <f t="shared" si="448"/>
        <v>537.86077550506388</v>
      </c>
      <c r="AT133" s="77">
        <v>20</v>
      </c>
      <c r="AU133" s="77">
        <v>480</v>
      </c>
      <c r="AV133" s="77">
        <f t="shared" si="449"/>
        <v>9000</v>
      </c>
      <c r="AW133" s="77">
        <f t="shared" si="367"/>
        <v>7200</v>
      </c>
      <c r="AX133" s="77">
        <f t="shared" si="450"/>
        <v>11400</v>
      </c>
      <c r="AY133" s="77">
        <v>16200</v>
      </c>
      <c r="AZ133" s="77">
        <v>294</v>
      </c>
      <c r="BA133" s="77">
        <v>294</v>
      </c>
      <c r="BB133" s="77">
        <v>292.5</v>
      </c>
      <c r="BC133" s="77">
        <v>294</v>
      </c>
      <c r="BD133" s="77">
        <v>1.83E-2</v>
      </c>
      <c r="BE133" s="77">
        <v>1.83E-2</v>
      </c>
      <c r="BF133" s="77">
        <v>4.7E-2</v>
      </c>
      <c r="BH133" s="79">
        <v>30</v>
      </c>
      <c r="BI133" s="79">
        <f t="shared" ref="BI133:BI147" si="458">PI()*2.65*2.65/4</f>
        <v>5.5154586024585797</v>
      </c>
      <c r="BJ133" s="79">
        <v>1</v>
      </c>
      <c r="BK133" s="57">
        <f t="shared" ref="BK133:BK154" si="459">BI133*BJ133</f>
        <v>5.5154586024585797</v>
      </c>
      <c r="BL133" s="57">
        <f t="shared" si="243"/>
        <v>164.7</v>
      </c>
      <c r="BM133" s="80">
        <f t="shared" si="363"/>
        <v>28.274333882308138</v>
      </c>
      <c r="BN133" s="80">
        <v>6</v>
      </c>
      <c r="BO133" s="57">
        <f t="shared" si="451"/>
        <v>169.64600329384882</v>
      </c>
      <c r="BP133" s="57">
        <f t="shared" si="452"/>
        <v>79715.371331012677</v>
      </c>
      <c r="BQ133" s="77">
        <f t="shared" si="453"/>
        <v>2.9103830456733704E-10</v>
      </c>
      <c r="BR133" s="57">
        <f t="shared" si="454"/>
        <v>38263378.238886088</v>
      </c>
      <c r="BS133" s="57">
        <v>64.278448989872132</v>
      </c>
      <c r="BT133" s="57">
        <f t="shared" si="456"/>
        <v>35.716756544015396</v>
      </c>
      <c r="BU133" s="57"/>
      <c r="BV133" s="57">
        <v>3.3E-3</v>
      </c>
      <c r="BW133" s="57">
        <v>30000</v>
      </c>
      <c r="BX133" s="57">
        <v>200000</v>
      </c>
      <c r="BY133" s="77">
        <v>10.5</v>
      </c>
      <c r="BZ133" s="77">
        <v>49.5</v>
      </c>
      <c r="CA133" s="77">
        <v>75</v>
      </c>
      <c r="CB133" s="77">
        <v>105</v>
      </c>
      <c r="CC133" s="77">
        <v>135</v>
      </c>
      <c r="CD133" s="77">
        <v>165</v>
      </c>
      <c r="CE133" s="77">
        <v>195</v>
      </c>
      <c r="CF133" s="77">
        <v>225</v>
      </c>
      <c r="CG133" s="77">
        <v>255</v>
      </c>
      <c r="CH133" s="77">
        <v>285</v>
      </c>
      <c r="CI133" s="77">
        <v>315</v>
      </c>
      <c r="CJ133" s="77">
        <v>345</v>
      </c>
      <c r="CK133" s="77">
        <v>375</v>
      </c>
      <c r="CL133" s="77">
        <v>405</v>
      </c>
      <c r="CM133" s="77">
        <v>435</v>
      </c>
      <c r="CN133" s="77">
        <v>465</v>
      </c>
      <c r="CO133" s="77">
        <v>495</v>
      </c>
      <c r="CP133" s="77">
        <v>520.5</v>
      </c>
      <c r="CQ133" s="77">
        <v>559.5</v>
      </c>
      <c r="DM133" s="77">
        <v>113.1</v>
      </c>
      <c r="DN133" s="77">
        <v>56.5</v>
      </c>
      <c r="DO133" s="77">
        <v>11</v>
      </c>
      <c r="DP133" s="77">
        <v>11</v>
      </c>
      <c r="DQ133" s="77">
        <v>11</v>
      </c>
      <c r="DR133" s="77">
        <v>11</v>
      </c>
      <c r="DS133" s="77">
        <v>11</v>
      </c>
      <c r="DT133" s="77">
        <v>11</v>
      </c>
      <c r="DU133" s="77">
        <v>11</v>
      </c>
      <c r="DV133" s="77">
        <v>11</v>
      </c>
      <c r="DW133" s="77">
        <v>11</v>
      </c>
      <c r="DX133" s="77">
        <v>11</v>
      </c>
      <c r="DY133" s="77">
        <v>11</v>
      </c>
      <c r="DZ133" s="77">
        <v>11</v>
      </c>
      <c r="EA133" s="77">
        <v>11</v>
      </c>
      <c r="EB133" s="77">
        <v>11</v>
      </c>
      <c r="EC133" s="77">
        <v>11</v>
      </c>
      <c r="ED133" s="77">
        <v>56.5</v>
      </c>
      <c r="EE133" s="77">
        <v>113.1</v>
      </c>
      <c r="FA133" s="77">
        <f t="shared" si="357"/>
        <v>-33081.75</v>
      </c>
      <c r="FB133" s="77">
        <f t="shared" si="361"/>
        <v>-8573.4545791414876</v>
      </c>
      <c r="FC133" s="77">
        <f t="shared" ref="FC133:FC147" si="460">IF(ABS(-$BV133*($BS133-CA133)/$BS133*$BX133)&gt;$BA133,$BA133*SIGN(-($BS133-CA133)),-$BV133*($BS133-CA133)/$BS133*$BX133)*DO133</f>
        <v>1210.9573512856969</v>
      </c>
      <c r="FD133" s="77">
        <f t="shared" ref="FD133:FD147" si="461">IF(ABS(-$BV133*($BS133-CB133)/$BS133*$BX133)&gt;$BA133,$BA133*SIGN(-($BS133-CB133)),-$BV133*($BS133-CB133)/$BS133*$BX133)*DP133</f>
        <v>3234</v>
      </c>
      <c r="FE133" s="77">
        <f t="shared" ref="FE133:FE147" si="462">IF(ABS(-$BV133*($BS133-CC133)/$BS133*$BX133)&gt;$BA133,$BA133*SIGN(-($BS133-CC133)),-$BV133*($BS133-CC133)/$BS133*$BX133)*DQ133</f>
        <v>3234</v>
      </c>
      <c r="FF133" s="77">
        <f t="shared" ref="FF133:FF147" si="463">IF(ABS(-$BV133*($BS133-CD133)/$BS133*$BX133)&gt;$BA133,$BA133*SIGN(-($BS133-CD133)),-$BV133*($BS133-CD133)/$BS133*$BX133)*DR133</f>
        <v>3234</v>
      </c>
      <c r="FG133" s="77">
        <f t="shared" ref="FG133:FG147" si="464">IF(ABS(-$BV133*($BS133-CE133)/$BS133*$BX133)&gt;$BA133,$BA133*SIGN(-($BS133-CE133)),-$BV133*($BS133-CE133)/$BS133*$BX133)*DS133</f>
        <v>3234</v>
      </c>
      <c r="FH133" s="77">
        <f t="shared" ref="FH133:FH147" si="465">IF(ABS(-$BV133*($BS133-CF133)/$BS133*$BX133)&gt;$BA133,$BA133*SIGN(-($BS133-CF133)),-$BV133*($BS133-CF133)/$BS133*$BX133)*DT133</f>
        <v>3234</v>
      </c>
      <c r="FI133" s="77">
        <f t="shared" ref="FI133:FI147" si="466">IF(ABS(-$BV133*($BS133-CG133)/$BS133*$BX133)&gt;$BA133,$BA133*SIGN(-($BS133-CG133)),-$BV133*($BS133-CG133)/$BS133*$BX133)*DU133</f>
        <v>3234</v>
      </c>
      <c r="FJ133" s="77">
        <f t="shared" ref="FJ133:FJ147" si="467">IF(ABS(-$BV133*($BS133-CH133)/$BS133*$BX133)&gt;$BA133,$BA133*SIGN(-($BS133-CH133)),-$BV133*($BS133-CH133)/$BS133*$BX133)*DV133</f>
        <v>3234</v>
      </c>
      <c r="FK133" s="77">
        <f t="shared" ref="FK133:FK147" si="468">IF(ABS(-$BV133*($BS133-CI133)/$BS133*$BX133)&gt;$BA133,$BA133*SIGN(-($BS133-CI133)),-$BV133*($BS133-CI133)/$BS133*$BX133)*DW133</f>
        <v>3234</v>
      </c>
      <c r="FL133" s="77">
        <f t="shared" ref="FL133:FL147" si="469">IF(ABS(-$BV133*($BS133-CJ133)/$BS133*$BX133)&gt;$BA133,$BA133*SIGN(-($BS133-CJ133)),-$BV133*($BS133-CJ133)/$BS133*$BX133)*DX133</f>
        <v>3234</v>
      </c>
      <c r="FM133" s="77">
        <f t="shared" ref="FM133:FM147" si="470">IF(ABS(-$BV133*($BS133-CK133)/$BS133*$BX133)&gt;$BA133,$BA133*SIGN(-($BS133-CK133)),-$BV133*($BS133-CK133)/$BS133*$BX133)*DY133</f>
        <v>3234</v>
      </c>
      <c r="FN133" s="77">
        <f t="shared" ref="FN133:FN147" si="471">IF(ABS(-$BV133*($BS133-CL133)/$BS133*$BX133)&gt;$BA133,$BA133*SIGN(-($BS133-CL133)),-$BV133*($BS133-CL133)/$BS133*$BX133)*DZ133</f>
        <v>3234</v>
      </c>
      <c r="FO133" s="77">
        <f t="shared" ref="FO133:FO147" si="472">IF(ABS(-$BV133*($BS133-CM133)/$BS133*$BX133)&gt;$BA133,$BA133*SIGN(-($BS133-CM133)),-$BV133*($BS133-CM133)/$BS133*$BX133)*EA133</f>
        <v>3234</v>
      </c>
      <c r="FP133" s="77">
        <f t="shared" ref="FP133:FP147" si="473">IF(ABS(-$BV133*($BS133-CN133)/$BS133*$BX133)&gt;$BA133,$BA133*SIGN(-($BS133-CN133)),-$BV133*($BS133-CN133)/$BS133*$BX133)*EB133</f>
        <v>3234</v>
      </c>
      <c r="FQ133" s="77">
        <f t="shared" ref="FQ133:FQ147" si="474">IF(ABS(-$BV133*($BS133-CO133)/$BS133*$BX133)&gt;$BA133,$BA133*SIGN(-($BS133-CO133)),-$BV133*($BS133-CO133)/$BS133*$BX133)*EC133</f>
        <v>3234</v>
      </c>
      <c r="FR133" s="77">
        <f t="shared" ref="FR133:FS138" si="475">IF(ABS(-$BV133*($BS133-CP133)/$BS133*$BX133)&gt;$BB133,$BB133*SIGN(-($BS133-CP133)),-$BV133*($BS133-CP133)/$BS133*$BX133)*ED133</f>
        <v>16526.25</v>
      </c>
      <c r="FS133" s="77">
        <f t="shared" si="475"/>
        <v>33081.75</v>
      </c>
      <c r="GO133" s="77">
        <f t="shared" si="275"/>
        <v>9080940.375</v>
      </c>
      <c r="GP133" s="77">
        <f t="shared" si="276"/>
        <v>2019048.5533878203</v>
      </c>
      <c r="GQ133" s="77">
        <f t="shared" si="277"/>
        <v>-254301.04376999635</v>
      </c>
      <c r="GR133" s="77">
        <f t="shared" si="278"/>
        <v>-582120</v>
      </c>
      <c r="GS133" s="77">
        <f t="shared" ref="GS133:GS155" si="476">FE133*(CC133-0.5*$AO133)</f>
        <v>-485100</v>
      </c>
      <c r="GT133" s="77">
        <f t="shared" ref="GT133:GT155" si="477">FF133*(CD133-0.5*$AO133)</f>
        <v>-388080</v>
      </c>
      <c r="GU133" s="77">
        <f t="shared" ref="GU133:GU155" si="478">FG133*(CE133-0.5*$AO133)</f>
        <v>-291060</v>
      </c>
      <c r="GV133" s="77">
        <f t="shared" ref="GV133:GV155" si="479">FH133*(CF133-0.5*$AO133)</f>
        <v>-194040</v>
      </c>
      <c r="GW133" s="77">
        <f t="shared" ref="GW133:GW155" si="480">FI133*(CG133-0.5*$AO133)</f>
        <v>-97020</v>
      </c>
      <c r="GX133" s="77">
        <f t="shared" ref="GX133:GX155" si="481">FJ133*(CH133-0.5*$AO133)</f>
        <v>0</v>
      </c>
      <c r="GY133" s="77">
        <f t="shared" ref="GY133:GY155" si="482">FK133*(CI133-0.5*$AO133)</f>
        <v>97020</v>
      </c>
      <c r="GZ133" s="77">
        <f t="shared" ref="GZ133:GZ155" si="483">FL133*(CJ133-0.5*$AO133)</f>
        <v>194040</v>
      </c>
      <c r="HA133" s="77">
        <f t="shared" ref="HA133:HA155" si="484">FM133*(CK133-0.5*$AO133)</f>
        <v>291060</v>
      </c>
      <c r="HB133" s="77">
        <f t="shared" ref="HB133:HB155" si="485">FN133*(CL133-0.5*$AO133)</f>
        <v>388080</v>
      </c>
      <c r="HC133" s="77">
        <f t="shared" ref="HC133:HC155" si="486">FO133*(CM133-0.5*$AO133)</f>
        <v>485100</v>
      </c>
      <c r="HD133" s="77">
        <f t="shared" ref="HD133:HD155" si="487">FP133*(CN133-0.5*$AO133)</f>
        <v>582120</v>
      </c>
      <c r="HE133" s="77">
        <f t="shared" ref="HE133:HE155" si="488">FQ133*(CO133-0.5*$AO133)</f>
        <v>679140</v>
      </c>
      <c r="HF133" s="77">
        <f t="shared" ref="HF133:HF155" si="489">FR133*(CP133-0.5*$AO133)</f>
        <v>3891931.875</v>
      </c>
      <c r="HG133" s="77">
        <f t="shared" ref="HG133:HG155" si="490">FS133*(CQ133-0.5*$AO133)</f>
        <v>9080940.375</v>
      </c>
      <c r="IC133" s="82">
        <v>141</v>
      </c>
    </row>
    <row r="134" spans="1:237" s="77" customFormat="1">
      <c r="A134" s="77">
        <v>133</v>
      </c>
      <c r="B134" s="69">
        <v>200</v>
      </c>
      <c r="C134" s="69" t="s">
        <v>236</v>
      </c>
      <c r="D134" s="70" t="s">
        <v>152</v>
      </c>
      <c r="E134" s="70">
        <v>3</v>
      </c>
      <c r="F134" s="70">
        <v>8.9436459046315295E-2</v>
      </c>
      <c r="G134" s="70"/>
      <c r="H134" s="70">
        <v>4.3750000000000004E-3</v>
      </c>
      <c r="I134" s="87">
        <v>4.3750000000000004E-3</v>
      </c>
      <c r="J134" s="71">
        <v>0.84210526315789469</v>
      </c>
      <c r="K134" s="72">
        <v>28.5</v>
      </c>
      <c r="L134" s="71">
        <v>0.11047638603696099</v>
      </c>
      <c r="M134" s="71">
        <v>0.11047638603696099</v>
      </c>
      <c r="N134" s="71">
        <v>0.28228952772073923</v>
      </c>
      <c r="O134" s="71">
        <v>9.482836141225864E-3</v>
      </c>
      <c r="P134" s="71">
        <v>0</v>
      </c>
      <c r="Q134" s="73" t="s">
        <v>28</v>
      </c>
      <c r="R134" s="74">
        <v>0.22222222222222221</v>
      </c>
      <c r="S134" s="75">
        <f t="shared" si="455"/>
        <v>0.62413577534731612</v>
      </c>
      <c r="T134" s="59">
        <f t="shared" si="430"/>
        <v>1.2652511839232163</v>
      </c>
      <c r="U134" s="59">
        <f t="shared" si="431"/>
        <v>0.98593124379510622</v>
      </c>
      <c r="V134" s="59">
        <f t="shared" si="432"/>
        <v>1.1349263974924972</v>
      </c>
      <c r="W134" s="59">
        <f t="shared" si="433"/>
        <v>0.89699690615849448</v>
      </c>
      <c r="X134" s="59">
        <f t="shared" si="434"/>
        <v>1.1511212416028829</v>
      </c>
      <c r="Y134" s="86">
        <v>70560</v>
      </c>
      <c r="Z134" s="57">
        <f t="shared" si="435"/>
        <v>81223.114807499413</v>
      </c>
      <c r="AA134" s="57">
        <f t="shared" si="436"/>
        <v>63292.101698543367</v>
      </c>
      <c r="AB134" s="57">
        <f t="shared" si="437"/>
        <v>113036.88670032915</v>
      </c>
      <c r="AC134" s="57">
        <f t="shared" si="438"/>
        <v>0.25</v>
      </c>
      <c r="AD134" s="57">
        <f t="shared" si="439"/>
        <v>1.5</v>
      </c>
      <c r="AE134" s="57">
        <f t="shared" si="440"/>
        <v>0</v>
      </c>
      <c r="AF134" s="57">
        <f t="shared" si="441"/>
        <v>16815.12222239959</v>
      </c>
      <c r="AG134" s="57">
        <f t="shared" si="366"/>
        <v>46476.979476143773</v>
      </c>
      <c r="AH134" s="57">
        <f t="shared" si="442"/>
        <v>28959926.70548344</v>
      </c>
      <c r="AI134" s="57">
        <f t="shared" si="457"/>
        <v>25297778.910674553</v>
      </c>
      <c r="AJ134" s="77">
        <v>0</v>
      </c>
      <c r="AK134" s="77">
        <v>48.7</v>
      </c>
      <c r="AL134" s="78">
        <f t="shared" si="443"/>
        <v>3.8930550823506533</v>
      </c>
      <c r="AM134" s="57">
        <f t="shared" si="444"/>
        <v>0.97184210526315784</v>
      </c>
      <c r="AN134" s="57">
        <f t="shared" si="445"/>
        <v>0.77184210526315788</v>
      </c>
      <c r="AO134" s="77">
        <v>570</v>
      </c>
      <c r="AP134" s="79">
        <v>60</v>
      </c>
      <c r="AQ134" s="77">
        <f t="shared" si="446"/>
        <v>30.092335366903558</v>
      </c>
      <c r="AR134" s="57">
        <f t="shared" si="447"/>
        <v>450</v>
      </c>
      <c r="AS134" s="77">
        <f t="shared" si="448"/>
        <v>539.90766463309649</v>
      </c>
      <c r="AT134" s="77">
        <v>20</v>
      </c>
      <c r="AU134" s="77">
        <v>480</v>
      </c>
      <c r="AV134" s="77">
        <f t="shared" si="449"/>
        <v>9000</v>
      </c>
      <c r="AW134" s="77">
        <f t="shared" si="367"/>
        <v>7200</v>
      </c>
      <c r="AX134" s="77">
        <f t="shared" si="450"/>
        <v>11400</v>
      </c>
      <c r="AY134" s="77">
        <v>16200</v>
      </c>
      <c r="AZ134" s="77">
        <v>294</v>
      </c>
      <c r="BA134" s="77">
        <v>294</v>
      </c>
      <c r="BB134" s="77">
        <v>292.5</v>
      </c>
      <c r="BC134" s="77">
        <v>294</v>
      </c>
      <c r="BD134" s="77">
        <v>1.83E-2</v>
      </c>
      <c r="BE134" s="77">
        <v>1.83E-2</v>
      </c>
      <c r="BF134" s="77">
        <v>4.7E-2</v>
      </c>
      <c r="BH134" s="79">
        <v>30</v>
      </c>
      <c r="BI134" s="79">
        <f t="shared" si="458"/>
        <v>5.5154586024585797</v>
      </c>
      <c r="BJ134" s="79">
        <v>1</v>
      </c>
      <c r="BK134" s="57">
        <f t="shared" si="459"/>
        <v>5.5154586024585797</v>
      </c>
      <c r="BL134" s="57">
        <f t="shared" si="243"/>
        <v>164.7</v>
      </c>
      <c r="BM134" s="80">
        <f t="shared" si="363"/>
        <v>28.274333882308138</v>
      </c>
      <c r="BN134" s="80">
        <v>6</v>
      </c>
      <c r="BO134" s="57">
        <f t="shared" si="451"/>
        <v>169.64600329384882</v>
      </c>
      <c r="BP134" s="57">
        <f t="shared" si="452"/>
        <v>80080.406607070603</v>
      </c>
      <c r="BQ134" s="77">
        <f t="shared" si="453"/>
        <v>3.5652192309498787E-10</v>
      </c>
      <c r="BR134" s="57">
        <f t="shared" si="454"/>
        <v>38438595.171393886</v>
      </c>
      <c r="BS134" s="57">
        <v>60.184670733807117</v>
      </c>
      <c r="BT134" s="57">
        <f t="shared" si="456"/>
        <v>33.319429455226093</v>
      </c>
      <c r="BU134" s="57"/>
      <c r="BV134" s="57">
        <v>3.3E-3</v>
      </c>
      <c r="BW134" s="57">
        <v>30000</v>
      </c>
      <c r="BX134" s="57">
        <v>200000</v>
      </c>
      <c r="BY134" s="77">
        <v>10.5</v>
      </c>
      <c r="BZ134" s="77">
        <v>49.5</v>
      </c>
      <c r="CA134" s="77">
        <v>75</v>
      </c>
      <c r="CB134" s="77">
        <v>105</v>
      </c>
      <c r="CC134" s="77">
        <v>135</v>
      </c>
      <c r="CD134" s="77">
        <v>165</v>
      </c>
      <c r="CE134" s="77">
        <v>195</v>
      </c>
      <c r="CF134" s="77">
        <v>225</v>
      </c>
      <c r="CG134" s="77">
        <v>255</v>
      </c>
      <c r="CH134" s="77">
        <v>285</v>
      </c>
      <c r="CI134" s="77">
        <v>315</v>
      </c>
      <c r="CJ134" s="77">
        <v>345</v>
      </c>
      <c r="CK134" s="77">
        <v>375</v>
      </c>
      <c r="CL134" s="77">
        <v>405</v>
      </c>
      <c r="CM134" s="77">
        <v>435</v>
      </c>
      <c r="CN134" s="77">
        <v>465</v>
      </c>
      <c r="CO134" s="77">
        <v>495</v>
      </c>
      <c r="CP134" s="77">
        <v>520.5</v>
      </c>
      <c r="CQ134" s="77">
        <v>559.5</v>
      </c>
      <c r="DM134" s="77">
        <v>113.1</v>
      </c>
      <c r="DN134" s="77">
        <v>56.5</v>
      </c>
      <c r="DO134" s="77">
        <v>11</v>
      </c>
      <c r="DP134" s="77">
        <v>11</v>
      </c>
      <c r="DQ134" s="77">
        <v>11</v>
      </c>
      <c r="DR134" s="77">
        <v>11</v>
      </c>
      <c r="DS134" s="77">
        <v>11</v>
      </c>
      <c r="DT134" s="77">
        <v>11</v>
      </c>
      <c r="DU134" s="77">
        <v>11</v>
      </c>
      <c r="DV134" s="77">
        <v>11</v>
      </c>
      <c r="DW134" s="77">
        <v>11</v>
      </c>
      <c r="DX134" s="77">
        <v>11</v>
      </c>
      <c r="DY134" s="77">
        <v>11</v>
      </c>
      <c r="DZ134" s="77">
        <v>11</v>
      </c>
      <c r="EA134" s="77">
        <v>11</v>
      </c>
      <c r="EB134" s="77">
        <v>11</v>
      </c>
      <c r="EC134" s="77">
        <v>11</v>
      </c>
      <c r="ED134" s="77">
        <v>56.5</v>
      </c>
      <c r="EE134" s="77">
        <v>113.1</v>
      </c>
      <c r="FA134" s="77">
        <f t="shared" si="357"/>
        <v>-33081.75</v>
      </c>
      <c r="FB134" s="77">
        <f t="shared" si="361"/>
        <v>-6620.1470707699555</v>
      </c>
      <c r="FC134" s="77">
        <f t="shared" si="460"/>
        <v>1787.154256410043</v>
      </c>
      <c r="FD134" s="77">
        <f t="shared" si="461"/>
        <v>3234</v>
      </c>
      <c r="FE134" s="77">
        <f t="shared" si="462"/>
        <v>3234</v>
      </c>
      <c r="FF134" s="77">
        <f t="shared" si="463"/>
        <v>3234</v>
      </c>
      <c r="FG134" s="77">
        <f t="shared" si="464"/>
        <v>3234</v>
      </c>
      <c r="FH134" s="77">
        <f t="shared" si="465"/>
        <v>3234</v>
      </c>
      <c r="FI134" s="77">
        <f t="shared" si="466"/>
        <v>3234</v>
      </c>
      <c r="FJ134" s="77">
        <f t="shared" si="467"/>
        <v>3234</v>
      </c>
      <c r="FK134" s="77">
        <f t="shared" si="468"/>
        <v>3234</v>
      </c>
      <c r="FL134" s="77">
        <f t="shared" si="469"/>
        <v>3234</v>
      </c>
      <c r="FM134" s="77">
        <f t="shared" si="470"/>
        <v>3234</v>
      </c>
      <c r="FN134" s="77">
        <f t="shared" si="471"/>
        <v>3234</v>
      </c>
      <c r="FO134" s="77">
        <f t="shared" si="472"/>
        <v>3234</v>
      </c>
      <c r="FP134" s="77">
        <f t="shared" si="473"/>
        <v>3234</v>
      </c>
      <c r="FQ134" s="77">
        <f t="shared" si="474"/>
        <v>3234</v>
      </c>
      <c r="FR134" s="77">
        <f t="shared" si="475"/>
        <v>16526.25</v>
      </c>
      <c r="FS134" s="77">
        <f t="shared" si="475"/>
        <v>33081.75</v>
      </c>
      <c r="GO134" s="77">
        <f t="shared" si="275"/>
        <v>9080940.375</v>
      </c>
      <c r="GP134" s="77">
        <f t="shared" si="276"/>
        <v>1559044.6351663244</v>
      </c>
      <c r="GQ134" s="77">
        <f t="shared" si="277"/>
        <v>-375302.39384610904</v>
      </c>
      <c r="GR134" s="77">
        <f t="shared" si="278"/>
        <v>-582120</v>
      </c>
      <c r="GS134" s="77">
        <f t="shared" si="476"/>
        <v>-485100</v>
      </c>
      <c r="GT134" s="77">
        <f t="shared" si="477"/>
        <v>-388080</v>
      </c>
      <c r="GU134" s="77">
        <f t="shared" si="478"/>
        <v>-291060</v>
      </c>
      <c r="GV134" s="77">
        <f t="shared" si="479"/>
        <v>-194040</v>
      </c>
      <c r="GW134" s="77">
        <f t="shared" si="480"/>
        <v>-97020</v>
      </c>
      <c r="GX134" s="77">
        <f t="shared" si="481"/>
        <v>0</v>
      </c>
      <c r="GY134" s="77">
        <f t="shared" si="482"/>
        <v>97020</v>
      </c>
      <c r="GZ134" s="77">
        <f t="shared" si="483"/>
        <v>194040</v>
      </c>
      <c r="HA134" s="77">
        <f t="shared" si="484"/>
        <v>291060</v>
      </c>
      <c r="HB134" s="77">
        <f t="shared" si="485"/>
        <v>388080</v>
      </c>
      <c r="HC134" s="77">
        <f t="shared" si="486"/>
        <v>485100</v>
      </c>
      <c r="HD134" s="77">
        <f t="shared" si="487"/>
        <v>582120</v>
      </c>
      <c r="HE134" s="77">
        <f t="shared" si="488"/>
        <v>679140</v>
      </c>
      <c r="HF134" s="77">
        <f t="shared" si="489"/>
        <v>3891931.875</v>
      </c>
      <c r="HG134" s="77">
        <f t="shared" si="490"/>
        <v>9080940.375</v>
      </c>
      <c r="IC134" s="82">
        <v>142</v>
      </c>
    </row>
    <row r="135" spans="1:237" s="77" customFormat="1">
      <c r="A135" s="77">
        <v>134</v>
      </c>
      <c r="B135" s="69">
        <v>201</v>
      </c>
      <c r="C135" s="69" t="s">
        <v>236</v>
      </c>
      <c r="D135" s="70" t="s">
        <v>153</v>
      </c>
      <c r="E135" s="70">
        <v>3</v>
      </c>
      <c r="F135" s="70">
        <v>8.5217391304347828E-2</v>
      </c>
      <c r="G135" s="70"/>
      <c r="H135" s="70">
        <v>7.2916669999999999E-3</v>
      </c>
      <c r="I135" s="87">
        <v>7.2916669999999999E-3</v>
      </c>
      <c r="J135" s="71">
        <v>0.84210526315789469</v>
      </c>
      <c r="K135" s="72">
        <v>19</v>
      </c>
      <c r="L135" s="71">
        <v>8.967E-2</v>
      </c>
      <c r="M135" s="71">
        <v>8.967E-2</v>
      </c>
      <c r="N135" s="71">
        <v>0.34368750000000003</v>
      </c>
      <c r="O135" s="71">
        <v>1.1545353001942491E-2</v>
      </c>
      <c r="P135" s="71">
        <v>0</v>
      </c>
      <c r="Q135" s="73" t="s">
        <v>28</v>
      </c>
      <c r="R135" s="74">
        <v>0.17391304347826086</v>
      </c>
      <c r="S135" s="75">
        <f t="shared" si="455"/>
        <v>0.53896210555913238</v>
      </c>
      <c r="T135" s="59">
        <f t="shared" si="430"/>
        <v>1.1620884143714767</v>
      </c>
      <c r="U135" s="59">
        <f t="shared" si="431"/>
        <v>0.91524541673691884</v>
      </c>
      <c r="V135" s="59">
        <f t="shared" si="432"/>
        <v>1.1462846203573327</v>
      </c>
      <c r="W135" s="59">
        <f t="shared" si="433"/>
        <v>0.98640052355853525</v>
      </c>
      <c r="X135" s="59">
        <f t="shared" si="434"/>
        <v>1.2524341552499951</v>
      </c>
      <c r="Y135" s="86">
        <v>70560</v>
      </c>
      <c r="Z135" s="57">
        <f t="shared" si="435"/>
        <v>88371.753994439656</v>
      </c>
      <c r="AA135" s="57">
        <f t="shared" si="436"/>
        <v>69600.42094229025</v>
      </c>
      <c r="AB135" s="57">
        <f t="shared" si="437"/>
        <v>130145.15603251482</v>
      </c>
      <c r="AC135" s="57">
        <f t="shared" si="438"/>
        <v>0.25</v>
      </c>
      <c r="AD135" s="57">
        <f t="shared" si="439"/>
        <v>1.5</v>
      </c>
      <c r="AE135" s="57">
        <f t="shared" si="440"/>
        <v>0</v>
      </c>
      <c r="AF135" s="57">
        <f t="shared" si="441"/>
        <v>22795.071202034538</v>
      </c>
      <c r="AG135" s="57">
        <f t="shared" si="366"/>
        <v>46805.349740255719</v>
      </c>
      <c r="AH135" s="57">
        <f t="shared" si="442"/>
        <v>36793327.098080367</v>
      </c>
      <c r="AI135" s="57">
        <f t="shared" si="457"/>
        <v>25676347.797526743</v>
      </c>
      <c r="AJ135" s="77">
        <v>0</v>
      </c>
      <c r="AK135" s="77">
        <v>40</v>
      </c>
      <c r="AL135" s="78">
        <f t="shared" si="443"/>
        <v>3.4936759084672446</v>
      </c>
      <c r="AM135" s="57">
        <f t="shared" si="444"/>
        <v>0.99473684210526314</v>
      </c>
      <c r="AN135" s="57">
        <f t="shared" si="445"/>
        <v>0.79473684210526319</v>
      </c>
      <c r="AO135" s="77">
        <v>570</v>
      </c>
      <c r="AP135" s="79">
        <v>60</v>
      </c>
      <c r="AQ135" s="77">
        <f t="shared" si="446"/>
        <v>26.277766855138953</v>
      </c>
      <c r="AR135" s="57">
        <f t="shared" si="447"/>
        <v>450</v>
      </c>
      <c r="AS135" s="77">
        <f t="shared" si="448"/>
        <v>543.72223314486109</v>
      </c>
      <c r="AT135" s="77">
        <v>30</v>
      </c>
      <c r="AU135" s="77">
        <v>480</v>
      </c>
      <c r="AV135" s="77">
        <f t="shared" si="449"/>
        <v>13500</v>
      </c>
      <c r="AW135" s="77">
        <f t="shared" si="367"/>
        <v>7200</v>
      </c>
      <c r="AX135" s="77">
        <f t="shared" si="450"/>
        <v>17100</v>
      </c>
      <c r="AY135" s="77">
        <v>20700</v>
      </c>
      <c r="AZ135" s="77">
        <v>294</v>
      </c>
      <c r="BA135" s="77">
        <v>294</v>
      </c>
      <c r="BB135" s="77">
        <v>292.5</v>
      </c>
      <c r="BC135" s="77">
        <v>294</v>
      </c>
      <c r="BD135" s="77">
        <v>1.2200000000000001E-2</v>
      </c>
      <c r="BE135" s="77">
        <v>1.2200000000000001E-2</v>
      </c>
      <c r="BF135" s="77">
        <v>4.7E-2</v>
      </c>
      <c r="BH135" s="79">
        <v>30</v>
      </c>
      <c r="BI135" s="79">
        <f t="shared" si="458"/>
        <v>5.5154586024585797</v>
      </c>
      <c r="BJ135" s="79">
        <v>1</v>
      </c>
      <c r="BK135" s="57">
        <f t="shared" si="459"/>
        <v>5.5154586024585797</v>
      </c>
      <c r="BL135" s="57">
        <f t="shared" si="243"/>
        <v>164.70000000000002</v>
      </c>
      <c r="BM135" s="80">
        <f t="shared" si="363"/>
        <v>28.274333882308138</v>
      </c>
      <c r="BN135" s="80">
        <v>6</v>
      </c>
      <c r="BO135" s="57">
        <f t="shared" si="451"/>
        <v>169.64600329384882</v>
      </c>
      <c r="BP135" s="57">
        <f t="shared" si="452"/>
        <v>80881.842812413393</v>
      </c>
      <c r="BQ135" s="77">
        <f t="shared" si="453"/>
        <v>-6.8466761149466038E-9</v>
      </c>
      <c r="BR135" s="57">
        <f t="shared" si="454"/>
        <v>38823284.54995843</v>
      </c>
      <c r="BS135" s="57">
        <v>52.555533710277906</v>
      </c>
      <c r="BT135" s="57">
        <f t="shared" si="456"/>
        <v>16.563562396921384</v>
      </c>
      <c r="BU135" s="57"/>
      <c r="BV135" s="57">
        <v>3.3E-3</v>
      </c>
      <c r="BW135" s="57">
        <v>30000</v>
      </c>
      <c r="BX135" s="57">
        <v>200000</v>
      </c>
      <c r="BY135" s="77">
        <v>10.5</v>
      </c>
      <c r="BZ135" s="77">
        <v>49.5</v>
      </c>
      <c r="CA135" s="77">
        <v>75</v>
      </c>
      <c r="CB135" s="77">
        <v>105</v>
      </c>
      <c r="CC135" s="77">
        <v>135</v>
      </c>
      <c r="CD135" s="77">
        <v>165</v>
      </c>
      <c r="CE135" s="77">
        <v>195</v>
      </c>
      <c r="CF135" s="77">
        <v>225</v>
      </c>
      <c r="CG135" s="77">
        <v>255</v>
      </c>
      <c r="CH135" s="77">
        <v>285</v>
      </c>
      <c r="CI135" s="77">
        <v>315</v>
      </c>
      <c r="CJ135" s="77">
        <v>345</v>
      </c>
      <c r="CK135" s="77">
        <v>375</v>
      </c>
      <c r="CL135" s="77">
        <v>405</v>
      </c>
      <c r="CM135" s="77">
        <v>435</v>
      </c>
      <c r="CN135" s="77">
        <v>465</v>
      </c>
      <c r="CO135" s="77">
        <v>495</v>
      </c>
      <c r="CP135" s="77">
        <v>520.5</v>
      </c>
      <c r="CQ135" s="77">
        <v>559.5</v>
      </c>
      <c r="DM135" s="77">
        <v>113.1</v>
      </c>
      <c r="DN135" s="77">
        <v>56.5</v>
      </c>
      <c r="DO135" s="77">
        <v>11</v>
      </c>
      <c r="DP135" s="77">
        <v>11</v>
      </c>
      <c r="DQ135" s="77">
        <v>11</v>
      </c>
      <c r="DR135" s="77">
        <v>11</v>
      </c>
      <c r="DS135" s="77">
        <v>11</v>
      </c>
      <c r="DT135" s="77">
        <v>11</v>
      </c>
      <c r="DU135" s="77">
        <v>11</v>
      </c>
      <c r="DV135" s="77">
        <v>11</v>
      </c>
      <c r="DW135" s="77">
        <v>11</v>
      </c>
      <c r="DX135" s="77">
        <v>11</v>
      </c>
      <c r="DY135" s="77">
        <v>11</v>
      </c>
      <c r="DZ135" s="77">
        <v>11</v>
      </c>
      <c r="EA135" s="77">
        <v>11</v>
      </c>
      <c r="EB135" s="77">
        <v>11</v>
      </c>
      <c r="EC135" s="77">
        <v>11</v>
      </c>
      <c r="ED135" s="77">
        <v>56.5</v>
      </c>
      <c r="EE135" s="77">
        <v>113.1</v>
      </c>
      <c r="FA135" s="77">
        <f t="shared" si="357"/>
        <v>-33081.75</v>
      </c>
      <c r="FB135" s="77">
        <f t="shared" si="361"/>
        <v>-2168.0086569833566</v>
      </c>
      <c r="FC135" s="77">
        <f t="shared" si="460"/>
        <v>3100.4694227187738</v>
      </c>
      <c r="FD135" s="77">
        <f t="shared" si="461"/>
        <v>3234</v>
      </c>
      <c r="FE135" s="77">
        <f t="shared" si="462"/>
        <v>3234</v>
      </c>
      <c r="FF135" s="77">
        <f t="shared" si="463"/>
        <v>3234</v>
      </c>
      <c r="FG135" s="77">
        <f t="shared" si="464"/>
        <v>3234</v>
      </c>
      <c r="FH135" s="77">
        <f t="shared" si="465"/>
        <v>3234</v>
      </c>
      <c r="FI135" s="77">
        <f t="shared" si="466"/>
        <v>3234</v>
      </c>
      <c r="FJ135" s="77">
        <f t="shared" si="467"/>
        <v>3234</v>
      </c>
      <c r="FK135" s="77">
        <f t="shared" si="468"/>
        <v>3234</v>
      </c>
      <c r="FL135" s="77">
        <f t="shared" si="469"/>
        <v>3234</v>
      </c>
      <c r="FM135" s="77">
        <f t="shared" si="470"/>
        <v>3234</v>
      </c>
      <c r="FN135" s="77">
        <f t="shared" si="471"/>
        <v>3234</v>
      </c>
      <c r="FO135" s="77">
        <f t="shared" si="472"/>
        <v>3234</v>
      </c>
      <c r="FP135" s="77">
        <f t="shared" si="473"/>
        <v>3234</v>
      </c>
      <c r="FQ135" s="77">
        <f t="shared" si="474"/>
        <v>3234</v>
      </c>
      <c r="FR135" s="77">
        <f t="shared" si="475"/>
        <v>16526.25</v>
      </c>
      <c r="FS135" s="77">
        <f t="shared" si="475"/>
        <v>33081.75</v>
      </c>
      <c r="GO135" s="77">
        <f t="shared" si="275"/>
        <v>9080940.375</v>
      </c>
      <c r="GP135" s="77">
        <f t="shared" si="276"/>
        <v>510566.03871958045</v>
      </c>
      <c r="GQ135" s="77">
        <f t="shared" si="277"/>
        <v>-651098.57877094252</v>
      </c>
      <c r="GR135" s="77">
        <f t="shared" si="278"/>
        <v>-582120</v>
      </c>
      <c r="GS135" s="77">
        <f t="shared" si="476"/>
        <v>-485100</v>
      </c>
      <c r="GT135" s="77">
        <f t="shared" si="477"/>
        <v>-388080</v>
      </c>
      <c r="GU135" s="77">
        <f t="shared" si="478"/>
        <v>-291060</v>
      </c>
      <c r="GV135" s="77">
        <f t="shared" si="479"/>
        <v>-194040</v>
      </c>
      <c r="GW135" s="77">
        <f t="shared" si="480"/>
        <v>-97020</v>
      </c>
      <c r="GX135" s="77">
        <f t="shared" si="481"/>
        <v>0</v>
      </c>
      <c r="GY135" s="77">
        <f t="shared" si="482"/>
        <v>97020</v>
      </c>
      <c r="GZ135" s="77">
        <f t="shared" si="483"/>
        <v>194040</v>
      </c>
      <c r="HA135" s="77">
        <f t="shared" si="484"/>
        <v>291060</v>
      </c>
      <c r="HB135" s="77">
        <f t="shared" si="485"/>
        <v>388080</v>
      </c>
      <c r="HC135" s="77">
        <f t="shared" si="486"/>
        <v>485100</v>
      </c>
      <c r="HD135" s="77">
        <f t="shared" si="487"/>
        <v>582120</v>
      </c>
      <c r="HE135" s="77">
        <f t="shared" si="488"/>
        <v>679140</v>
      </c>
      <c r="HF135" s="77">
        <f t="shared" si="489"/>
        <v>3891931.875</v>
      </c>
      <c r="HG135" s="77">
        <f t="shared" si="490"/>
        <v>9080940.375</v>
      </c>
      <c r="IC135" s="82">
        <v>143</v>
      </c>
    </row>
    <row r="136" spans="1:237" s="77" customFormat="1">
      <c r="A136" s="77">
        <v>135</v>
      </c>
      <c r="B136" s="69">
        <v>202</v>
      </c>
      <c r="C136" s="69" t="s">
        <v>236</v>
      </c>
      <c r="D136" s="70" t="s">
        <v>154</v>
      </c>
      <c r="E136" s="70">
        <v>3</v>
      </c>
      <c r="F136" s="70">
        <v>8.0103115470464337E-2</v>
      </c>
      <c r="G136" s="70"/>
      <c r="H136" s="70">
        <v>8.3333330000000001E-3</v>
      </c>
      <c r="I136" s="87">
        <v>8.3333330000000001E-3</v>
      </c>
      <c r="J136" s="71">
        <v>0.84210526315789469</v>
      </c>
      <c r="K136" s="72">
        <v>19</v>
      </c>
      <c r="L136" s="71">
        <v>7.7804772234273317E-2</v>
      </c>
      <c r="M136" s="71">
        <v>7.7804772234273317E-2</v>
      </c>
      <c r="N136" s="71">
        <v>0.29821041214750543</v>
      </c>
      <c r="O136" s="71">
        <v>1.0017659871533614E-2</v>
      </c>
      <c r="P136" s="71">
        <v>0</v>
      </c>
      <c r="Q136" s="73" t="s">
        <v>28</v>
      </c>
      <c r="R136" s="74">
        <v>0.17391304347826086</v>
      </c>
      <c r="S136" s="75">
        <f t="shared" si="455"/>
        <v>0.54387596920827119</v>
      </c>
      <c r="T136" s="59">
        <f t="shared" si="430"/>
        <v>1.1337913111479256</v>
      </c>
      <c r="U136" s="59">
        <f t="shared" si="431"/>
        <v>0.89981274174548043</v>
      </c>
      <c r="V136" s="59">
        <f t="shared" si="432"/>
        <v>1.06367470770721</v>
      </c>
      <c r="W136" s="59">
        <f t="shared" si="433"/>
        <v>0.93815739920451058</v>
      </c>
      <c r="X136" s="59">
        <f t="shared" si="434"/>
        <v>1.182106741057996</v>
      </c>
      <c r="Y136" s="86">
        <v>76440</v>
      </c>
      <c r="Z136" s="57">
        <f t="shared" si="435"/>
        <v>90360.23928647321</v>
      </c>
      <c r="AA136" s="57">
        <f t="shared" si="436"/>
        <v>71712.751595192793</v>
      </c>
      <c r="AB136" s="57">
        <f t="shared" si="437"/>
        <v>141157.38449766915</v>
      </c>
      <c r="AC136" s="57">
        <f t="shared" si="438"/>
        <v>0.25</v>
      </c>
      <c r="AD136" s="57">
        <f t="shared" si="439"/>
        <v>1.5</v>
      </c>
      <c r="AE136" s="57">
        <f t="shared" si="440"/>
        <v>0</v>
      </c>
      <c r="AF136" s="57">
        <f t="shared" si="441"/>
        <v>24736.055302147841</v>
      </c>
      <c r="AG136" s="57">
        <f t="shared" si="366"/>
        <v>46976.696293044944</v>
      </c>
      <c r="AH136" s="57">
        <f t="shared" si="442"/>
        <v>41881656.116403528</v>
      </c>
      <c r="AI136" s="57">
        <f t="shared" si="457"/>
        <v>25873888.44247767</v>
      </c>
      <c r="AJ136" s="77">
        <v>0</v>
      </c>
      <c r="AK136" s="77">
        <v>46.1</v>
      </c>
      <c r="AL136" s="78">
        <f t="shared" si="443"/>
        <v>3.7773317478215116</v>
      </c>
      <c r="AM136" s="57">
        <f t="shared" si="444"/>
        <v>0.97868421052631571</v>
      </c>
      <c r="AN136" s="57">
        <f t="shared" si="445"/>
        <v>0.77868421052631576</v>
      </c>
      <c r="AO136" s="77">
        <v>570</v>
      </c>
      <c r="AP136" s="79">
        <v>60</v>
      </c>
      <c r="AQ136" s="77">
        <f t="shared" si="446"/>
        <v>24.287290748427861</v>
      </c>
      <c r="AR136" s="57">
        <f t="shared" si="447"/>
        <v>450</v>
      </c>
      <c r="AS136" s="77">
        <f t="shared" si="448"/>
        <v>545.71270925157216</v>
      </c>
      <c r="AT136" s="77">
        <v>30</v>
      </c>
      <c r="AU136" s="77">
        <v>480</v>
      </c>
      <c r="AV136" s="77">
        <f t="shared" si="449"/>
        <v>13500</v>
      </c>
      <c r="AW136" s="77">
        <f t="shared" si="367"/>
        <v>7200</v>
      </c>
      <c r="AX136" s="77">
        <f t="shared" si="450"/>
        <v>17100</v>
      </c>
      <c r="AY136" s="77">
        <v>20700</v>
      </c>
      <c r="AZ136" s="77">
        <v>294</v>
      </c>
      <c r="BA136" s="77">
        <v>294</v>
      </c>
      <c r="BB136" s="77">
        <v>292.5</v>
      </c>
      <c r="BC136" s="77">
        <v>294</v>
      </c>
      <c r="BD136" s="77">
        <v>1.2200000000000001E-2</v>
      </c>
      <c r="BE136" s="77">
        <v>1.2200000000000001E-2</v>
      </c>
      <c r="BF136" s="77">
        <v>4.7E-2</v>
      </c>
      <c r="BH136" s="79">
        <v>30</v>
      </c>
      <c r="BI136" s="79">
        <f t="shared" si="458"/>
        <v>5.5154586024585797</v>
      </c>
      <c r="BJ136" s="79">
        <v>1</v>
      </c>
      <c r="BK136" s="57">
        <f t="shared" si="459"/>
        <v>5.5154586024585797</v>
      </c>
      <c r="BL136" s="57">
        <f t="shared" si="243"/>
        <v>164.70000000000002</v>
      </c>
      <c r="BM136" s="80">
        <f t="shared" si="363"/>
        <v>28.274333882308138</v>
      </c>
      <c r="BN136" s="80">
        <v>6</v>
      </c>
      <c r="BO136" s="57">
        <f t="shared" si="451"/>
        <v>169.64600329384882</v>
      </c>
      <c r="BP136" s="57">
        <f t="shared" si="452"/>
        <v>81307.294657139137</v>
      </c>
      <c r="BQ136" s="77">
        <f t="shared" si="453"/>
        <v>-5.6752469390630722E-10</v>
      </c>
      <c r="BR136" s="57">
        <f t="shared" si="454"/>
        <v>39027501.435426787</v>
      </c>
      <c r="BS136" s="57">
        <v>48.574581496855721</v>
      </c>
      <c r="BT136" s="57">
        <f t="shared" si="456"/>
        <v>15.240717933140461</v>
      </c>
      <c r="BU136" s="57"/>
      <c r="BV136" s="57">
        <v>3.3E-3</v>
      </c>
      <c r="BW136" s="57">
        <v>30000</v>
      </c>
      <c r="BX136" s="57">
        <v>200000</v>
      </c>
      <c r="BY136" s="77">
        <v>10.5</v>
      </c>
      <c r="BZ136" s="77">
        <v>49.5</v>
      </c>
      <c r="CA136" s="77">
        <v>75</v>
      </c>
      <c r="CB136" s="77">
        <v>105</v>
      </c>
      <c r="CC136" s="77">
        <v>135</v>
      </c>
      <c r="CD136" s="77">
        <v>165</v>
      </c>
      <c r="CE136" s="77">
        <v>195</v>
      </c>
      <c r="CF136" s="77">
        <v>225</v>
      </c>
      <c r="CG136" s="77">
        <v>255</v>
      </c>
      <c r="CH136" s="77">
        <v>285</v>
      </c>
      <c r="CI136" s="77">
        <v>315</v>
      </c>
      <c r="CJ136" s="77">
        <v>345</v>
      </c>
      <c r="CK136" s="77">
        <v>375</v>
      </c>
      <c r="CL136" s="77">
        <v>405</v>
      </c>
      <c r="CM136" s="77">
        <v>435</v>
      </c>
      <c r="CN136" s="77">
        <v>465</v>
      </c>
      <c r="CO136" s="77">
        <v>495</v>
      </c>
      <c r="CP136" s="77">
        <v>520.5</v>
      </c>
      <c r="CQ136" s="77">
        <v>559.5</v>
      </c>
      <c r="DM136" s="77">
        <v>113.1</v>
      </c>
      <c r="DN136" s="77">
        <v>56.5</v>
      </c>
      <c r="DO136" s="77">
        <v>11</v>
      </c>
      <c r="DP136" s="77">
        <v>11</v>
      </c>
      <c r="DQ136" s="77">
        <v>11</v>
      </c>
      <c r="DR136" s="77">
        <v>11</v>
      </c>
      <c r="DS136" s="77">
        <v>11</v>
      </c>
      <c r="DT136" s="77">
        <v>11</v>
      </c>
      <c r="DU136" s="77">
        <v>11</v>
      </c>
      <c r="DV136" s="77">
        <v>11</v>
      </c>
      <c r="DW136" s="77">
        <v>11</v>
      </c>
      <c r="DX136" s="77">
        <v>11</v>
      </c>
      <c r="DY136" s="77">
        <v>11</v>
      </c>
      <c r="DZ136" s="77">
        <v>11</v>
      </c>
      <c r="EA136" s="77">
        <v>11</v>
      </c>
      <c r="EB136" s="77">
        <v>11</v>
      </c>
      <c r="EC136" s="77">
        <v>11</v>
      </c>
      <c r="ED136" s="77">
        <v>56.5</v>
      </c>
      <c r="EE136" s="77">
        <v>113.1</v>
      </c>
      <c r="FA136" s="77">
        <f t="shared" si="357"/>
        <v>-33081.75</v>
      </c>
      <c r="FB136" s="77">
        <f t="shared" si="361"/>
        <v>710.4303304081775</v>
      </c>
      <c r="FC136" s="77">
        <f t="shared" si="460"/>
        <v>3234</v>
      </c>
      <c r="FD136" s="77">
        <f t="shared" si="461"/>
        <v>3234</v>
      </c>
      <c r="FE136" s="77">
        <f t="shared" si="462"/>
        <v>3234</v>
      </c>
      <c r="FF136" s="77">
        <f t="shared" si="463"/>
        <v>3234</v>
      </c>
      <c r="FG136" s="77">
        <f t="shared" si="464"/>
        <v>3234</v>
      </c>
      <c r="FH136" s="77">
        <f t="shared" si="465"/>
        <v>3234</v>
      </c>
      <c r="FI136" s="77">
        <f t="shared" si="466"/>
        <v>3234</v>
      </c>
      <c r="FJ136" s="77">
        <f t="shared" si="467"/>
        <v>3234</v>
      </c>
      <c r="FK136" s="77">
        <f t="shared" si="468"/>
        <v>3234</v>
      </c>
      <c r="FL136" s="77">
        <f t="shared" si="469"/>
        <v>3234</v>
      </c>
      <c r="FM136" s="77">
        <f t="shared" si="470"/>
        <v>3234</v>
      </c>
      <c r="FN136" s="77">
        <f t="shared" si="471"/>
        <v>3234</v>
      </c>
      <c r="FO136" s="77">
        <f t="shared" si="472"/>
        <v>3234</v>
      </c>
      <c r="FP136" s="77">
        <f t="shared" si="473"/>
        <v>3234</v>
      </c>
      <c r="FQ136" s="77">
        <f t="shared" si="474"/>
        <v>3234</v>
      </c>
      <c r="FR136" s="77">
        <f t="shared" si="475"/>
        <v>16526.25</v>
      </c>
      <c r="FS136" s="77">
        <f t="shared" si="475"/>
        <v>33081.75</v>
      </c>
      <c r="GO136" s="77">
        <f t="shared" si="275"/>
        <v>9080940.375</v>
      </c>
      <c r="GP136" s="77">
        <f t="shared" si="276"/>
        <v>-167306.3428111258</v>
      </c>
      <c r="GQ136" s="77">
        <f t="shared" si="277"/>
        <v>-679140</v>
      </c>
      <c r="GR136" s="77">
        <f t="shared" si="278"/>
        <v>-582120</v>
      </c>
      <c r="GS136" s="77">
        <f t="shared" si="476"/>
        <v>-485100</v>
      </c>
      <c r="GT136" s="77">
        <f t="shared" si="477"/>
        <v>-388080</v>
      </c>
      <c r="GU136" s="77">
        <f t="shared" si="478"/>
        <v>-291060</v>
      </c>
      <c r="GV136" s="77">
        <f t="shared" si="479"/>
        <v>-194040</v>
      </c>
      <c r="GW136" s="77">
        <f t="shared" si="480"/>
        <v>-97020</v>
      </c>
      <c r="GX136" s="77">
        <f t="shared" si="481"/>
        <v>0</v>
      </c>
      <c r="GY136" s="77">
        <f t="shared" si="482"/>
        <v>97020</v>
      </c>
      <c r="GZ136" s="77">
        <f t="shared" si="483"/>
        <v>194040</v>
      </c>
      <c r="HA136" s="77">
        <f t="shared" si="484"/>
        <v>291060</v>
      </c>
      <c r="HB136" s="77">
        <f t="shared" si="485"/>
        <v>388080</v>
      </c>
      <c r="HC136" s="77">
        <f t="shared" si="486"/>
        <v>485100</v>
      </c>
      <c r="HD136" s="77">
        <f t="shared" si="487"/>
        <v>582120</v>
      </c>
      <c r="HE136" s="77">
        <f t="shared" si="488"/>
        <v>679140</v>
      </c>
      <c r="HF136" s="77">
        <f t="shared" si="489"/>
        <v>3891931.875</v>
      </c>
      <c r="HG136" s="77">
        <f t="shared" si="490"/>
        <v>9080940.375</v>
      </c>
      <c r="IC136" s="82">
        <v>144</v>
      </c>
    </row>
    <row r="137" spans="1:237" s="77" customFormat="1">
      <c r="A137" s="77">
        <v>136</v>
      </c>
      <c r="B137" s="69">
        <v>203</v>
      </c>
      <c r="C137" s="69" t="s">
        <v>236</v>
      </c>
      <c r="D137" s="70" t="s">
        <v>155</v>
      </c>
      <c r="E137" s="70">
        <v>3</v>
      </c>
      <c r="F137" s="70">
        <v>6.8677949472651462E-2</v>
      </c>
      <c r="G137" s="70"/>
      <c r="H137" s="70">
        <v>7.0833329999999998E-3</v>
      </c>
      <c r="I137" s="87">
        <v>7.0833329999999998E-3</v>
      </c>
      <c r="J137" s="71">
        <v>0.84210526315789469</v>
      </c>
      <c r="K137" s="72">
        <v>14.25</v>
      </c>
      <c r="L137" s="71">
        <v>5.9708609271523182E-2</v>
      </c>
      <c r="M137" s="71">
        <v>5.9708609271523182E-2</v>
      </c>
      <c r="N137" s="71">
        <v>0.30347682119205299</v>
      </c>
      <c r="O137" s="71">
        <v>1.0194572187145687E-2</v>
      </c>
      <c r="P137" s="71">
        <v>0</v>
      </c>
      <c r="Q137" s="73" t="s">
        <v>28</v>
      </c>
      <c r="R137" s="74">
        <v>0.14285714285714285</v>
      </c>
      <c r="S137" s="75">
        <f t="shared" si="455"/>
        <v>0.46223882538433897</v>
      </c>
      <c r="T137" s="59">
        <f t="shared" si="430"/>
        <v>1.0223633794036093</v>
      </c>
      <c r="U137" s="59">
        <f t="shared" si="431"/>
        <v>0.82227528613808931</v>
      </c>
      <c r="V137" s="59">
        <f t="shared" si="432"/>
        <v>1.0491713125079358</v>
      </c>
      <c r="W137" s="59">
        <f t="shared" si="433"/>
        <v>1.0262215310567606</v>
      </c>
      <c r="X137" s="59">
        <f t="shared" si="434"/>
        <v>1.2759368184777751</v>
      </c>
      <c r="Y137" s="86">
        <v>78400</v>
      </c>
      <c r="Z137" s="57">
        <f t="shared" si="435"/>
        <v>100033.44656865756</v>
      </c>
      <c r="AA137" s="57">
        <f t="shared" si="436"/>
        <v>80455.768034850029</v>
      </c>
      <c r="AB137" s="57">
        <f t="shared" si="437"/>
        <v>170100.57467327587</v>
      </c>
      <c r="AC137" s="57">
        <f t="shared" si="438"/>
        <v>0.25</v>
      </c>
      <c r="AD137" s="57">
        <f t="shared" si="439"/>
        <v>1.5</v>
      </c>
      <c r="AE137" s="57">
        <f t="shared" si="440"/>
        <v>0</v>
      </c>
      <c r="AF137" s="57">
        <f t="shared" si="441"/>
        <v>32893.094655729808</v>
      </c>
      <c r="AG137" s="57">
        <f t="shared" si="366"/>
        <v>47562.67337912022</v>
      </c>
      <c r="AH137" s="57">
        <f t="shared" si="442"/>
        <v>55396839.921714768</v>
      </c>
      <c r="AI137" s="57">
        <f t="shared" si="457"/>
        <v>26251435.921457652</v>
      </c>
      <c r="AJ137" s="77">
        <v>0</v>
      </c>
      <c r="AK137" s="77">
        <v>45.3</v>
      </c>
      <c r="AL137" s="78">
        <f t="shared" si="443"/>
        <v>3.7411371608844441</v>
      </c>
      <c r="AM137" s="57">
        <f t="shared" si="444"/>
        <v>0.98078947368421054</v>
      </c>
      <c r="AN137" s="57">
        <f t="shared" si="445"/>
        <v>0.78078947368421059</v>
      </c>
      <c r="AO137" s="77">
        <v>570</v>
      </c>
      <c r="AP137" s="79">
        <v>60</v>
      </c>
      <c r="AQ137" s="77">
        <f t="shared" si="446"/>
        <v>20.483014234876279</v>
      </c>
      <c r="AR137" s="57">
        <f t="shared" si="447"/>
        <v>450</v>
      </c>
      <c r="AS137" s="77">
        <f t="shared" si="448"/>
        <v>549.51698576512376</v>
      </c>
      <c r="AT137" s="77">
        <v>40</v>
      </c>
      <c r="AU137" s="77">
        <v>480</v>
      </c>
      <c r="AV137" s="77">
        <f t="shared" si="449"/>
        <v>18000</v>
      </c>
      <c r="AW137" s="77">
        <f t="shared" si="367"/>
        <v>7200</v>
      </c>
      <c r="AX137" s="77">
        <f t="shared" si="450"/>
        <v>22800</v>
      </c>
      <c r="AY137" s="77">
        <v>25200</v>
      </c>
      <c r="AZ137" s="77">
        <v>294</v>
      </c>
      <c r="BA137" s="77">
        <v>294</v>
      </c>
      <c r="BB137" s="77">
        <v>292.5</v>
      </c>
      <c r="BC137" s="77">
        <v>294</v>
      </c>
      <c r="BD137" s="77">
        <v>9.1999999999999998E-3</v>
      </c>
      <c r="BE137" s="77">
        <v>9.1999999999999998E-3</v>
      </c>
      <c r="BF137" s="77">
        <v>4.7E-2</v>
      </c>
      <c r="BH137" s="79">
        <v>30</v>
      </c>
      <c r="BI137" s="79">
        <f t="shared" si="458"/>
        <v>5.5154586024585797</v>
      </c>
      <c r="BJ137" s="79">
        <v>1</v>
      </c>
      <c r="BK137" s="57">
        <f t="shared" si="459"/>
        <v>5.5154586024585797</v>
      </c>
      <c r="BL137" s="57">
        <f t="shared" si="243"/>
        <v>165.6</v>
      </c>
      <c r="BM137" s="80">
        <f t="shared" si="363"/>
        <v>28.274333882308138</v>
      </c>
      <c r="BN137" s="80">
        <v>6</v>
      </c>
      <c r="BO137" s="57">
        <f t="shared" si="451"/>
        <v>169.64600329384882</v>
      </c>
      <c r="BP137" s="57">
        <f t="shared" si="452"/>
        <v>82255.030900622165</v>
      </c>
      <c r="BQ137" s="77">
        <f t="shared" si="453"/>
        <v>-1.5133991837501526E-9</v>
      </c>
      <c r="BR137" s="57">
        <f t="shared" si="454"/>
        <v>39482414.832298636</v>
      </c>
      <c r="BS137" s="57">
        <v>40.966028469752558</v>
      </c>
      <c r="BT137" s="57">
        <f t="shared" si="456"/>
        <v>8.7029727204718839</v>
      </c>
      <c r="BU137" s="57"/>
      <c r="BV137" s="57">
        <v>3.3E-3</v>
      </c>
      <c r="BW137" s="57">
        <v>30000</v>
      </c>
      <c r="BX137" s="57">
        <v>200000</v>
      </c>
      <c r="BY137" s="77">
        <v>10.5</v>
      </c>
      <c r="BZ137" s="77">
        <v>49.5</v>
      </c>
      <c r="CA137" s="77">
        <v>75</v>
      </c>
      <c r="CB137" s="77">
        <v>105</v>
      </c>
      <c r="CC137" s="77">
        <v>135</v>
      </c>
      <c r="CD137" s="77">
        <v>165</v>
      </c>
      <c r="CE137" s="77">
        <v>195</v>
      </c>
      <c r="CF137" s="77">
        <v>225</v>
      </c>
      <c r="CG137" s="77">
        <v>255</v>
      </c>
      <c r="CH137" s="77">
        <v>285</v>
      </c>
      <c r="CI137" s="77">
        <v>315</v>
      </c>
      <c r="CJ137" s="77">
        <v>345</v>
      </c>
      <c r="CK137" s="77">
        <v>375</v>
      </c>
      <c r="CL137" s="77">
        <v>405</v>
      </c>
      <c r="CM137" s="77">
        <v>435</v>
      </c>
      <c r="CN137" s="77">
        <v>465</v>
      </c>
      <c r="CO137" s="77">
        <v>495</v>
      </c>
      <c r="CP137" s="77">
        <v>520.5</v>
      </c>
      <c r="CQ137" s="77">
        <v>559.5</v>
      </c>
      <c r="DM137" s="77">
        <v>113.1</v>
      </c>
      <c r="DN137" s="77">
        <v>56.5</v>
      </c>
      <c r="DO137" s="77">
        <v>11</v>
      </c>
      <c r="DP137" s="77">
        <v>11</v>
      </c>
      <c r="DQ137" s="77">
        <v>11</v>
      </c>
      <c r="DR137" s="77">
        <v>11</v>
      </c>
      <c r="DS137" s="77">
        <v>11</v>
      </c>
      <c r="DT137" s="77">
        <v>11</v>
      </c>
      <c r="DU137" s="77">
        <v>11</v>
      </c>
      <c r="DV137" s="77">
        <v>11</v>
      </c>
      <c r="DW137" s="77">
        <v>11</v>
      </c>
      <c r="DX137" s="77">
        <v>11</v>
      </c>
      <c r="DY137" s="77">
        <v>11</v>
      </c>
      <c r="DZ137" s="77">
        <v>11</v>
      </c>
      <c r="EA137" s="77">
        <v>11</v>
      </c>
      <c r="EB137" s="77">
        <v>11</v>
      </c>
      <c r="EC137" s="77">
        <v>11</v>
      </c>
      <c r="ED137" s="77">
        <v>56.5</v>
      </c>
      <c r="EE137" s="77">
        <v>113.1</v>
      </c>
      <c r="FA137" s="77">
        <f t="shared" si="357"/>
        <v>-33081.75</v>
      </c>
      <c r="FB137" s="77">
        <f t="shared" si="361"/>
        <v>7768.1876972256396</v>
      </c>
      <c r="FC137" s="77">
        <f t="shared" si="460"/>
        <v>3234</v>
      </c>
      <c r="FD137" s="77">
        <f t="shared" si="461"/>
        <v>3234</v>
      </c>
      <c r="FE137" s="77">
        <f t="shared" si="462"/>
        <v>3234</v>
      </c>
      <c r="FF137" s="77">
        <f t="shared" si="463"/>
        <v>3234</v>
      </c>
      <c r="FG137" s="77">
        <f t="shared" si="464"/>
        <v>3234</v>
      </c>
      <c r="FH137" s="77">
        <f t="shared" si="465"/>
        <v>3234</v>
      </c>
      <c r="FI137" s="77">
        <f t="shared" si="466"/>
        <v>3234</v>
      </c>
      <c r="FJ137" s="77">
        <f t="shared" si="467"/>
        <v>3234</v>
      </c>
      <c r="FK137" s="77">
        <f t="shared" si="468"/>
        <v>3234</v>
      </c>
      <c r="FL137" s="77">
        <f t="shared" si="469"/>
        <v>3234</v>
      </c>
      <c r="FM137" s="77">
        <f t="shared" si="470"/>
        <v>3234</v>
      </c>
      <c r="FN137" s="77">
        <f t="shared" si="471"/>
        <v>3234</v>
      </c>
      <c r="FO137" s="77">
        <f t="shared" si="472"/>
        <v>3234</v>
      </c>
      <c r="FP137" s="77">
        <f t="shared" si="473"/>
        <v>3234</v>
      </c>
      <c r="FQ137" s="77">
        <f t="shared" si="474"/>
        <v>3234</v>
      </c>
      <c r="FR137" s="77">
        <f t="shared" si="475"/>
        <v>16526.25</v>
      </c>
      <c r="FS137" s="77">
        <f t="shared" si="475"/>
        <v>33081.75</v>
      </c>
      <c r="GO137" s="77">
        <f t="shared" si="275"/>
        <v>9080940.375</v>
      </c>
      <c r="GP137" s="77">
        <f t="shared" si="276"/>
        <v>-1829408.2026966382</v>
      </c>
      <c r="GQ137" s="77">
        <f t="shared" si="277"/>
        <v>-679140</v>
      </c>
      <c r="GR137" s="77">
        <f t="shared" si="278"/>
        <v>-582120</v>
      </c>
      <c r="GS137" s="77">
        <f t="shared" si="476"/>
        <v>-485100</v>
      </c>
      <c r="GT137" s="77">
        <f t="shared" si="477"/>
        <v>-388080</v>
      </c>
      <c r="GU137" s="77">
        <f t="shared" si="478"/>
        <v>-291060</v>
      </c>
      <c r="GV137" s="77">
        <f t="shared" si="479"/>
        <v>-194040</v>
      </c>
      <c r="GW137" s="77">
        <f t="shared" si="480"/>
        <v>-97020</v>
      </c>
      <c r="GX137" s="77">
        <f t="shared" si="481"/>
        <v>0</v>
      </c>
      <c r="GY137" s="77">
        <f t="shared" si="482"/>
        <v>97020</v>
      </c>
      <c r="GZ137" s="77">
        <f t="shared" si="483"/>
        <v>194040</v>
      </c>
      <c r="HA137" s="77">
        <f t="shared" si="484"/>
        <v>291060</v>
      </c>
      <c r="HB137" s="77">
        <f t="shared" si="485"/>
        <v>388080</v>
      </c>
      <c r="HC137" s="77">
        <f t="shared" si="486"/>
        <v>485100</v>
      </c>
      <c r="HD137" s="77">
        <f t="shared" si="487"/>
        <v>582120</v>
      </c>
      <c r="HE137" s="77">
        <f t="shared" si="488"/>
        <v>679140</v>
      </c>
      <c r="HF137" s="77">
        <f t="shared" si="489"/>
        <v>3891931.875</v>
      </c>
      <c r="HG137" s="77">
        <f t="shared" si="490"/>
        <v>9080940.375</v>
      </c>
      <c r="IC137" s="82">
        <v>145</v>
      </c>
    </row>
    <row r="138" spans="1:237" s="77" customFormat="1">
      <c r="A138" s="77">
        <v>137</v>
      </c>
      <c r="B138" s="69">
        <v>204</v>
      </c>
      <c r="C138" s="69" t="s">
        <v>236</v>
      </c>
      <c r="D138" s="70" t="s">
        <v>156</v>
      </c>
      <c r="E138" s="70">
        <v>3</v>
      </c>
      <c r="F138" s="70">
        <v>7.2287581699346404E-2</v>
      </c>
      <c r="G138" s="70"/>
      <c r="H138" s="70">
        <v>6.6666670000000003E-3</v>
      </c>
      <c r="I138" s="87">
        <v>6.6666670000000003E-3</v>
      </c>
      <c r="J138" s="71">
        <v>0.84210526315789469</v>
      </c>
      <c r="K138" s="72">
        <v>14.25</v>
      </c>
      <c r="L138" s="71">
        <v>6.3642352941176469E-2</v>
      </c>
      <c r="M138" s="71">
        <v>6.3642352941176469E-2</v>
      </c>
      <c r="N138" s="71">
        <v>0.32347058823529412</v>
      </c>
      <c r="O138" s="71">
        <v>1.086621459006352E-2</v>
      </c>
      <c r="P138" s="71">
        <v>0</v>
      </c>
      <c r="Q138" s="73" t="s">
        <v>28</v>
      </c>
      <c r="R138" s="74">
        <v>0.14285714285714285</v>
      </c>
      <c r="S138" s="75">
        <f t="shared" si="455"/>
        <v>0.47125737648066207</v>
      </c>
      <c r="T138" s="59">
        <f t="shared" si="430"/>
        <v>2.4364440864494039</v>
      </c>
      <c r="U138" s="59">
        <f t="shared" si="431"/>
        <v>1.9529385270925941</v>
      </c>
      <c r="V138" s="59">
        <f t="shared" si="432"/>
        <v>2.4929831324660858</v>
      </c>
      <c r="W138" s="59">
        <f t="shared" si="433"/>
        <v>1.0232055585971092</v>
      </c>
      <c r="X138" s="59">
        <f t="shared" si="434"/>
        <v>1.2765292393393839</v>
      </c>
      <c r="Y138" s="86">
        <v>77420</v>
      </c>
      <c r="Z138" s="57">
        <f t="shared" si="435"/>
        <v>98828.893709655109</v>
      </c>
      <c r="AA138" s="57">
        <f t="shared" si="436"/>
        <v>79216.574346588197</v>
      </c>
      <c r="AB138" s="57">
        <f t="shared" si="437"/>
        <v>163477.54834251411</v>
      </c>
      <c r="AC138" s="57">
        <f t="shared" si="438"/>
        <v>0.25</v>
      </c>
      <c r="AD138" s="57">
        <f t="shared" si="439"/>
        <v>1.5</v>
      </c>
      <c r="AE138" s="57">
        <f t="shared" si="440"/>
        <v>0</v>
      </c>
      <c r="AF138" s="57">
        <f t="shared" si="441"/>
        <v>31716.824558375582</v>
      </c>
      <c r="AG138" s="57">
        <f t="shared" si="366"/>
        <v>47499.749788212619</v>
      </c>
      <c r="AH138" s="57">
        <f t="shared" si="442"/>
        <v>52289935.875157483</v>
      </c>
      <c r="AI138" s="57">
        <f t="shared" si="457"/>
        <v>26179287.329249278</v>
      </c>
      <c r="AJ138" s="77">
        <v>0</v>
      </c>
      <c r="AK138" s="77">
        <v>42.5</v>
      </c>
      <c r="AL138" s="78">
        <f t="shared" si="443"/>
        <v>3.6121313248173386</v>
      </c>
      <c r="AM138" s="57">
        <f t="shared" si="444"/>
        <v>0.98815789473684212</v>
      </c>
      <c r="AN138" s="57">
        <f t="shared" si="445"/>
        <v>0.78815789473684217</v>
      </c>
      <c r="AO138" s="77">
        <v>570</v>
      </c>
      <c r="AP138" s="79">
        <v>60</v>
      </c>
      <c r="AQ138" s="77">
        <f t="shared" si="446"/>
        <v>21.210004110601695</v>
      </c>
      <c r="AR138" s="57">
        <f t="shared" si="447"/>
        <v>450</v>
      </c>
      <c r="AS138" s="77">
        <f t="shared" si="448"/>
        <v>548.78999588939826</v>
      </c>
      <c r="AT138" s="77">
        <v>40</v>
      </c>
      <c r="AU138" s="77">
        <v>480</v>
      </c>
      <c r="AV138" s="77">
        <f t="shared" si="449"/>
        <v>18000</v>
      </c>
      <c r="AW138" s="77">
        <f t="shared" si="367"/>
        <v>7200</v>
      </c>
      <c r="AX138" s="77">
        <f t="shared" si="450"/>
        <v>22800</v>
      </c>
      <c r="AY138" s="77">
        <v>25200</v>
      </c>
      <c r="AZ138" s="77">
        <v>294</v>
      </c>
      <c r="BA138" s="77">
        <v>294</v>
      </c>
      <c r="BB138" s="77">
        <v>292.5</v>
      </c>
      <c r="BC138" s="77">
        <v>294</v>
      </c>
      <c r="BD138" s="77">
        <v>9.1999999999999998E-3</v>
      </c>
      <c r="BE138" s="77">
        <v>9.1999999999999998E-3</v>
      </c>
      <c r="BF138" s="77">
        <v>4.7E-2</v>
      </c>
      <c r="BH138" s="79">
        <v>30</v>
      </c>
      <c r="BI138" s="79">
        <f t="shared" si="458"/>
        <v>5.5154586024585797</v>
      </c>
      <c r="BJ138" s="79">
        <v>1</v>
      </c>
      <c r="BK138" s="57">
        <f t="shared" si="459"/>
        <v>5.5154586024585797</v>
      </c>
      <c r="BL138" s="57">
        <f t="shared" si="243"/>
        <v>165.6</v>
      </c>
      <c r="BM138" s="80">
        <f t="shared" si="363"/>
        <v>28.274333882308138</v>
      </c>
      <c r="BN138" s="80">
        <v>6</v>
      </c>
      <c r="BO138" s="57">
        <f t="shared" si="451"/>
        <v>169.64600329384882</v>
      </c>
      <c r="BP138" s="57">
        <f t="shared" si="452"/>
        <v>193006.75411552438</v>
      </c>
      <c r="BQ138" s="77">
        <f t="shared" si="453"/>
        <v>4.4383341446518898E-9</v>
      </c>
      <c r="BR138" s="57">
        <v>92643241.975451708</v>
      </c>
      <c r="BS138" s="57">
        <v>42.420008221203389</v>
      </c>
      <c r="BT138" s="57">
        <f t="shared" si="456"/>
        <v>9.0277922550951128</v>
      </c>
      <c r="BU138" s="57"/>
      <c r="BV138" s="57">
        <v>3.3E-3</v>
      </c>
      <c r="BW138" s="57">
        <v>30000</v>
      </c>
      <c r="BX138" s="57">
        <v>200000</v>
      </c>
      <c r="BY138" s="77">
        <v>10.5</v>
      </c>
      <c r="BZ138" s="77">
        <v>49.5</v>
      </c>
      <c r="CA138" s="77">
        <v>75</v>
      </c>
      <c r="CB138" s="77">
        <v>105</v>
      </c>
      <c r="CC138" s="77">
        <v>135</v>
      </c>
      <c r="CD138" s="77">
        <v>165</v>
      </c>
      <c r="CE138" s="77">
        <v>195</v>
      </c>
      <c r="CF138" s="77">
        <v>225</v>
      </c>
      <c r="CG138" s="77">
        <v>255</v>
      </c>
      <c r="CH138" s="77">
        <v>285</v>
      </c>
      <c r="CI138" s="77">
        <v>315</v>
      </c>
      <c r="CJ138" s="77">
        <v>345</v>
      </c>
      <c r="CK138" s="77">
        <v>375</v>
      </c>
      <c r="CL138" s="77">
        <v>405</v>
      </c>
      <c r="CM138" s="77">
        <v>435</v>
      </c>
      <c r="CN138" s="77">
        <v>465</v>
      </c>
      <c r="CO138" s="77">
        <v>495</v>
      </c>
      <c r="CP138" s="77">
        <v>520.5</v>
      </c>
      <c r="CQ138" s="77">
        <v>559.5</v>
      </c>
      <c r="DM138" s="77">
        <v>113.1</v>
      </c>
      <c r="DN138" s="77">
        <v>56.5</v>
      </c>
      <c r="DO138" s="77">
        <v>11</v>
      </c>
      <c r="DP138" s="77">
        <v>11</v>
      </c>
      <c r="DQ138" s="77">
        <v>11</v>
      </c>
      <c r="DR138" s="77">
        <v>11</v>
      </c>
      <c r="DS138" s="77">
        <v>11</v>
      </c>
      <c r="DT138" s="77">
        <v>11</v>
      </c>
      <c r="DU138" s="77">
        <v>11</v>
      </c>
      <c r="DV138" s="77">
        <v>11</v>
      </c>
      <c r="DW138" s="77">
        <v>11</v>
      </c>
      <c r="DX138" s="77">
        <v>11</v>
      </c>
      <c r="DY138" s="77">
        <v>11</v>
      </c>
      <c r="DZ138" s="77">
        <v>11</v>
      </c>
      <c r="EA138" s="77">
        <v>11</v>
      </c>
      <c r="EB138" s="77">
        <v>11</v>
      </c>
      <c r="EC138" s="77">
        <v>11</v>
      </c>
      <c r="ED138" s="77">
        <v>56.5</v>
      </c>
      <c r="EE138" s="77">
        <v>113.1</v>
      </c>
      <c r="FA138" s="77">
        <f t="shared" si="357"/>
        <v>-33081.75</v>
      </c>
      <c r="FB138" s="77">
        <f t="shared" si="361"/>
        <v>6223.7822315970307</v>
      </c>
      <c r="FC138" s="77">
        <f t="shared" si="460"/>
        <v>3234</v>
      </c>
      <c r="FD138" s="77">
        <f t="shared" si="461"/>
        <v>3234</v>
      </c>
      <c r="FE138" s="77">
        <f t="shared" si="462"/>
        <v>3234</v>
      </c>
      <c r="FF138" s="77">
        <f t="shared" si="463"/>
        <v>3234</v>
      </c>
      <c r="FG138" s="77">
        <f t="shared" si="464"/>
        <v>3234</v>
      </c>
      <c r="FH138" s="77">
        <f t="shared" si="465"/>
        <v>3234</v>
      </c>
      <c r="FI138" s="77">
        <f t="shared" si="466"/>
        <v>3234</v>
      </c>
      <c r="FJ138" s="77">
        <f t="shared" si="467"/>
        <v>3234</v>
      </c>
      <c r="FK138" s="77">
        <f t="shared" si="468"/>
        <v>3234</v>
      </c>
      <c r="FL138" s="77">
        <f t="shared" si="469"/>
        <v>3234</v>
      </c>
      <c r="FM138" s="77">
        <f t="shared" si="470"/>
        <v>3234</v>
      </c>
      <c r="FN138" s="77">
        <f t="shared" si="471"/>
        <v>3234</v>
      </c>
      <c r="FO138" s="77">
        <f t="shared" si="472"/>
        <v>3234</v>
      </c>
      <c r="FP138" s="77">
        <f t="shared" si="473"/>
        <v>3234</v>
      </c>
      <c r="FQ138" s="77">
        <f t="shared" si="474"/>
        <v>3234</v>
      </c>
      <c r="FR138" s="77">
        <f t="shared" si="475"/>
        <v>16526.25</v>
      </c>
      <c r="FS138" s="77">
        <f t="shared" si="475"/>
        <v>33081.75</v>
      </c>
      <c r="GO138" s="77">
        <f t="shared" si="275"/>
        <v>9080940.375</v>
      </c>
      <c r="GP138" s="77">
        <f t="shared" si="276"/>
        <v>-1465700.7155411008</v>
      </c>
      <c r="GQ138" s="77">
        <f t="shared" si="277"/>
        <v>-679140</v>
      </c>
      <c r="GR138" s="77">
        <f t="shared" si="278"/>
        <v>-582120</v>
      </c>
      <c r="GS138" s="77">
        <f t="shared" si="476"/>
        <v>-485100</v>
      </c>
      <c r="GT138" s="77">
        <f t="shared" si="477"/>
        <v>-388080</v>
      </c>
      <c r="GU138" s="77">
        <f t="shared" si="478"/>
        <v>-291060</v>
      </c>
      <c r="GV138" s="77">
        <f t="shared" si="479"/>
        <v>-194040</v>
      </c>
      <c r="GW138" s="77">
        <f t="shared" si="480"/>
        <v>-97020</v>
      </c>
      <c r="GX138" s="77">
        <f t="shared" si="481"/>
        <v>0</v>
      </c>
      <c r="GY138" s="77">
        <f t="shared" si="482"/>
        <v>97020</v>
      </c>
      <c r="GZ138" s="77">
        <f t="shared" si="483"/>
        <v>194040</v>
      </c>
      <c r="HA138" s="77">
        <f t="shared" si="484"/>
        <v>291060</v>
      </c>
      <c r="HB138" s="77">
        <f t="shared" si="485"/>
        <v>388080</v>
      </c>
      <c r="HC138" s="77">
        <f t="shared" si="486"/>
        <v>485100</v>
      </c>
      <c r="HD138" s="77">
        <f t="shared" si="487"/>
        <v>582120</v>
      </c>
      <c r="HE138" s="77">
        <f t="shared" si="488"/>
        <v>679140</v>
      </c>
      <c r="HF138" s="77">
        <f t="shared" si="489"/>
        <v>3891931.875</v>
      </c>
      <c r="HG138" s="77">
        <f t="shared" si="490"/>
        <v>9080940.375</v>
      </c>
      <c r="IC138" s="82">
        <v>146</v>
      </c>
    </row>
    <row r="139" spans="1:237" s="77" customFormat="1">
      <c r="A139" s="77">
        <v>138</v>
      </c>
      <c r="B139" s="69">
        <v>208</v>
      </c>
      <c r="C139" s="69" t="s">
        <v>236</v>
      </c>
      <c r="D139" s="70" t="s">
        <v>157</v>
      </c>
      <c r="E139" s="70">
        <v>3</v>
      </c>
      <c r="F139" s="70">
        <v>0.11558889171398705</v>
      </c>
      <c r="G139" s="70"/>
      <c r="H139" s="70">
        <v>3.5416670000000001E-3</v>
      </c>
      <c r="I139" s="87">
        <v>3.5416670000000001E-3</v>
      </c>
      <c r="J139" s="71">
        <v>0.84210526315789469</v>
      </c>
      <c r="K139" s="72">
        <v>28.5</v>
      </c>
      <c r="L139" s="71">
        <v>0.1805711670480549</v>
      </c>
      <c r="M139" s="71">
        <v>0.1805711670480549</v>
      </c>
      <c r="N139" s="71">
        <v>0.31458810068649884</v>
      </c>
      <c r="O139" s="71">
        <v>1.1624611718202964E-2</v>
      </c>
      <c r="P139" s="71">
        <v>0</v>
      </c>
      <c r="Q139" s="73" t="s">
        <v>28</v>
      </c>
      <c r="R139" s="74">
        <v>0.22222222222222221</v>
      </c>
      <c r="S139" s="75">
        <f t="shared" si="455"/>
        <v>0.76411164465088732</v>
      </c>
      <c r="T139" s="59">
        <f t="shared" si="430"/>
        <v>2.3343230864467039</v>
      </c>
      <c r="U139" s="59">
        <f t="shared" si="431"/>
        <v>1.7740056745752786</v>
      </c>
      <c r="V139" s="59">
        <f t="shared" si="432"/>
        <v>2.3586307735409715</v>
      </c>
      <c r="W139" s="59">
        <f t="shared" si="433"/>
        <v>1.0104131631287032</v>
      </c>
      <c r="X139" s="59">
        <f t="shared" si="434"/>
        <v>1.3295508618402025</v>
      </c>
      <c r="Y139" s="86">
        <v>81830</v>
      </c>
      <c r="Z139" s="57">
        <f t="shared" si="435"/>
        <v>108797.14702438378</v>
      </c>
      <c r="AA139" s="57">
        <f t="shared" si="436"/>
        <v>82682.10913882179</v>
      </c>
      <c r="AB139" s="57">
        <f t="shared" si="437"/>
        <v>104895.20698941864</v>
      </c>
      <c r="AC139" s="57">
        <f t="shared" si="438"/>
        <v>0.25</v>
      </c>
      <c r="AD139" s="57">
        <f t="shared" si="439"/>
        <v>1.5</v>
      </c>
      <c r="AE139" s="57">
        <f t="shared" si="440"/>
        <v>0</v>
      </c>
      <c r="AF139" s="57">
        <f t="shared" si="441"/>
        <v>15592.327584317827</v>
      </c>
      <c r="AG139" s="57">
        <f t="shared" si="366"/>
        <v>67089.781554503963</v>
      </c>
      <c r="AH139" s="57">
        <f t="shared" si="442"/>
        <v>25898066.934985537</v>
      </c>
      <c r="AI139" s="57">
        <f t="shared" si="457"/>
        <v>24451632.419935409</v>
      </c>
      <c r="AJ139" s="77">
        <v>0</v>
      </c>
      <c r="AK139" s="77">
        <v>43.7</v>
      </c>
      <c r="AL139" s="78">
        <f t="shared" si="443"/>
        <v>3.6678740166948294</v>
      </c>
      <c r="AM139" s="57">
        <f t="shared" si="444"/>
        <v>0.98499999999999999</v>
      </c>
      <c r="AN139" s="57">
        <f t="shared" si="445"/>
        <v>0.78500000000000003</v>
      </c>
      <c r="AO139" s="77">
        <v>570</v>
      </c>
      <c r="AP139" s="79">
        <v>60</v>
      </c>
      <c r="AQ139" s="77">
        <f t="shared" si="446"/>
        <v>38.618349712012439</v>
      </c>
      <c r="AR139" s="57">
        <f t="shared" si="447"/>
        <v>450</v>
      </c>
      <c r="AS139" s="77">
        <f t="shared" si="448"/>
        <v>531.38165028798755</v>
      </c>
      <c r="AT139" s="77">
        <v>20</v>
      </c>
      <c r="AU139" s="77">
        <v>480</v>
      </c>
      <c r="AV139" s="77">
        <f t="shared" si="449"/>
        <v>9000</v>
      </c>
      <c r="AW139" s="77">
        <f t="shared" si="367"/>
        <v>7200</v>
      </c>
      <c r="AX139" s="77">
        <f t="shared" si="450"/>
        <v>11400</v>
      </c>
      <c r="AY139" s="77">
        <v>16200</v>
      </c>
      <c r="AZ139" s="77">
        <v>323.39999999999998</v>
      </c>
      <c r="BA139" s="77">
        <v>323.39999999999998</v>
      </c>
      <c r="BB139" s="77">
        <v>292.5</v>
      </c>
      <c r="BC139" s="77">
        <v>323.39999999999998</v>
      </c>
      <c r="BD139" s="77">
        <v>2.4400000000000002E-2</v>
      </c>
      <c r="BE139" s="77">
        <v>2.4400000000000002E-2</v>
      </c>
      <c r="BF139" s="77">
        <v>4.7E-2</v>
      </c>
      <c r="BH139" s="79">
        <v>30</v>
      </c>
      <c r="BI139" s="79">
        <f t="shared" si="458"/>
        <v>5.5154586024585797</v>
      </c>
      <c r="BJ139" s="79">
        <v>1</v>
      </c>
      <c r="BK139" s="57">
        <f t="shared" si="459"/>
        <v>5.5154586024585797</v>
      </c>
      <c r="BL139" s="57">
        <f t="shared" si="243"/>
        <v>219.60000000000002</v>
      </c>
      <c r="BM139" s="80">
        <f t="shared" si="363"/>
        <v>28.274333882308138</v>
      </c>
      <c r="BN139" s="80">
        <v>6</v>
      </c>
      <c r="BO139" s="57">
        <f t="shared" si="451"/>
        <v>169.64600329384882</v>
      </c>
      <c r="BP139" s="57">
        <f t="shared" si="452"/>
        <v>193006.75619885771</v>
      </c>
      <c r="BQ139" s="77">
        <f t="shared" si="453"/>
        <v>0</v>
      </c>
      <c r="BR139" s="57">
        <v>92643242.975451693</v>
      </c>
      <c r="BS139" s="57">
        <v>77.236699424024877</v>
      </c>
      <c r="BT139" s="57">
        <f t="shared" si="456"/>
        <v>51.823852965218194</v>
      </c>
      <c r="BU139" s="57"/>
      <c r="BV139" s="57">
        <v>3.3E-3</v>
      </c>
      <c r="BW139" s="57">
        <v>30000</v>
      </c>
      <c r="BX139" s="57">
        <v>200000</v>
      </c>
      <c r="BY139" s="77">
        <v>10.5</v>
      </c>
      <c r="BZ139" s="77">
        <v>49.5</v>
      </c>
      <c r="CA139" s="77">
        <v>60</v>
      </c>
      <c r="CB139" s="77">
        <f t="shared" ref="CB139:CB147" si="491">CA139+30*1</f>
        <v>90</v>
      </c>
      <c r="CC139" s="77">
        <f t="shared" ref="CC139:CC147" si="492">CA139+30*2</f>
        <v>120</v>
      </c>
      <c r="CD139" s="77">
        <f t="shared" ref="CD139:CD147" si="493">CA139+30*3</f>
        <v>150</v>
      </c>
      <c r="CE139" s="77">
        <f t="shared" ref="CE139:CE147" si="494">CA139+30*4</f>
        <v>180</v>
      </c>
      <c r="CF139" s="77">
        <f t="shared" ref="CF139:CF147" si="495">CA139+30*5</f>
        <v>210</v>
      </c>
      <c r="CG139" s="77">
        <f t="shared" ref="CG139:CG147" si="496">CA139+30*6</f>
        <v>240</v>
      </c>
      <c r="CH139" s="77">
        <f t="shared" ref="CH139:CH147" si="497">CA139+30*7</f>
        <v>270</v>
      </c>
      <c r="CI139" s="77">
        <f t="shared" ref="CI139:CI147" si="498">CA139+30*8</f>
        <v>300</v>
      </c>
      <c r="CJ139" s="77">
        <f t="shared" ref="CJ139:CJ147" si="499">CA139+30*9</f>
        <v>330</v>
      </c>
      <c r="CK139" s="77">
        <f t="shared" ref="CK139:CK147" si="500">CA139+30*10</f>
        <v>360</v>
      </c>
      <c r="CL139" s="77">
        <f t="shared" ref="CL139:CL147" si="501">CA139+30*11</f>
        <v>390</v>
      </c>
      <c r="CM139" s="77">
        <f t="shared" ref="CM139:CM147" si="502">CA139+30*12</f>
        <v>420</v>
      </c>
      <c r="CN139" s="77">
        <f t="shared" ref="CN139:CN147" si="503">CA139+30*13</f>
        <v>450</v>
      </c>
      <c r="CO139" s="77">
        <f t="shared" ref="CO139:CO147" si="504">CA139+30*14</f>
        <v>480</v>
      </c>
      <c r="CP139" s="77">
        <f t="shared" ref="CP139:CP147" si="505">CA139+30*15</f>
        <v>510</v>
      </c>
      <c r="CQ139" s="77">
        <f t="shared" ref="CQ139:CQ147" si="506">CP139+10.5</f>
        <v>520.5</v>
      </c>
      <c r="CR139" s="77">
        <f t="shared" ref="CR139:CR147" si="507">CQ139+39</f>
        <v>559.5</v>
      </c>
      <c r="DM139" s="77">
        <f t="shared" ref="DM139:DN147" si="508">PI()*6*6/4*3</f>
        <v>84.823001646924411</v>
      </c>
      <c r="DN139" s="77">
        <f t="shared" si="508"/>
        <v>84.823001646924411</v>
      </c>
      <c r="DO139" s="77">
        <f t="shared" ref="DO139:ED147" si="509">PI()*2.96*2.96/4*2</f>
        <v>13.762689096846167</v>
      </c>
      <c r="DP139" s="77">
        <f t="shared" si="509"/>
        <v>13.762689096846167</v>
      </c>
      <c r="DQ139" s="77">
        <f t="shared" si="509"/>
        <v>13.762689096846167</v>
      </c>
      <c r="DR139" s="77">
        <f t="shared" si="509"/>
        <v>13.762689096846167</v>
      </c>
      <c r="DS139" s="77">
        <f t="shared" si="509"/>
        <v>13.762689096846167</v>
      </c>
      <c r="DT139" s="77">
        <f t="shared" si="509"/>
        <v>13.762689096846167</v>
      </c>
      <c r="DU139" s="77">
        <f t="shared" si="509"/>
        <v>13.762689096846167</v>
      </c>
      <c r="DV139" s="77">
        <f t="shared" si="509"/>
        <v>13.762689096846167</v>
      </c>
      <c r="DW139" s="77">
        <f t="shared" si="509"/>
        <v>13.762689096846167</v>
      </c>
      <c r="DX139" s="77">
        <f t="shared" si="509"/>
        <v>13.762689096846167</v>
      </c>
      <c r="DY139" s="77">
        <f t="shared" si="509"/>
        <v>13.762689096846167</v>
      </c>
      <c r="DZ139" s="77">
        <f t="shared" si="509"/>
        <v>13.762689096846167</v>
      </c>
      <c r="EA139" s="77">
        <f t="shared" si="509"/>
        <v>13.762689096846167</v>
      </c>
      <c r="EB139" s="77">
        <f t="shared" si="509"/>
        <v>13.762689096846167</v>
      </c>
      <c r="EC139" s="77">
        <f t="shared" si="509"/>
        <v>13.762689096846167</v>
      </c>
      <c r="ED139" s="77">
        <f t="shared" si="509"/>
        <v>13.762689096846167</v>
      </c>
      <c r="EE139" s="77">
        <f t="shared" ref="EE139:EF147" si="510">PI()*6*6/4*3</f>
        <v>84.823001646924411</v>
      </c>
      <c r="EF139" s="77">
        <f t="shared" si="510"/>
        <v>84.823001646924411</v>
      </c>
      <c r="FA139" s="77">
        <f t="shared" si="357"/>
        <v>-24810.727981725391</v>
      </c>
      <c r="FB139" s="77">
        <f t="shared" si="361"/>
        <v>-20104.285633508589</v>
      </c>
      <c r="FC139" s="77">
        <f t="shared" si="460"/>
        <v>-2027.1114951631721</v>
      </c>
      <c r="FD139" s="77">
        <f t="shared" si="461"/>
        <v>1501.020159214477</v>
      </c>
      <c r="FE139" s="77">
        <f t="shared" si="462"/>
        <v>4450.8536539200495</v>
      </c>
      <c r="FF139" s="77">
        <f t="shared" si="463"/>
        <v>4450.8536539200495</v>
      </c>
      <c r="FG139" s="77">
        <f t="shared" si="464"/>
        <v>4450.8536539200495</v>
      </c>
      <c r="FH139" s="77">
        <f t="shared" si="465"/>
        <v>4450.8536539200495</v>
      </c>
      <c r="FI139" s="77">
        <f t="shared" si="466"/>
        <v>4450.8536539200495</v>
      </c>
      <c r="FJ139" s="77">
        <f t="shared" si="467"/>
        <v>4450.8536539200495</v>
      </c>
      <c r="FK139" s="77">
        <f t="shared" si="468"/>
        <v>4450.8536539200495</v>
      </c>
      <c r="FL139" s="77">
        <f t="shared" si="469"/>
        <v>4450.8536539200495</v>
      </c>
      <c r="FM139" s="77">
        <f t="shared" si="470"/>
        <v>4450.8536539200495</v>
      </c>
      <c r="FN139" s="77">
        <f t="shared" si="471"/>
        <v>4450.8536539200495</v>
      </c>
      <c r="FO139" s="77">
        <f t="shared" si="472"/>
        <v>4450.8536539200495</v>
      </c>
      <c r="FP139" s="77">
        <f t="shared" si="473"/>
        <v>4450.8536539200495</v>
      </c>
      <c r="FQ139" s="77">
        <f t="shared" si="474"/>
        <v>4450.8536539200495</v>
      </c>
      <c r="FR139" s="77">
        <f t="shared" ref="FR139:FR155" si="511">IF(ABS(-$BV139*($BS139-CP139)/$BS139*$BX139)&gt;$BA139,$BA139*SIGN(-($BS139-CP139)),-$BV139*($BS139-CP139)/$BS139*$BX139)*ED139</f>
        <v>4450.8536539200495</v>
      </c>
      <c r="FS139" s="77">
        <f t="shared" ref="FS139:FS147" si="512">IF(ABS(-$BV139*($BS139-CQ139)/$BS139*$BX139)&gt;$BB139,$BB139*SIGN(-($BS139-CQ139)),-$BV139*($BS139-CQ139)/$BS139*$BX139)*EE139</f>
        <v>24810.727981725391</v>
      </c>
      <c r="FT139" s="77">
        <f t="shared" ref="FT139:FT147" si="513">IF(ABS(-$BV139*($BS139-CR139)/$BS139*$BX139)&gt;$BB139,$BB139*SIGN(-($BS139-CR139)),-$BV139*($BS139-CR139)/$BS139*$BX139)*EF139</f>
        <v>24810.727981725391</v>
      </c>
      <c r="GO139" s="77">
        <f t="shared" si="275"/>
        <v>6810544.8309836201</v>
      </c>
      <c r="GP139" s="77">
        <f t="shared" si="276"/>
        <v>4734559.2666912731</v>
      </c>
      <c r="GQ139" s="77">
        <f t="shared" si="277"/>
        <v>456100.08641171374</v>
      </c>
      <c r="GR139" s="77">
        <f t="shared" si="278"/>
        <v>-292698.93104682298</v>
      </c>
      <c r="GS139" s="77">
        <f t="shared" si="476"/>
        <v>-734390.85289680818</v>
      </c>
      <c r="GT139" s="77">
        <f t="shared" si="477"/>
        <v>-600865.24327920668</v>
      </c>
      <c r="GU139" s="77">
        <f t="shared" si="478"/>
        <v>-467339.63366160518</v>
      </c>
      <c r="GV139" s="77">
        <f t="shared" si="479"/>
        <v>-333814.02404400369</v>
      </c>
      <c r="GW139" s="77">
        <f t="shared" si="480"/>
        <v>-200288.41442640222</v>
      </c>
      <c r="GX139" s="77">
        <f t="shared" si="481"/>
        <v>-66762.804808800749</v>
      </c>
      <c r="GY139" s="77">
        <f t="shared" si="482"/>
        <v>66762.804808800749</v>
      </c>
      <c r="GZ139" s="77">
        <f t="shared" si="483"/>
        <v>200288.41442640222</v>
      </c>
      <c r="HA139" s="77">
        <f t="shared" si="484"/>
        <v>333814.02404400369</v>
      </c>
      <c r="HB139" s="77">
        <f t="shared" si="485"/>
        <v>467339.63366160518</v>
      </c>
      <c r="HC139" s="77">
        <f t="shared" si="486"/>
        <v>600865.24327920668</v>
      </c>
      <c r="HD139" s="77">
        <f t="shared" si="487"/>
        <v>734390.85289680818</v>
      </c>
      <c r="HE139" s="77">
        <f t="shared" si="488"/>
        <v>867916.46251440968</v>
      </c>
      <c r="HF139" s="77">
        <f t="shared" si="489"/>
        <v>1001442.0721320112</v>
      </c>
      <c r="HG139" s="77">
        <f t="shared" si="490"/>
        <v>5842926.4396963296</v>
      </c>
      <c r="HH139" s="77">
        <f t="shared" ref="HH139:HH155" si="514">FT139*(CR139-0.5*$AO139)</f>
        <v>6810544.8309836201</v>
      </c>
      <c r="IC139" s="77">
        <v>147</v>
      </c>
    </row>
    <row r="140" spans="1:237" s="82" customFormat="1">
      <c r="A140" s="77">
        <v>139</v>
      </c>
      <c r="B140" s="69">
        <v>209</v>
      </c>
      <c r="C140" s="69" t="s">
        <v>236</v>
      </c>
      <c r="D140" s="70" t="s">
        <v>158</v>
      </c>
      <c r="E140" s="70">
        <v>3</v>
      </c>
      <c r="F140" s="70">
        <v>0.10748333755167468</v>
      </c>
      <c r="G140" s="70"/>
      <c r="H140" s="70">
        <v>3.5416670000000001E-3</v>
      </c>
      <c r="I140" s="87">
        <v>3.5416670000000001E-3</v>
      </c>
      <c r="J140" s="71">
        <v>0.84210526315789469</v>
      </c>
      <c r="K140" s="72">
        <v>28.5</v>
      </c>
      <c r="L140" s="71">
        <v>0.17974851936218678</v>
      </c>
      <c r="M140" s="71">
        <v>0.17974851936218678</v>
      </c>
      <c r="N140" s="71">
        <v>0.31315489749430525</v>
      </c>
      <c r="O140" s="71">
        <v>1.1571652211514113E-2</v>
      </c>
      <c r="P140" s="71">
        <v>0</v>
      </c>
      <c r="Q140" s="73" t="s">
        <v>28</v>
      </c>
      <c r="R140" s="74">
        <v>0.22222222222222221</v>
      </c>
      <c r="S140" s="75">
        <f t="shared" si="455"/>
        <v>0.71215315675053625</v>
      </c>
      <c r="T140" s="59">
        <f t="shared" si="430"/>
        <v>2.3331696886616871</v>
      </c>
      <c r="U140" s="59">
        <f t="shared" si="431"/>
        <v>1.7733037961773586</v>
      </c>
      <c r="V140" s="59">
        <f t="shared" si="432"/>
        <v>2.5249445091861724</v>
      </c>
      <c r="W140" s="59">
        <f t="shared" si="433"/>
        <v>1.08219497341168</v>
      </c>
      <c r="X140" s="59">
        <f t="shared" si="434"/>
        <v>1.4238646049419712</v>
      </c>
      <c r="Y140" s="86">
        <v>76440</v>
      </c>
      <c r="Z140" s="57">
        <f t="shared" si="435"/>
        <v>108840.21040176429</v>
      </c>
      <c r="AA140" s="57">
        <f t="shared" si="436"/>
        <v>82722.983767588827</v>
      </c>
      <c r="AB140" s="57">
        <f t="shared" si="437"/>
        <v>105116.54614923218</v>
      </c>
      <c r="AC140" s="57">
        <f t="shared" si="438"/>
        <v>0.25</v>
      </c>
      <c r="AD140" s="57">
        <f t="shared" si="439"/>
        <v>1.5</v>
      </c>
      <c r="AE140" s="57">
        <f t="shared" si="440"/>
        <v>0</v>
      </c>
      <c r="AF140" s="57">
        <f t="shared" si="441"/>
        <v>15631.850597920849</v>
      </c>
      <c r="AG140" s="57">
        <f t="shared" si="366"/>
        <v>67091.13316966797</v>
      </c>
      <c r="AH140" s="57">
        <f t="shared" si="442"/>
        <v>26003247.295814656</v>
      </c>
      <c r="AI140" s="57">
        <f t="shared" si="457"/>
        <v>24452694.855816793</v>
      </c>
      <c r="AJ140" s="77">
        <v>0</v>
      </c>
      <c r="AK140" s="77">
        <v>43.9</v>
      </c>
      <c r="AL140" s="78">
        <f t="shared" si="443"/>
        <v>3.6770971652014484</v>
      </c>
      <c r="AM140" s="57">
        <f t="shared" si="444"/>
        <v>0.98447368421052628</v>
      </c>
      <c r="AN140" s="57">
        <f t="shared" si="445"/>
        <v>0.78447368421052632</v>
      </c>
      <c r="AO140" s="77">
        <v>570</v>
      </c>
      <c r="AP140" s="79">
        <v>60</v>
      </c>
      <c r="AQ140" s="77">
        <f t="shared" si="446"/>
        <v>38.607644303830106</v>
      </c>
      <c r="AR140" s="57">
        <f t="shared" si="447"/>
        <v>450</v>
      </c>
      <c r="AS140" s="77">
        <f t="shared" si="448"/>
        <v>531.39235569616994</v>
      </c>
      <c r="AT140" s="77">
        <v>20</v>
      </c>
      <c r="AU140" s="77">
        <v>480</v>
      </c>
      <c r="AV140" s="77">
        <f t="shared" si="449"/>
        <v>9000</v>
      </c>
      <c r="AW140" s="77">
        <f t="shared" si="367"/>
        <v>7200</v>
      </c>
      <c r="AX140" s="77">
        <f t="shared" si="450"/>
        <v>11400</v>
      </c>
      <c r="AY140" s="77">
        <v>16200</v>
      </c>
      <c r="AZ140" s="77">
        <v>323.39999999999998</v>
      </c>
      <c r="BA140" s="77">
        <v>323.39999999999998</v>
      </c>
      <c r="BB140" s="77">
        <v>292.5</v>
      </c>
      <c r="BC140" s="77">
        <v>323.39999999999998</v>
      </c>
      <c r="BD140" s="77">
        <v>2.4400000000000002E-2</v>
      </c>
      <c r="BE140" s="77">
        <v>2.4400000000000002E-2</v>
      </c>
      <c r="BF140" s="77">
        <v>4.7E-2</v>
      </c>
      <c r="BG140" s="77"/>
      <c r="BH140" s="79">
        <v>30</v>
      </c>
      <c r="BI140" s="79">
        <f t="shared" si="458"/>
        <v>5.5154586024585797</v>
      </c>
      <c r="BJ140" s="79">
        <v>1</v>
      </c>
      <c r="BK140" s="57">
        <f t="shared" si="459"/>
        <v>5.5154586024585797</v>
      </c>
      <c r="BL140" s="57">
        <f t="shared" si="243"/>
        <v>219.60000000000002</v>
      </c>
      <c r="BM140" s="80">
        <f t="shared" si="363"/>
        <v>28.274333882308138</v>
      </c>
      <c r="BN140" s="80">
        <v>6</v>
      </c>
      <c r="BO140" s="57">
        <f t="shared" si="451"/>
        <v>169.64600329384882</v>
      </c>
      <c r="BP140" s="57">
        <f t="shared" si="452"/>
        <v>193006.75828219103</v>
      </c>
      <c r="BQ140" s="77">
        <f t="shared" si="453"/>
        <v>0</v>
      </c>
      <c r="BR140" s="57">
        <v>92643243.975451693</v>
      </c>
      <c r="BS140" s="57">
        <v>77.215288607660213</v>
      </c>
      <c r="BT140" s="57">
        <f t="shared" si="456"/>
        <v>51.68782664377369</v>
      </c>
      <c r="BU140" s="57"/>
      <c r="BV140" s="57">
        <v>3.3E-3</v>
      </c>
      <c r="BW140" s="57">
        <v>30000</v>
      </c>
      <c r="BX140" s="57">
        <v>200000</v>
      </c>
      <c r="BY140" s="77">
        <v>10.5</v>
      </c>
      <c r="BZ140" s="77">
        <v>49.5</v>
      </c>
      <c r="CA140" s="77">
        <v>61</v>
      </c>
      <c r="CB140" s="77">
        <f t="shared" si="491"/>
        <v>91</v>
      </c>
      <c r="CC140" s="77">
        <f t="shared" si="492"/>
        <v>121</v>
      </c>
      <c r="CD140" s="77">
        <f t="shared" si="493"/>
        <v>151</v>
      </c>
      <c r="CE140" s="77">
        <f t="shared" si="494"/>
        <v>181</v>
      </c>
      <c r="CF140" s="77">
        <f t="shared" si="495"/>
        <v>211</v>
      </c>
      <c r="CG140" s="77">
        <f t="shared" si="496"/>
        <v>241</v>
      </c>
      <c r="CH140" s="77">
        <f t="shared" si="497"/>
        <v>271</v>
      </c>
      <c r="CI140" s="77">
        <f t="shared" si="498"/>
        <v>301</v>
      </c>
      <c r="CJ140" s="77">
        <f t="shared" si="499"/>
        <v>331</v>
      </c>
      <c r="CK140" s="77">
        <f t="shared" si="500"/>
        <v>361</v>
      </c>
      <c r="CL140" s="77">
        <f t="shared" si="501"/>
        <v>391</v>
      </c>
      <c r="CM140" s="77">
        <f t="shared" si="502"/>
        <v>421</v>
      </c>
      <c r="CN140" s="77">
        <f t="shared" si="503"/>
        <v>451</v>
      </c>
      <c r="CO140" s="77">
        <f t="shared" si="504"/>
        <v>481</v>
      </c>
      <c r="CP140" s="77">
        <f t="shared" si="505"/>
        <v>511</v>
      </c>
      <c r="CQ140" s="77">
        <f t="shared" si="506"/>
        <v>521.5</v>
      </c>
      <c r="CR140" s="77">
        <f t="shared" si="507"/>
        <v>560.5</v>
      </c>
      <c r="CS140" s="77"/>
      <c r="CT140" s="77"/>
      <c r="CU140" s="77"/>
      <c r="CV140" s="77"/>
      <c r="CW140" s="77"/>
      <c r="CX140" s="77"/>
      <c r="CY140" s="77"/>
      <c r="CZ140" s="77"/>
      <c r="DA140" s="77"/>
      <c r="DB140" s="77"/>
      <c r="DC140" s="77"/>
      <c r="DD140" s="77"/>
      <c r="DE140" s="77"/>
      <c r="DF140" s="77"/>
      <c r="DG140" s="77"/>
      <c r="DH140" s="77"/>
      <c r="DI140" s="77"/>
      <c r="DJ140" s="77"/>
      <c r="DK140" s="77"/>
      <c r="DL140" s="77"/>
      <c r="DM140" s="77">
        <f t="shared" si="508"/>
        <v>84.823001646924411</v>
      </c>
      <c r="DN140" s="77">
        <f t="shared" si="508"/>
        <v>84.823001646924411</v>
      </c>
      <c r="DO140" s="77">
        <f t="shared" si="509"/>
        <v>13.762689096846167</v>
      </c>
      <c r="DP140" s="77">
        <f t="shared" si="509"/>
        <v>13.762689096846167</v>
      </c>
      <c r="DQ140" s="77">
        <f t="shared" si="509"/>
        <v>13.762689096846167</v>
      </c>
      <c r="DR140" s="77">
        <f t="shared" si="509"/>
        <v>13.762689096846167</v>
      </c>
      <c r="DS140" s="77">
        <f t="shared" si="509"/>
        <v>13.762689096846167</v>
      </c>
      <c r="DT140" s="77">
        <f t="shared" si="509"/>
        <v>13.762689096846167</v>
      </c>
      <c r="DU140" s="77">
        <f t="shared" si="509"/>
        <v>13.762689096846167</v>
      </c>
      <c r="DV140" s="77">
        <f t="shared" si="509"/>
        <v>13.762689096846167</v>
      </c>
      <c r="DW140" s="77">
        <f t="shared" si="509"/>
        <v>13.762689096846167</v>
      </c>
      <c r="DX140" s="77">
        <f t="shared" si="509"/>
        <v>13.762689096846167</v>
      </c>
      <c r="DY140" s="77">
        <f t="shared" si="509"/>
        <v>13.762689096846167</v>
      </c>
      <c r="DZ140" s="77">
        <f t="shared" si="509"/>
        <v>13.762689096846167</v>
      </c>
      <c r="EA140" s="77">
        <f t="shared" si="509"/>
        <v>13.762689096846167</v>
      </c>
      <c r="EB140" s="77">
        <f t="shared" si="509"/>
        <v>13.762689096846167</v>
      </c>
      <c r="EC140" s="77">
        <f t="shared" si="509"/>
        <v>13.762689096846167</v>
      </c>
      <c r="ED140" s="77">
        <f t="shared" si="509"/>
        <v>13.762689096846167</v>
      </c>
      <c r="EE140" s="77">
        <f t="shared" si="510"/>
        <v>84.823001646924411</v>
      </c>
      <c r="EF140" s="77">
        <f t="shared" si="510"/>
        <v>84.823001646924411</v>
      </c>
      <c r="EG140" s="77"/>
      <c r="EH140" s="77"/>
      <c r="EI140" s="77"/>
      <c r="EJ140" s="77"/>
      <c r="EK140" s="77"/>
      <c r="EL140" s="77"/>
      <c r="EM140" s="77"/>
      <c r="EN140" s="77"/>
      <c r="EO140" s="77"/>
      <c r="EP140" s="77"/>
      <c r="EQ140" s="77"/>
      <c r="ER140" s="77"/>
      <c r="ES140" s="77"/>
      <c r="ET140" s="77"/>
      <c r="EU140" s="77"/>
      <c r="EV140" s="77"/>
      <c r="EW140" s="77"/>
      <c r="EX140" s="77"/>
      <c r="EY140" s="77"/>
      <c r="EZ140" s="77"/>
      <c r="FA140" s="77">
        <f t="shared" si="357"/>
        <v>-24810.727981725391</v>
      </c>
      <c r="FB140" s="77">
        <f t="shared" si="361"/>
        <v>-20094.336872637869</v>
      </c>
      <c r="FC140" s="77">
        <f t="shared" si="460"/>
        <v>-1907.5178845148416</v>
      </c>
      <c r="FD140" s="77">
        <f t="shared" si="461"/>
        <v>1621.5920758475982</v>
      </c>
      <c r="FE140" s="77">
        <f t="shared" si="462"/>
        <v>4450.8536539200495</v>
      </c>
      <c r="FF140" s="77">
        <f t="shared" si="463"/>
        <v>4450.8536539200495</v>
      </c>
      <c r="FG140" s="77">
        <f t="shared" si="464"/>
        <v>4450.8536539200495</v>
      </c>
      <c r="FH140" s="77">
        <f t="shared" si="465"/>
        <v>4450.8536539200495</v>
      </c>
      <c r="FI140" s="77">
        <f t="shared" si="466"/>
        <v>4450.8536539200495</v>
      </c>
      <c r="FJ140" s="77">
        <f t="shared" si="467"/>
        <v>4450.8536539200495</v>
      </c>
      <c r="FK140" s="77">
        <f t="shared" si="468"/>
        <v>4450.8536539200495</v>
      </c>
      <c r="FL140" s="77">
        <f t="shared" si="469"/>
        <v>4450.8536539200495</v>
      </c>
      <c r="FM140" s="77">
        <f t="shared" si="470"/>
        <v>4450.8536539200495</v>
      </c>
      <c r="FN140" s="77">
        <f t="shared" si="471"/>
        <v>4450.8536539200495</v>
      </c>
      <c r="FO140" s="77">
        <f t="shared" si="472"/>
        <v>4450.8536539200495</v>
      </c>
      <c r="FP140" s="77">
        <f t="shared" si="473"/>
        <v>4450.8536539200495</v>
      </c>
      <c r="FQ140" s="77">
        <f t="shared" si="474"/>
        <v>4450.8536539200495</v>
      </c>
      <c r="FR140" s="77">
        <f t="shared" si="511"/>
        <v>4450.8536539200495</v>
      </c>
      <c r="FS140" s="77">
        <f t="shared" si="512"/>
        <v>24810.727981725391</v>
      </c>
      <c r="FT140" s="77">
        <f t="shared" si="513"/>
        <v>24810.727981725391</v>
      </c>
      <c r="FU140" s="77"/>
      <c r="FV140" s="77"/>
      <c r="FW140" s="77"/>
      <c r="FX140" s="77"/>
      <c r="FY140" s="77"/>
      <c r="FZ140" s="77"/>
      <c r="GA140" s="77"/>
      <c r="GB140" s="77"/>
      <c r="GC140" s="77"/>
      <c r="GD140" s="77"/>
      <c r="GE140" s="77"/>
      <c r="GF140" s="77"/>
      <c r="GG140" s="77"/>
      <c r="GH140" s="77"/>
      <c r="GI140" s="77"/>
      <c r="GJ140" s="77"/>
      <c r="GK140" s="77"/>
      <c r="GL140" s="77"/>
      <c r="GM140" s="77"/>
      <c r="GN140" s="77"/>
      <c r="GO140" s="77">
        <f t="shared" si="275"/>
        <v>6810544.8309836201</v>
      </c>
      <c r="GP140" s="77">
        <f t="shared" si="276"/>
        <v>4732216.3335062182</v>
      </c>
      <c r="GQ140" s="77">
        <f t="shared" si="277"/>
        <v>427284.00613132451</v>
      </c>
      <c r="GR140" s="77">
        <f t="shared" si="278"/>
        <v>-314588.86271443404</v>
      </c>
      <c r="GS140" s="77">
        <f t="shared" si="476"/>
        <v>-729939.99924288807</v>
      </c>
      <c r="GT140" s="77">
        <f t="shared" si="477"/>
        <v>-596414.38962528668</v>
      </c>
      <c r="GU140" s="77">
        <f t="shared" si="478"/>
        <v>-462888.78000768513</v>
      </c>
      <c r="GV140" s="77">
        <f t="shared" si="479"/>
        <v>-329363.17039008369</v>
      </c>
      <c r="GW140" s="77">
        <f t="shared" si="480"/>
        <v>-195837.56077248219</v>
      </c>
      <c r="GX140" s="77">
        <f t="shared" si="481"/>
        <v>-62311.951154880691</v>
      </c>
      <c r="GY140" s="77">
        <f t="shared" si="482"/>
        <v>71213.658462720792</v>
      </c>
      <c r="GZ140" s="77">
        <f t="shared" si="483"/>
        <v>204739.26808032228</v>
      </c>
      <c r="HA140" s="77">
        <f t="shared" si="484"/>
        <v>338264.87769792374</v>
      </c>
      <c r="HB140" s="77">
        <f t="shared" si="485"/>
        <v>471790.48731552524</v>
      </c>
      <c r="HC140" s="77">
        <f t="shared" si="486"/>
        <v>605316.09693312668</v>
      </c>
      <c r="HD140" s="77">
        <f t="shared" si="487"/>
        <v>738841.70655072818</v>
      </c>
      <c r="HE140" s="77">
        <f t="shared" si="488"/>
        <v>872367.31616832968</v>
      </c>
      <c r="HF140" s="77">
        <f t="shared" si="489"/>
        <v>1005892.9257859312</v>
      </c>
      <c r="HG140" s="77">
        <f t="shared" si="490"/>
        <v>5867737.1676780554</v>
      </c>
      <c r="HH140" s="77">
        <f t="shared" si="514"/>
        <v>6835355.5589653449</v>
      </c>
      <c r="HI140" s="77"/>
      <c r="HJ140" s="77"/>
      <c r="HK140" s="77"/>
      <c r="HL140" s="77"/>
      <c r="HM140" s="77"/>
      <c r="HN140" s="77"/>
      <c r="HO140" s="77"/>
      <c r="HP140" s="77"/>
      <c r="HQ140" s="77"/>
      <c r="HR140" s="77"/>
      <c r="HS140" s="77"/>
      <c r="HT140" s="77"/>
      <c r="HU140" s="77"/>
      <c r="HV140" s="77"/>
      <c r="HW140" s="77"/>
      <c r="HX140" s="77"/>
      <c r="HY140" s="77"/>
      <c r="HZ140" s="77"/>
      <c r="IA140" s="77"/>
      <c r="IB140" s="77"/>
      <c r="IC140" s="77">
        <v>148</v>
      </c>
    </row>
    <row r="141" spans="1:237" s="77" customFormat="1">
      <c r="A141" s="77">
        <v>140</v>
      </c>
      <c r="B141" s="69">
        <v>210</v>
      </c>
      <c r="C141" s="69" t="s">
        <v>236</v>
      </c>
      <c r="D141" s="70" t="s">
        <v>159</v>
      </c>
      <c r="E141" s="70">
        <v>3</v>
      </c>
      <c r="F141" s="70">
        <v>0.10931811338315402</v>
      </c>
      <c r="G141" s="70"/>
      <c r="H141" s="70">
        <v>3.5416670000000001E-3</v>
      </c>
      <c r="I141" s="87">
        <v>3.5416670000000001E-3</v>
      </c>
      <c r="J141" s="71">
        <v>0.84210526315789469</v>
      </c>
      <c r="K141" s="72">
        <v>28.5</v>
      </c>
      <c r="L141" s="71">
        <v>0.17496585365853656</v>
      </c>
      <c r="M141" s="71">
        <v>0.17496585365853656</v>
      </c>
      <c r="N141" s="71">
        <v>0.30482261640798225</v>
      </c>
      <c r="O141" s="71">
        <v>1.1263759026285356E-2</v>
      </c>
      <c r="P141" s="71">
        <v>0</v>
      </c>
      <c r="Q141" s="73" t="s">
        <v>28</v>
      </c>
      <c r="R141" s="74">
        <v>0.22222222222222221</v>
      </c>
      <c r="S141" s="75">
        <f t="shared" si="455"/>
        <v>0.73414255502981884</v>
      </c>
      <c r="T141" s="59">
        <f t="shared" si="430"/>
        <v>2.3247193593779776</v>
      </c>
      <c r="U141" s="59">
        <f t="shared" si="431"/>
        <v>1.7691370591980016</v>
      </c>
      <c r="V141" s="59">
        <f t="shared" si="432"/>
        <v>2.4165113354892243</v>
      </c>
      <c r="W141" s="59">
        <f t="shared" si="433"/>
        <v>1.0394851859175842</v>
      </c>
      <c r="X141" s="59">
        <f t="shared" si="434"/>
        <v>1.3659265815078767</v>
      </c>
      <c r="Y141" s="86">
        <v>79870</v>
      </c>
      <c r="Z141" s="57">
        <f t="shared" si="435"/>
        <v>109096.55606503412</v>
      </c>
      <c r="AA141" s="57">
        <f t="shared" si="436"/>
        <v>83023.681799237456</v>
      </c>
      <c r="AB141" s="57">
        <f t="shared" si="437"/>
        <v>106555.29754676827</v>
      </c>
      <c r="AC141" s="57">
        <f t="shared" si="438"/>
        <v>0.25</v>
      </c>
      <c r="AD141" s="57">
        <f t="shared" si="439"/>
        <v>1.5</v>
      </c>
      <c r="AE141" s="57">
        <f t="shared" si="440"/>
        <v>0</v>
      </c>
      <c r="AF141" s="57">
        <f t="shared" si="441"/>
        <v>15878.27116594341</v>
      </c>
      <c r="AG141" s="57">
        <f t="shared" si="366"/>
        <v>67145.410633294043</v>
      </c>
      <c r="AH141" s="57">
        <f t="shared" si="442"/>
        <v>26651183.215272047</v>
      </c>
      <c r="AI141" s="57">
        <f t="shared" si="457"/>
        <v>24495359.607176721</v>
      </c>
      <c r="AJ141" s="77">
        <v>0</v>
      </c>
      <c r="AK141" s="77">
        <v>45.1</v>
      </c>
      <c r="AL141" s="78">
        <f t="shared" si="443"/>
        <v>3.7320436782759168</v>
      </c>
      <c r="AM141" s="57">
        <f t="shared" si="444"/>
        <v>0.98131578947368414</v>
      </c>
      <c r="AN141" s="57">
        <f t="shared" si="445"/>
        <v>0.78131578947368419</v>
      </c>
      <c r="AO141" s="77">
        <v>570</v>
      </c>
      <c r="AP141" s="79">
        <v>60</v>
      </c>
      <c r="AQ141" s="77">
        <f t="shared" si="446"/>
        <v>38.177742051552876</v>
      </c>
      <c r="AR141" s="57">
        <f t="shared" si="447"/>
        <v>450</v>
      </c>
      <c r="AS141" s="77">
        <f t="shared" si="448"/>
        <v>531.82225794844715</v>
      </c>
      <c r="AT141" s="77">
        <v>20</v>
      </c>
      <c r="AU141" s="77">
        <v>480</v>
      </c>
      <c r="AV141" s="77">
        <f t="shared" si="449"/>
        <v>9000</v>
      </c>
      <c r="AW141" s="77">
        <f t="shared" si="367"/>
        <v>7200</v>
      </c>
      <c r="AX141" s="77">
        <f t="shared" si="450"/>
        <v>11400</v>
      </c>
      <c r="AY141" s="77">
        <v>16200</v>
      </c>
      <c r="AZ141" s="77">
        <v>323.39999999999998</v>
      </c>
      <c r="BA141" s="77">
        <v>323.39999999999998</v>
      </c>
      <c r="BB141" s="77">
        <v>292.5</v>
      </c>
      <c r="BC141" s="77">
        <v>323.39999999999998</v>
      </c>
      <c r="BD141" s="77">
        <v>2.4400000000000002E-2</v>
      </c>
      <c r="BE141" s="77">
        <v>2.4400000000000002E-2</v>
      </c>
      <c r="BF141" s="77">
        <v>4.7E-2</v>
      </c>
      <c r="BH141" s="79">
        <v>30</v>
      </c>
      <c r="BI141" s="79">
        <f t="shared" si="458"/>
        <v>5.5154586024585797</v>
      </c>
      <c r="BJ141" s="79">
        <v>1</v>
      </c>
      <c r="BK141" s="57">
        <f t="shared" si="459"/>
        <v>5.5154586024585797</v>
      </c>
      <c r="BL141" s="57">
        <f t="shared" si="243"/>
        <v>219.60000000000002</v>
      </c>
      <c r="BM141" s="80">
        <f t="shared" si="363"/>
        <v>28.274333882308138</v>
      </c>
      <c r="BN141" s="80">
        <v>6</v>
      </c>
      <c r="BO141" s="57">
        <f t="shared" si="451"/>
        <v>169.64600329384882</v>
      </c>
      <c r="BP141" s="57">
        <f t="shared" si="452"/>
        <v>193006.76036552436</v>
      </c>
      <c r="BQ141" s="77">
        <f t="shared" si="453"/>
        <v>0</v>
      </c>
      <c r="BR141" s="57">
        <v>92643244.975451693</v>
      </c>
      <c r="BS141" s="57">
        <v>76.355484103105752</v>
      </c>
      <c r="BT141" s="57">
        <f t="shared" si="456"/>
        <v>50.90503391092907</v>
      </c>
      <c r="BU141" s="57"/>
      <c r="BV141" s="57">
        <v>3.3E-3</v>
      </c>
      <c r="BW141" s="57">
        <v>30000</v>
      </c>
      <c r="BX141" s="57">
        <v>200000</v>
      </c>
      <c r="BY141" s="77">
        <v>10.5</v>
      </c>
      <c r="BZ141" s="77">
        <v>49.5</v>
      </c>
      <c r="CA141" s="77">
        <v>62</v>
      </c>
      <c r="CB141" s="77">
        <f t="shared" si="491"/>
        <v>92</v>
      </c>
      <c r="CC141" s="77">
        <f t="shared" si="492"/>
        <v>122</v>
      </c>
      <c r="CD141" s="77">
        <f t="shared" si="493"/>
        <v>152</v>
      </c>
      <c r="CE141" s="77">
        <f t="shared" si="494"/>
        <v>182</v>
      </c>
      <c r="CF141" s="77">
        <f t="shared" si="495"/>
        <v>212</v>
      </c>
      <c r="CG141" s="77">
        <f t="shared" si="496"/>
        <v>242</v>
      </c>
      <c r="CH141" s="77">
        <f t="shared" si="497"/>
        <v>272</v>
      </c>
      <c r="CI141" s="77">
        <f t="shared" si="498"/>
        <v>302</v>
      </c>
      <c r="CJ141" s="77">
        <f t="shared" si="499"/>
        <v>332</v>
      </c>
      <c r="CK141" s="77">
        <f t="shared" si="500"/>
        <v>362</v>
      </c>
      <c r="CL141" s="77">
        <f t="shared" si="501"/>
        <v>392</v>
      </c>
      <c r="CM141" s="77">
        <f t="shared" si="502"/>
        <v>422</v>
      </c>
      <c r="CN141" s="77">
        <f t="shared" si="503"/>
        <v>452</v>
      </c>
      <c r="CO141" s="77">
        <f t="shared" si="504"/>
        <v>482</v>
      </c>
      <c r="CP141" s="77">
        <f t="shared" si="505"/>
        <v>512</v>
      </c>
      <c r="CQ141" s="77">
        <f t="shared" si="506"/>
        <v>522.5</v>
      </c>
      <c r="CR141" s="77">
        <f t="shared" si="507"/>
        <v>561.5</v>
      </c>
      <c r="DM141" s="77">
        <f t="shared" si="508"/>
        <v>84.823001646924411</v>
      </c>
      <c r="DN141" s="77">
        <f t="shared" si="508"/>
        <v>84.823001646924411</v>
      </c>
      <c r="DO141" s="77">
        <f t="shared" si="509"/>
        <v>13.762689096846167</v>
      </c>
      <c r="DP141" s="77">
        <f t="shared" si="509"/>
        <v>13.762689096846167</v>
      </c>
      <c r="DQ141" s="77">
        <f t="shared" si="509"/>
        <v>13.762689096846167</v>
      </c>
      <c r="DR141" s="77">
        <f t="shared" si="509"/>
        <v>13.762689096846167</v>
      </c>
      <c r="DS141" s="77">
        <f t="shared" si="509"/>
        <v>13.762689096846167</v>
      </c>
      <c r="DT141" s="77">
        <f t="shared" si="509"/>
        <v>13.762689096846167</v>
      </c>
      <c r="DU141" s="77">
        <f t="shared" si="509"/>
        <v>13.762689096846167</v>
      </c>
      <c r="DV141" s="77">
        <f t="shared" si="509"/>
        <v>13.762689096846167</v>
      </c>
      <c r="DW141" s="77">
        <f t="shared" si="509"/>
        <v>13.762689096846167</v>
      </c>
      <c r="DX141" s="77">
        <f t="shared" si="509"/>
        <v>13.762689096846167</v>
      </c>
      <c r="DY141" s="77">
        <f t="shared" si="509"/>
        <v>13.762689096846167</v>
      </c>
      <c r="DZ141" s="77">
        <f t="shared" si="509"/>
        <v>13.762689096846167</v>
      </c>
      <c r="EA141" s="77">
        <f t="shared" si="509"/>
        <v>13.762689096846167</v>
      </c>
      <c r="EB141" s="77">
        <f t="shared" si="509"/>
        <v>13.762689096846167</v>
      </c>
      <c r="EC141" s="77">
        <f t="shared" si="509"/>
        <v>13.762689096846167</v>
      </c>
      <c r="ED141" s="77">
        <f t="shared" si="509"/>
        <v>13.762689096846167</v>
      </c>
      <c r="EE141" s="77">
        <f t="shared" si="510"/>
        <v>84.823001646924411</v>
      </c>
      <c r="EF141" s="77">
        <f t="shared" si="510"/>
        <v>84.823001646924411</v>
      </c>
      <c r="FA141" s="77">
        <f t="shared" si="357"/>
        <v>-24810.727981725391</v>
      </c>
      <c r="FB141" s="77">
        <f t="shared" si="361"/>
        <v>-19690.208861648269</v>
      </c>
      <c r="FC141" s="77">
        <f t="shared" si="460"/>
        <v>-1707.7521560091723</v>
      </c>
      <c r="FD141" s="77">
        <f t="shared" si="461"/>
        <v>1861.0975123340363</v>
      </c>
      <c r="FE141" s="77">
        <f t="shared" si="462"/>
        <v>4450.8536539200495</v>
      </c>
      <c r="FF141" s="77">
        <f t="shared" si="463"/>
        <v>4450.8536539200495</v>
      </c>
      <c r="FG141" s="77">
        <f t="shared" si="464"/>
        <v>4450.8536539200495</v>
      </c>
      <c r="FH141" s="77">
        <f t="shared" si="465"/>
        <v>4450.8536539200495</v>
      </c>
      <c r="FI141" s="77">
        <f t="shared" si="466"/>
        <v>4450.8536539200495</v>
      </c>
      <c r="FJ141" s="77">
        <f t="shared" si="467"/>
        <v>4450.8536539200495</v>
      </c>
      <c r="FK141" s="77">
        <f t="shared" si="468"/>
        <v>4450.8536539200495</v>
      </c>
      <c r="FL141" s="77">
        <f t="shared" si="469"/>
        <v>4450.8536539200495</v>
      </c>
      <c r="FM141" s="77">
        <f t="shared" si="470"/>
        <v>4450.8536539200495</v>
      </c>
      <c r="FN141" s="77">
        <f t="shared" si="471"/>
        <v>4450.8536539200495</v>
      </c>
      <c r="FO141" s="77">
        <f t="shared" si="472"/>
        <v>4450.8536539200495</v>
      </c>
      <c r="FP141" s="77">
        <f t="shared" si="473"/>
        <v>4450.8536539200495</v>
      </c>
      <c r="FQ141" s="77">
        <f t="shared" si="474"/>
        <v>4450.8536539200495</v>
      </c>
      <c r="FR141" s="77">
        <f t="shared" si="511"/>
        <v>4450.8536539200495</v>
      </c>
      <c r="FS141" s="77">
        <f t="shared" si="512"/>
        <v>24810.727981725391</v>
      </c>
      <c r="FT141" s="77">
        <f t="shared" si="513"/>
        <v>24810.727981725391</v>
      </c>
      <c r="GO141" s="77">
        <f t="shared" si="275"/>
        <v>6810544.8309836201</v>
      </c>
      <c r="GP141" s="77">
        <f t="shared" si="276"/>
        <v>4637044.1869181674</v>
      </c>
      <c r="GQ141" s="77">
        <f t="shared" si="277"/>
        <v>380828.7307900454</v>
      </c>
      <c r="GR141" s="77">
        <f t="shared" si="278"/>
        <v>-359191.819880469</v>
      </c>
      <c r="GS141" s="77">
        <f t="shared" si="476"/>
        <v>-725489.14558896807</v>
      </c>
      <c r="GT141" s="77">
        <f t="shared" si="477"/>
        <v>-591963.53597136657</v>
      </c>
      <c r="GU141" s="77">
        <f t="shared" si="478"/>
        <v>-458437.92635376513</v>
      </c>
      <c r="GV141" s="77">
        <f t="shared" si="479"/>
        <v>-324912.31673616363</v>
      </c>
      <c r="GW141" s="77">
        <f t="shared" si="480"/>
        <v>-191386.70711856213</v>
      </c>
      <c r="GX141" s="77">
        <f t="shared" si="481"/>
        <v>-57861.097500960641</v>
      </c>
      <c r="GY141" s="77">
        <f t="shared" si="482"/>
        <v>75664.512116640835</v>
      </c>
      <c r="GZ141" s="77">
        <f t="shared" si="483"/>
        <v>209190.12173424233</v>
      </c>
      <c r="HA141" s="77">
        <f t="shared" si="484"/>
        <v>342715.7313518438</v>
      </c>
      <c r="HB141" s="77">
        <f t="shared" si="485"/>
        <v>476241.3409694453</v>
      </c>
      <c r="HC141" s="77">
        <f t="shared" si="486"/>
        <v>609766.9505870468</v>
      </c>
      <c r="HD141" s="77">
        <f t="shared" si="487"/>
        <v>743292.5602046483</v>
      </c>
      <c r="HE141" s="77">
        <f t="shared" si="488"/>
        <v>876818.16982224979</v>
      </c>
      <c r="HF141" s="77">
        <f t="shared" si="489"/>
        <v>1010343.7794398513</v>
      </c>
      <c r="HG141" s="77">
        <f t="shared" si="490"/>
        <v>5892547.8956597801</v>
      </c>
      <c r="HH141" s="77">
        <f t="shared" si="514"/>
        <v>6860166.2869470706</v>
      </c>
      <c r="IC141" s="77">
        <v>149</v>
      </c>
    </row>
    <row r="142" spans="1:237" s="77" customFormat="1">
      <c r="A142" s="77">
        <v>141</v>
      </c>
      <c r="B142" s="69">
        <v>211</v>
      </c>
      <c r="C142" s="69" t="s">
        <v>236</v>
      </c>
      <c r="D142" s="70" t="s">
        <v>160</v>
      </c>
      <c r="E142" s="70">
        <v>3</v>
      </c>
      <c r="F142" s="70">
        <v>7.9252591031943653E-2</v>
      </c>
      <c r="G142" s="70"/>
      <c r="H142" s="70">
        <v>5.416667E-3</v>
      </c>
      <c r="I142" s="87">
        <v>5.416667E-3</v>
      </c>
      <c r="J142" s="71">
        <v>0.84210526315789469</v>
      </c>
      <c r="K142" s="72">
        <v>19</v>
      </c>
      <c r="L142" s="71">
        <v>0.11611057268722465</v>
      </c>
      <c r="M142" s="71">
        <v>0.11611057268722465</v>
      </c>
      <c r="N142" s="71">
        <v>0.30280837004405287</v>
      </c>
      <c r="O142" s="71">
        <v>1.1189328900561004E-2</v>
      </c>
      <c r="P142" s="71">
        <v>0</v>
      </c>
      <c r="Q142" s="73" t="s">
        <v>28</v>
      </c>
      <c r="R142" s="74">
        <v>0.17391304347826086</v>
      </c>
      <c r="S142" s="75">
        <f t="shared" si="455"/>
        <v>0.53400017098457353</v>
      </c>
      <c r="T142" s="59">
        <f t="shared" si="430"/>
        <v>2.086345398862484</v>
      </c>
      <c r="U142" s="59">
        <f t="shared" si="431"/>
        <v>1.6226415137728731</v>
      </c>
      <c r="V142" s="59">
        <f t="shared" si="432"/>
        <v>2.5913904732660806</v>
      </c>
      <c r="W142" s="59">
        <f t="shared" si="433"/>
        <v>1.2420716505900493</v>
      </c>
      <c r="X142" s="59">
        <f t="shared" si="434"/>
        <v>1.5970197059982325</v>
      </c>
      <c r="Y142" s="86">
        <v>74480</v>
      </c>
      <c r="Z142" s="57">
        <f t="shared" si="435"/>
        <v>118946.02770274835</v>
      </c>
      <c r="AA142" s="57">
        <f t="shared" si="436"/>
        <v>92509.496535946877</v>
      </c>
      <c r="AB142" s="57">
        <f t="shared" si="437"/>
        <v>137684.8850361431</v>
      </c>
      <c r="AC142" s="57">
        <f t="shared" si="438"/>
        <v>0.25</v>
      </c>
      <c r="AD142" s="57">
        <f t="shared" si="439"/>
        <v>1.5</v>
      </c>
      <c r="AE142" s="57">
        <f t="shared" si="440"/>
        <v>0</v>
      </c>
      <c r="AF142" s="57">
        <f t="shared" si="441"/>
        <v>24250.991345475497</v>
      </c>
      <c r="AG142" s="57">
        <f t="shared" si="366"/>
        <v>68258.505190471376</v>
      </c>
      <c r="AH142" s="57">
        <f t="shared" si="442"/>
        <v>40828161.215283953</v>
      </c>
      <c r="AI142" s="57">
        <f t="shared" si="457"/>
        <v>25260583.602064736</v>
      </c>
      <c r="AJ142" s="77">
        <v>0</v>
      </c>
      <c r="AK142" s="77">
        <v>45.4</v>
      </c>
      <c r="AL142" s="78">
        <f t="shared" si="443"/>
        <v>3.7456771267300466</v>
      </c>
      <c r="AM142" s="57">
        <f t="shared" si="444"/>
        <v>0.98052631578947369</v>
      </c>
      <c r="AN142" s="57">
        <f t="shared" si="445"/>
        <v>0.78052631578947373</v>
      </c>
      <c r="AO142" s="77">
        <v>570</v>
      </c>
      <c r="AP142" s="79">
        <v>60</v>
      </c>
      <c r="AQ142" s="77">
        <f t="shared" si="446"/>
        <v>30.467125947788681</v>
      </c>
      <c r="AR142" s="57">
        <f t="shared" si="447"/>
        <v>450</v>
      </c>
      <c r="AS142" s="77">
        <f t="shared" si="448"/>
        <v>539.53287405221135</v>
      </c>
      <c r="AT142" s="77">
        <v>30</v>
      </c>
      <c r="AU142" s="77">
        <v>480</v>
      </c>
      <c r="AV142" s="77">
        <f t="shared" si="449"/>
        <v>13500</v>
      </c>
      <c r="AW142" s="77">
        <f t="shared" si="367"/>
        <v>7200</v>
      </c>
      <c r="AX142" s="77">
        <f t="shared" si="450"/>
        <v>17100</v>
      </c>
      <c r="AY142" s="77">
        <v>20700</v>
      </c>
      <c r="AZ142" s="77">
        <v>323.39999999999998</v>
      </c>
      <c r="BA142" s="77">
        <v>323.39999999999998</v>
      </c>
      <c r="BB142" s="77">
        <v>292.5</v>
      </c>
      <c r="BC142" s="77">
        <v>323.39999999999998</v>
      </c>
      <c r="BD142" s="77">
        <v>1.6299999999999999E-2</v>
      </c>
      <c r="BE142" s="77">
        <v>1.6299999999999999E-2</v>
      </c>
      <c r="BF142" s="77">
        <v>4.7E-2</v>
      </c>
      <c r="BH142" s="79">
        <v>30</v>
      </c>
      <c r="BI142" s="79">
        <f t="shared" si="458"/>
        <v>5.5154586024585797</v>
      </c>
      <c r="BJ142" s="79">
        <v>1</v>
      </c>
      <c r="BK142" s="57">
        <f t="shared" si="459"/>
        <v>5.5154586024585797</v>
      </c>
      <c r="BL142" s="57">
        <f t="shared" si="243"/>
        <v>220.04999999999998</v>
      </c>
      <c r="BM142" s="80">
        <f t="shared" si="363"/>
        <v>28.274333882308138</v>
      </c>
      <c r="BN142" s="80">
        <v>6</v>
      </c>
      <c r="BO142" s="57">
        <f t="shared" si="451"/>
        <v>169.64600329384882</v>
      </c>
      <c r="BP142" s="57">
        <f t="shared" si="452"/>
        <v>193006.76244885768</v>
      </c>
      <c r="BQ142" s="77">
        <f t="shared" si="453"/>
        <v>-2.4738255888223648E-10</v>
      </c>
      <c r="BR142" s="57">
        <v>92643245.975451693</v>
      </c>
      <c r="BS142" s="57">
        <v>60.934251895577361</v>
      </c>
      <c r="BT142" s="57">
        <f t="shared" si="456"/>
        <v>22.587512982229903</v>
      </c>
      <c r="BU142" s="57"/>
      <c r="BV142" s="57">
        <v>3.3E-3</v>
      </c>
      <c r="BW142" s="57">
        <v>30000</v>
      </c>
      <c r="BX142" s="57">
        <v>200000</v>
      </c>
      <c r="BY142" s="77">
        <v>10.5</v>
      </c>
      <c r="BZ142" s="77">
        <v>49.5</v>
      </c>
      <c r="CA142" s="77">
        <v>63</v>
      </c>
      <c r="CB142" s="77">
        <f t="shared" si="491"/>
        <v>93</v>
      </c>
      <c r="CC142" s="77">
        <f t="shared" si="492"/>
        <v>123</v>
      </c>
      <c r="CD142" s="77">
        <f t="shared" si="493"/>
        <v>153</v>
      </c>
      <c r="CE142" s="77">
        <f t="shared" si="494"/>
        <v>183</v>
      </c>
      <c r="CF142" s="77">
        <f t="shared" si="495"/>
        <v>213</v>
      </c>
      <c r="CG142" s="77">
        <f t="shared" si="496"/>
        <v>243</v>
      </c>
      <c r="CH142" s="77">
        <f t="shared" si="497"/>
        <v>273</v>
      </c>
      <c r="CI142" s="77">
        <f t="shared" si="498"/>
        <v>303</v>
      </c>
      <c r="CJ142" s="77">
        <f t="shared" si="499"/>
        <v>333</v>
      </c>
      <c r="CK142" s="77">
        <f t="shared" si="500"/>
        <v>363</v>
      </c>
      <c r="CL142" s="77">
        <f t="shared" si="501"/>
        <v>393</v>
      </c>
      <c r="CM142" s="77">
        <f t="shared" si="502"/>
        <v>423</v>
      </c>
      <c r="CN142" s="77">
        <f t="shared" si="503"/>
        <v>453</v>
      </c>
      <c r="CO142" s="77">
        <f t="shared" si="504"/>
        <v>483</v>
      </c>
      <c r="CP142" s="77">
        <f t="shared" si="505"/>
        <v>513</v>
      </c>
      <c r="CQ142" s="77">
        <f t="shared" si="506"/>
        <v>523.5</v>
      </c>
      <c r="CR142" s="77">
        <f t="shared" si="507"/>
        <v>562.5</v>
      </c>
      <c r="DM142" s="77">
        <f t="shared" si="508"/>
        <v>84.823001646924411</v>
      </c>
      <c r="DN142" s="77">
        <f t="shared" si="508"/>
        <v>84.823001646924411</v>
      </c>
      <c r="DO142" s="77">
        <f t="shared" si="509"/>
        <v>13.762689096846167</v>
      </c>
      <c r="DP142" s="77">
        <f t="shared" si="509"/>
        <v>13.762689096846167</v>
      </c>
      <c r="DQ142" s="77">
        <f t="shared" si="509"/>
        <v>13.762689096846167</v>
      </c>
      <c r="DR142" s="77">
        <f t="shared" si="509"/>
        <v>13.762689096846167</v>
      </c>
      <c r="DS142" s="77">
        <f t="shared" si="509"/>
        <v>13.762689096846167</v>
      </c>
      <c r="DT142" s="77">
        <f t="shared" si="509"/>
        <v>13.762689096846167</v>
      </c>
      <c r="DU142" s="77">
        <f t="shared" si="509"/>
        <v>13.762689096846167</v>
      </c>
      <c r="DV142" s="77">
        <f t="shared" si="509"/>
        <v>13.762689096846167</v>
      </c>
      <c r="DW142" s="77">
        <f t="shared" si="509"/>
        <v>13.762689096846167</v>
      </c>
      <c r="DX142" s="77">
        <f t="shared" si="509"/>
        <v>13.762689096846167</v>
      </c>
      <c r="DY142" s="77">
        <f t="shared" si="509"/>
        <v>13.762689096846167</v>
      </c>
      <c r="DZ142" s="77">
        <f t="shared" si="509"/>
        <v>13.762689096846167</v>
      </c>
      <c r="EA142" s="77">
        <f t="shared" si="509"/>
        <v>13.762689096846167</v>
      </c>
      <c r="EB142" s="77">
        <f t="shared" si="509"/>
        <v>13.762689096846167</v>
      </c>
      <c r="EC142" s="77">
        <f t="shared" si="509"/>
        <v>13.762689096846167</v>
      </c>
      <c r="ED142" s="77">
        <f t="shared" si="509"/>
        <v>13.762689096846167</v>
      </c>
      <c r="EE142" s="77">
        <f t="shared" si="510"/>
        <v>84.823001646924411</v>
      </c>
      <c r="EF142" s="77">
        <f t="shared" si="510"/>
        <v>84.823001646924411</v>
      </c>
      <c r="FA142" s="77">
        <f t="shared" si="357"/>
        <v>-24810.727981725391</v>
      </c>
      <c r="FB142" s="77">
        <f t="shared" si="361"/>
        <v>-10505.188371904824</v>
      </c>
      <c r="FC142" s="77">
        <f t="shared" si="460"/>
        <v>307.93787893073051</v>
      </c>
      <c r="FD142" s="77">
        <f t="shared" si="461"/>
        <v>4450.8536539200495</v>
      </c>
      <c r="FE142" s="77">
        <f t="shared" si="462"/>
        <v>4450.8536539200495</v>
      </c>
      <c r="FF142" s="77">
        <f t="shared" si="463"/>
        <v>4450.8536539200495</v>
      </c>
      <c r="FG142" s="77">
        <f t="shared" si="464"/>
        <v>4450.8536539200495</v>
      </c>
      <c r="FH142" s="77">
        <f t="shared" si="465"/>
        <v>4450.8536539200495</v>
      </c>
      <c r="FI142" s="77">
        <f t="shared" si="466"/>
        <v>4450.8536539200495</v>
      </c>
      <c r="FJ142" s="77">
        <f t="shared" si="467"/>
        <v>4450.8536539200495</v>
      </c>
      <c r="FK142" s="77">
        <f t="shared" si="468"/>
        <v>4450.8536539200495</v>
      </c>
      <c r="FL142" s="77">
        <f t="shared" si="469"/>
        <v>4450.8536539200495</v>
      </c>
      <c r="FM142" s="77">
        <f t="shared" si="470"/>
        <v>4450.8536539200495</v>
      </c>
      <c r="FN142" s="77">
        <f t="shared" si="471"/>
        <v>4450.8536539200495</v>
      </c>
      <c r="FO142" s="77">
        <f t="shared" si="472"/>
        <v>4450.8536539200495</v>
      </c>
      <c r="FP142" s="77">
        <f t="shared" si="473"/>
        <v>4450.8536539200495</v>
      </c>
      <c r="FQ142" s="77">
        <f t="shared" si="474"/>
        <v>4450.8536539200495</v>
      </c>
      <c r="FR142" s="77">
        <f t="shared" si="511"/>
        <v>4450.8536539200495</v>
      </c>
      <c r="FS142" s="77">
        <f t="shared" si="512"/>
        <v>24810.727981725391</v>
      </c>
      <c r="FT142" s="77">
        <f t="shared" si="513"/>
        <v>24810.727981725391</v>
      </c>
      <c r="GO142" s="77">
        <f t="shared" si="275"/>
        <v>6810544.8309836201</v>
      </c>
      <c r="GP142" s="77">
        <f t="shared" si="276"/>
        <v>2473971.8615835859</v>
      </c>
      <c r="GQ142" s="77">
        <f t="shared" si="277"/>
        <v>-68362.209122622167</v>
      </c>
      <c r="GR142" s="77">
        <f t="shared" si="278"/>
        <v>-854563.90155264945</v>
      </c>
      <c r="GS142" s="77">
        <f t="shared" si="476"/>
        <v>-721038.29193504807</v>
      </c>
      <c r="GT142" s="77">
        <f t="shared" si="477"/>
        <v>-587512.68231744657</v>
      </c>
      <c r="GU142" s="77">
        <f t="shared" si="478"/>
        <v>-453987.07269984507</v>
      </c>
      <c r="GV142" s="77">
        <f t="shared" si="479"/>
        <v>-320461.46308224357</v>
      </c>
      <c r="GW142" s="77">
        <f t="shared" si="480"/>
        <v>-186935.85346464207</v>
      </c>
      <c r="GX142" s="77">
        <f t="shared" si="481"/>
        <v>-53410.24384704059</v>
      </c>
      <c r="GY142" s="77">
        <f t="shared" si="482"/>
        <v>80115.365770560893</v>
      </c>
      <c r="GZ142" s="77">
        <f t="shared" si="483"/>
        <v>213640.97538816236</v>
      </c>
      <c r="HA142" s="77">
        <f t="shared" si="484"/>
        <v>347166.58500576386</v>
      </c>
      <c r="HB142" s="77">
        <f t="shared" si="485"/>
        <v>480692.19462336536</v>
      </c>
      <c r="HC142" s="77">
        <f t="shared" si="486"/>
        <v>614217.8042409668</v>
      </c>
      <c r="HD142" s="77">
        <f t="shared" si="487"/>
        <v>747743.4138585683</v>
      </c>
      <c r="HE142" s="77">
        <f t="shared" si="488"/>
        <v>881269.02347616979</v>
      </c>
      <c r="HF142" s="77">
        <f t="shared" si="489"/>
        <v>1014794.6330937713</v>
      </c>
      <c r="HG142" s="77">
        <f t="shared" si="490"/>
        <v>5917358.6236415058</v>
      </c>
      <c r="HH142" s="77">
        <f t="shared" si="514"/>
        <v>6884977.0149287963</v>
      </c>
      <c r="IC142" s="77">
        <v>150</v>
      </c>
    </row>
    <row r="143" spans="1:237" s="77" customFormat="1">
      <c r="A143" s="77">
        <v>142</v>
      </c>
      <c r="B143" s="69">
        <v>212</v>
      </c>
      <c r="C143" s="69" t="s">
        <v>236</v>
      </c>
      <c r="D143" s="70" t="s">
        <v>161</v>
      </c>
      <c r="E143" s="70">
        <v>3</v>
      </c>
      <c r="F143" s="70">
        <v>9.1830032392929598E-2</v>
      </c>
      <c r="G143" s="70"/>
      <c r="H143" s="70">
        <v>6.875E-3</v>
      </c>
      <c r="I143" s="87">
        <v>6.875E-3</v>
      </c>
      <c r="J143" s="71">
        <v>0.84210526315789469</v>
      </c>
      <c r="K143" s="72">
        <v>19</v>
      </c>
      <c r="L143" s="71">
        <v>0.12230672853828303</v>
      </c>
      <c r="M143" s="71">
        <v>0.12230672853828303</v>
      </c>
      <c r="N143" s="71">
        <v>0.31896751740139212</v>
      </c>
      <c r="O143" s="71">
        <v>1.1786439259523655E-2</v>
      </c>
      <c r="P143" s="71">
        <v>0</v>
      </c>
      <c r="Q143" s="73" t="s">
        <v>28</v>
      </c>
      <c r="R143" s="74">
        <v>0.17391304347826086</v>
      </c>
      <c r="S143" s="75">
        <f t="shared" si="455"/>
        <v>0.60286958291511783</v>
      </c>
      <c r="T143" s="59">
        <f t="shared" si="430"/>
        <v>2.105316117062543</v>
      </c>
      <c r="U143" s="59">
        <f t="shared" si="431"/>
        <v>1.6327875047577083</v>
      </c>
      <c r="V143" s="59">
        <f t="shared" si="432"/>
        <v>2.3558095465798146</v>
      </c>
      <c r="W143" s="59">
        <f t="shared" si="433"/>
        <v>1.118981385971991</v>
      </c>
      <c r="X143" s="59">
        <f t="shared" si="434"/>
        <v>1.4428145363161611</v>
      </c>
      <c r="Y143" s="86">
        <v>81928</v>
      </c>
      <c r="Z143" s="57">
        <f t="shared" si="435"/>
        <v>118206.90933131044</v>
      </c>
      <c r="AA143" s="57">
        <f t="shared" si="436"/>
        <v>91675.906989913274</v>
      </c>
      <c r="AB143" s="57">
        <f t="shared" si="437"/>
        <v>133551.49188923274</v>
      </c>
      <c r="AC143" s="57">
        <f t="shared" si="438"/>
        <v>0.25</v>
      </c>
      <c r="AD143" s="57">
        <f t="shared" si="439"/>
        <v>1.5</v>
      </c>
      <c r="AE143" s="57">
        <f t="shared" si="440"/>
        <v>0</v>
      </c>
      <c r="AF143" s="57">
        <f t="shared" si="441"/>
        <v>23528.886520674841</v>
      </c>
      <c r="AG143" s="57">
        <f t="shared" si="366"/>
        <v>68147.020469238429</v>
      </c>
      <c r="AH143" s="57">
        <f t="shared" si="442"/>
        <v>38931585.761910498</v>
      </c>
      <c r="AI143" s="57">
        <f t="shared" si="457"/>
        <v>25173130.344921213</v>
      </c>
      <c r="AJ143" s="77">
        <v>0</v>
      </c>
      <c r="AK143" s="77">
        <v>43.1</v>
      </c>
      <c r="AL143" s="78">
        <f t="shared" si="443"/>
        <v>3.6400899739645456</v>
      </c>
      <c r="AM143" s="57">
        <f t="shared" si="444"/>
        <v>0.986578947368421</v>
      </c>
      <c r="AN143" s="57">
        <f t="shared" si="445"/>
        <v>0.78657894736842104</v>
      </c>
      <c r="AO143" s="77">
        <v>570</v>
      </c>
      <c r="AP143" s="79">
        <v>60</v>
      </c>
      <c r="AQ143" s="77">
        <f t="shared" si="446"/>
        <v>31.348330010079213</v>
      </c>
      <c r="AR143" s="57">
        <f t="shared" si="447"/>
        <v>450</v>
      </c>
      <c r="AS143" s="77">
        <f t="shared" si="448"/>
        <v>538.65166998992083</v>
      </c>
      <c r="AT143" s="77">
        <v>30</v>
      </c>
      <c r="AU143" s="77">
        <v>480</v>
      </c>
      <c r="AV143" s="77">
        <f t="shared" si="449"/>
        <v>13500</v>
      </c>
      <c r="AW143" s="77">
        <f t="shared" si="367"/>
        <v>7200</v>
      </c>
      <c r="AX143" s="77">
        <f t="shared" si="450"/>
        <v>17100</v>
      </c>
      <c r="AY143" s="77">
        <v>20700</v>
      </c>
      <c r="AZ143" s="77">
        <v>323.39999999999998</v>
      </c>
      <c r="BA143" s="77">
        <v>323.39999999999998</v>
      </c>
      <c r="BB143" s="77">
        <v>292.5</v>
      </c>
      <c r="BC143" s="77">
        <v>323.39999999999998</v>
      </c>
      <c r="BD143" s="77">
        <v>1.6299999999999999E-2</v>
      </c>
      <c r="BE143" s="77">
        <v>1.6299999999999999E-2</v>
      </c>
      <c r="BF143" s="77">
        <v>4.7E-2</v>
      </c>
      <c r="BH143" s="79">
        <v>30</v>
      </c>
      <c r="BI143" s="79">
        <f t="shared" si="458"/>
        <v>5.5154586024585797</v>
      </c>
      <c r="BJ143" s="79">
        <v>1</v>
      </c>
      <c r="BK143" s="57">
        <f t="shared" si="459"/>
        <v>5.5154586024585797</v>
      </c>
      <c r="BL143" s="57">
        <f t="shared" ref="BL143:BL205" si="515">IF(BF143=0,FALSE,BD143*AR143*AT143)</f>
        <v>220.04999999999998</v>
      </c>
      <c r="BM143" s="80">
        <f t="shared" si="363"/>
        <v>28.274333882308138</v>
      </c>
      <c r="BN143" s="80">
        <v>6</v>
      </c>
      <c r="BO143" s="57">
        <f t="shared" si="451"/>
        <v>169.64600329384882</v>
      </c>
      <c r="BP143" s="57">
        <f t="shared" si="452"/>
        <v>193006.76453219104</v>
      </c>
      <c r="BQ143" s="77">
        <f t="shared" si="453"/>
        <v>2.6193447411060333E-10</v>
      </c>
      <c r="BR143" s="57">
        <v>92643246.975451693</v>
      </c>
      <c r="BS143" s="57">
        <v>62.696660020158426</v>
      </c>
      <c r="BT143" s="57">
        <f t="shared" si="456"/>
        <v>23.26618399414771</v>
      </c>
      <c r="BU143" s="57"/>
      <c r="BV143" s="57">
        <v>3.3E-3</v>
      </c>
      <c r="BW143" s="57">
        <v>30000</v>
      </c>
      <c r="BX143" s="57">
        <v>200000</v>
      </c>
      <c r="BY143" s="77">
        <v>10.5</v>
      </c>
      <c r="BZ143" s="77">
        <v>49.5</v>
      </c>
      <c r="CA143" s="77">
        <v>64</v>
      </c>
      <c r="CB143" s="77">
        <f t="shared" si="491"/>
        <v>94</v>
      </c>
      <c r="CC143" s="77">
        <f t="shared" si="492"/>
        <v>124</v>
      </c>
      <c r="CD143" s="77">
        <f t="shared" si="493"/>
        <v>154</v>
      </c>
      <c r="CE143" s="77">
        <f t="shared" si="494"/>
        <v>184</v>
      </c>
      <c r="CF143" s="77">
        <f t="shared" si="495"/>
        <v>214</v>
      </c>
      <c r="CG143" s="77">
        <f t="shared" si="496"/>
        <v>244</v>
      </c>
      <c r="CH143" s="77">
        <f t="shared" si="497"/>
        <v>274</v>
      </c>
      <c r="CI143" s="77">
        <f t="shared" si="498"/>
        <v>304</v>
      </c>
      <c r="CJ143" s="77">
        <f t="shared" si="499"/>
        <v>334</v>
      </c>
      <c r="CK143" s="77">
        <f t="shared" si="500"/>
        <v>364</v>
      </c>
      <c r="CL143" s="77">
        <f t="shared" si="501"/>
        <v>394</v>
      </c>
      <c r="CM143" s="77">
        <f t="shared" si="502"/>
        <v>424</v>
      </c>
      <c r="CN143" s="77">
        <f t="shared" si="503"/>
        <v>454</v>
      </c>
      <c r="CO143" s="77">
        <f t="shared" si="504"/>
        <v>484</v>
      </c>
      <c r="CP143" s="77">
        <f t="shared" si="505"/>
        <v>514</v>
      </c>
      <c r="CQ143" s="77">
        <f t="shared" si="506"/>
        <v>524.5</v>
      </c>
      <c r="CR143" s="77">
        <f t="shared" si="507"/>
        <v>563.5</v>
      </c>
      <c r="DM143" s="77">
        <f t="shared" si="508"/>
        <v>84.823001646924411</v>
      </c>
      <c r="DN143" s="77">
        <f t="shared" si="508"/>
        <v>84.823001646924411</v>
      </c>
      <c r="DO143" s="77">
        <f t="shared" si="509"/>
        <v>13.762689096846167</v>
      </c>
      <c r="DP143" s="77">
        <f t="shared" si="509"/>
        <v>13.762689096846167</v>
      </c>
      <c r="DQ143" s="77">
        <f t="shared" si="509"/>
        <v>13.762689096846167</v>
      </c>
      <c r="DR143" s="77">
        <f t="shared" si="509"/>
        <v>13.762689096846167</v>
      </c>
      <c r="DS143" s="77">
        <f t="shared" si="509"/>
        <v>13.762689096846167</v>
      </c>
      <c r="DT143" s="77">
        <f t="shared" si="509"/>
        <v>13.762689096846167</v>
      </c>
      <c r="DU143" s="77">
        <f t="shared" si="509"/>
        <v>13.762689096846167</v>
      </c>
      <c r="DV143" s="77">
        <f t="shared" si="509"/>
        <v>13.762689096846167</v>
      </c>
      <c r="DW143" s="77">
        <f t="shared" si="509"/>
        <v>13.762689096846167</v>
      </c>
      <c r="DX143" s="77">
        <f t="shared" si="509"/>
        <v>13.762689096846167</v>
      </c>
      <c r="DY143" s="77">
        <f t="shared" si="509"/>
        <v>13.762689096846167</v>
      </c>
      <c r="DZ143" s="77">
        <f t="shared" si="509"/>
        <v>13.762689096846167</v>
      </c>
      <c r="EA143" s="77">
        <f t="shared" si="509"/>
        <v>13.762689096846167</v>
      </c>
      <c r="EB143" s="77">
        <f t="shared" si="509"/>
        <v>13.762689096846167</v>
      </c>
      <c r="EC143" s="77">
        <f t="shared" si="509"/>
        <v>13.762689096846167</v>
      </c>
      <c r="ED143" s="77">
        <f t="shared" si="509"/>
        <v>13.762689096846167</v>
      </c>
      <c r="EE143" s="77">
        <f t="shared" si="510"/>
        <v>84.823001646924411</v>
      </c>
      <c r="EF143" s="77">
        <f t="shared" si="510"/>
        <v>84.823001646924411</v>
      </c>
      <c r="FA143" s="77">
        <f t="shared" si="357"/>
        <v>-24810.727981725391</v>
      </c>
      <c r="FB143" s="77">
        <f t="shared" si="361"/>
        <v>-11783.578382232314</v>
      </c>
      <c r="FC143" s="77">
        <f t="shared" si="460"/>
        <v>188.82545784777273</v>
      </c>
      <c r="FD143" s="77">
        <f t="shared" si="461"/>
        <v>4450.8536539200495</v>
      </c>
      <c r="FE143" s="77">
        <f t="shared" si="462"/>
        <v>4450.8536539200495</v>
      </c>
      <c r="FF143" s="77">
        <f t="shared" si="463"/>
        <v>4450.8536539200495</v>
      </c>
      <c r="FG143" s="77">
        <f t="shared" si="464"/>
        <v>4450.8536539200495</v>
      </c>
      <c r="FH143" s="77">
        <f t="shared" si="465"/>
        <v>4450.8536539200495</v>
      </c>
      <c r="FI143" s="77">
        <f t="shared" si="466"/>
        <v>4450.8536539200495</v>
      </c>
      <c r="FJ143" s="77">
        <f t="shared" si="467"/>
        <v>4450.8536539200495</v>
      </c>
      <c r="FK143" s="77">
        <f t="shared" si="468"/>
        <v>4450.8536539200495</v>
      </c>
      <c r="FL143" s="77">
        <f t="shared" si="469"/>
        <v>4450.8536539200495</v>
      </c>
      <c r="FM143" s="77">
        <f t="shared" si="470"/>
        <v>4450.8536539200495</v>
      </c>
      <c r="FN143" s="77">
        <f t="shared" si="471"/>
        <v>4450.8536539200495</v>
      </c>
      <c r="FO143" s="77">
        <f t="shared" si="472"/>
        <v>4450.8536539200495</v>
      </c>
      <c r="FP143" s="77">
        <f t="shared" si="473"/>
        <v>4450.8536539200495</v>
      </c>
      <c r="FQ143" s="77">
        <f t="shared" si="474"/>
        <v>4450.8536539200495</v>
      </c>
      <c r="FR143" s="77">
        <f t="shared" si="511"/>
        <v>4450.8536539200495</v>
      </c>
      <c r="FS143" s="77">
        <f t="shared" si="512"/>
        <v>24810.727981725391</v>
      </c>
      <c r="FT143" s="77">
        <f t="shared" si="513"/>
        <v>24810.727981725391</v>
      </c>
      <c r="GO143" s="77">
        <f t="shared" si="275"/>
        <v>6810544.8309836201</v>
      </c>
      <c r="GP143" s="77">
        <f t="shared" si="276"/>
        <v>2775032.7090157098</v>
      </c>
      <c r="GQ143" s="77">
        <f t="shared" si="277"/>
        <v>-41730.42618435777</v>
      </c>
      <c r="GR143" s="77">
        <f t="shared" si="278"/>
        <v>-850113.04789872945</v>
      </c>
      <c r="GS143" s="77">
        <f t="shared" si="476"/>
        <v>-716587.43828112795</v>
      </c>
      <c r="GT143" s="77">
        <f t="shared" si="477"/>
        <v>-583061.82866352645</v>
      </c>
      <c r="GU143" s="77">
        <f t="shared" si="478"/>
        <v>-449536.21904592501</v>
      </c>
      <c r="GV143" s="77">
        <f t="shared" si="479"/>
        <v>-316010.60942832351</v>
      </c>
      <c r="GW143" s="77">
        <f t="shared" si="480"/>
        <v>-182484.99981072202</v>
      </c>
      <c r="GX143" s="77">
        <f t="shared" si="481"/>
        <v>-48959.390193120547</v>
      </c>
      <c r="GY143" s="77">
        <f t="shared" si="482"/>
        <v>84566.219424480936</v>
      </c>
      <c r="GZ143" s="77">
        <f t="shared" si="483"/>
        <v>218091.82904208242</v>
      </c>
      <c r="HA143" s="77">
        <f t="shared" si="484"/>
        <v>351617.43865968392</v>
      </c>
      <c r="HB143" s="77">
        <f t="shared" si="485"/>
        <v>485143.04827728542</v>
      </c>
      <c r="HC143" s="77">
        <f t="shared" si="486"/>
        <v>618668.65789488691</v>
      </c>
      <c r="HD143" s="77">
        <f t="shared" si="487"/>
        <v>752194.26751248841</v>
      </c>
      <c r="HE143" s="77">
        <f t="shared" si="488"/>
        <v>885719.87713008991</v>
      </c>
      <c r="HF143" s="77">
        <f t="shared" si="489"/>
        <v>1019245.4867476913</v>
      </c>
      <c r="HG143" s="77">
        <f t="shared" si="490"/>
        <v>5942169.3516232315</v>
      </c>
      <c r="HH143" s="77">
        <f t="shared" si="514"/>
        <v>6909787.7429105211</v>
      </c>
      <c r="IC143" s="77">
        <v>151</v>
      </c>
    </row>
    <row r="144" spans="1:237" s="77" customFormat="1">
      <c r="A144" s="77">
        <v>143</v>
      </c>
      <c r="B144" s="69">
        <v>213</v>
      </c>
      <c r="C144" s="69" t="s">
        <v>236</v>
      </c>
      <c r="D144" s="70" t="s">
        <v>162</v>
      </c>
      <c r="E144" s="70">
        <v>3</v>
      </c>
      <c r="F144" s="70">
        <v>9.1913652783218003E-2</v>
      </c>
      <c r="G144" s="70"/>
      <c r="H144" s="70">
        <v>6.875E-3</v>
      </c>
      <c r="I144" s="87">
        <v>6.875E-3</v>
      </c>
      <c r="J144" s="71">
        <v>0.84210526315789469</v>
      </c>
      <c r="K144" s="72">
        <v>19</v>
      </c>
      <c r="L144" s="71">
        <v>0.11872567567567566</v>
      </c>
      <c r="M144" s="71">
        <v>0.11872567567567566</v>
      </c>
      <c r="N144" s="71">
        <v>0.30962837837837842</v>
      </c>
      <c r="O144" s="71">
        <v>1.1441340812735802E-2</v>
      </c>
      <c r="P144" s="71">
        <v>0</v>
      </c>
      <c r="Q144" s="73" t="s">
        <v>28</v>
      </c>
      <c r="R144" s="74">
        <v>0.17391304347826086</v>
      </c>
      <c r="S144" s="75">
        <f t="shared" si="455"/>
        <v>0.61245122974581068</v>
      </c>
      <c r="T144" s="59">
        <f t="shared" si="430"/>
        <v>2.0946800638687226</v>
      </c>
      <c r="U144" s="59">
        <f t="shared" si="431"/>
        <v>1.6270049849567978</v>
      </c>
      <c r="V144" s="59">
        <f t="shared" si="432"/>
        <v>2.2847526707647661</v>
      </c>
      <c r="W144" s="59">
        <f t="shared" si="433"/>
        <v>1.0907406387135765</v>
      </c>
      <c r="X144" s="59">
        <f t="shared" si="434"/>
        <v>1.4042690046370285</v>
      </c>
      <c r="Y144" s="86">
        <v>84476</v>
      </c>
      <c r="Z144" s="57">
        <f t="shared" si="435"/>
        <v>118627.02843571761</v>
      </c>
      <c r="AA144" s="57">
        <f t="shared" si="436"/>
        <v>92141.406195968098</v>
      </c>
      <c r="AB144" s="57">
        <f t="shared" si="437"/>
        <v>135876.74757598952</v>
      </c>
      <c r="AC144" s="57">
        <f t="shared" si="438"/>
        <v>0.25</v>
      </c>
      <c r="AD144" s="57">
        <f t="shared" si="439"/>
        <v>1.5</v>
      </c>
      <c r="AE144" s="57">
        <f t="shared" si="440"/>
        <v>0</v>
      </c>
      <c r="AF144" s="57">
        <f t="shared" si="441"/>
        <v>23936.810296493986</v>
      </c>
      <c r="AG144" s="57">
        <f t="shared" si="366"/>
        <v>68204.595899474109</v>
      </c>
      <c r="AH144" s="57">
        <f t="shared" si="442"/>
        <v>40002543.926850505</v>
      </c>
      <c r="AI144" s="57">
        <f t="shared" si="457"/>
        <v>25218294.909624465</v>
      </c>
      <c r="AJ144" s="77">
        <v>0</v>
      </c>
      <c r="AK144" s="77">
        <v>44.4</v>
      </c>
      <c r="AL144" s="78">
        <f t="shared" si="443"/>
        <v>3.7000726672179352</v>
      </c>
      <c r="AM144" s="57">
        <f t="shared" si="444"/>
        <v>0.98315789473684212</v>
      </c>
      <c r="AN144" s="57">
        <f t="shared" si="445"/>
        <v>0.78315789473684216</v>
      </c>
      <c r="AO144" s="77">
        <v>570</v>
      </c>
      <c r="AP144" s="79">
        <v>60</v>
      </c>
      <c r="AQ144" s="77">
        <f t="shared" si="446"/>
        <v>30.893238922702398</v>
      </c>
      <c r="AR144" s="57">
        <f t="shared" si="447"/>
        <v>450</v>
      </c>
      <c r="AS144" s="77">
        <f t="shared" si="448"/>
        <v>539.10676107729762</v>
      </c>
      <c r="AT144" s="77">
        <v>30</v>
      </c>
      <c r="AU144" s="77">
        <v>480</v>
      </c>
      <c r="AV144" s="77">
        <f t="shared" si="449"/>
        <v>13500</v>
      </c>
      <c r="AW144" s="77">
        <f t="shared" si="367"/>
        <v>7200</v>
      </c>
      <c r="AX144" s="77">
        <f t="shared" si="450"/>
        <v>17100</v>
      </c>
      <c r="AY144" s="77">
        <v>20700</v>
      </c>
      <c r="AZ144" s="77">
        <v>323.39999999999998</v>
      </c>
      <c r="BA144" s="77">
        <v>323.39999999999998</v>
      </c>
      <c r="BB144" s="77">
        <v>292.5</v>
      </c>
      <c r="BC144" s="77">
        <v>323.39999999999998</v>
      </c>
      <c r="BD144" s="77">
        <v>1.6299999999999999E-2</v>
      </c>
      <c r="BE144" s="77">
        <v>1.6299999999999999E-2</v>
      </c>
      <c r="BF144" s="77">
        <v>4.7E-2</v>
      </c>
      <c r="BH144" s="79">
        <v>30</v>
      </c>
      <c r="BI144" s="79">
        <f t="shared" si="458"/>
        <v>5.5154586024585797</v>
      </c>
      <c r="BJ144" s="79">
        <v>1</v>
      </c>
      <c r="BK144" s="57">
        <f t="shared" si="459"/>
        <v>5.5154586024585797</v>
      </c>
      <c r="BL144" s="57">
        <f t="shared" si="515"/>
        <v>220.04999999999998</v>
      </c>
      <c r="BM144" s="80">
        <f t="shared" si="363"/>
        <v>28.274333882308138</v>
      </c>
      <c r="BN144" s="80">
        <v>6</v>
      </c>
      <c r="BO144" s="57">
        <f t="shared" si="451"/>
        <v>169.64600329384882</v>
      </c>
      <c r="BP144" s="57">
        <f t="shared" si="452"/>
        <v>193006.76661552436</v>
      </c>
      <c r="BQ144" s="77">
        <f t="shared" si="453"/>
        <v>0</v>
      </c>
      <c r="BR144" s="57">
        <v>92643247.975451693</v>
      </c>
      <c r="BS144" s="57">
        <v>61.786477845404796</v>
      </c>
      <c r="BT144" s="57">
        <f t="shared" si="456"/>
        <v>22.871131193112618</v>
      </c>
      <c r="BU144" s="57"/>
      <c r="BV144" s="57">
        <v>3.3E-3</v>
      </c>
      <c r="BW144" s="57">
        <v>30000</v>
      </c>
      <c r="BX144" s="57">
        <v>200000</v>
      </c>
      <c r="BY144" s="77">
        <v>10.5</v>
      </c>
      <c r="BZ144" s="77">
        <v>49.5</v>
      </c>
      <c r="CA144" s="77">
        <v>65</v>
      </c>
      <c r="CB144" s="77">
        <f t="shared" si="491"/>
        <v>95</v>
      </c>
      <c r="CC144" s="77">
        <f t="shared" si="492"/>
        <v>125</v>
      </c>
      <c r="CD144" s="77">
        <f t="shared" si="493"/>
        <v>155</v>
      </c>
      <c r="CE144" s="77">
        <f t="shared" si="494"/>
        <v>185</v>
      </c>
      <c r="CF144" s="77">
        <f t="shared" si="495"/>
        <v>215</v>
      </c>
      <c r="CG144" s="77">
        <f t="shared" si="496"/>
        <v>245</v>
      </c>
      <c r="CH144" s="77">
        <f t="shared" si="497"/>
        <v>275</v>
      </c>
      <c r="CI144" s="77">
        <f t="shared" si="498"/>
        <v>305</v>
      </c>
      <c r="CJ144" s="77">
        <f t="shared" si="499"/>
        <v>335</v>
      </c>
      <c r="CK144" s="77">
        <f t="shared" si="500"/>
        <v>365</v>
      </c>
      <c r="CL144" s="77">
        <f t="shared" si="501"/>
        <v>395</v>
      </c>
      <c r="CM144" s="77">
        <f t="shared" si="502"/>
        <v>425</v>
      </c>
      <c r="CN144" s="77">
        <f t="shared" si="503"/>
        <v>455</v>
      </c>
      <c r="CO144" s="77">
        <f t="shared" si="504"/>
        <v>485</v>
      </c>
      <c r="CP144" s="77">
        <f t="shared" si="505"/>
        <v>515</v>
      </c>
      <c r="CQ144" s="77">
        <f t="shared" si="506"/>
        <v>525.5</v>
      </c>
      <c r="CR144" s="77">
        <f t="shared" si="507"/>
        <v>564.5</v>
      </c>
      <c r="DM144" s="77">
        <f t="shared" si="508"/>
        <v>84.823001646924411</v>
      </c>
      <c r="DN144" s="77">
        <f t="shared" si="508"/>
        <v>84.823001646924411</v>
      </c>
      <c r="DO144" s="77">
        <f t="shared" si="509"/>
        <v>13.762689096846167</v>
      </c>
      <c r="DP144" s="77">
        <f t="shared" si="509"/>
        <v>13.762689096846167</v>
      </c>
      <c r="DQ144" s="77">
        <f t="shared" si="509"/>
        <v>13.762689096846167</v>
      </c>
      <c r="DR144" s="77">
        <f t="shared" si="509"/>
        <v>13.762689096846167</v>
      </c>
      <c r="DS144" s="77">
        <f t="shared" si="509"/>
        <v>13.762689096846167</v>
      </c>
      <c r="DT144" s="77">
        <f t="shared" si="509"/>
        <v>13.762689096846167</v>
      </c>
      <c r="DU144" s="77">
        <f t="shared" si="509"/>
        <v>13.762689096846167</v>
      </c>
      <c r="DV144" s="77">
        <f t="shared" si="509"/>
        <v>13.762689096846167</v>
      </c>
      <c r="DW144" s="77">
        <f t="shared" si="509"/>
        <v>13.762689096846167</v>
      </c>
      <c r="DX144" s="77">
        <f t="shared" si="509"/>
        <v>13.762689096846167</v>
      </c>
      <c r="DY144" s="77">
        <f t="shared" si="509"/>
        <v>13.762689096846167</v>
      </c>
      <c r="DZ144" s="77">
        <f t="shared" si="509"/>
        <v>13.762689096846167</v>
      </c>
      <c r="EA144" s="77">
        <f t="shared" si="509"/>
        <v>13.762689096846167</v>
      </c>
      <c r="EB144" s="77">
        <f t="shared" si="509"/>
        <v>13.762689096846167</v>
      </c>
      <c r="EC144" s="77">
        <f t="shared" si="509"/>
        <v>13.762689096846167</v>
      </c>
      <c r="ED144" s="77">
        <f t="shared" si="509"/>
        <v>13.762689096846167</v>
      </c>
      <c r="EE144" s="77">
        <f t="shared" si="510"/>
        <v>84.823001646924411</v>
      </c>
      <c r="EF144" s="77">
        <f t="shared" si="510"/>
        <v>84.823001646924411</v>
      </c>
      <c r="FA144" s="77">
        <f t="shared" si="357"/>
        <v>-24810.727981725391</v>
      </c>
      <c r="FB144" s="77">
        <f t="shared" si="361"/>
        <v>-11132.470050507971</v>
      </c>
      <c r="FC144" s="77">
        <f t="shared" si="460"/>
        <v>472.427417596434</v>
      </c>
      <c r="FD144" s="77">
        <f t="shared" si="461"/>
        <v>4450.8536539200495</v>
      </c>
      <c r="FE144" s="77">
        <f t="shared" si="462"/>
        <v>4450.8536539200495</v>
      </c>
      <c r="FF144" s="77">
        <f t="shared" si="463"/>
        <v>4450.8536539200495</v>
      </c>
      <c r="FG144" s="77">
        <f t="shared" si="464"/>
        <v>4450.8536539200495</v>
      </c>
      <c r="FH144" s="77">
        <f t="shared" si="465"/>
        <v>4450.8536539200495</v>
      </c>
      <c r="FI144" s="77">
        <f t="shared" si="466"/>
        <v>4450.8536539200495</v>
      </c>
      <c r="FJ144" s="77">
        <f t="shared" si="467"/>
        <v>4450.8536539200495</v>
      </c>
      <c r="FK144" s="77">
        <f t="shared" si="468"/>
        <v>4450.8536539200495</v>
      </c>
      <c r="FL144" s="77">
        <f t="shared" si="469"/>
        <v>4450.8536539200495</v>
      </c>
      <c r="FM144" s="77">
        <f t="shared" si="470"/>
        <v>4450.8536539200495</v>
      </c>
      <c r="FN144" s="77">
        <f t="shared" si="471"/>
        <v>4450.8536539200495</v>
      </c>
      <c r="FO144" s="77">
        <f t="shared" si="472"/>
        <v>4450.8536539200495</v>
      </c>
      <c r="FP144" s="77">
        <f t="shared" si="473"/>
        <v>4450.8536539200495</v>
      </c>
      <c r="FQ144" s="77">
        <f t="shared" si="474"/>
        <v>4450.8536539200495</v>
      </c>
      <c r="FR144" s="77">
        <f t="shared" si="511"/>
        <v>4450.8536539200495</v>
      </c>
      <c r="FS144" s="77">
        <f t="shared" si="512"/>
        <v>24810.727981725391</v>
      </c>
      <c r="FT144" s="77">
        <f t="shared" si="513"/>
        <v>24810.727981725391</v>
      </c>
      <c r="GO144" s="77">
        <f t="shared" si="275"/>
        <v>6810544.8309836201</v>
      </c>
      <c r="GP144" s="77">
        <f t="shared" si="276"/>
        <v>2621696.6968946271</v>
      </c>
      <c r="GQ144" s="77">
        <f t="shared" si="277"/>
        <v>-103934.03187121548</v>
      </c>
      <c r="GR144" s="77">
        <f t="shared" si="278"/>
        <v>-845662.19424480945</v>
      </c>
      <c r="GS144" s="77">
        <f t="shared" si="476"/>
        <v>-712136.58462720795</v>
      </c>
      <c r="GT144" s="77">
        <f t="shared" si="477"/>
        <v>-578610.97500960645</v>
      </c>
      <c r="GU144" s="77">
        <f t="shared" si="478"/>
        <v>-445085.36539200495</v>
      </c>
      <c r="GV144" s="77">
        <f t="shared" si="479"/>
        <v>-311559.75577440346</v>
      </c>
      <c r="GW144" s="77">
        <f t="shared" si="480"/>
        <v>-178034.14615680199</v>
      </c>
      <c r="GX144" s="77">
        <f t="shared" si="481"/>
        <v>-44508.536539200497</v>
      </c>
      <c r="GY144" s="77">
        <f t="shared" si="482"/>
        <v>89017.073078400994</v>
      </c>
      <c r="GZ144" s="77">
        <f t="shared" si="483"/>
        <v>222542.68269600248</v>
      </c>
      <c r="HA144" s="77">
        <f t="shared" si="484"/>
        <v>356068.29231360398</v>
      </c>
      <c r="HB144" s="77">
        <f t="shared" si="485"/>
        <v>489593.90193120547</v>
      </c>
      <c r="HC144" s="77">
        <f t="shared" si="486"/>
        <v>623119.51154880691</v>
      </c>
      <c r="HD144" s="77">
        <f t="shared" si="487"/>
        <v>756645.12116640841</v>
      </c>
      <c r="HE144" s="77">
        <f t="shared" si="488"/>
        <v>890170.73078400991</v>
      </c>
      <c r="HF144" s="77">
        <f t="shared" si="489"/>
        <v>1023696.3404016114</v>
      </c>
      <c r="HG144" s="77">
        <f t="shared" si="490"/>
        <v>5966980.0796049563</v>
      </c>
      <c r="HH144" s="77">
        <f t="shared" si="514"/>
        <v>6934598.4708922468</v>
      </c>
      <c r="IC144" s="77">
        <v>152</v>
      </c>
    </row>
    <row r="145" spans="1:237" s="77" customFormat="1">
      <c r="A145" s="77">
        <v>144</v>
      </c>
      <c r="B145" s="69">
        <v>214</v>
      </c>
      <c r="C145" s="69" t="s">
        <v>236</v>
      </c>
      <c r="D145" s="70" t="s">
        <v>163</v>
      </c>
      <c r="E145" s="70">
        <v>3</v>
      </c>
      <c r="F145" s="70">
        <v>7.8132927447995937E-2</v>
      </c>
      <c r="G145" s="70"/>
      <c r="H145" s="70">
        <v>6.2500000000000003E-3</v>
      </c>
      <c r="I145" s="87">
        <v>6.2500000000000003E-3</v>
      </c>
      <c r="J145" s="71">
        <v>0.84210526315789469</v>
      </c>
      <c r="K145" s="72">
        <v>14.25</v>
      </c>
      <c r="L145" s="71">
        <v>9.007945205479452E-2</v>
      </c>
      <c r="M145" s="71">
        <v>9.007945205479452E-2</v>
      </c>
      <c r="N145" s="71">
        <v>0.31386986301369868</v>
      </c>
      <c r="O145" s="71">
        <v>1.1598071508800675E-2</v>
      </c>
      <c r="P145" s="71">
        <v>0</v>
      </c>
      <c r="Q145" s="73" t="s">
        <v>28</v>
      </c>
      <c r="R145" s="74">
        <v>0.14285714285714285</v>
      </c>
      <c r="S145" s="75">
        <f t="shared" si="455"/>
        <v>0.51709596846214945</v>
      </c>
      <c r="T145" s="59">
        <f t="shared" si="430"/>
        <v>1.9185985502692697</v>
      </c>
      <c r="U145" s="59">
        <f t="shared" si="431"/>
        <v>1.5116393060165014</v>
      </c>
      <c r="V145" s="59">
        <f t="shared" si="432"/>
        <v>2.2380191175656039</v>
      </c>
      <c r="W145" s="59">
        <f t="shared" si="433"/>
        <v>1.1664864008426903</v>
      </c>
      <c r="X145" s="59">
        <f t="shared" si="434"/>
        <v>1.4805245594355914</v>
      </c>
      <c r="Y145" s="86">
        <v>86240</v>
      </c>
      <c r="Z145" s="57">
        <f t="shared" si="435"/>
        <v>127680.4380057254</v>
      </c>
      <c r="AA145" s="57">
        <f t="shared" si="436"/>
        <v>100597.78720867362</v>
      </c>
      <c r="AB145" s="57">
        <f t="shared" si="437"/>
        <v>164282.49316803738</v>
      </c>
      <c r="AC145" s="57">
        <f t="shared" si="438"/>
        <v>0.25</v>
      </c>
      <c r="AD145" s="57">
        <f t="shared" si="439"/>
        <v>1.5</v>
      </c>
      <c r="AE145" s="57">
        <f t="shared" si="440"/>
        <v>0</v>
      </c>
      <c r="AF145" s="57">
        <f t="shared" si="441"/>
        <v>31949.308164682196</v>
      </c>
      <c r="AG145" s="57">
        <f t="shared" si="366"/>
        <v>68648.479043991421</v>
      </c>
      <c r="AH145" s="57">
        <f t="shared" si="442"/>
        <v>53178751.544053152</v>
      </c>
      <c r="AI145" s="57">
        <f t="shared" si="457"/>
        <v>25676845.176604796</v>
      </c>
      <c r="AJ145" s="77">
        <v>0</v>
      </c>
      <c r="AK145" s="77">
        <v>43.8</v>
      </c>
      <c r="AL145" s="78">
        <f t="shared" si="443"/>
        <v>3.6724879599098275</v>
      </c>
      <c r="AM145" s="57">
        <f t="shared" si="444"/>
        <v>0.98473684210526313</v>
      </c>
      <c r="AN145" s="57">
        <f t="shared" si="445"/>
        <v>0.78473684210526318</v>
      </c>
      <c r="AO145" s="77">
        <v>570</v>
      </c>
      <c r="AP145" s="79">
        <v>60</v>
      </c>
      <c r="AQ145" s="77">
        <f t="shared" si="446"/>
        <v>26.272755121117868</v>
      </c>
      <c r="AR145" s="57">
        <f t="shared" si="447"/>
        <v>450</v>
      </c>
      <c r="AS145" s="77">
        <f t="shared" si="448"/>
        <v>543.72724487888217</v>
      </c>
      <c r="AT145" s="77">
        <v>40</v>
      </c>
      <c r="AU145" s="77">
        <v>480</v>
      </c>
      <c r="AV145" s="77">
        <f t="shared" si="449"/>
        <v>18000</v>
      </c>
      <c r="AW145" s="77">
        <f t="shared" si="367"/>
        <v>7200</v>
      </c>
      <c r="AX145" s="77">
        <f t="shared" si="450"/>
        <v>22800</v>
      </c>
      <c r="AY145" s="77">
        <v>25200</v>
      </c>
      <c r="AZ145" s="77">
        <v>323.39999999999998</v>
      </c>
      <c r="BA145" s="77">
        <v>323.39999999999998</v>
      </c>
      <c r="BB145" s="77">
        <v>292.5</v>
      </c>
      <c r="BC145" s="77">
        <v>323.39999999999998</v>
      </c>
      <c r="BD145" s="77">
        <v>1.2200000000000001E-2</v>
      </c>
      <c r="BE145" s="77">
        <v>1.2200000000000001E-2</v>
      </c>
      <c r="BF145" s="77">
        <v>4.7E-2</v>
      </c>
      <c r="BH145" s="79">
        <v>30</v>
      </c>
      <c r="BI145" s="79">
        <f t="shared" si="458"/>
        <v>5.5154586024585797</v>
      </c>
      <c r="BJ145" s="79">
        <v>1</v>
      </c>
      <c r="BK145" s="57">
        <f t="shared" si="459"/>
        <v>5.5154586024585797</v>
      </c>
      <c r="BL145" s="57">
        <f t="shared" si="515"/>
        <v>219.60000000000002</v>
      </c>
      <c r="BM145" s="80">
        <f t="shared" si="363"/>
        <v>28.274333882308138</v>
      </c>
      <c r="BN145" s="80">
        <v>6</v>
      </c>
      <c r="BO145" s="57">
        <f t="shared" si="451"/>
        <v>169.64600329384882</v>
      </c>
      <c r="BP145" s="57">
        <f t="shared" si="452"/>
        <v>193006.76869885769</v>
      </c>
      <c r="BQ145" s="77">
        <f t="shared" si="453"/>
        <v>4.9476511776447296E-10</v>
      </c>
      <c r="BR145" s="57">
        <v>92643248.975451693</v>
      </c>
      <c r="BS145" s="57">
        <v>52.545510242235736</v>
      </c>
      <c r="BT145" s="57">
        <f t="shared" si="456"/>
        <v>12.938908981878829</v>
      </c>
      <c r="BU145" s="57"/>
      <c r="BV145" s="57">
        <v>3.3E-3</v>
      </c>
      <c r="BW145" s="57">
        <v>30000</v>
      </c>
      <c r="BX145" s="57">
        <v>200000</v>
      </c>
      <c r="BY145" s="77">
        <v>10.5</v>
      </c>
      <c r="BZ145" s="77">
        <v>49.5</v>
      </c>
      <c r="CA145" s="77">
        <v>66</v>
      </c>
      <c r="CB145" s="77">
        <f t="shared" si="491"/>
        <v>96</v>
      </c>
      <c r="CC145" s="77">
        <f t="shared" si="492"/>
        <v>126</v>
      </c>
      <c r="CD145" s="77">
        <f t="shared" si="493"/>
        <v>156</v>
      </c>
      <c r="CE145" s="77">
        <f t="shared" si="494"/>
        <v>186</v>
      </c>
      <c r="CF145" s="77">
        <f t="shared" si="495"/>
        <v>216</v>
      </c>
      <c r="CG145" s="77">
        <f t="shared" si="496"/>
        <v>246</v>
      </c>
      <c r="CH145" s="77">
        <f t="shared" si="497"/>
        <v>276</v>
      </c>
      <c r="CI145" s="77">
        <f t="shared" si="498"/>
        <v>306</v>
      </c>
      <c r="CJ145" s="77">
        <f t="shared" si="499"/>
        <v>336</v>
      </c>
      <c r="CK145" s="77">
        <f t="shared" si="500"/>
        <v>366</v>
      </c>
      <c r="CL145" s="77">
        <f t="shared" si="501"/>
        <v>396</v>
      </c>
      <c r="CM145" s="77">
        <f t="shared" si="502"/>
        <v>426</v>
      </c>
      <c r="CN145" s="77">
        <f t="shared" si="503"/>
        <v>456</v>
      </c>
      <c r="CO145" s="77">
        <f t="shared" si="504"/>
        <v>486</v>
      </c>
      <c r="CP145" s="77">
        <f t="shared" si="505"/>
        <v>516</v>
      </c>
      <c r="CQ145" s="77">
        <f t="shared" si="506"/>
        <v>526.5</v>
      </c>
      <c r="CR145" s="77">
        <f t="shared" si="507"/>
        <v>565.5</v>
      </c>
      <c r="DM145" s="77">
        <f t="shared" si="508"/>
        <v>84.823001646924411</v>
      </c>
      <c r="DN145" s="77">
        <f t="shared" si="508"/>
        <v>84.823001646924411</v>
      </c>
      <c r="DO145" s="77">
        <f t="shared" si="509"/>
        <v>13.762689096846167</v>
      </c>
      <c r="DP145" s="77">
        <f t="shared" si="509"/>
        <v>13.762689096846167</v>
      </c>
      <c r="DQ145" s="77">
        <f t="shared" si="509"/>
        <v>13.762689096846167</v>
      </c>
      <c r="DR145" s="77">
        <f t="shared" si="509"/>
        <v>13.762689096846167</v>
      </c>
      <c r="DS145" s="77">
        <f t="shared" si="509"/>
        <v>13.762689096846167</v>
      </c>
      <c r="DT145" s="77">
        <f t="shared" si="509"/>
        <v>13.762689096846167</v>
      </c>
      <c r="DU145" s="77">
        <f t="shared" si="509"/>
        <v>13.762689096846167</v>
      </c>
      <c r="DV145" s="77">
        <f t="shared" si="509"/>
        <v>13.762689096846167</v>
      </c>
      <c r="DW145" s="77">
        <f t="shared" si="509"/>
        <v>13.762689096846167</v>
      </c>
      <c r="DX145" s="77">
        <f t="shared" si="509"/>
        <v>13.762689096846167</v>
      </c>
      <c r="DY145" s="77">
        <f t="shared" si="509"/>
        <v>13.762689096846167</v>
      </c>
      <c r="DZ145" s="77">
        <f t="shared" si="509"/>
        <v>13.762689096846167</v>
      </c>
      <c r="EA145" s="77">
        <f t="shared" si="509"/>
        <v>13.762689096846167</v>
      </c>
      <c r="EB145" s="77">
        <f t="shared" si="509"/>
        <v>13.762689096846167</v>
      </c>
      <c r="EC145" s="77">
        <f t="shared" si="509"/>
        <v>13.762689096846167</v>
      </c>
      <c r="ED145" s="77">
        <f t="shared" si="509"/>
        <v>13.762689096846167</v>
      </c>
      <c r="EE145" s="77">
        <f t="shared" si="510"/>
        <v>84.823001646924411</v>
      </c>
      <c r="EF145" s="77">
        <f t="shared" si="510"/>
        <v>84.823001646924411</v>
      </c>
      <c r="FA145" s="77">
        <f t="shared" si="357"/>
        <v>-24810.727981725391</v>
      </c>
      <c r="FB145" s="77">
        <f t="shared" si="361"/>
        <v>-3244.7558432168526</v>
      </c>
      <c r="FC145" s="77">
        <f t="shared" si="460"/>
        <v>2325.8347421474209</v>
      </c>
      <c r="FD145" s="77">
        <f t="shared" si="461"/>
        <v>4450.8536539200495</v>
      </c>
      <c r="FE145" s="77">
        <f t="shared" si="462"/>
        <v>4450.8536539200495</v>
      </c>
      <c r="FF145" s="77">
        <f t="shared" si="463"/>
        <v>4450.8536539200495</v>
      </c>
      <c r="FG145" s="77">
        <f t="shared" si="464"/>
        <v>4450.8536539200495</v>
      </c>
      <c r="FH145" s="77">
        <f t="shared" si="465"/>
        <v>4450.8536539200495</v>
      </c>
      <c r="FI145" s="77">
        <f t="shared" si="466"/>
        <v>4450.8536539200495</v>
      </c>
      <c r="FJ145" s="77">
        <f t="shared" si="467"/>
        <v>4450.8536539200495</v>
      </c>
      <c r="FK145" s="77">
        <f t="shared" si="468"/>
        <v>4450.8536539200495</v>
      </c>
      <c r="FL145" s="77">
        <f t="shared" si="469"/>
        <v>4450.8536539200495</v>
      </c>
      <c r="FM145" s="77">
        <f t="shared" si="470"/>
        <v>4450.8536539200495</v>
      </c>
      <c r="FN145" s="77">
        <f t="shared" si="471"/>
        <v>4450.8536539200495</v>
      </c>
      <c r="FO145" s="77">
        <f t="shared" si="472"/>
        <v>4450.8536539200495</v>
      </c>
      <c r="FP145" s="77">
        <f t="shared" si="473"/>
        <v>4450.8536539200495</v>
      </c>
      <c r="FQ145" s="77">
        <f t="shared" si="474"/>
        <v>4450.8536539200495</v>
      </c>
      <c r="FR145" s="77">
        <f t="shared" si="511"/>
        <v>4450.8536539200495</v>
      </c>
      <c r="FS145" s="77">
        <f t="shared" si="512"/>
        <v>24810.727981725391</v>
      </c>
      <c r="FT145" s="77">
        <f t="shared" si="513"/>
        <v>24810.727981725391</v>
      </c>
      <c r="GO145" s="77">
        <f t="shared" si="275"/>
        <v>6810544.8309836201</v>
      </c>
      <c r="GP145" s="77">
        <f t="shared" si="276"/>
        <v>764140.00107756874</v>
      </c>
      <c r="GQ145" s="77">
        <f t="shared" si="277"/>
        <v>-509357.8085302852</v>
      </c>
      <c r="GR145" s="77">
        <f t="shared" si="278"/>
        <v>-841211.34059088933</v>
      </c>
      <c r="GS145" s="77">
        <f t="shared" si="476"/>
        <v>-707685.73097328783</v>
      </c>
      <c r="GT145" s="77">
        <f t="shared" si="477"/>
        <v>-574160.12135568634</v>
      </c>
      <c r="GU145" s="77">
        <f t="shared" si="478"/>
        <v>-440634.5117380849</v>
      </c>
      <c r="GV145" s="77">
        <f t="shared" si="479"/>
        <v>-307108.9021204834</v>
      </c>
      <c r="GW145" s="77">
        <f t="shared" si="480"/>
        <v>-173583.29250288193</v>
      </c>
      <c r="GX145" s="77">
        <f t="shared" si="481"/>
        <v>-40057.682885280446</v>
      </c>
      <c r="GY145" s="77">
        <f t="shared" si="482"/>
        <v>93467.926732321037</v>
      </c>
      <c r="GZ145" s="77">
        <f t="shared" si="483"/>
        <v>226993.53634992254</v>
      </c>
      <c r="HA145" s="77">
        <f t="shared" si="484"/>
        <v>360519.14596752403</v>
      </c>
      <c r="HB145" s="77">
        <f t="shared" si="485"/>
        <v>494044.75558512547</v>
      </c>
      <c r="HC145" s="77">
        <f t="shared" si="486"/>
        <v>627570.36520272703</v>
      </c>
      <c r="HD145" s="77">
        <f t="shared" si="487"/>
        <v>761095.97482032841</v>
      </c>
      <c r="HE145" s="77">
        <f t="shared" si="488"/>
        <v>894621.58443792991</v>
      </c>
      <c r="HF145" s="77">
        <f t="shared" si="489"/>
        <v>1028147.1940555314</v>
      </c>
      <c r="HG145" s="77">
        <f t="shared" si="490"/>
        <v>5991790.807586682</v>
      </c>
      <c r="HH145" s="77">
        <f t="shared" si="514"/>
        <v>6959409.1988739725</v>
      </c>
      <c r="IC145" s="77">
        <v>153</v>
      </c>
    </row>
    <row r="146" spans="1:237" s="77" customFormat="1">
      <c r="A146" s="77">
        <v>145</v>
      </c>
      <c r="B146" s="69">
        <v>215</v>
      </c>
      <c r="C146" s="69" t="s">
        <v>236</v>
      </c>
      <c r="D146" s="70" t="s">
        <v>164</v>
      </c>
      <c r="E146" s="70">
        <v>3</v>
      </c>
      <c r="F146" s="70">
        <v>7.1192473938469364E-2</v>
      </c>
      <c r="G146" s="70"/>
      <c r="H146" s="70">
        <v>6.2500000000000003E-3</v>
      </c>
      <c r="I146" s="87">
        <v>6.2500000000000003E-3</v>
      </c>
      <c r="J146" s="71">
        <v>0.84210526315789469</v>
      </c>
      <c r="K146" s="72">
        <v>14.25</v>
      </c>
      <c r="L146" s="71">
        <v>9.0285583524027449E-2</v>
      </c>
      <c r="M146" s="71">
        <v>9.0285583524027449E-2</v>
      </c>
      <c r="N146" s="71">
        <v>0.31458810068649884</v>
      </c>
      <c r="O146" s="71">
        <v>1.1624611718202964E-2</v>
      </c>
      <c r="P146" s="71">
        <v>0</v>
      </c>
      <c r="Q146" s="73" t="s">
        <v>28</v>
      </c>
      <c r="R146" s="74">
        <v>0.14285714285714285</v>
      </c>
      <c r="S146" s="75">
        <f t="shared" si="455"/>
        <v>0.47062479396804013</v>
      </c>
      <c r="T146" s="59">
        <f t="shared" si="430"/>
        <v>1.9195777437709518</v>
      </c>
      <c r="U146" s="59">
        <f t="shared" si="431"/>
        <v>1.5121496231976546</v>
      </c>
      <c r="V146" s="59">
        <f t="shared" si="432"/>
        <v>2.4618210558952938</v>
      </c>
      <c r="W146" s="59">
        <f t="shared" si="433"/>
        <v>1.2824805162926725</v>
      </c>
      <c r="X146" s="59">
        <f t="shared" si="434"/>
        <v>1.628027424091423</v>
      </c>
      <c r="Y146" s="86">
        <v>78400</v>
      </c>
      <c r="Z146" s="57">
        <f t="shared" si="435"/>
        <v>127637.35004876756</v>
      </c>
      <c r="AA146" s="57">
        <f t="shared" si="436"/>
        <v>100546.47247734552</v>
      </c>
      <c r="AB146" s="57">
        <f t="shared" si="437"/>
        <v>164033.5913014595</v>
      </c>
      <c r="AC146" s="57">
        <f t="shared" si="438"/>
        <v>0.25</v>
      </c>
      <c r="AD146" s="57">
        <f t="shared" si="439"/>
        <v>1.5</v>
      </c>
      <c r="AE146" s="57">
        <f t="shared" si="440"/>
        <v>0</v>
      </c>
      <c r="AF146" s="57">
        <f t="shared" si="441"/>
        <v>31905.622430196556</v>
      </c>
      <c r="AG146" s="57">
        <f t="shared" si="366"/>
        <v>68640.850047148968</v>
      </c>
      <c r="AH146" s="57">
        <f t="shared" si="442"/>
        <v>53065275.414187327</v>
      </c>
      <c r="AI146" s="57">
        <f t="shared" si="457"/>
        <v>25670848.410513237</v>
      </c>
      <c r="AJ146" s="77">
        <v>0</v>
      </c>
      <c r="AK146" s="77">
        <v>43.7</v>
      </c>
      <c r="AL146" s="78">
        <f t="shared" si="443"/>
        <v>3.6678740166948294</v>
      </c>
      <c r="AM146" s="57">
        <f t="shared" si="444"/>
        <v>0.98499999999999999</v>
      </c>
      <c r="AN146" s="57">
        <f t="shared" si="445"/>
        <v>0.78500000000000003</v>
      </c>
      <c r="AO146" s="77">
        <v>570</v>
      </c>
      <c r="AP146" s="79">
        <v>60</v>
      </c>
      <c r="AQ146" s="77">
        <f t="shared" si="446"/>
        <v>26.333180253503858</v>
      </c>
      <c r="AR146" s="57">
        <f t="shared" si="447"/>
        <v>450</v>
      </c>
      <c r="AS146" s="77">
        <f t="shared" si="448"/>
        <v>543.66681974649612</v>
      </c>
      <c r="AT146" s="77">
        <v>40</v>
      </c>
      <c r="AU146" s="77">
        <v>480</v>
      </c>
      <c r="AV146" s="77">
        <f t="shared" si="449"/>
        <v>18000</v>
      </c>
      <c r="AW146" s="77">
        <f t="shared" si="367"/>
        <v>7200</v>
      </c>
      <c r="AX146" s="77">
        <f t="shared" si="450"/>
        <v>22800</v>
      </c>
      <c r="AY146" s="77">
        <v>25200</v>
      </c>
      <c r="AZ146" s="77">
        <v>323.39999999999998</v>
      </c>
      <c r="BA146" s="77">
        <v>323.39999999999998</v>
      </c>
      <c r="BB146" s="77">
        <v>292.5</v>
      </c>
      <c r="BC146" s="77">
        <v>323.39999999999998</v>
      </c>
      <c r="BD146" s="77">
        <v>1.2200000000000001E-2</v>
      </c>
      <c r="BE146" s="77">
        <v>1.2200000000000001E-2</v>
      </c>
      <c r="BF146" s="77">
        <v>4.7E-2</v>
      </c>
      <c r="BH146" s="79">
        <v>30</v>
      </c>
      <c r="BI146" s="79">
        <f t="shared" si="458"/>
        <v>5.5154586024585797</v>
      </c>
      <c r="BJ146" s="79">
        <v>1</v>
      </c>
      <c r="BK146" s="57">
        <f t="shared" si="459"/>
        <v>5.5154586024585797</v>
      </c>
      <c r="BL146" s="57">
        <f t="shared" si="515"/>
        <v>219.60000000000002</v>
      </c>
      <c r="BM146" s="80">
        <f t="shared" si="363"/>
        <v>28.274333882308138</v>
      </c>
      <c r="BN146" s="80">
        <v>6</v>
      </c>
      <c r="BO146" s="57">
        <f t="shared" si="451"/>
        <v>169.64600329384882</v>
      </c>
      <c r="BP146" s="57">
        <f t="shared" si="452"/>
        <v>193006.77078219102</v>
      </c>
      <c r="BQ146" s="77">
        <f t="shared" si="453"/>
        <v>4.5110937207937241E-10</v>
      </c>
      <c r="BR146" s="57">
        <v>92643249.975451693</v>
      </c>
      <c r="BS146" s="57">
        <v>52.666360507007717</v>
      </c>
      <c r="BT146" s="57">
        <f t="shared" si="456"/>
        <v>12.955963241304548</v>
      </c>
      <c r="BU146" s="57"/>
      <c r="BV146" s="57">
        <v>3.3E-3</v>
      </c>
      <c r="BW146" s="57">
        <v>30000</v>
      </c>
      <c r="BX146" s="57">
        <v>200000</v>
      </c>
      <c r="BY146" s="77">
        <v>10.5</v>
      </c>
      <c r="BZ146" s="77">
        <v>49.5</v>
      </c>
      <c r="CA146" s="77">
        <v>67</v>
      </c>
      <c r="CB146" s="77">
        <f t="shared" si="491"/>
        <v>97</v>
      </c>
      <c r="CC146" s="77">
        <f t="shared" si="492"/>
        <v>127</v>
      </c>
      <c r="CD146" s="77">
        <f t="shared" si="493"/>
        <v>157</v>
      </c>
      <c r="CE146" s="77">
        <f t="shared" si="494"/>
        <v>187</v>
      </c>
      <c r="CF146" s="77">
        <f t="shared" si="495"/>
        <v>217</v>
      </c>
      <c r="CG146" s="77">
        <f t="shared" si="496"/>
        <v>247</v>
      </c>
      <c r="CH146" s="77">
        <f t="shared" si="497"/>
        <v>277</v>
      </c>
      <c r="CI146" s="77">
        <f t="shared" si="498"/>
        <v>307</v>
      </c>
      <c r="CJ146" s="77">
        <f t="shared" si="499"/>
        <v>337</v>
      </c>
      <c r="CK146" s="77">
        <f t="shared" si="500"/>
        <v>367</v>
      </c>
      <c r="CL146" s="77">
        <f t="shared" si="501"/>
        <v>397</v>
      </c>
      <c r="CM146" s="77">
        <f t="shared" si="502"/>
        <v>427</v>
      </c>
      <c r="CN146" s="77">
        <f t="shared" si="503"/>
        <v>457</v>
      </c>
      <c r="CO146" s="77">
        <f t="shared" si="504"/>
        <v>487</v>
      </c>
      <c r="CP146" s="77">
        <f t="shared" si="505"/>
        <v>517</v>
      </c>
      <c r="CQ146" s="77">
        <f t="shared" si="506"/>
        <v>527.5</v>
      </c>
      <c r="CR146" s="77">
        <f t="shared" si="507"/>
        <v>566.5</v>
      </c>
      <c r="DM146" s="77">
        <f t="shared" si="508"/>
        <v>84.823001646924411</v>
      </c>
      <c r="DN146" s="77">
        <f t="shared" si="508"/>
        <v>84.823001646924411</v>
      </c>
      <c r="DO146" s="77">
        <f t="shared" si="509"/>
        <v>13.762689096846167</v>
      </c>
      <c r="DP146" s="77">
        <f t="shared" si="509"/>
        <v>13.762689096846167</v>
      </c>
      <c r="DQ146" s="77">
        <f t="shared" si="509"/>
        <v>13.762689096846167</v>
      </c>
      <c r="DR146" s="77">
        <f t="shared" si="509"/>
        <v>13.762689096846167</v>
      </c>
      <c r="DS146" s="77">
        <f t="shared" si="509"/>
        <v>13.762689096846167</v>
      </c>
      <c r="DT146" s="77">
        <f t="shared" si="509"/>
        <v>13.762689096846167</v>
      </c>
      <c r="DU146" s="77">
        <f t="shared" si="509"/>
        <v>13.762689096846167</v>
      </c>
      <c r="DV146" s="77">
        <f t="shared" si="509"/>
        <v>13.762689096846167</v>
      </c>
      <c r="DW146" s="77">
        <f t="shared" si="509"/>
        <v>13.762689096846167</v>
      </c>
      <c r="DX146" s="77">
        <f t="shared" si="509"/>
        <v>13.762689096846167</v>
      </c>
      <c r="DY146" s="77">
        <f t="shared" si="509"/>
        <v>13.762689096846167</v>
      </c>
      <c r="DZ146" s="77">
        <f t="shared" si="509"/>
        <v>13.762689096846167</v>
      </c>
      <c r="EA146" s="77">
        <f t="shared" si="509"/>
        <v>13.762689096846167</v>
      </c>
      <c r="EB146" s="77">
        <f t="shared" si="509"/>
        <v>13.762689096846167</v>
      </c>
      <c r="EC146" s="77">
        <f t="shared" si="509"/>
        <v>13.762689096846167</v>
      </c>
      <c r="ED146" s="77">
        <f t="shared" si="509"/>
        <v>13.762689096846167</v>
      </c>
      <c r="EE146" s="77">
        <f t="shared" si="510"/>
        <v>84.823001646924411</v>
      </c>
      <c r="EF146" s="77">
        <f t="shared" si="510"/>
        <v>84.823001646924411</v>
      </c>
      <c r="FA146" s="77">
        <f t="shared" ref="FA146:FA173" si="516">IF(ABS(-$BV146*($BS146-BY146)/$BS146*$BX146)&gt;$BB146,$BB146*SIGN(-($BS146-BY146)),-$BV146*($BS146-BY146)/$BS146*$BX146)*DM146</f>
        <v>-24810.727981725391</v>
      </c>
      <c r="FB146" s="77">
        <f t="shared" si="361"/>
        <v>-3365.7714705168801</v>
      </c>
      <c r="FC146" s="77">
        <f t="shared" si="460"/>
        <v>2472.1248737469309</v>
      </c>
      <c r="FD146" s="77">
        <f t="shared" si="461"/>
        <v>4450.8536539200495</v>
      </c>
      <c r="FE146" s="77">
        <f t="shared" si="462"/>
        <v>4450.8536539200495</v>
      </c>
      <c r="FF146" s="77">
        <f t="shared" si="463"/>
        <v>4450.8536539200495</v>
      </c>
      <c r="FG146" s="77">
        <f t="shared" si="464"/>
        <v>4450.8536539200495</v>
      </c>
      <c r="FH146" s="77">
        <f t="shared" si="465"/>
        <v>4450.8536539200495</v>
      </c>
      <c r="FI146" s="77">
        <f t="shared" si="466"/>
        <v>4450.8536539200495</v>
      </c>
      <c r="FJ146" s="77">
        <f t="shared" si="467"/>
        <v>4450.8536539200495</v>
      </c>
      <c r="FK146" s="77">
        <f t="shared" si="468"/>
        <v>4450.8536539200495</v>
      </c>
      <c r="FL146" s="77">
        <f t="shared" si="469"/>
        <v>4450.8536539200495</v>
      </c>
      <c r="FM146" s="77">
        <f t="shared" si="470"/>
        <v>4450.8536539200495</v>
      </c>
      <c r="FN146" s="77">
        <f t="shared" si="471"/>
        <v>4450.8536539200495</v>
      </c>
      <c r="FO146" s="77">
        <f t="shared" si="472"/>
        <v>4450.8536539200495</v>
      </c>
      <c r="FP146" s="77">
        <f t="shared" si="473"/>
        <v>4450.8536539200495</v>
      </c>
      <c r="FQ146" s="77">
        <f t="shared" si="474"/>
        <v>4450.8536539200495</v>
      </c>
      <c r="FR146" s="77">
        <f t="shared" si="511"/>
        <v>4450.8536539200495</v>
      </c>
      <c r="FS146" s="77">
        <f t="shared" si="512"/>
        <v>24810.727981725391</v>
      </c>
      <c r="FT146" s="77">
        <f t="shared" si="513"/>
        <v>24810.727981725391</v>
      </c>
      <c r="GO146" s="77">
        <f t="shared" si="275"/>
        <v>6810544.8309836201</v>
      </c>
      <c r="GP146" s="77">
        <f t="shared" si="276"/>
        <v>792639.18130672525</v>
      </c>
      <c r="GQ146" s="77">
        <f t="shared" si="277"/>
        <v>-538923.22247683094</v>
      </c>
      <c r="GR146" s="77">
        <f t="shared" si="278"/>
        <v>-836760.48693696933</v>
      </c>
      <c r="GS146" s="77">
        <f t="shared" si="476"/>
        <v>-703234.87731936784</v>
      </c>
      <c r="GT146" s="77">
        <f t="shared" si="477"/>
        <v>-569709.26770176634</v>
      </c>
      <c r="GU146" s="77">
        <f t="shared" si="478"/>
        <v>-436183.65808416484</v>
      </c>
      <c r="GV146" s="77">
        <f t="shared" si="479"/>
        <v>-302658.04846656334</v>
      </c>
      <c r="GW146" s="77">
        <f t="shared" si="480"/>
        <v>-169132.43884896187</v>
      </c>
      <c r="GX146" s="77">
        <f t="shared" si="481"/>
        <v>-35606.829231360396</v>
      </c>
      <c r="GY146" s="77">
        <f t="shared" si="482"/>
        <v>97918.780386241095</v>
      </c>
      <c r="GZ146" s="77">
        <f t="shared" si="483"/>
        <v>231444.39000384256</v>
      </c>
      <c r="HA146" s="77">
        <f t="shared" si="484"/>
        <v>364969.99962144403</v>
      </c>
      <c r="HB146" s="77">
        <f t="shared" si="485"/>
        <v>498495.60923904553</v>
      </c>
      <c r="HC146" s="77">
        <f t="shared" si="486"/>
        <v>632021.21885664703</v>
      </c>
      <c r="HD146" s="77">
        <f t="shared" si="487"/>
        <v>765546.82847424853</v>
      </c>
      <c r="HE146" s="77">
        <f t="shared" si="488"/>
        <v>899072.43809185002</v>
      </c>
      <c r="HF146" s="77">
        <f t="shared" si="489"/>
        <v>1032598.0477094515</v>
      </c>
      <c r="HG146" s="77">
        <f t="shared" si="490"/>
        <v>6016601.5355684077</v>
      </c>
      <c r="HH146" s="77">
        <f t="shared" si="514"/>
        <v>6984219.9268556973</v>
      </c>
      <c r="IC146" s="77">
        <v>154</v>
      </c>
    </row>
    <row r="147" spans="1:237" s="77" customFormat="1">
      <c r="A147" s="77">
        <v>146</v>
      </c>
      <c r="B147" s="69">
        <v>216</v>
      </c>
      <c r="C147" s="69" t="s">
        <v>236</v>
      </c>
      <c r="D147" s="70" t="s">
        <v>165</v>
      </c>
      <c r="E147" s="70">
        <v>3</v>
      </c>
      <c r="F147" s="70">
        <v>8.9311002178649235E-2</v>
      </c>
      <c r="G147" s="70"/>
      <c r="H147" s="70">
        <v>6.2500000000000003E-3</v>
      </c>
      <c r="I147" s="87">
        <v>6.2500000000000003E-3</v>
      </c>
      <c r="J147" s="71">
        <v>0.84210526315789469</v>
      </c>
      <c r="K147" s="72">
        <v>14.25</v>
      </c>
      <c r="L147" s="71">
        <v>9.6702941176470589E-2</v>
      </c>
      <c r="M147" s="71">
        <v>9.6702941176470589E-2</v>
      </c>
      <c r="N147" s="71">
        <v>0.33694852941176473</v>
      </c>
      <c r="O147" s="71">
        <v>1.2450870884447783E-2</v>
      </c>
      <c r="P147" s="71">
        <v>0</v>
      </c>
      <c r="Q147" s="73" t="s">
        <v>28</v>
      </c>
      <c r="R147" s="74">
        <v>0.14285714285714285</v>
      </c>
      <c r="S147" s="75">
        <f t="shared" si="455"/>
        <v>0.57047293405937438</v>
      </c>
      <c r="T147" s="59">
        <f t="shared" si="430"/>
        <v>1.9459622561497456</v>
      </c>
      <c r="U147" s="59">
        <f t="shared" si="431"/>
        <v>1.527367699559055</v>
      </c>
      <c r="V147" s="59">
        <f t="shared" si="432"/>
        <v>2.1018749903679175</v>
      </c>
      <c r="W147" s="59">
        <f t="shared" si="433"/>
        <v>1.0801211502049677</v>
      </c>
      <c r="X147" s="59">
        <f t="shared" si="434"/>
        <v>1.3761420979209655</v>
      </c>
      <c r="Y147" s="86">
        <v>91826</v>
      </c>
      <c r="Z147" s="57">
        <f t="shared" si="435"/>
        <v>126365.62428369059</v>
      </c>
      <c r="AA147" s="57">
        <f t="shared" si="436"/>
        <v>99183.204738721368</v>
      </c>
      <c r="AB147" s="57">
        <f t="shared" si="437"/>
        <v>157092.03860378469</v>
      </c>
      <c r="AC147" s="57">
        <f t="shared" si="438"/>
        <v>0.25</v>
      </c>
      <c r="AD147" s="57">
        <f t="shared" si="439"/>
        <v>1.5</v>
      </c>
      <c r="AE147" s="57">
        <f t="shared" si="440"/>
        <v>0</v>
      </c>
      <c r="AF147" s="57">
        <f t="shared" si="441"/>
        <v>30667.237701529353</v>
      </c>
      <c r="AG147" s="57">
        <f t="shared" si="366"/>
        <v>68515.967037192007</v>
      </c>
      <c r="AH147" s="57">
        <f t="shared" si="442"/>
        <v>49831494.29671596</v>
      </c>
      <c r="AI147" s="57">
        <f t="shared" si="457"/>
        <v>25572684.233100694</v>
      </c>
      <c r="AJ147" s="77">
        <v>0</v>
      </c>
      <c r="AK147" s="77">
        <v>40.799999999999997</v>
      </c>
      <c r="AL147" s="78">
        <f t="shared" si="443"/>
        <v>3.531935058026697</v>
      </c>
      <c r="AM147" s="57">
        <f t="shared" si="444"/>
        <v>0.99263157894736842</v>
      </c>
      <c r="AN147" s="57">
        <f t="shared" si="445"/>
        <v>0.79263157894736846</v>
      </c>
      <c r="AO147" s="77">
        <v>570</v>
      </c>
      <c r="AP147" s="79">
        <v>60</v>
      </c>
      <c r="AQ147" s="77">
        <f t="shared" si="446"/>
        <v>27.322310615628304</v>
      </c>
      <c r="AR147" s="57">
        <f t="shared" si="447"/>
        <v>450</v>
      </c>
      <c r="AS147" s="77">
        <f t="shared" si="448"/>
        <v>542.67768938437166</v>
      </c>
      <c r="AT147" s="77">
        <v>40</v>
      </c>
      <c r="AU147" s="77">
        <v>480</v>
      </c>
      <c r="AV147" s="77">
        <f t="shared" si="449"/>
        <v>18000</v>
      </c>
      <c r="AW147" s="77">
        <f t="shared" si="367"/>
        <v>7200</v>
      </c>
      <c r="AX147" s="77">
        <f t="shared" si="450"/>
        <v>22800</v>
      </c>
      <c r="AY147" s="77">
        <v>25200</v>
      </c>
      <c r="AZ147" s="77">
        <v>323.39999999999998</v>
      </c>
      <c r="BA147" s="77">
        <v>323.39999999999998</v>
      </c>
      <c r="BB147" s="77">
        <v>292.5</v>
      </c>
      <c r="BC147" s="77">
        <v>323.39999999999998</v>
      </c>
      <c r="BD147" s="77">
        <v>1.2200000000000001E-2</v>
      </c>
      <c r="BE147" s="77">
        <v>1.2200000000000001E-2</v>
      </c>
      <c r="BF147" s="77">
        <v>4.7E-2</v>
      </c>
      <c r="BH147" s="79">
        <v>30</v>
      </c>
      <c r="BI147" s="79">
        <f t="shared" si="458"/>
        <v>5.5154586024585797</v>
      </c>
      <c r="BJ147" s="79">
        <v>1</v>
      </c>
      <c r="BK147" s="57">
        <f t="shared" si="459"/>
        <v>5.5154586024585797</v>
      </c>
      <c r="BL147" s="57">
        <f t="shared" si="515"/>
        <v>219.60000000000002</v>
      </c>
      <c r="BM147" s="80">
        <f t="shared" si="363"/>
        <v>28.274333882308138</v>
      </c>
      <c r="BN147" s="80">
        <v>6</v>
      </c>
      <c r="BO147" s="57">
        <f t="shared" si="451"/>
        <v>169.64600329384882</v>
      </c>
      <c r="BP147" s="57">
        <f t="shared" si="452"/>
        <v>193006.77286552437</v>
      </c>
      <c r="BQ147" s="77">
        <f t="shared" si="453"/>
        <v>2.6193447411060333E-10</v>
      </c>
      <c r="BR147" s="57">
        <v>92643250.975451693</v>
      </c>
      <c r="BS147" s="57">
        <v>54.644621231256608</v>
      </c>
      <c r="BT147" s="57">
        <f t="shared" si="456"/>
        <v>13.497918010673859</v>
      </c>
      <c r="BU147" s="57"/>
      <c r="BV147" s="57">
        <v>3.3E-3</v>
      </c>
      <c r="BW147" s="57">
        <v>30000</v>
      </c>
      <c r="BX147" s="57">
        <v>200000</v>
      </c>
      <c r="BY147" s="77">
        <v>10.5</v>
      </c>
      <c r="BZ147" s="77">
        <v>49.5</v>
      </c>
      <c r="CA147" s="77">
        <v>68</v>
      </c>
      <c r="CB147" s="77">
        <f t="shared" si="491"/>
        <v>98</v>
      </c>
      <c r="CC147" s="77">
        <f t="shared" si="492"/>
        <v>128</v>
      </c>
      <c r="CD147" s="77">
        <f t="shared" si="493"/>
        <v>158</v>
      </c>
      <c r="CE147" s="77">
        <f t="shared" si="494"/>
        <v>188</v>
      </c>
      <c r="CF147" s="77">
        <f t="shared" si="495"/>
        <v>218</v>
      </c>
      <c r="CG147" s="77">
        <f t="shared" si="496"/>
        <v>248</v>
      </c>
      <c r="CH147" s="77">
        <f t="shared" si="497"/>
        <v>278</v>
      </c>
      <c r="CI147" s="77">
        <f t="shared" si="498"/>
        <v>308</v>
      </c>
      <c r="CJ147" s="77">
        <f t="shared" si="499"/>
        <v>338</v>
      </c>
      <c r="CK147" s="77">
        <f t="shared" si="500"/>
        <v>368</v>
      </c>
      <c r="CL147" s="77">
        <f t="shared" si="501"/>
        <v>398</v>
      </c>
      <c r="CM147" s="77">
        <f t="shared" si="502"/>
        <v>428</v>
      </c>
      <c r="CN147" s="77">
        <f t="shared" si="503"/>
        <v>458</v>
      </c>
      <c r="CO147" s="77">
        <f t="shared" si="504"/>
        <v>488</v>
      </c>
      <c r="CP147" s="77">
        <f t="shared" si="505"/>
        <v>518</v>
      </c>
      <c r="CQ147" s="77">
        <f t="shared" si="506"/>
        <v>528.5</v>
      </c>
      <c r="CR147" s="77">
        <f t="shared" si="507"/>
        <v>567.5</v>
      </c>
      <c r="DM147" s="77">
        <f t="shared" si="508"/>
        <v>84.823001646924411</v>
      </c>
      <c r="DN147" s="77">
        <f t="shared" si="508"/>
        <v>84.823001646924411</v>
      </c>
      <c r="DO147" s="77">
        <f t="shared" si="509"/>
        <v>13.762689096846167</v>
      </c>
      <c r="DP147" s="77">
        <f t="shared" si="509"/>
        <v>13.762689096846167</v>
      </c>
      <c r="DQ147" s="77">
        <f t="shared" si="509"/>
        <v>13.762689096846167</v>
      </c>
      <c r="DR147" s="77">
        <f t="shared" si="509"/>
        <v>13.762689096846167</v>
      </c>
      <c r="DS147" s="77">
        <f t="shared" si="509"/>
        <v>13.762689096846167</v>
      </c>
      <c r="DT147" s="77">
        <f t="shared" si="509"/>
        <v>13.762689096846167</v>
      </c>
      <c r="DU147" s="77">
        <f t="shared" si="509"/>
        <v>13.762689096846167</v>
      </c>
      <c r="DV147" s="77">
        <f t="shared" si="509"/>
        <v>13.762689096846167</v>
      </c>
      <c r="DW147" s="77">
        <f t="shared" si="509"/>
        <v>13.762689096846167</v>
      </c>
      <c r="DX147" s="77">
        <f t="shared" si="509"/>
        <v>13.762689096846167</v>
      </c>
      <c r="DY147" s="77">
        <f t="shared" si="509"/>
        <v>13.762689096846167</v>
      </c>
      <c r="DZ147" s="77">
        <f t="shared" si="509"/>
        <v>13.762689096846167</v>
      </c>
      <c r="EA147" s="77">
        <f t="shared" si="509"/>
        <v>13.762689096846167</v>
      </c>
      <c r="EB147" s="77">
        <f t="shared" si="509"/>
        <v>13.762689096846167</v>
      </c>
      <c r="EC147" s="77">
        <f t="shared" si="509"/>
        <v>13.762689096846167</v>
      </c>
      <c r="ED147" s="77">
        <f t="shared" si="509"/>
        <v>13.762689096846167</v>
      </c>
      <c r="EE147" s="77">
        <f t="shared" si="510"/>
        <v>84.823001646924411</v>
      </c>
      <c r="EF147" s="77">
        <f t="shared" si="510"/>
        <v>84.823001646924411</v>
      </c>
      <c r="FA147" s="77">
        <f t="shared" si="516"/>
        <v>-24810.727981725391</v>
      </c>
      <c r="FB147" s="77">
        <f t="shared" si="361"/>
        <v>-5270.6424808846023</v>
      </c>
      <c r="FC147" s="77">
        <f t="shared" si="460"/>
        <v>2220.0155893001461</v>
      </c>
      <c r="FD147" s="77">
        <f t="shared" si="461"/>
        <v>4450.8536539200495</v>
      </c>
      <c r="FE147" s="77">
        <f t="shared" si="462"/>
        <v>4450.8536539200495</v>
      </c>
      <c r="FF147" s="77">
        <f t="shared" si="463"/>
        <v>4450.8536539200495</v>
      </c>
      <c r="FG147" s="77">
        <f t="shared" si="464"/>
        <v>4450.8536539200495</v>
      </c>
      <c r="FH147" s="77">
        <f t="shared" si="465"/>
        <v>4450.8536539200495</v>
      </c>
      <c r="FI147" s="77">
        <f t="shared" si="466"/>
        <v>4450.8536539200495</v>
      </c>
      <c r="FJ147" s="77">
        <f t="shared" si="467"/>
        <v>4450.8536539200495</v>
      </c>
      <c r="FK147" s="77">
        <f t="shared" si="468"/>
        <v>4450.8536539200495</v>
      </c>
      <c r="FL147" s="77">
        <f t="shared" si="469"/>
        <v>4450.8536539200495</v>
      </c>
      <c r="FM147" s="77">
        <f t="shared" si="470"/>
        <v>4450.8536539200495</v>
      </c>
      <c r="FN147" s="77">
        <f t="shared" si="471"/>
        <v>4450.8536539200495</v>
      </c>
      <c r="FO147" s="77">
        <f t="shared" si="472"/>
        <v>4450.8536539200495</v>
      </c>
      <c r="FP147" s="77">
        <f t="shared" si="473"/>
        <v>4450.8536539200495</v>
      </c>
      <c r="FQ147" s="77">
        <f t="shared" si="474"/>
        <v>4450.8536539200495</v>
      </c>
      <c r="FR147" s="77">
        <f t="shared" si="511"/>
        <v>4450.8536539200495</v>
      </c>
      <c r="FS147" s="77">
        <f t="shared" si="512"/>
        <v>24810.727981725391</v>
      </c>
      <c r="FT147" s="77">
        <f t="shared" si="513"/>
        <v>24810.727981725391</v>
      </c>
      <c r="GO147" s="77">
        <f t="shared" si="275"/>
        <v>6810544.8309836201</v>
      </c>
      <c r="GP147" s="77">
        <f t="shared" si="276"/>
        <v>1241236.3042483239</v>
      </c>
      <c r="GQ147" s="77">
        <f t="shared" si="277"/>
        <v>-481743.3828781317</v>
      </c>
      <c r="GR147" s="77">
        <f t="shared" si="278"/>
        <v>-832309.63328304922</v>
      </c>
      <c r="GS147" s="77">
        <f t="shared" si="476"/>
        <v>-698784.02366544772</v>
      </c>
      <c r="GT147" s="77">
        <f t="shared" si="477"/>
        <v>-565258.41404784634</v>
      </c>
      <c r="GU147" s="77">
        <f t="shared" si="478"/>
        <v>-431732.80443024478</v>
      </c>
      <c r="GV147" s="77">
        <f t="shared" si="479"/>
        <v>-298207.19481264334</v>
      </c>
      <c r="GW147" s="77">
        <f t="shared" si="480"/>
        <v>-164681.58519504184</v>
      </c>
      <c r="GX147" s="77">
        <f t="shared" si="481"/>
        <v>-31155.975577440346</v>
      </c>
      <c r="GY147" s="77">
        <f t="shared" si="482"/>
        <v>102369.63404016114</v>
      </c>
      <c r="GZ147" s="77">
        <f t="shared" si="483"/>
        <v>235895.24365776262</v>
      </c>
      <c r="HA147" s="77">
        <f t="shared" si="484"/>
        <v>369420.85327536409</v>
      </c>
      <c r="HB147" s="77">
        <f t="shared" si="485"/>
        <v>502946.46289296559</v>
      </c>
      <c r="HC147" s="77">
        <f t="shared" si="486"/>
        <v>636472.07251056703</v>
      </c>
      <c r="HD147" s="77">
        <f t="shared" si="487"/>
        <v>769997.68212816853</v>
      </c>
      <c r="HE147" s="77">
        <f t="shared" si="488"/>
        <v>903523.29174577002</v>
      </c>
      <c r="HF147" s="77">
        <f t="shared" si="489"/>
        <v>1037048.9013633715</v>
      </c>
      <c r="HG147" s="77">
        <f t="shared" si="490"/>
        <v>6041412.2635501325</v>
      </c>
      <c r="HH147" s="77">
        <f t="shared" si="514"/>
        <v>7009030.654837423</v>
      </c>
      <c r="IC147" s="77">
        <v>155</v>
      </c>
    </row>
    <row r="148" spans="1:237" s="77" customFormat="1">
      <c r="A148" s="77">
        <v>147</v>
      </c>
      <c r="B148" s="69">
        <v>219</v>
      </c>
      <c r="C148" s="69" t="s">
        <v>236</v>
      </c>
      <c r="D148" s="70" t="s">
        <v>166</v>
      </c>
      <c r="E148" s="70">
        <v>3</v>
      </c>
      <c r="F148" s="70">
        <v>0.17619561308881695</v>
      </c>
      <c r="G148" s="70">
        <v>3.0864199999999999E-3</v>
      </c>
      <c r="H148" s="70">
        <v>4.4444439999999997E-3</v>
      </c>
      <c r="I148" s="70">
        <v>6.1728395061728392E-3</v>
      </c>
      <c r="J148" s="84">
        <v>0.4</v>
      </c>
      <c r="K148" s="72">
        <v>33</v>
      </c>
      <c r="L148" s="71">
        <v>0.18303786407766989</v>
      </c>
      <c r="M148" s="71">
        <v>0.18303786407766989</v>
      </c>
      <c r="N148" s="71">
        <v>0.34102572815533977</v>
      </c>
      <c r="O148" s="71">
        <v>1.5731050754413452E-2</v>
      </c>
      <c r="P148" s="71">
        <v>0</v>
      </c>
      <c r="Q148" s="73" t="s">
        <v>28</v>
      </c>
      <c r="R148" s="74">
        <v>0.2</v>
      </c>
      <c r="S148" s="75">
        <f t="shared" si="455"/>
        <v>0.7997029560267539</v>
      </c>
      <c r="T148" s="59">
        <f t="shared" si="430"/>
        <v>1.9156708312597821</v>
      </c>
      <c r="U148" s="59">
        <f t="shared" si="431"/>
        <v>1.5259557552163268</v>
      </c>
      <c r="V148" s="59">
        <f t="shared" si="432"/>
        <v>1.5123180600727832</v>
      </c>
      <c r="W148" s="59">
        <f t="shared" si="433"/>
        <v>0.7894456789730695</v>
      </c>
      <c r="X148" s="59">
        <f t="shared" si="434"/>
        <v>0.99106285021900231</v>
      </c>
      <c r="Y148" s="86">
        <v>2352000</v>
      </c>
      <c r="Z148" s="57">
        <f t="shared" si="435"/>
        <v>2330979.8237150935</v>
      </c>
      <c r="AA148" s="57">
        <f t="shared" si="436"/>
        <v>1856776.2369446594</v>
      </c>
      <c r="AB148" s="57">
        <f t="shared" si="437"/>
        <v>3817755.9733757232</v>
      </c>
      <c r="AC148" s="57">
        <f t="shared" si="438"/>
        <v>0.25</v>
      </c>
      <c r="AD148" s="57">
        <f t="shared" si="439"/>
        <v>1.5</v>
      </c>
      <c r="AE148" s="57">
        <f t="shared" si="440"/>
        <v>0</v>
      </c>
      <c r="AF148" s="57">
        <f t="shared" si="441"/>
        <v>428812.28933557932</v>
      </c>
      <c r="AG148" s="57">
        <f t="shared" ref="AG148:AG177" si="517">0.8*AZ148*BK148/BH148*AS148</f>
        <v>1427963.94760908</v>
      </c>
      <c r="AH148" s="57">
        <f t="shared" si="442"/>
        <v>3117749585.6267662</v>
      </c>
      <c r="AI148" s="57">
        <f t="shared" si="457"/>
        <v>3067015091.2419052</v>
      </c>
      <c r="AJ148" s="77">
        <v>0</v>
      </c>
      <c r="AK148" s="77">
        <v>20.6</v>
      </c>
      <c r="AL148" s="78">
        <f t="shared" si="443"/>
        <v>2.4253621240413592</v>
      </c>
      <c r="AM148" s="57">
        <f t="shared" si="444"/>
        <v>1</v>
      </c>
      <c r="AN148" s="57">
        <f t="shared" si="445"/>
        <v>0.8</v>
      </c>
      <c r="AO148" s="77">
        <v>3960</v>
      </c>
      <c r="AP148" s="79">
        <v>360</v>
      </c>
      <c r="AQ148" s="77">
        <f t="shared" si="446"/>
        <v>276.59566519825842</v>
      </c>
      <c r="AR148" s="57">
        <f t="shared" si="447"/>
        <v>3240</v>
      </c>
      <c r="AS148" s="77">
        <f t="shared" si="448"/>
        <v>3683.4043348017417</v>
      </c>
      <c r="AT148" s="77">
        <v>120</v>
      </c>
      <c r="AU148" s="77">
        <v>1620</v>
      </c>
      <c r="AV148" s="77">
        <f t="shared" si="449"/>
        <v>388800</v>
      </c>
      <c r="AW148" s="77">
        <f t="shared" ref="AW148:AW155" si="518">360*360*2</f>
        <v>259200</v>
      </c>
      <c r="AX148" s="77">
        <f t="shared" si="450"/>
        <v>475200</v>
      </c>
      <c r="AY148" s="77">
        <v>648000</v>
      </c>
      <c r="AZ148" s="77">
        <v>571.29999999999995</v>
      </c>
      <c r="BA148" s="77">
        <v>571.29999999999995</v>
      </c>
      <c r="BB148" s="77">
        <v>396.9</v>
      </c>
      <c r="BC148" s="77">
        <v>284.2</v>
      </c>
      <c r="BD148" s="77">
        <v>6.6E-3</v>
      </c>
      <c r="BE148" s="77">
        <v>6.6E-3</v>
      </c>
      <c r="BF148" s="77">
        <v>1.77E-2</v>
      </c>
      <c r="BH148" s="79">
        <v>150</v>
      </c>
      <c r="BI148" s="79">
        <f>PI()*9*9/4</f>
        <v>63.617251235193308</v>
      </c>
      <c r="BJ148" s="79">
        <v>2</v>
      </c>
      <c r="BK148" s="57">
        <f t="shared" si="459"/>
        <v>127.23450247038662</v>
      </c>
      <c r="BL148" s="57">
        <f t="shared" si="515"/>
        <v>2566.08</v>
      </c>
      <c r="BM148" s="80">
        <f t="shared" ref="BM148:BM155" si="519">PI()*19*19/4</f>
        <v>283.5287369864788</v>
      </c>
      <c r="BN148" s="80">
        <v>8</v>
      </c>
      <c r="BO148" s="57">
        <f t="shared" si="451"/>
        <v>2268.2298958918304</v>
      </c>
      <c r="BP148" s="57">
        <f t="shared" si="452"/>
        <v>3556972.077291186</v>
      </c>
      <c r="BQ148" s="77">
        <f t="shared" si="453"/>
        <v>-1.6065314412117004E-8</v>
      </c>
      <c r="BR148" s="57">
        <f t="shared" ref="BR148:BR210" si="520">-AM148*AT148*BS148*AK148*(BS148/2-0.5*AO148)+SUM(GO148:IB148)</f>
        <v>5762294765.2117214</v>
      </c>
      <c r="BS148" s="57">
        <v>553.19133039651683</v>
      </c>
      <c r="BT148" s="57">
        <f t="shared" si="456"/>
        <v>257.58865458436043</v>
      </c>
      <c r="BU148" s="57"/>
      <c r="BV148" s="57">
        <v>3.3E-3</v>
      </c>
      <c r="BW148" s="57">
        <v>30000</v>
      </c>
      <c r="BX148" s="57">
        <v>200000</v>
      </c>
      <c r="BY148" s="77">
        <v>41.5</v>
      </c>
      <c r="BZ148" s="77">
        <v>180</v>
      </c>
      <c r="CA148" s="77">
        <v>318.5</v>
      </c>
      <c r="CB148" s="77">
        <v>555</v>
      </c>
      <c r="CC148" s="77">
        <v>705</v>
      </c>
      <c r="CD148" s="77">
        <v>855</v>
      </c>
      <c r="CE148" s="77">
        <v>1005</v>
      </c>
      <c r="CF148" s="77">
        <v>1155</v>
      </c>
      <c r="CG148" s="77">
        <v>1305</v>
      </c>
      <c r="CH148" s="77">
        <v>1455</v>
      </c>
      <c r="CI148" s="77">
        <v>1605</v>
      </c>
      <c r="CJ148" s="77">
        <v>1755</v>
      </c>
      <c r="CK148" s="77">
        <v>1905</v>
      </c>
      <c r="CL148" s="77">
        <v>2055</v>
      </c>
      <c r="CM148" s="77">
        <v>2205</v>
      </c>
      <c r="CN148" s="77">
        <v>2355</v>
      </c>
      <c r="CO148" s="77">
        <v>2505</v>
      </c>
      <c r="CP148" s="77">
        <v>2655</v>
      </c>
      <c r="CQ148" s="77">
        <v>2805</v>
      </c>
      <c r="CR148" s="77">
        <v>2955</v>
      </c>
      <c r="CS148" s="77">
        <v>3105</v>
      </c>
      <c r="CT148" s="77">
        <v>3255</v>
      </c>
      <c r="CU148" s="77">
        <v>3405</v>
      </c>
      <c r="CV148" s="77">
        <v>3641.5</v>
      </c>
      <c r="CW148" s="77">
        <v>3780</v>
      </c>
      <c r="CX148" s="77">
        <v>3918.5</v>
      </c>
      <c r="DM148" s="77">
        <v>1148</v>
      </c>
      <c r="DN148" s="77">
        <v>574</v>
      </c>
      <c r="DO148" s="77">
        <v>574</v>
      </c>
      <c r="DP148" s="77">
        <v>127.2</v>
      </c>
      <c r="DQ148" s="77">
        <v>127.2</v>
      </c>
      <c r="DR148" s="77">
        <v>127.2</v>
      </c>
      <c r="DS148" s="77">
        <v>127.2</v>
      </c>
      <c r="DT148" s="77">
        <v>127.2</v>
      </c>
      <c r="DU148" s="77">
        <v>127.2</v>
      </c>
      <c r="DV148" s="77">
        <v>127.2</v>
      </c>
      <c r="DW148" s="77">
        <v>127.2</v>
      </c>
      <c r="DX148" s="77">
        <v>127.2</v>
      </c>
      <c r="DY148" s="77">
        <v>127.2</v>
      </c>
      <c r="DZ148" s="77">
        <v>127.2</v>
      </c>
      <c r="EA148" s="77">
        <v>127.2</v>
      </c>
      <c r="EB148" s="77">
        <v>127.2</v>
      </c>
      <c r="EC148" s="77">
        <v>127.2</v>
      </c>
      <c r="ED148" s="77">
        <v>127.2</v>
      </c>
      <c r="EE148" s="77">
        <v>127.2</v>
      </c>
      <c r="EF148" s="77">
        <v>127.2</v>
      </c>
      <c r="EG148" s="77">
        <v>127.2</v>
      </c>
      <c r="EH148" s="77">
        <v>127.2</v>
      </c>
      <c r="EI148" s="77">
        <v>127.2</v>
      </c>
      <c r="EJ148" s="77">
        <v>574</v>
      </c>
      <c r="EK148" s="77">
        <v>574</v>
      </c>
      <c r="EL148" s="77">
        <v>1148</v>
      </c>
      <c r="FA148" s="77">
        <f t="shared" si="516"/>
        <v>-455641.19999999995</v>
      </c>
      <c r="FB148" s="77">
        <f t="shared" si="361"/>
        <v>-227820.59999999998</v>
      </c>
      <c r="FC148" s="77">
        <f t="shared" ref="FC148:FC161" si="521">IF(ABS(-$BV148*($BS148-CA148)/$BS148*$BX148)&gt;$BB148,$BB148*SIGN(-($BS148-CA148)),-$BV148*($BS148-CA148)/$BS148*$BX148)*DO148</f>
        <v>-160722.80732181238</v>
      </c>
      <c r="FD148" s="77">
        <f t="shared" ref="FD148:FQ155" si="522">IF(ABS(-$BV148*($BS148-CB148)/$BS148*$BX148)&gt;$BA148,$BA148*SIGN(-($BS148-CB148)),-$BV148*($BS148-CB148)/$BS148*$BX148)*DP148</f>
        <v>274.48266487253494</v>
      </c>
      <c r="FE148" s="77">
        <f t="shared" si="522"/>
        <v>23038.396898621868</v>
      </c>
      <c r="FF148" s="77">
        <f t="shared" si="522"/>
        <v>45802.311132371207</v>
      </c>
      <c r="FG148" s="77">
        <f t="shared" si="522"/>
        <v>68566.225366120532</v>
      </c>
      <c r="FH148" s="77">
        <f t="shared" si="522"/>
        <v>72669.36</v>
      </c>
      <c r="FI148" s="77">
        <f t="shared" si="522"/>
        <v>72669.36</v>
      </c>
      <c r="FJ148" s="77">
        <f t="shared" si="522"/>
        <v>72669.36</v>
      </c>
      <c r="FK148" s="77">
        <f t="shared" si="522"/>
        <v>72669.36</v>
      </c>
      <c r="FL148" s="77">
        <f t="shared" si="522"/>
        <v>72669.36</v>
      </c>
      <c r="FM148" s="77">
        <f t="shared" si="522"/>
        <v>72669.36</v>
      </c>
      <c r="FN148" s="77">
        <f t="shared" si="522"/>
        <v>72669.36</v>
      </c>
      <c r="FO148" s="77">
        <f t="shared" si="522"/>
        <v>72669.36</v>
      </c>
      <c r="FP148" s="77">
        <f t="shared" si="522"/>
        <v>72669.36</v>
      </c>
      <c r="FQ148" s="77">
        <f t="shared" si="522"/>
        <v>72669.36</v>
      </c>
      <c r="FR148" s="77">
        <f t="shared" si="511"/>
        <v>72669.36</v>
      </c>
      <c r="FS148" s="77">
        <f t="shared" ref="FS148:FW155" si="523">IF(ABS(-$BV148*($BS148-CQ148)/$BS148*$BX148)&gt;$BA148,$BA148*SIGN(-($BS148-CQ148)),-$BV148*($BS148-CQ148)/$BS148*$BX148)*EE148</f>
        <v>72669.36</v>
      </c>
      <c r="FT148" s="77">
        <f t="shared" si="523"/>
        <v>72669.36</v>
      </c>
      <c r="FU148" s="77">
        <f t="shared" si="523"/>
        <v>72669.36</v>
      </c>
      <c r="FV148" s="77">
        <f t="shared" si="523"/>
        <v>72669.36</v>
      </c>
      <c r="FW148" s="77">
        <f t="shared" si="523"/>
        <v>72669.36</v>
      </c>
      <c r="FX148" s="77">
        <f t="shared" ref="FX148:FZ152" si="524">IF(ABS(-$BV148*($BS148-CV148)/$BS148*$BX148)&gt;$BB148,$BB148*SIGN(-($BS148-CV148)),-$BV148*($BS148-CV148)/$BS148*$BX148)*EJ148</f>
        <v>227820.59999999998</v>
      </c>
      <c r="FY148" s="77">
        <f t="shared" si="524"/>
        <v>227820.59999999998</v>
      </c>
      <c r="FZ148" s="77">
        <f t="shared" si="524"/>
        <v>455641.19999999995</v>
      </c>
      <c r="GO148" s="77">
        <f t="shared" si="275"/>
        <v>883260466.19999993</v>
      </c>
      <c r="GP148" s="77">
        <f t="shared" si="276"/>
        <v>410077079.99999994</v>
      </c>
      <c r="GQ148" s="77">
        <f t="shared" si="277"/>
        <v>267040944.36519125</v>
      </c>
      <c r="GR148" s="77">
        <f t="shared" si="278"/>
        <v>-391137.7974433623</v>
      </c>
      <c r="GS148" s="77">
        <f t="shared" si="476"/>
        <v>-29373956.045742881</v>
      </c>
      <c r="GT148" s="77">
        <f t="shared" si="477"/>
        <v>-51527600.023917608</v>
      </c>
      <c r="GU148" s="77">
        <f t="shared" si="478"/>
        <v>-66852069.731967516</v>
      </c>
      <c r="GV148" s="77">
        <f t="shared" si="479"/>
        <v>-59952222</v>
      </c>
      <c r="GW148" s="77">
        <f t="shared" si="480"/>
        <v>-49051818</v>
      </c>
      <c r="GX148" s="77">
        <f t="shared" si="481"/>
        <v>-38151414</v>
      </c>
      <c r="GY148" s="77">
        <f t="shared" si="482"/>
        <v>-27251010</v>
      </c>
      <c r="GZ148" s="77">
        <f t="shared" si="483"/>
        <v>-16350606</v>
      </c>
      <c r="HA148" s="77">
        <f t="shared" si="484"/>
        <v>-5450202</v>
      </c>
      <c r="HB148" s="77">
        <f t="shared" si="485"/>
        <v>5450202</v>
      </c>
      <c r="HC148" s="77">
        <f t="shared" si="486"/>
        <v>16350606</v>
      </c>
      <c r="HD148" s="77">
        <f t="shared" si="487"/>
        <v>27251010</v>
      </c>
      <c r="HE148" s="77">
        <f t="shared" si="488"/>
        <v>38151414</v>
      </c>
      <c r="HF148" s="77">
        <f t="shared" si="489"/>
        <v>49051818</v>
      </c>
      <c r="HG148" s="77">
        <f t="shared" si="490"/>
        <v>59952222</v>
      </c>
      <c r="HH148" s="77">
        <f t="shared" si="514"/>
        <v>70852626</v>
      </c>
      <c r="HI148" s="77">
        <f t="shared" ref="HI148:HN155" si="525">FU148*(CS148-0.5*$AO148)</f>
        <v>81753030</v>
      </c>
      <c r="HJ148" s="77">
        <f t="shared" si="525"/>
        <v>92653434</v>
      </c>
      <c r="HK148" s="77">
        <f t="shared" si="525"/>
        <v>103553838</v>
      </c>
      <c r="HL148" s="77">
        <f t="shared" si="525"/>
        <v>378523926.89999998</v>
      </c>
      <c r="HM148" s="77">
        <f t="shared" si="525"/>
        <v>410077079.99999994</v>
      </c>
      <c r="HN148" s="77">
        <f t="shared" si="525"/>
        <v>883260466.19999993</v>
      </c>
      <c r="IC148" s="82">
        <v>156</v>
      </c>
    </row>
    <row r="149" spans="1:237" s="77" customFormat="1">
      <c r="A149" s="77">
        <v>148</v>
      </c>
      <c r="B149" s="69">
        <v>220</v>
      </c>
      <c r="C149" s="69" t="s">
        <v>236</v>
      </c>
      <c r="D149" s="70" t="s">
        <v>167</v>
      </c>
      <c r="E149" s="70">
        <v>3</v>
      </c>
      <c r="F149" s="70">
        <v>0.21812678062678062</v>
      </c>
      <c r="G149" s="70">
        <v>3.0864199999999999E-3</v>
      </c>
      <c r="H149" s="70">
        <v>4.3209880000000004E-3</v>
      </c>
      <c r="I149" s="70">
        <v>5.5555555555555558E-3</v>
      </c>
      <c r="J149" s="84">
        <v>0.4</v>
      </c>
      <c r="K149" s="72">
        <v>33</v>
      </c>
      <c r="L149" s="71">
        <v>0.1812778846153846</v>
      </c>
      <c r="M149" s="71">
        <v>0.1812778846153846</v>
      </c>
      <c r="N149" s="71">
        <v>0.33774663461538462</v>
      </c>
      <c r="O149" s="71">
        <v>1.5579790651005631E-2</v>
      </c>
      <c r="P149" s="71">
        <v>0</v>
      </c>
      <c r="Q149" s="73" t="s">
        <v>28</v>
      </c>
      <c r="R149" s="74">
        <v>0.2</v>
      </c>
      <c r="S149" s="75">
        <f t="shared" si="455"/>
        <v>0.99481117930658403</v>
      </c>
      <c r="T149" s="59">
        <f t="shared" si="430"/>
        <v>1.913768453569378</v>
      </c>
      <c r="U149" s="59">
        <f t="shared" si="431"/>
        <v>1.5253402617075338</v>
      </c>
      <c r="V149" s="59">
        <f t="shared" si="432"/>
        <v>1.2107211813305119</v>
      </c>
      <c r="W149" s="59">
        <f t="shared" si="433"/>
        <v>0.63263723418180007</v>
      </c>
      <c r="X149" s="59">
        <f t="shared" si="434"/>
        <v>0.79373842789357496</v>
      </c>
      <c r="Y149" s="86">
        <v>2940000</v>
      </c>
      <c r="Z149" s="57">
        <f t="shared" si="435"/>
        <v>2333590.9780071103</v>
      </c>
      <c r="AA149" s="57">
        <f t="shared" si="436"/>
        <v>1859953.4684944924</v>
      </c>
      <c r="AB149" s="57">
        <f t="shared" si="437"/>
        <v>3839386.8023928143</v>
      </c>
      <c r="AC149" s="57">
        <f t="shared" si="438"/>
        <v>0.25</v>
      </c>
      <c r="AD149" s="57">
        <f t="shared" si="439"/>
        <v>1.5</v>
      </c>
      <c r="AE149" s="57">
        <f t="shared" si="440"/>
        <v>0</v>
      </c>
      <c r="AF149" s="57">
        <f t="shared" si="441"/>
        <v>431304.03175310628</v>
      </c>
      <c r="AG149" s="57">
        <f t="shared" si="517"/>
        <v>1428649.4367413861</v>
      </c>
      <c r="AH149" s="57">
        <f t="shared" si="442"/>
        <v>3149607837.7729025</v>
      </c>
      <c r="AI149" s="57">
        <f t="shared" si="457"/>
        <v>3070198782.1034565</v>
      </c>
      <c r="AJ149" s="77">
        <v>0</v>
      </c>
      <c r="AK149" s="77">
        <v>20.8</v>
      </c>
      <c r="AL149" s="78">
        <f t="shared" si="443"/>
        <v>2.4382849278741148</v>
      </c>
      <c r="AM149" s="57">
        <f t="shared" si="444"/>
        <v>1</v>
      </c>
      <c r="AN149" s="57">
        <f t="shared" si="445"/>
        <v>0.8</v>
      </c>
      <c r="AO149" s="77">
        <v>3960</v>
      </c>
      <c r="AP149" s="79">
        <v>360</v>
      </c>
      <c r="AQ149" s="77">
        <f t="shared" si="446"/>
        <v>274.82745974347557</v>
      </c>
      <c r="AR149" s="57">
        <f t="shared" si="447"/>
        <v>3240</v>
      </c>
      <c r="AS149" s="77">
        <f t="shared" si="448"/>
        <v>3685.1725402565244</v>
      </c>
      <c r="AT149" s="77">
        <v>120</v>
      </c>
      <c r="AU149" s="77">
        <v>1620</v>
      </c>
      <c r="AV149" s="77">
        <f t="shared" si="449"/>
        <v>388800</v>
      </c>
      <c r="AW149" s="77">
        <f t="shared" si="518"/>
        <v>259200</v>
      </c>
      <c r="AX149" s="77">
        <f t="shared" si="450"/>
        <v>475200</v>
      </c>
      <c r="AY149" s="77">
        <v>648000</v>
      </c>
      <c r="AZ149" s="77">
        <v>571.29999999999995</v>
      </c>
      <c r="BA149" s="77">
        <v>571.29999999999995</v>
      </c>
      <c r="BB149" s="77">
        <v>396.9</v>
      </c>
      <c r="BC149" s="77">
        <v>284.2</v>
      </c>
      <c r="BD149" s="77">
        <v>6.6E-3</v>
      </c>
      <c r="BE149" s="77">
        <v>6.6E-3</v>
      </c>
      <c r="BF149" s="77">
        <v>1.77E-2</v>
      </c>
      <c r="BH149" s="79">
        <v>150</v>
      </c>
      <c r="BI149" s="79">
        <f>PI()*9*9/4</f>
        <v>63.617251235193308</v>
      </c>
      <c r="BJ149" s="79">
        <v>2</v>
      </c>
      <c r="BK149" s="57">
        <f t="shared" si="459"/>
        <v>127.23450247038662</v>
      </c>
      <c r="BL149" s="57">
        <f t="shared" si="515"/>
        <v>2566.08</v>
      </c>
      <c r="BM149" s="80">
        <f t="shared" si="519"/>
        <v>283.5287369864788</v>
      </c>
      <c r="BN149" s="80">
        <v>8</v>
      </c>
      <c r="BO149" s="57">
        <f t="shared" si="451"/>
        <v>2268.2298958918304</v>
      </c>
      <c r="BP149" s="57">
        <f t="shared" si="452"/>
        <v>3559520.2731117052</v>
      </c>
      <c r="BQ149" s="77">
        <f t="shared" si="453"/>
        <v>-3.0267983675003052E-9</v>
      </c>
      <c r="BR149" s="57">
        <f t="shared" si="520"/>
        <v>5766422842.4409628</v>
      </c>
      <c r="BS149" s="57">
        <v>549.65491948695114</v>
      </c>
      <c r="BT149" s="57">
        <f t="shared" si="456"/>
        <v>255.5161382851324</v>
      </c>
      <c r="BU149" s="57"/>
      <c r="BV149" s="57">
        <v>3.3E-3</v>
      </c>
      <c r="BW149" s="57">
        <v>30000</v>
      </c>
      <c r="BX149" s="57">
        <v>200000</v>
      </c>
      <c r="BY149" s="77">
        <v>41.5</v>
      </c>
      <c r="BZ149" s="77">
        <v>180</v>
      </c>
      <c r="CA149" s="77">
        <v>318.5</v>
      </c>
      <c r="CB149" s="77">
        <v>555</v>
      </c>
      <c r="CC149" s="77">
        <v>705</v>
      </c>
      <c r="CD149" s="77">
        <v>855</v>
      </c>
      <c r="CE149" s="77">
        <v>1005</v>
      </c>
      <c r="CF149" s="77">
        <v>1155</v>
      </c>
      <c r="CG149" s="77">
        <v>1305</v>
      </c>
      <c r="CH149" s="77">
        <v>1455</v>
      </c>
      <c r="CI149" s="77">
        <v>1605</v>
      </c>
      <c r="CJ149" s="77">
        <v>1755</v>
      </c>
      <c r="CK149" s="77">
        <v>1905</v>
      </c>
      <c r="CL149" s="77">
        <v>2055</v>
      </c>
      <c r="CM149" s="77">
        <v>2205</v>
      </c>
      <c r="CN149" s="77">
        <v>2355</v>
      </c>
      <c r="CO149" s="77">
        <v>2505</v>
      </c>
      <c r="CP149" s="77">
        <v>2655</v>
      </c>
      <c r="CQ149" s="77">
        <v>2805</v>
      </c>
      <c r="CR149" s="77">
        <v>2955</v>
      </c>
      <c r="CS149" s="77">
        <v>3105</v>
      </c>
      <c r="CT149" s="77">
        <v>3255</v>
      </c>
      <c r="CU149" s="77">
        <v>3405</v>
      </c>
      <c r="CV149" s="77">
        <v>3641.5</v>
      </c>
      <c r="CW149" s="77">
        <v>3780</v>
      </c>
      <c r="CX149" s="77">
        <v>3918.5</v>
      </c>
      <c r="DM149" s="77">
        <v>1148</v>
      </c>
      <c r="DN149" s="77">
        <v>574</v>
      </c>
      <c r="DO149" s="77">
        <v>574</v>
      </c>
      <c r="DP149" s="77">
        <v>127.2</v>
      </c>
      <c r="DQ149" s="77">
        <v>127.2</v>
      </c>
      <c r="DR149" s="77">
        <v>127.2</v>
      </c>
      <c r="DS149" s="77">
        <v>127.2</v>
      </c>
      <c r="DT149" s="77">
        <v>127.2</v>
      </c>
      <c r="DU149" s="77">
        <v>127.2</v>
      </c>
      <c r="DV149" s="77">
        <v>127.2</v>
      </c>
      <c r="DW149" s="77">
        <v>127.2</v>
      </c>
      <c r="DX149" s="77">
        <v>127.2</v>
      </c>
      <c r="DY149" s="77">
        <v>127.2</v>
      </c>
      <c r="DZ149" s="77">
        <v>127.2</v>
      </c>
      <c r="EA149" s="77">
        <v>127.2</v>
      </c>
      <c r="EB149" s="77">
        <v>127.2</v>
      </c>
      <c r="EC149" s="77">
        <v>127.2</v>
      </c>
      <c r="ED149" s="77">
        <v>127.2</v>
      </c>
      <c r="EE149" s="77">
        <v>127.2</v>
      </c>
      <c r="EF149" s="77">
        <v>127.2</v>
      </c>
      <c r="EG149" s="77">
        <v>127.2</v>
      </c>
      <c r="EH149" s="77">
        <v>127.2</v>
      </c>
      <c r="EI149" s="77">
        <v>127.2</v>
      </c>
      <c r="EJ149" s="77">
        <v>574</v>
      </c>
      <c r="EK149" s="77">
        <v>574</v>
      </c>
      <c r="EL149" s="77">
        <v>1148</v>
      </c>
      <c r="FA149" s="77">
        <f t="shared" si="516"/>
        <v>-455641.19999999995</v>
      </c>
      <c r="FB149" s="77">
        <f t="shared" ref="FB149:FB171" si="526">IF(ABS(-$BV149*($BS149-BZ149)/$BS149*$BX149)&gt;$BB149,$BB149*SIGN(-($BS149-BZ149)),-$BV149*($BS149-BZ149)/$BS149*$BX149)*DN149</f>
        <v>-227820.59999999998</v>
      </c>
      <c r="FC149" s="77">
        <f t="shared" si="521"/>
        <v>-159319.4686225591</v>
      </c>
      <c r="FD149" s="77">
        <f t="shared" si="522"/>
        <v>816.38530525720228</v>
      </c>
      <c r="FE149" s="77">
        <f t="shared" si="522"/>
        <v>23726.759712083476</v>
      </c>
      <c r="FF149" s="77">
        <f t="shared" si="522"/>
        <v>46637.134118909744</v>
      </c>
      <c r="FG149" s="77">
        <f t="shared" si="522"/>
        <v>69547.508525736033</v>
      </c>
      <c r="FH149" s="77">
        <f t="shared" si="522"/>
        <v>72669.36</v>
      </c>
      <c r="FI149" s="77">
        <f t="shared" si="522"/>
        <v>72669.36</v>
      </c>
      <c r="FJ149" s="77">
        <f t="shared" si="522"/>
        <v>72669.36</v>
      </c>
      <c r="FK149" s="77">
        <f t="shared" si="522"/>
        <v>72669.36</v>
      </c>
      <c r="FL149" s="77">
        <f t="shared" si="522"/>
        <v>72669.36</v>
      </c>
      <c r="FM149" s="77">
        <f t="shared" si="522"/>
        <v>72669.36</v>
      </c>
      <c r="FN149" s="77">
        <f t="shared" si="522"/>
        <v>72669.36</v>
      </c>
      <c r="FO149" s="77">
        <f t="shared" si="522"/>
        <v>72669.36</v>
      </c>
      <c r="FP149" s="77">
        <f t="shared" si="522"/>
        <v>72669.36</v>
      </c>
      <c r="FQ149" s="77">
        <f t="shared" si="522"/>
        <v>72669.36</v>
      </c>
      <c r="FR149" s="77">
        <f t="shared" si="511"/>
        <v>72669.36</v>
      </c>
      <c r="FS149" s="77">
        <f t="shared" si="523"/>
        <v>72669.36</v>
      </c>
      <c r="FT149" s="77">
        <f t="shared" si="523"/>
        <v>72669.36</v>
      </c>
      <c r="FU149" s="77">
        <f t="shared" si="523"/>
        <v>72669.36</v>
      </c>
      <c r="FV149" s="77">
        <f t="shared" si="523"/>
        <v>72669.36</v>
      </c>
      <c r="FW149" s="77">
        <f t="shared" si="523"/>
        <v>72669.36</v>
      </c>
      <c r="FX149" s="77">
        <f t="shared" si="524"/>
        <v>227820.59999999998</v>
      </c>
      <c r="FY149" s="77">
        <f t="shared" si="524"/>
        <v>227820.59999999998</v>
      </c>
      <c r="FZ149" s="77">
        <f t="shared" si="524"/>
        <v>455641.19999999995</v>
      </c>
      <c r="GO149" s="77">
        <f t="shared" si="275"/>
        <v>883260466.19999993</v>
      </c>
      <c r="GP149" s="77">
        <f t="shared" si="276"/>
        <v>410077079.99999994</v>
      </c>
      <c r="GQ149" s="77">
        <f t="shared" si="277"/>
        <v>264709297.11638194</v>
      </c>
      <c r="GR149" s="77">
        <f t="shared" si="278"/>
        <v>-1163349.0599915131</v>
      </c>
      <c r="GS149" s="77">
        <f t="shared" si="476"/>
        <v>-30251618.632906433</v>
      </c>
      <c r="GT149" s="77">
        <f t="shared" si="477"/>
        <v>-52466775.883773461</v>
      </c>
      <c r="GU149" s="77">
        <f t="shared" si="478"/>
        <v>-67808820.812592626</v>
      </c>
      <c r="GV149" s="77">
        <f t="shared" si="479"/>
        <v>-59952222</v>
      </c>
      <c r="GW149" s="77">
        <f t="shared" si="480"/>
        <v>-49051818</v>
      </c>
      <c r="GX149" s="77">
        <f t="shared" si="481"/>
        <v>-38151414</v>
      </c>
      <c r="GY149" s="77">
        <f t="shared" si="482"/>
        <v>-27251010</v>
      </c>
      <c r="GZ149" s="77">
        <f t="shared" si="483"/>
        <v>-16350606</v>
      </c>
      <c r="HA149" s="77">
        <f t="shared" si="484"/>
        <v>-5450202</v>
      </c>
      <c r="HB149" s="77">
        <f t="shared" si="485"/>
        <v>5450202</v>
      </c>
      <c r="HC149" s="77">
        <f t="shared" si="486"/>
        <v>16350606</v>
      </c>
      <c r="HD149" s="77">
        <f t="shared" si="487"/>
        <v>27251010</v>
      </c>
      <c r="HE149" s="77">
        <f t="shared" si="488"/>
        <v>38151414</v>
      </c>
      <c r="HF149" s="77">
        <f t="shared" si="489"/>
        <v>49051818</v>
      </c>
      <c r="HG149" s="77">
        <f t="shared" si="490"/>
        <v>59952222</v>
      </c>
      <c r="HH149" s="77">
        <f t="shared" si="514"/>
        <v>70852626</v>
      </c>
      <c r="HI149" s="77">
        <f t="shared" si="525"/>
        <v>81753030</v>
      </c>
      <c r="HJ149" s="77">
        <f t="shared" si="525"/>
        <v>92653434</v>
      </c>
      <c r="HK149" s="77">
        <f t="shared" si="525"/>
        <v>103553838</v>
      </c>
      <c r="HL149" s="77">
        <f t="shared" si="525"/>
        <v>378523926.89999998</v>
      </c>
      <c r="HM149" s="77">
        <f t="shared" si="525"/>
        <v>410077079.99999994</v>
      </c>
      <c r="HN149" s="77">
        <f t="shared" si="525"/>
        <v>883260466.19999993</v>
      </c>
      <c r="IC149" s="82">
        <v>157</v>
      </c>
    </row>
    <row r="150" spans="1:237" s="77" customFormat="1">
      <c r="A150" s="77">
        <v>149</v>
      </c>
      <c r="B150" s="69">
        <v>221</v>
      </c>
      <c r="C150" s="69" t="s">
        <v>236</v>
      </c>
      <c r="D150" s="70" t="s">
        <v>168</v>
      </c>
      <c r="E150" s="70">
        <v>3</v>
      </c>
      <c r="F150" s="70">
        <v>0.22720686257462469</v>
      </c>
      <c r="G150" s="70">
        <v>3.7037039999999999E-3</v>
      </c>
      <c r="H150" s="70">
        <v>5.0000000000000001E-3</v>
      </c>
      <c r="I150" s="70">
        <v>8.024691358024692E-3</v>
      </c>
      <c r="J150" s="84">
        <v>0.4</v>
      </c>
      <c r="K150" s="72">
        <v>33</v>
      </c>
      <c r="L150" s="71">
        <v>0.1770225352112676</v>
      </c>
      <c r="M150" s="71">
        <v>0.1770225352112676</v>
      </c>
      <c r="N150" s="71">
        <v>0.32981830985915489</v>
      </c>
      <c r="O150" s="71">
        <v>1.5214067865770758E-2</v>
      </c>
      <c r="P150" s="71">
        <v>0</v>
      </c>
      <c r="Q150" s="73" t="s">
        <v>28</v>
      </c>
      <c r="R150" s="74">
        <v>0.2</v>
      </c>
      <c r="S150" s="75">
        <f t="shared" si="455"/>
        <v>1.0486033634989895</v>
      </c>
      <c r="T150" s="59">
        <f t="shared" si="430"/>
        <v>1.9090947925356616</v>
      </c>
      <c r="U150" s="59">
        <f t="shared" si="431"/>
        <v>1.5238055405395099</v>
      </c>
      <c r="V150" s="59">
        <f t="shared" si="432"/>
        <v>1.1370545892615866</v>
      </c>
      <c r="W150" s="59">
        <f t="shared" si="433"/>
        <v>0.59559881138817083</v>
      </c>
      <c r="X150" s="59">
        <f t="shared" si="434"/>
        <v>0.74619402476972729</v>
      </c>
      <c r="Y150" s="86">
        <v>3136000</v>
      </c>
      <c r="Z150" s="57">
        <f t="shared" si="435"/>
        <v>2340064.4616778647</v>
      </c>
      <c r="AA150" s="57">
        <f t="shared" si="436"/>
        <v>1867797.8725133038</v>
      </c>
      <c r="AB150" s="57">
        <f t="shared" si="437"/>
        <v>3893329.6424515396</v>
      </c>
      <c r="AC150" s="57">
        <f t="shared" si="438"/>
        <v>0.25</v>
      </c>
      <c r="AD150" s="57">
        <f t="shared" si="439"/>
        <v>1.5</v>
      </c>
      <c r="AE150" s="57">
        <f t="shared" si="440"/>
        <v>0</v>
      </c>
      <c r="AF150" s="57">
        <f t="shared" si="441"/>
        <v>437484.74655065755</v>
      </c>
      <c r="AG150" s="57">
        <f t="shared" si="517"/>
        <v>1430313.1259626462</v>
      </c>
      <c r="AH150" s="57">
        <f t="shared" si="442"/>
        <v>3229268387.9849801</v>
      </c>
      <c r="AI150" s="57">
        <f t="shared" si="457"/>
        <v>3077925632.7865143</v>
      </c>
      <c r="AJ150" s="77">
        <v>0</v>
      </c>
      <c r="AK150" s="77">
        <v>21.3</v>
      </c>
      <c r="AL150" s="78">
        <f t="shared" si="443"/>
        <v>2.4703495060343519</v>
      </c>
      <c r="AM150" s="57">
        <f t="shared" si="444"/>
        <v>1</v>
      </c>
      <c r="AN150" s="57">
        <f t="shared" si="445"/>
        <v>0.8</v>
      </c>
      <c r="AO150" s="77">
        <v>3960</v>
      </c>
      <c r="AP150" s="79">
        <v>360</v>
      </c>
      <c r="AQ150" s="77">
        <f t="shared" si="446"/>
        <v>270.53600679775263</v>
      </c>
      <c r="AR150" s="57">
        <f t="shared" si="447"/>
        <v>3240</v>
      </c>
      <c r="AS150" s="77">
        <f t="shared" si="448"/>
        <v>3689.4639932022474</v>
      </c>
      <c r="AT150" s="77">
        <v>120</v>
      </c>
      <c r="AU150" s="77">
        <v>1620</v>
      </c>
      <c r="AV150" s="77">
        <f t="shared" si="449"/>
        <v>388800</v>
      </c>
      <c r="AW150" s="77">
        <f t="shared" si="518"/>
        <v>259200</v>
      </c>
      <c r="AX150" s="77">
        <f t="shared" si="450"/>
        <v>475200</v>
      </c>
      <c r="AY150" s="77">
        <v>648000</v>
      </c>
      <c r="AZ150" s="77">
        <v>571.29999999999995</v>
      </c>
      <c r="BA150" s="77">
        <v>571.29999999999995</v>
      </c>
      <c r="BB150" s="77">
        <v>396.9</v>
      </c>
      <c r="BC150" s="77">
        <v>284.2</v>
      </c>
      <c r="BD150" s="77">
        <v>6.6E-3</v>
      </c>
      <c r="BE150" s="77">
        <v>6.6E-3</v>
      </c>
      <c r="BF150" s="77">
        <v>1.77E-2</v>
      </c>
      <c r="BH150" s="79">
        <v>150</v>
      </c>
      <c r="BI150" s="79">
        <f>PI()*9*9/4</f>
        <v>63.617251235193308</v>
      </c>
      <c r="BJ150" s="79">
        <v>2</v>
      </c>
      <c r="BK150" s="57">
        <f t="shared" si="459"/>
        <v>127.23450247038662</v>
      </c>
      <c r="BL150" s="57">
        <f t="shared" si="515"/>
        <v>2566.08</v>
      </c>
      <c r="BM150" s="80">
        <f t="shared" si="519"/>
        <v>283.5287369864788</v>
      </c>
      <c r="BN150" s="80">
        <v>8</v>
      </c>
      <c r="BO150" s="57">
        <f t="shared" si="451"/>
        <v>2268.2298958918304</v>
      </c>
      <c r="BP150" s="57">
        <f t="shared" si="452"/>
        <v>3565803.1919243359</v>
      </c>
      <c r="BQ150" s="77">
        <f t="shared" si="453"/>
        <v>-8.7078660726547241E-8</v>
      </c>
      <c r="BR150" s="57">
        <f t="shared" si="520"/>
        <v>5776601170.9174242</v>
      </c>
      <c r="BS150" s="57">
        <v>541.07201359550527</v>
      </c>
      <c r="BT150" s="57">
        <f t="shared" si="456"/>
        <v>250.51062121712442</v>
      </c>
      <c r="BU150" s="57"/>
      <c r="BV150" s="57">
        <v>3.3E-3</v>
      </c>
      <c r="BW150" s="57">
        <v>30000</v>
      </c>
      <c r="BX150" s="57">
        <v>200000</v>
      </c>
      <c r="BY150" s="77">
        <v>41.5</v>
      </c>
      <c r="BZ150" s="77">
        <v>180</v>
      </c>
      <c r="CA150" s="77">
        <v>318.5</v>
      </c>
      <c r="CB150" s="77">
        <v>555</v>
      </c>
      <c r="CC150" s="77">
        <v>705</v>
      </c>
      <c r="CD150" s="77">
        <v>855</v>
      </c>
      <c r="CE150" s="77">
        <v>1005</v>
      </c>
      <c r="CF150" s="77">
        <v>1155</v>
      </c>
      <c r="CG150" s="77">
        <v>1305</v>
      </c>
      <c r="CH150" s="77">
        <v>1455</v>
      </c>
      <c r="CI150" s="77">
        <v>1605</v>
      </c>
      <c r="CJ150" s="77">
        <v>1755</v>
      </c>
      <c r="CK150" s="77">
        <v>1905</v>
      </c>
      <c r="CL150" s="77">
        <v>2055</v>
      </c>
      <c r="CM150" s="77">
        <v>2205</v>
      </c>
      <c r="CN150" s="77">
        <v>2355</v>
      </c>
      <c r="CO150" s="77">
        <v>2505</v>
      </c>
      <c r="CP150" s="77">
        <v>2655</v>
      </c>
      <c r="CQ150" s="77">
        <v>2805</v>
      </c>
      <c r="CR150" s="77">
        <v>2955</v>
      </c>
      <c r="CS150" s="77">
        <v>3105</v>
      </c>
      <c r="CT150" s="77">
        <v>3255</v>
      </c>
      <c r="CU150" s="77">
        <v>3405</v>
      </c>
      <c r="CV150" s="77">
        <v>3641.5</v>
      </c>
      <c r="CW150" s="77">
        <v>3780</v>
      </c>
      <c r="CX150" s="77">
        <v>3918.5</v>
      </c>
      <c r="DM150" s="77">
        <v>1148</v>
      </c>
      <c r="DN150" s="77">
        <v>574</v>
      </c>
      <c r="DO150" s="77">
        <v>574</v>
      </c>
      <c r="DP150" s="77">
        <v>127.2</v>
      </c>
      <c r="DQ150" s="77">
        <v>127.2</v>
      </c>
      <c r="DR150" s="77">
        <v>127.2</v>
      </c>
      <c r="DS150" s="77">
        <v>127.2</v>
      </c>
      <c r="DT150" s="77">
        <v>127.2</v>
      </c>
      <c r="DU150" s="77">
        <v>127.2</v>
      </c>
      <c r="DV150" s="77">
        <v>127.2</v>
      </c>
      <c r="DW150" s="77">
        <v>127.2</v>
      </c>
      <c r="DX150" s="77">
        <v>127.2</v>
      </c>
      <c r="DY150" s="77">
        <v>127.2</v>
      </c>
      <c r="DZ150" s="77">
        <v>127.2</v>
      </c>
      <c r="EA150" s="77">
        <v>127.2</v>
      </c>
      <c r="EB150" s="77">
        <v>127.2</v>
      </c>
      <c r="EC150" s="77">
        <v>127.2</v>
      </c>
      <c r="ED150" s="77">
        <v>127.2</v>
      </c>
      <c r="EE150" s="77">
        <v>127.2</v>
      </c>
      <c r="EF150" s="77">
        <v>127.2</v>
      </c>
      <c r="EG150" s="77">
        <v>127.2</v>
      </c>
      <c r="EH150" s="77">
        <v>127.2</v>
      </c>
      <c r="EI150" s="77">
        <v>127.2</v>
      </c>
      <c r="EJ150" s="77">
        <v>574</v>
      </c>
      <c r="EK150" s="77">
        <v>574</v>
      </c>
      <c r="EL150" s="77">
        <v>1148</v>
      </c>
      <c r="FA150" s="77">
        <f t="shared" si="516"/>
        <v>-455641.19999999995</v>
      </c>
      <c r="FB150" s="77">
        <f t="shared" si="526"/>
        <v>-227820.59999999998</v>
      </c>
      <c r="FC150" s="77">
        <f t="shared" si="521"/>
        <v>-155837.26290001126</v>
      </c>
      <c r="FD150" s="77">
        <f t="shared" si="522"/>
        <v>2161.0474858237153</v>
      </c>
      <c r="FE150" s="77">
        <f t="shared" si="522"/>
        <v>25434.844103613905</v>
      </c>
      <c r="FF150" s="77">
        <f t="shared" si="522"/>
        <v>48708.640721404103</v>
      </c>
      <c r="FG150" s="77">
        <f t="shared" si="522"/>
        <v>71982.437339194294</v>
      </c>
      <c r="FH150" s="77">
        <f t="shared" si="522"/>
        <v>72669.36</v>
      </c>
      <c r="FI150" s="77">
        <f t="shared" si="522"/>
        <v>72669.36</v>
      </c>
      <c r="FJ150" s="77">
        <f t="shared" si="522"/>
        <v>72669.36</v>
      </c>
      <c r="FK150" s="77">
        <f t="shared" si="522"/>
        <v>72669.36</v>
      </c>
      <c r="FL150" s="77">
        <f t="shared" si="522"/>
        <v>72669.36</v>
      </c>
      <c r="FM150" s="77">
        <f t="shared" si="522"/>
        <v>72669.36</v>
      </c>
      <c r="FN150" s="77">
        <f t="shared" si="522"/>
        <v>72669.36</v>
      </c>
      <c r="FO150" s="77">
        <f t="shared" si="522"/>
        <v>72669.36</v>
      </c>
      <c r="FP150" s="77">
        <f t="shared" si="522"/>
        <v>72669.36</v>
      </c>
      <c r="FQ150" s="77">
        <f t="shared" si="522"/>
        <v>72669.36</v>
      </c>
      <c r="FR150" s="77">
        <f t="shared" si="511"/>
        <v>72669.36</v>
      </c>
      <c r="FS150" s="77">
        <f t="shared" si="523"/>
        <v>72669.36</v>
      </c>
      <c r="FT150" s="77">
        <f t="shared" si="523"/>
        <v>72669.36</v>
      </c>
      <c r="FU150" s="77">
        <f t="shared" si="523"/>
        <v>72669.36</v>
      </c>
      <c r="FV150" s="77">
        <f t="shared" si="523"/>
        <v>72669.36</v>
      </c>
      <c r="FW150" s="77">
        <f t="shared" si="523"/>
        <v>72669.36</v>
      </c>
      <c r="FX150" s="77">
        <f t="shared" si="524"/>
        <v>227820.59999999998</v>
      </c>
      <c r="FY150" s="77">
        <f t="shared" si="524"/>
        <v>227820.59999999998</v>
      </c>
      <c r="FZ150" s="77">
        <f t="shared" si="524"/>
        <v>455641.19999999995</v>
      </c>
      <c r="GO150" s="77">
        <f t="shared" si="275"/>
        <v>883260466.19999993</v>
      </c>
      <c r="GP150" s="77">
        <f t="shared" si="276"/>
        <v>410077079.99999994</v>
      </c>
      <c r="GQ150" s="77">
        <f t="shared" si="277"/>
        <v>258923612.30836871</v>
      </c>
      <c r="GR150" s="77">
        <f t="shared" si="278"/>
        <v>-3079492.6672987943</v>
      </c>
      <c r="GS150" s="77">
        <f t="shared" si="476"/>
        <v>-32429426.232107729</v>
      </c>
      <c r="GT150" s="77">
        <f t="shared" si="477"/>
        <v>-54797220.811579615</v>
      </c>
      <c r="GU150" s="77">
        <f t="shared" si="478"/>
        <v>-70182876.405714437</v>
      </c>
      <c r="GV150" s="77">
        <f t="shared" si="479"/>
        <v>-59952222</v>
      </c>
      <c r="GW150" s="77">
        <f t="shared" si="480"/>
        <v>-49051818</v>
      </c>
      <c r="GX150" s="77">
        <f t="shared" si="481"/>
        <v>-38151414</v>
      </c>
      <c r="GY150" s="77">
        <f t="shared" si="482"/>
        <v>-27251010</v>
      </c>
      <c r="GZ150" s="77">
        <f t="shared" si="483"/>
        <v>-16350606</v>
      </c>
      <c r="HA150" s="77">
        <f t="shared" si="484"/>
        <v>-5450202</v>
      </c>
      <c r="HB150" s="77">
        <f t="shared" si="485"/>
        <v>5450202</v>
      </c>
      <c r="HC150" s="77">
        <f t="shared" si="486"/>
        <v>16350606</v>
      </c>
      <c r="HD150" s="77">
        <f t="shared" si="487"/>
        <v>27251010</v>
      </c>
      <c r="HE150" s="77">
        <f t="shared" si="488"/>
        <v>38151414</v>
      </c>
      <c r="HF150" s="77">
        <f t="shared" si="489"/>
        <v>49051818</v>
      </c>
      <c r="HG150" s="77">
        <f t="shared" si="490"/>
        <v>59952222</v>
      </c>
      <c r="HH150" s="77">
        <f t="shared" si="514"/>
        <v>70852626</v>
      </c>
      <c r="HI150" s="77">
        <f t="shared" si="525"/>
        <v>81753030</v>
      </c>
      <c r="HJ150" s="77">
        <f t="shared" si="525"/>
        <v>92653434</v>
      </c>
      <c r="HK150" s="77">
        <f t="shared" si="525"/>
        <v>103553838</v>
      </c>
      <c r="HL150" s="77">
        <f t="shared" si="525"/>
        <v>378523926.89999998</v>
      </c>
      <c r="HM150" s="77">
        <f t="shared" si="525"/>
        <v>410077079.99999994</v>
      </c>
      <c r="HN150" s="77">
        <f t="shared" si="525"/>
        <v>883260466.19999993</v>
      </c>
      <c r="IC150" s="82">
        <v>158</v>
      </c>
    </row>
    <row r="151" spans="1:237" s="77" customFormat="1">
      <c r="A151" s="77">
        <v>150</v>
      </c>
      <c r="B151" s="69">
        <v>222</v>
      </c>
      <c r="C151" s="69" t="s">
        <v>236</v>
      </c>
      <c r="D151" s="70" t="s">
        <v>169</v>
      </c>
      <c r="E151" s="70">
        <v>3</v>
      </c>
      <c r="F151" s="70">
        <v>0.14274691358024691</v>
      </c>
      <c r="G151" s="70">
        <v>3.0864199999999999E-3</v>
      </c>
      <c r="H151" s="70">
        <v>4.4444439999999997E-3</v>
      </c>
      <c r="I151" s="70">
        <v>6.1728395061728392E-3</v>
      </c>
      <c r="J151" s="84">
        <v>0.4</v>
      </c>
      <c r="K151" s="72">
        <v>33</v>
      </c>
      <c r="L151" s="71">
        <v>9.327346938775509E-2</v>
      </c>
      <c r="M151" s="71">
        <v>9.6188265306122442E-2</v>
      </c>
      <c r="N151" s="71">
        <v>0.35842499999999999</v>
      </c>
      <c r="O151" s="71">
        <v>1.6533655384740671E-2</v>
      </c>
      <c r="P151" s="71">
        <v>0</v>
      </c>
      <c r="Q151" s="73" t="s">
        <v>28</v>
      </c>
      <c r="R151" s="74">
        <v>0.2</v>
      </c>
      <c r="S151" s="75">
        <f t="shared" si="455"/>
        <v>0.63196752622192143</v>
      </c>
      <c r="T151" s="59">
        <f t="shared" si="430"/>
        <v>2.4838965876318255</v>
      </c>
      <c r="U151" s="59">
        <f t="shared" si="431"/>
        <v>2.0219531904988415</v>
      </c>
      <c r="V151" s="59">
        <f t="shared" si="432"/>
        <v>1.585710743238266</v>
      </c>
      <c r="W151" s="59">
        <f t="shared" si="433"/>
        <v>0.63839644175770616</v>
      </c>
      <c r="X151" s="59">
        <f t="shared" si="434"/>
        <v>0.78424700961897675</v>
      </c>
      <c r="Y151" s="86">
        <v>1813000</v>
      </c>
      <c r="Z151" s="57">
        <f t="shared" si="435"/>
        <v>1421839.828439205</v>
      </c>
      <c r="AA151" s="57">
        <f t="shared" si="436"/>
        <v>1157412.7489067214</v>
      </c>
      <c r="AB151" s="57">
        <f t="shared" si="437"/>
        <v>3863714.0632788348</v>
      </c>
      <c r="AC151" s="57">
        <f t="shared" si="438"/>
        <v>0.25</v>
      </c>
      <c r="AD151" s="57">
        <f t="shared" si="439"/>
        <v>1.5</v>
      </c>
      <c r="AE151" s="57">
        <f t="shared" si="440"/>
        <v>0</v>
      </c>
      <c r="AF151" s="57">
        <f t="shared" si="441"/>
        <v>426897.20137392817</v>
      </c>
      <c r="AG151" s="57">
        <f t="shared" si="517"/>
        <v>730515.54753279313</v>
      </c>
      <c r="AH151" s="57">
        <f t="shared" si="442"/>
        <v>3038624383.894135</v>
      </c>
      <c r="AI151" s="57">
        <f t="shared" si="457"/>
        <v>3220592398.6175771</v>
      </c>
      <c r="AJ151" s="77">
        <v>0</v>
      </c>
      <c r="AK151" s="77">
        <v>19.600000000000001</v>
      </c>
      <c r="AL151" s="78">
        <f t="shared" si="443"/>
        <v>2.3598829314397931</v>
      </c>
      <c r="AM151" s="57">
        <f t="shared" si="444"/>
        <v>1</v>
      </c>
      <c r="AN151" s="57">
        <f t="shared" si="445"/>
        <v>0.8</v>
      </c>
      <c r="AO151" s="77">
        <v>3960</v>
      </c>
      <c r="AP151" s="79">
        <v>360</v>
      </c>
      <c r="AQ151" s="77">
        <f t="shared" si="446"/>
        <v>191.29962219608026</v>
      </c>
      <c r="AR151" s="57">
        <f t="shared" si="447"/>
        <v>3240</v>
      </c>
      <c r="AS151" s="77">
        <f t="shared" si="448"/>
        <v>3768.7003778039198</v>
      </c>
      <c r="AT151" s="77">
        <v>120</v>
      </c>
      <c r="AU151" s="77">
        <v>1620</v>
      </c>
      <c r="AV151" s="77">
        <f t="shared" si="449"/>
        <v>388800</v>
      </c>
      <c r="AW151" s="77">
        <f t="shared" si="518"/>
        <v>259200</v>
      </c>
      <c r="AX151" s="77">
        <f t="shared" si="450"/>
        <v>475200</v>
      </c>
      <c r="AY151" s="77">
        <v>648000</v>
      </c>
      <c r="AZ151" s="77">
        <v>571.29999999999995</v>
      </c>
      <c r="BA151" s="77">
        <v>571.29999999999995</v>
      </c>
      <c r="BB151" s="77">
        <v>396.9</v>
      </c>
      <c r="BC151" s="77">
        <v>284.2</v>
      </c>
      <c r="BD151" s="77">
        <v>3.2000000000000002E-3</v>
      </c>
      <c r="BE151" s="77">
        <v>3.3E-3</v>
      </c>
      <c r="BF151" s="77">
        <v>1.77E-2</v>
      </c>
      <c r="BH151" s="79">
        <v>150</v>
      </c>
      <c r="BI151" s="79">
        <f>PI()*9*9/4</f>
        <v>63.617251235193308</v>
      </c>
      <c r="BJ151" s="79">
        <v>1</v>
      </c>
      <c r="BK151" s="57">
        <f t="shared" si="459"/>
        <v>63.617251235193308</v>
      </c>
      <c r="BL151" s="57">
        <f t="shared" si="515"/>
        <v>1244.1600000000001</v>
      </c>
      <c r="BM151" s="80">
        <f t="shared" si="519"/>
        <v>283.5287369864788</v>
      </c>
      <c r="BN151" s="80">
        <v>8</v>
      </c>
      <c r="BO151" s="57">
        <f t="shared" si="451"/>
        <v>2268.2298958918304</v>
      </c>
      <c r="BP151" s="57">
        <f t="shared" si="452"/>
        <v>2874893.5774909761</v>
      </c>
      <c r="BQ151" s="77">
        <f t="shared" si="453"/>
        <v>0</v>
      </c>
      <c r="BR151" s="57">
        <f t="shared" si="520"/>
        <v>4657327595.5353813</v>
      </c>
      <c r="BS151" s="57">
        <v>382.59924439216053</v>
      </c>
      <c r="BT151" s="57">
        <f t="shared" si="456"/>
        <v>130.23315699906334</v>
      </c>
      <c r="BU151" s="57"/>
      <c r="BV151" s="57">
        <v>3.3E-3</v>
      </c>
      <c r="BW151" s="57">
        <v>30000</v>
      </c>
      <c r="BX151" s="57">
        <v>200000</v>
      </c>
      <c r="BY151" s="77">
        <v>41.5</v>
      </c>
      <c r="BZ151" s="77">
        <v>180</v>
      </c>
      <c r="CA151" s="77">
        <v>318.5</v>
      </c>
      <c r="CB151" s="77">
        <v>555</v>
      </c>
      <c r="CC151" s="77">
        <v>705</v>
      </c>
      <c r="CD151" s="77">
        <v>855</v>
      </c>
      <c r="CE151" s="77">
        <v>1005</v>
      </c>
      <c r="CF151" s="77">
        <v>1155</v>
      </c>
      <c r="CG151" s="77">
        <v>1305</v>
      </c>
      <c r="CH151" s="77">
        <v>1455</v>
      </c>
      <c r="CI151" s="77">
        <v>1605</v>
      </c>
      <c r="CJ151" s="77">
        <v>1755</v>
      </c>
      <c r="CK151" s="77">
        <v>1905</v>
      </c>
      <c r="CL151" s="77">
        <v>2055</v>
      </c>
      <c r="CM151" s="77">
        <v>2205</v>
      </c>
      <c r="CN151" s="77">
        <v>2355</v>
      </c>
      <c r="CO151" s="77">
        <v>2505</v>
      </c>
      <c r="CP151" s="77">
        <v>2655</v>
      </c>
      <c r="CQ151" s="77">
        <v>2805</v>
      </c>
      <c r="CR151" s="77">
        <v>2955</v>
      </c>
      <c r="CS151" s="77">
        <v>3105</v>
      </c>
      <c r="CT151" s="77">
        <v>3255</v>
      </c>
      <c r="CU151" s="77">
        <v>3405</v>
      </c>
      <c r="CV151" s="77">
        <v>3641.5</v>
      </c>
      <c r="CW151" s="77">
        <v>3780</v>
      </c>
      <c r="CX151" s="77">
        <v>3918.5</v>
      </c>
      <c r="DM151" s="77">
        <v>1148</v>
      </c>
      <c r="DN151" s="77">
        <v>574</v>
      </c>
      <c r="DO151" s="77">
        <v>574</v>
      </c>
      <c r="DP151" s="77">
        <v>63.6</v>
      </c>
      <c r="DQ151" s="77">
        <v>63.6</v>
      </c>
      <c r="DR151" s="77">
        <v>63.6</v>
      </c>
      <c r="DS151" s="77">
        <v>63.6</v>
      </c>
      <c r="DT151" s="77">
        <v>63.6</v>
      </c>
      <c r="DU151" s="77">
        <v>63.6</v>
      </c>
      <c r="DV151" s="77">
        <v>63.6</v>
      </c>
      <c r="DW151" s="77">
        <v>63.6</v>
      </c>
      <c r="DX151" s="77">
        <v>63.6</v>
      </c>
      <c r="DY151" s="77">
        <v>63.6</v>
      </c>
      <c r="DZ151" s="77">
        <v>63.6</v>
      </c>
      <c r="EA151" s="77">
        <v>63.6</v>
      </c>
      <c r="EB151" s="77">
        <v>63.6</v>
      </c>
      <c r="EC151" s="77">
        <v>63.6</v>
      </c>
      <c r="ED151" s="77">
        <v>63.6</v>
      </c>
      <c r="EE151" s="77">
        <v>63.6</v>
      </c>
      <c r="EF151" s="77">
        <v>63.6</v>
      </c>
      <c r="EG151" s="77">
        <v>63.6</v>
      </c>
      <c r="EH151" s="77">
        <v>63.6</v>
      </c>
      <c r="EI151" s="77">
        <v>63.6</v>
      </c>
      <c r="EJ151" s="77">
        <v>574</v>
      </c>
      <c r="EK151" s="77">
        <v>574</v>
      </c>
      <c r="EL151" s="77">
        <v>1148</v>
      </c>
      <c r="FA151" s="77">
        <f t="shared" si="516"/>
        <v>-455641.19999999995</v>
      </c>
      <c r="FB151" s="77">
        <f t="shared" si="526"/>
        <v>-200608.59729993434</v>
      </c>
      <c r="FC151" s="77">
        <f t="shared" si="521"/>
        <v>-63469.43466682826</v>
      </c>
      <c r="FD151" s="77">
        <f t="shared" si="522"/>
        <v>18914.554128018943</v>
      </c>
      <c r="FE151" s="77">
        <f t="shared" si="522"/>
        <v>35371.460649105145</v>
      </c>
      <c r="FF151" s="77">
        <f t="shared" si="522"/>
        <v>36334.68</v>
      </c>
      <c r="FG151" s="77">
        <f t="shared" si="522"/>
        <v>36334.68</v>
      </c>
      <c r="FH151" s="77">
        <f t="shared" si="522"/>
        <v>36334.68</v>
      </c>
      <c r="FI151" s="77">
        <f t="shared" si="522"/>
        <v>36334.68</v>
      </c>
      <c r="FJ151" s="77">
        <f t="shared" si="522"/>
        <v>36334.68</v>
      </c>
      <c r="FK151" s="77">
        <f t="shared" si="522"/>
        <v>36334.68</v>
      </c>
      <c r="FL151" s="77">
        <f t="shared" si="522"/>
        <v>36334.68</v>
      </c>
      <c r="FM151" s="77">
        <f t="shared" si="522"/>
        <v>36334.68</v>
      </c>
      <c r="FN151" s="77">
        <f t="shared" si="522"/>
        <v>36334.68</v>
      </c>
      <c r="FO151" s="77">
        <f t="shared" si="522"/>
        <v>36334.68</v>
      </c>
      <c r="FP151" s="77">
        <f t="shared" si="522"/>
        <v>36334.68</v>
      </c>
      <c r="FQ151" s="77">
        <f t="shared" si="522"/>
        <v>36334.68</v>
      </c>
      <c r="FR151" s="77">
        <f t="shared" si="511"/>
        <v>36334.68</v>
      </c>
      <c r="FS151" s="77">
        <f t="shared" si="523"/>
        <v>36334.68</v>
      </c>
      <c r="FT151" s="77">
        <f t="shared" si="523"/>
        <v>36334.68</v>
      </c>
      <c r="FU151" s="77">
        <f t="shared" si="523"/>
        <v>36334.68</v>
      </c>
      <c r="FV151" s="77">
        <f t="shared" si="523"/>
        <v>36334.68</v>
      </c>
      <c r="FW151" s="77">
        <f t="shared" si="523"/>
        <v>36334.68</v>
      </c>
      <c r="FX151" s="77">
        <f t="shared" si="524"/>
        <v>227820.59999999998</v>
      </c>
      <c r="FY151" s="77">
        <f t="shared" si="524"/>
        <v>227820.59999999998</v>
      </c>
      <c r="FZ151" s="77">
        <f t="shared" si="524"/>
        <v>455641.19999999995</v>
      </c>
      <c r="GO151" s="77">
        <f t="shared" si="275"/>
        <v>883260466.19999993</v>
      </c>
      <c r="GP151" s="77">
        <f t="shared" si="276"/>
        <v>361095475.13988179</v>
      </c>
      <c r="GQ151" s="77">
        <f t="shared" si="277"/>
        <v>105454465.69893515</v>
      </c>
      <c r="GR151" s="77">
        <f t="shared" si="278"/>
        <v>-26953239.632426992</v>
      </c>
      <c r="GS151" s="77">
        <f t="shared" si="476"/>
        <v>-45098612.327609062</v>
      </c>
      <c r="GT151" s="77">
        <f t="shared" si="477"/>
        <v>-40876515</v>
      </c>
      <c r="GU151" s="77">
        <f t="shared" si="478"/>
        <v>-35426313</v>
      </c>
      <c r="GV151" s="77">
        <f t="shared" si="479"/>
        <v>-29976111</v>
      </c>
      <c r="GW151" s="77">
        <f t="shared" si="480"/>
        <v>-24525909</v>
      </c>
      <c r="GX151" s="77">
        <f t="shared" si="481"/>
        <v>-19075707</v>
      </c>
      <c r="GY151" s="77">
        <f t="shared" si="482"/>
        <v>-13625505</v>
      </c>
      <c r="GZ151" s="77">
        <f t="shared" si="483"/>
        <v>-8175303</v>
      </c>
      <c r="HA151" s="77">
        <f t="shared" si="484"/>
        <v>-2725101</v>
      </c>
      <c r="HB151" s="77">
        <f t="shared" si="485"/>
        <v>2725101</v>
      </c>
      <c r="HC151" s="77">
        <f t="shared" si="486"/>
        <v>8175303</v>
      </c>
      <c r="HD151" s="77">
        <f t="shared" si="487"/>
        <v>13625505</v>
      </c>
      <c r="HE151" s="77">
        <f t="shared" si="488"/>
        <v>19075707</v>
      </c>
      <c r="HF151" s="77">
        <f t="shared" si="489"/>
        <v>24525909</v>
      </c>
      <c r="HG151" s="77">
        <f t="shared" si="490"/>
        <v>29976111</v>
      </c>
      <c r="HH151" s="77">
        <f t="shared" si="514"/>
        <v>35426313</v>
      </c>
      <c r="HI151" s="77">
        <f t="shared" si="525"/>
        <v>40876515</v>
      </c>
      <c r="HJ151" s="77">
        <f t="shared" si="525"/>
        <v>46326717</v>
      </c>
      <c r="HK151" s="77">
        <f t="shared" si="525"/>
        <v>51776919</v>
      </c>
      <c r="HL151" s="77">
        <f t="shared" si="525"/>
        <v>378523926.89999998</v>
      </c>
      <c r="HM151" s="77">
        <f t="shared" si="525"/>
        <v>410077079.99999994</v>
      </c>
      <c r="HN151" s="77">
        <f t="shared" si="525"/>
        <v>883260466.19999993</v>
      </c>
      <c r="IC151" s="82">
        <v>159</v>
      </c>
    </row>
    <row r="152" spans="1:237" s="77" customFormat="1">
      <c r="A152" s="77">
        <v>151</v>
      </c>
      <c r="B152" s="69">
        <v>223</v>
      </c>
      <c r="C152" s="69" t="s">
        <v>236</v>
      </c>
      <c r="D152" s="70" t="s">
        <v>170</v>
      </c>
      <c r="E152" s="70">
        <v>3</v>
      </c>
      <c r="F152" s="70">
        <v>0.14178240740740738</v>
      </c>
      <c r="G152" s="70">
        <v>3.0864199999999999E-3</v>
      </c>
      <c r="H152" s="70">
        <v>5.6172840000000002E-3</v>
      </c>
      <c r="I152" s="70">
        <v>6.1728395061728392E-3</v>
      </c>
      <c r="J152" s="84">
        <v>0.4</v>
      </c>
      <c r="K152" s="72">
        <v>33</v>
      </c>
      <c r="L152" s="71">
        <v>9.0638942307692302E-2</v>
      </c>
      <c r="M152" s="71">
        <v>9.0638942307692302E-2</v>
      </c>
      <c r="N152" s="71">
        <v>0.33774663461538462</v>
      </c>
      <c r="O152" s="71">
        <v>1.5579790651005631E-2</v>
      </c>
      <c r="P152" s="71">
        <v>0</v>
      </c>
      <c r="Q152" s="73" t="s">
        <v>28</v>
      </c>
      <c r="R152" s="74">
        <v>0.2</v>
      </c>
      <c r="S152" s="75">
        <f t="shared" si="455"/>
        <v>0.6466272665492796</v>
      </c>
      <c r="T152" s="59">
        <f t="shared" si="430"/>
        <v>2.5550735715018966</v>
      </c>
      <c r="U152" s="59">
        <f t="shared" si="431"/>
        <v>1.9463385122235624</v>
      </c>
      <c r="V152" s="59">
        <f t="shared" si="432"/>
        <v>1.4642873659098452</v>
      </c>
      <c r="W152" s="59">
        <f t="shared" si="433"/>
        <v>0.57309009894737517</v>
      </c>
      <c r="X152" s="59">
        <f t="shared" si="434"/>
        <v>0.75232923600581392</v>
      </c>
      <c r="Y152" s="86">
        <v>1911000</v>
      </c>
      <c r="Z152" s="57">
        <f t="shared" si="435"/>
        <v>1437701.1700071103</v>
      </c>
      <c r="AA152" s="57">
        <f t="shared" si="436"/>
        <v>1095175.179088434</v>
      </c>
      <c r="AB152" s="57">
        <f t="shared" si="437"/>
        <v>4005893.5010055955</v>
      </c>
      <c r="AC152" s="57">
        <f t="shared" si="438"/>
        <v>0.25</v>
      </c>
      <c r="AD152" s="57">
        <f t="shared" si="439"/>
        <v>1.5</v>
      </c>
      <c r="AE152" s="57">
        <f t="shared" si="440"/>
        <v>0</v>
      </c>
      <c r="AF152" s="57">
        <f t="shared" si="441"/>
        <v>443000.54765137995</v>
      </c>
      <c r="AG152" s="57">
        <f t="shared" si="517"/>
        <v>652174.63143705402</v>
      </c>
      <c r="AH152" s="57">
        <f t="shared" si="442"/>
        <v>3239408162.2192287</v>
      </c>
      <c r="AI152" s="57">
        <f t="shared" si="457"/>
        <v>3250139309.4098363</v>
      </c>
      <c r="AJ152" s="77">
        <v>0</v>
      </c>
      <c r="AK152" s="77">
        <v>20.8</v>
      </c>
      <c r="AL152" s="78">
        <f t="shared" si="443"/>
        <v>2.4382849278741148</v>
      </c>
      <c r="AM152" s="57">
        <f t="shared" si="444"/>
        <v>1</v>
      </c>
      <c r="AN152" s="57">
        <f t="shared" si="445"/>
        <v>0.8</v>
      </c>
      <c r="AO152" s="77">
        <v>3960</v>
      </c>
      <c r="AP152" s="79">
        <v>360</v>
      </c>
      <c r="AQ152" s="77">
        <f t="shared" si="446"/>
        <v>174.88942060716187</v>
      </c>
      <c r="AR152" s="57">
        <f t="shared" si="447"/>
        <v>3240</v>
      </c>
      <c r="AS152" s="77">
        <f t="shared" si="448"/>
        <v>3785.1105793928382</v>
      </c>
      <c r="AT152" s="77">
        <v>120</v>
      </c>
      <c r="AU152" s="77">
        <v>1620</v>
      </c>
      <c r="AV152" s="77">
        <f t="shared" si="449"/>
        <v>388800</v>
      </c>
      <c r="AW152" s="77">
        <f t="shared" si="518"/>
        <v>259200</v>
      </c>
      <c r="AX152" s="77">
        <f t="shared" si="450"/>
        <v>475200</v>
      </c>
      <c r="AY152" s="77">
        <v>648000</v>
      </c>
      <c r="AZ152" s="77">
        <v>571.29999999999995</v>
      </c>
      <c r="BA152" s="77">
        <v>571.29999999999995</v>
      </c>
      <c r="BB152" s="77">
        <v>396.9</v>
      </c>
      <c r="BC152" s="77">
        <v>284.2</v>
      </c>
      <c r="BD152" s="77">
        <v>3.3E-3</v>
      </c>
      <c r="BE152" s="77">
        <v>3.3E-3</v>
      </c>
      <c r="BF152" s="77">
        <v>1.77E-2</v>
      </c>
      <c r="BH152" s="79">
        <v>150</v>
      </c>
      <c r="BI152" s="79">
        <f>PI()*6*6/4</f>
        <v>28.274333882308138</v>
      </c>
      <c r="BJ152" s="79">
        <v>2</v>
      </c>
      <c r="BK152" s="57">
        <f t="shared" si="459"/>
        <v>56.548667764616276</v>
      </c>
      <c r="BL152" s="57">
        <f t="shared" si="515"/>
        <v>1283.04</v>
      </c>
      <c r="BM152" s="80">
        <f t="shared" si="519"/>
        <v>283.5287369864788</v>
      </c>
      <c r="BN152" s="80">
        <v>8</v>
      </c>
      <c r="BO152" s="57">
        <f t="shared" si="451"/>
        <v>2268.2298958918304</v>
      </c>
      <c r="BP152" s="57">
        <f t="shared" si="452"/>
        <v>2798253.1562537141</v>
      </c>
      <c r="BQ152" s="77">
        <f t="shared" si="453"/>
        <v>1.548323780298233E-8</v>
      </c>
      <c r="BR152" s="57">
        <f t="shared" si="520"/>
        <v>4533170113.1310167</v>
      </c>
      <c r="BS152" s="57">
        <v>349.77884121432373</v>
      </c>
      <c r="BT152" s="57">
        <f t="shared" si="456"/>
        <v>127.7580691425662</v>
      </c>
      <c r="BU152" s="57"/>
      <c r="BV152" s="57">
        <v>3.3E-3</v>
      </c>
      <c r="BW152" s="57">
        <v>30000</v>
      </c>
      <c r="BX152" s="57">
        <v>200000</v>
      </c>
      <c r="BY152" s="77">
        <v>41.5</v>
      </c>
      <c r="BZ152" s="77">
        <v>180</v>
      </c>
      <c r="CA152" s="77">
        <v>318.5</v>
      </c>
      <c r="CB152" s="77">
        <v>555</v>
      </c>
      <c r="CC152" s="77">
        <v>705</v>
      </c>
      <c r="CD152" s="77">
        <v>855</v>
      </c>
      <c r="CE152" s="77">
        <v>1005</v>
      </c>
      <c r="CF152" s="77">
        <v>1155</v>
      </c>
      <c r="CG152" s="77">
        <v>1305</v>
      </c>
      <c r="CH152" s="77">
        <v>1455</v>
      </c>
      <c r="CI152" s="77">
        <v>1605</v>
      </c>
      <c r="CJ152" s="77">
        <v>1755</v>
      </c>
      <c r="CK152" s="77">
        <v>1905</v>
      </c>
      <c r="CL152" s="77">
        <v>2055</v>
      </c>
      <c r="CM152" s="77">
        <v>2205</v>
      </c>
      <c r="CN152" s="77">
        <v>2355</v>
      </c>
      <c r="CO152" s="77">
        <v>2505</v>
      </c>
      <c r="CP152" s="77">
        <v>2655</v>
      </c>
      <c r="CQ152" s="77">
        <v>2805</v>
      </c>
      <c r="CR152" s="77">
        <v>2955</v>
      </c>
      <c r="CS152" s="77">
        <v>3105</v>
      </c>
      <c r="CT152" s="77">
        <v>3255</v>
      </c>
      <c r="CU152" s="77">
        <v>3405</v>
      </c>
      <c r="CV152" s="77">
        <v>3641.5</v>
      </c>
      <c r="CW152" s="77">
        <v>3780</v>
      </c>
      <c r="CX152" s="77">
        <v>3918.5</v>
      </c>
      <c r="DM152" s="77">
        <v>1148</v>
      </c>
      <c r="DN152" s="77">
        <v>574</v>
      </c>
      <c r="DO152" s="77">
        <v>574</v>
      </c>
      <c r="DP152" s="77">
        <v>56.5</v>
      </c>
      <c r="DQ152" s="77">
        <v>56.5</v>
      </c>
      <c r="DR152" s="77">
        <v>56.5</v>
      </c>
      <c r="DS152" s="77">
        <v>56.5</v>
      </c>
      <c r="DT152" s="77">
        <v>56.5</v>
      </c>
      <c r="DU152" s="77">
        <v>56.5</v>
      </c>
      <c r="DV152" s="77">
        <v>56.5</v>
      </c>
      <c r="DW152" s="77">
        <v>56.5</v>
      </c>
      <c r="DX152" s="77">
        <v>56.5</v>
      </c>
      <c r="DY152" s="77">
        <v>56.5</v>
      </c>
      <c r="DZ152" s="77">
        <v>56.5</v>
      </c>
      <c r="EA152" s="77">
        <v>56.5</v>
      </c>
      <c r="EB152" s="77">
        <v>56.5</v>
      </c>
      <c r="EC152" s="77">
        <v>56.5</v>
      </c>
      <c r="ED152" s="77">
        <v>56.5</v>
      </c>
      <c r="EE152" s="77">
        <v>56.5</v>
      </c>
      <c r="EF152" s="77">
        <v>56.5</v>
      </c>
      <c r="EG152" s="77">
        <v>56.5</v>
      </c>
      <c r="EH152" s="77">
        <v>56.5</v>
      </c>
      <c r="EI152" s="77">
        <v>56.5</v>
      </c>
      <c r="EJ152" s="77">
        <v>574</v>
      </c>
      <c r="EK152" s="77">
        <v>574</v>
      </c>
      <c r="EL152" s="77">
        <v>1148</v>
      </c>
      <c r="FA152" s="77">
        <f t="shared" si="516"/>
        <v>-455641.19999999995</v>
      </c>
      <c r="FB152" s="77">
        <f t="shared" si="526"/>
        <v>-183884.81127771683</v>
      </c>
      <c r="FC152" s="77">
        <f t="shared" si="521"/>
        <v>-33877.624399737848</v>
      </c>
      <c r="FD152" s="77">
        <f t="shared" si="522"/>
        <v>21878.673348422322</v>
      </c>
      <c r="FE152" s="77">
        <f t="shared" si="522"/>
        <v>32278.449999999997</v>
      </c>
      <c r="FF152" s="77">
        <f t="shared" si="522"/>
        <v>32278.449999999997</v>
      </c>
      <c r="FG152" s="77">
        <f t="shared" si="522"/>
        <v>32278.449999999997</v>
      </c>
      <c r="FH152" s="77">
        <f t="shared" si="522"/>
        <v>32278.449999999997</v>
      </c>
      <c r="FI152" s="77">
        <f t="shared" si="522"/>
        <v>32278.449999999997</v>
      </c>
      <c r="FJ152" s="77">
        <f t="shared" si="522"/>
        <v>32278.449999999997</v>
      </c>
      <c r="FK152" s="77">
        <f t="shared" si="522"/>
        <v>32278.449999999997</v>
      </c>
      <c r="FL152" s="77">
        <f t="shared" si="522"/>
        <v>32278.449999999997</v>
      </c>
      <c r="FM152" s="77">
        <f t="shared" si="522"/>
        <v>32278.449999999997</v>
      </c>
      <c r="FN152" s="77">
        <f t="shared" si="522"/>
        <v>32278.449999999997</v>
      </c>
      <c r="FO152" s="77">
        <f t="shared" si="522"/>
        <v>32278.449999999997</v>
      </c>
      <c r="FP152" s="77">
        <f t="shared" si="522"/>
        <v>32278.449999999997</v>
      </c>
      <c r="FQ152" s="77">
        <f t="shared" si="522"/>
        <v>32278.449999999997</v>
      </c>
      <c r="FR152" s="77">
        <f t="shared" si="511"/>
        <v>32278.449999999997</v>
      </c>
      <c r="FS152" s="77">
        <f t="shared" si="523"/>
        <v>32278.449999999997</v>
      </c>
      <c r="FT152" s="77">
        <f t="shared" si="523"/>
        <v>32278.449999999997</v>
      </c>
      <c r="FU152" s="77">
        <f t="shared" si="523"/>
        <v>32278.449999999997</v>
      </c>
      <c r="FV152" s="77">
        <f t="shared" si="523"/>
        <v>32278.449999999997</v>
      </c>
      <c r="FW152" s="77">
        <f t="shared" si="523"/>
        <v>32278.449999999997</v>
      </c>
      <c r="FX152" s="77">
        <f t="shared" si="524"/>
        <v>227820.59999999998</v>
      </c>
      <c r="FY152" s="77">
        <f t="shared" si="524"/>
        <v>227820.59999999998</v>
      </c>
      <c r="FZ152" s="77">
        <f t="shared" si="524"/>
        <v>455641.19999999995</v>
      </c>
      <c r="GO152" s="77">
        <f t="shared" ref="GO152:GO214" si="527">FA152*(BY152-0.5*$AO152)</f>
        <v>883260466.19999993</v>
      </c>
      <c r="GP152" s="77">
        <f t="shared" ref="GP152:GP214" si="528">FB152*(BZ152-0.5*$AO152)</f>
        <v>330992660.29989028</v>
      </c>
      <c r="GQ152" s="77">
        <f t="shared" ref="GQ152:GQ214" si="529">FC152*(CA152-0.5*$AO152)</f>
        <v>56287672.940164432</v>
      </c>
      <c r="GR152" s="77">
        <f t="shared" ref="GR152:GR214" si="530">FD152*(CB152-0.5*$AO152)</f>
        <v>-31177109.521501809</v>
      </c>
      <c r="GS152" s="77">
        <f t="shared" si="476"/>
        <v>-41155023.75</v>
      </c>
      <c r="GT152" s="77">
        <f t="shared" si="477"/>
        <v>-36313256.25</v>
      </c>
      <c r="GU152" s="77">
        <f t="shared" si="478"/>
        <v>-31471488.749999996</v>
      </c>
      <c r="GV152" s="77">
        <f t="shared" si="479"/>
        <v>-26629721.249999996</v>
      </c>
      <c r="GW152" s="77">
        <f t="shared" si="480"/>
        <v>-21787953.749999996</v>
      </c>
      <c r="GX152" s="77">
        <f t="shared" si="481"/>
        <v>-16946186.25</v>
      </c>
      <c r="GY152" s="77">
        <f t="shared" si="482"/>
        <v>-12104418.749999998</v>
      </c>
      <c r="GZ152" s="77">
        <f t="shared" si="483"/>
        <v>-7262651.2499999991</v>
      </c>
      <c r="HA152" s="77">
        <f t="shared" si="484"/>
        <v>-2420883.75</v>
      </c>
      <c r="HB152" s="77">
        <f t="shared" si="485"/>
        <v>2420883.75</v>
      </c>
      <c r="HC152" s="77">
        <f t="shared" si="486"/>
        <v>7262651.2499999991</v>
      </c>
      <c r="HD152" s="77">
        <f t="shared" si="487"/>
        <v>12104418.749999998</v>
      </c>
      <c r="HE152" s="77">
        <f t="shared" si="488"/>
        <v>16946186.25</v>
      </c>
      <c r="HF152" s="77">
        <f t="shared" si="489"/>
        <v>21787953.749999996</v>
      </c>
      <c r="HG152" s="77">
        <f t="shared" si="490"/>
        <v>26629721.249999996</v>
      </c>
      <c r="HH152" s="77">
        <f t="shared" si="514"/>
        <v>31471488.749999996</v>
      </c>
      <c r="HI152" s="77">
        <f t="shared" si="525"/>
        <v>36313256.25</v>
      </c>
      <c r="HJ152" s="77">
        <f t="shared" si="525"/>
        <v>41155023.75</v>
      </c>
      <c r="HK152" s="77">
        <f t="shared" si="525"/>
        <v>45996791.249999993</v>
      </c>
      <c r="HL152" s="77">
        <f t="shared" si="525"/>
        <v>378523926.89999998</v>
      </c>
      <c r="HM152" s="77">
        <f t="shared" si="525"/>
        <v>410077079.99999994</v>
      </c>
      <c r="HN152" s="77">
        <f t="shared" si="525"/>
        <v>883260466.19999993</v>
      </c>
      <c r="IC152" s="82">
        <v>160</v>
      </c>
    </row>
    <row r="153" spans="1:237" s="77" customFormat="1">
      <c r="A153" s="77">
        <v>152</v>
      </c>
      <c r="B153" s="69">
        <v>224</v>
      </c>
      <c r="C153" s="69" t="s">
        <v>236</v>
      </c>
      <c r="D153" s="70" t="s">
        <v>171</v>
      </c>
      <c r="E153" s="70">
        <v>3</v>
      </c>
      <c r="F153" s="70">
        <v>0.16082505269497138</v>
      </c>
      <c r="G153" s="70">
        <v>1.851852E-3</v>
      </c>
      <c r="H153" s="70">
        <v>4.4444439999999997E-3</v>
      </c>
      <c r="I153" s="70">
        <v>3.0864197530864196E-3</v>
      </c>
      <c r="J153" s="84">
        <v>0.4</v>
      </c>
      <c r="K153" s="72">
        <v>33</v>
      </c>
      <c r="L153" s="71">
        <v>9.5657560975609748E-2</v>
      </c>
      <c r="M153" s="71">
        <v>9.1498536585365844E-2</v>
      </c>
      <c r="N153" s="71">
        <v>0.34268926829268292</v>
      </c>
      <c r="O153" s="71">
        <v>7.8637725053881096E-3</v>
      </c>
      <c r="P153" s="71">
        <v>0</v>
      </c>
      <c r="Q153" s="73" t="s">
        <v>28</v>
      </c>
      <c r="R153" s="74">
        <v>0.2</v>
      </c>
      <c r="S153" s="75">
        <f t="shared" si="455"/>
        <v>0.72816639600710542</v>
      </c>
      <c r="T153" s="59">
        <f t="shared" si="430"/>
        <v>2.5011974087947912</v>
      </c>
      <c r="U153" s="59">
        <f t="shared" si="431"/>
        <v>2.0380456588865123</v>
      </c>
      <c r="V153" s="59">
        <f t="shared" si="432"/>
        <v>1.3634338683576037</v>
      </c>
      <c r="W153" s="59">
        <f t="shared" si="433"/>
        <v>0.54511245836232414</v>
      </c>
      <c r="X153" s="59">
        <f t="shared" si="434"/>
        <v>0.66899083561381878</v>
      </c>
      <c r="Y153" s="86">
        <v>2136400</v>
      </c>
      <c r="Z153" s="57">
        <f t="shared" si="435"/>
        <v>1429232.0212053624</v>
      </c>
      <c r="AA153" s="57">
        <f t="shared" si="436"/>
        <v>1164578.2560452693</v>
      </c>
      <c r="AB153" s="57">
        <f t="shared" si="437"/>
        <v>3950923.5116077871</v>
      </c>
      <c r="AC153" s="57">
        <f t="shared" si="438"/>
        <v>0.25</v>
      </c>
      <c r="AD153" s="57">
        <f t="shared" si="439"/>
        <v>1.5</v>
      </c>
      <c r="AE153" s="57">
        <f t="shared" si="440"/>
        <v>0</v>
      </c>
      <c r="AF153" s="57">
        <f t="shared" si="441"/>
        <v>437645.22007943003</v>
      </c>
      <c r="AG153" s="57">
        <f t="shared" si="517"/>
        <v>726933.03596583917</v>
      </c>
      <c r="AH153" s="57">
        <f t="shared" si="442"/>
        <v>3178730229.9797573</v>
      </c>
      <c r="AI153" s="57">
        <f t="shared" si="457"/>
        <v>3221765858.8248577</v>
      </c>
      <c r="AJ153" s="77">
        <v>0</v>
      </c>
      <c r="AK153" s="77">
        <v>20.5</v>
      </c>
      <c r="AL153" s="78">
        <f t="shared" si="443"/>
        <v>2.418879553263571</v>
      </c>
      <c r="AM153" s="57">
        <f t="shared" si="444"/>
        <v>1</v>
      </c>
      <c r="AN153" s="57">
        <f t="shared" si="445"/>
        <v>0.8</v>
      </c>
      <c r="AO153" s="77">
        <v>3960</v>
      </c>
      <c r="AP153" s="79">
        <v>360</v>
      </c>
      <c r="AQ153" s="77">
        <f t="shared" si="446"/>
        <v>190.64788846007497</v>
      </c>
      <c r="AR153" s="57">
        <f t="shared" si="447"/>
        <v>3240</v>
      </c>
      <c r="AS153" s="77">
        <f t="shared" si="448"/>
        <v>3769.3521115399249</v>
      </c>
      <c r="AT153" s="77">
        <v>120</v>
      </c>
      <c r="AU153" s="77">
        <v>1620</v>
      </c>
      <c r="AV153" s="77">
        <f t="shared" si="449"/>
        <v>388800</v>
      </c>
      <c r="AW153" s="77">
        <f t="shared" si="518"/>
        <v>259200</v>
      </c>
      <c r="AX153" s="77">
        <f t="shared" si="450"/>
        <v>475200</v>
      </c>
      <c r="AY153" s="77">
        <v>648000</v>
      </c>
      <c r="AZ153" s="77">
        <v>284.2</v>
      </c>
      <c r="BA153" s="77">
        <v>284.2</v>
      </c>
      <c r="BB153" s="77">
        <v>396.9</v>
      </c>
      <c r="BC153" s="77">
        <v>284.2</v>
      </c>
      <c r="BD153" s="77">
        <v>6.8999999999999999E-3</v>
      </c>
      <c r="BE153" s="77">
        <v>6.6E-3</v>
      </c>
      <c r="BF153" s="77">
        <v>1.77E-2</v>
      </c>
      <c r="BH153" s="79">
        <v>150</v>
      </c>
      <c r="BI153" s="79">
        <f>PI()*9*9/4</f>
        <v>63.617251235193308</v>
      </c>
      <c r="BJ153" s="79">
        <v>2</v>
      </c>
      <c r="BK153" s="57">
        <f t="shared" si="459"/>
        <v>127.23450247038662</v>
      </c>
      <c r="BL153" s="57">
        <f t="shared" si="515"/>
        <v>2682.72</v>
      </c>
      <c r="BM153" s="80">
        <f t="shared" si="519"/>
        <v>283.5287369864788</v>
      </c>
      <c r="BN153" s="80">
        <v>8</v>
      </c>
      <c r="BO153" s="57">
        <f t="shared" si="451"/>
        <v>2268.2298958918304</v>
      </c>
      <c r="BP153" s="57">
        <f t="shared" si="452"/>
        <v>2912840.1163591845</v>
      </c>
      <c r="BQ153" s="77">
        <f t="shared" si="453"/>
        <v>3.0267983675003052E-9</v>
      </c>
      <c r="BR153" s="57">
        <f t="shared" si="520"/>
        <v>4718800988.5018787</v>
      </c>
      <c r="BS153" s="57">
        <v>381.29577692014993</v>
      </c>
      <c r="BT153" s="57">
        <f t="shared" si="456"/>
        <v>134.51218990478674</v>
      </c>
      <c r="BU153" s="57"/>
      <c r="BV153" s="57">
        <v>3.3E-3</v>
      </c>
      <c r="BW153" s="57">
        <v>30000</v>
      </c>
      <c r="BX153" s="57">
        <v>200000</v>
      </c>
      <c r="BY153" s="77">
        <v>41.5</v>
      </c>
      <c r="BZ153" s="77">
        <v>180</v>
      </c>
      <c r="CA153" s="77">
        <v>318.5</v>
      </c>
      <c r="CB153" s="77">
        <v>480</v>
      </c>
      <c r="CC153" s="77">
        <v>630</v>
      </c>
      <c r="CD153" s="77">
        <v>780</v>
      </c>
      <c r="CE153" s="77">
        <v>930</v>
      </c>
      <c r="CF153" s="77">
        <v>1080</v>
      </c>
      <c r="CG153" s="77">
        <v>1230</v>
      </c>
      <c r="CH153" s="77">
        <v>1380</v>
      </c>
      <c r="CI153" s="77">
        <v>1530</v>
      </c>
      <c r="CJ153" s="77">
        <v>1680</v>
      </c>
      <c r="CK153" s="77">
        <v>1830</v>
      </c>
      <c r="CL153" s="77">
        <v>1980</v>
      </c>
      <c r="CM153" s="77">
        <v>2130</v>
      </c>
      <c r="CN153" s="77">
        <v>2280</v>
      </c>
      <c r="CO153" s="77">
        <v>2430</v>
      </c>
      <c r="CP153" s="77">
        <v>2580</v>
      </c>
      <c r="CQ153" s="77">
        <v>2730</v>
      </c>
      <c r="CR153" s="77">
        <v>2880</v>
      </c>
      <c r="CS153" s="77">
        <v>3030</v>
      </c>
      <c r="CT153" s="77">
        <v>3180</v>
      </c>
      <c r="CU153" s="77">
        <v>3330</v>
      </c>
      <c r="CV153" s="77">
        <v>3480</v>
      </c>
      <c r="CW153" s="77">
        <v>3641.5</v>
      </c>
      <c r="CX153" s="77">
        <v>3780</v>
      </c>
      <c r="CY153" s="77">
        <v>3918.5</v>
      </c>
      <c r="DM153" s="77">
        <v>1148</v>
      </c>
      <c r="DN153" s="77">
        <v>574</v>
      </c>
      <c r="DO153" s="77">
        <v>574</v>
      </c>
      <c r="DP153" s="77">
        <v>127.2</v>
      </c>
      <c r="DQ153" s="77">
        <v>127.2</v>
      </c>
      <c r="DR153" s="77">
        <v>127.2</v>
      </c>
      <c r="DS153" s="77">
        <v>127.2</v>
      </c>
      <c r="DT153" s="77">
        <v>127.2</v>
      </c>
      <c r="DU153" s="77">
        <v>127.2</v>
      </c>
      <c r="DV153" s="77">
        <v>127.2</v>
      </c>
      <c r="DW153" s="77">
        <v>127.2</v>
      </c>
      <c r="DX153" s="77">
        <v>127.2</v>
      </c>
      <c r="DY153" s="77">
        <v>127.2</v>
      </c>
      <c r="DZ153" s="77">
        <v>127.2</v>
      </c>
      <c r="EA153" s="77">
        <v>127.2</v>
      </c>
      <c r="EB153" s="77">
        <v>127.2</v>
      </c>
      <c r="EC153" s="77">
        <v>127.2</v>
      </c>
      <c r="ED153" s="77">
        <v>127.2</v>
      </c>
      <c r="EE153" s="77">
        <v>127.2</v>
      </c>
      <c r="EF153" s="77">
        <v>127.2</v>
      </c>
      <c r="EG153" s="77">
        <v>127.2</v>
      </c>
      <c r="EH153" s="77">
        <v>127.2</v>
      </c>
      <c r="EI153" s="77">
        <v>127.2</v>
      </c>
      <c r="EJ153" s="77">
        <v>127.2</v>
      </c>
      <c r="EK153" s="77">
        <v>574</v>
      </c>
      <c r="EL153" s="77">
        <v>574</v>
      </c>
      <c r="EM153" s="77">
        <v>1148</v>
      </c>
      <c r="FA153" s="77">
        <f t="shared" si="516"/>
        <v>-455641.19999999995</v>
      </c>
      <c r="FB153" s="77">
        <f t="shared" si="526"/>
        <v>-199999.30957640675</v>
      </c>
      <c r="FC153" s="77">
        <f t="shared" si="521"/>
        <v>-62391.333889364185</v>
      </c>
      <c r="FD153" s="77">
        <f t="shared" si="522"/>
        <v>21732.254689342903</v>
      </c>
      <c r="FE153" s="77">
        <f t="shared" si="522"/>
        <v>36150.239999999998</v>
      </c>
      <c r="FF153" s="77">
        <f t="shared" si="522"/>
        <v>36150.239999999998</v>
      </c>
      <c r="FG153" s="77">
        <f t="shared" si="522"/>
        <v>36150.239999999998</v>
      </c>
      <c r="FH153" s="77">
        <f t="shared" si="522"/>
        <v>36150.239999999998</v>
      </c>
      <c r="FI153" s="77">
        <f t="shared" si="522"/>
        <v>36150.239999999998</v>
      </c>
      <c r="FJ153" s="77">
        <f t="shared" si="522"/>
        <v>36150.239999999998</v>
      </c>
      <c r="FK153" s="77">
        <f t="shared" si="522"/>
        <v>36150.239999999998</v>
      </c>
      <c r="FL153" s="77">
        <f t="shared" si="522"/>
        <v>36150.239999999998</v>
      </c>
      <c r="FM153" s="77">
        <f t="shared" si="522"/>
        <v>36150.239999999998</v>
      </c>
      <c r="FN153" s="77">
        <f t="shared" si="522"/>
        <v>36150.239999999998</v>
      </c>
      <c r="FO153" s="77">
        <f t="shared" si="522"/>
        <v>36150.239999999998</v>
      </c>
      <c r="FP153" s="77">
        <f t="shared" si="522"/>
        <v>36150.239999999998</v>
      </c>
      <c r="FQ153" s="77">
        <f t="shared" si="522"/>
        <v>36150.239999999998</v>
      </c>
      <c r="FR153" s="77">
        <f t="shared" si="511"/>
        <v>36150.239999999998</v>
      </c>
      <c r="FS153" s="77">
        <f t="shared" si="523"/>
        <v>36150.239999999998</v>
      </c>
      <c r="FT153" s="77">
        <f t="shared" si="523"/>
        <v>36150.239999999998</v>
      </c>
      <c r="FU153" s="77">
        <f t="shared" si="523"/>
        <v>36150.239999999998</v>
      </c>
      <c r="FV153" s="77">
        <f t="shared" si="523"/>
        <v>36150.239999999998</v>
      </c>
      <c r="FW153" s="77">
        <f t="shared" si="523"/>
        <v>36150.239999999998</v>
      </c>
      <c r="FX153" s="77">
        <f>IF(ABS(-$BV153*($BS153-CV153)/$BS153*$BX153)&gt;$BA153,$BA153*SIGN(-($BS153-CV153)),-$BV153*($BS153-CV153)/$BS153*$BX153)*EJ153</f>
        <v>36150.239999999998</v>
      </c>
      <c r="FY153" s="77">
        <f t="shared" ref="FY153:GA155" si="531">IF(ABS(-$BV153*($BS153-CW153)/$BS153*$BX153)&gt;$BB153,$BB153*SIGN(-($BS153-CW153)),-$BV153*($BS153-CW153)/$BS153*$BX153)*EK153</f>
        <v>227820.59999999998</v>
      </c>
      <c r="FZ153" s="77">
        <f t="shared" si="531"/>
        <v>227820.59999999998</v>
      </c>
      <c r="GA153" s="77">
        <f t="shared" si="531"/>
        <v>455641.19999999995</v>
      </c>
      <c r="GO153" s="77">
        <f t="shared" si="527"/>
        <v>883260466.19999993</v>
      </c>
      <c r="GP153" s="77">
        <f t="shared" si="528"/>
        <v>359998757.23753214</v>
      </c>
      <c r="GQ153" s="77">
        <f t="shared" si="529"/>
        <v>103663201.25717859</v>
      </c>
      <c r="GR153" s="77">
        <f t="shared" si="530"/>
        <v>-32598382.034014355</v>
      </c>
      <c r="GS153" s="77">
        <f t="shared" si="476"/>
        <v>-48802824</v>
      </c>
      <c r="GT153" s="77">
        <f t="shared" si="477"/>
        <v>-43380288</v>
      </c>
      <c r="GU153" s="77">
        <f t="shared" si="478"/>
        <v>-37957752</v>
      </c>
      <c r="GV153" s="77">
        <f t="shared" si="479"/>
        <v>-32535216</v>
      </c>
      <c r="GW153" s="77">
        <f t="shared" si="480"/>
        <v>-27112680</v>
      </c>
      <c r="GX153" s="77">
        <f t="shared" si="481"/>
        <v>-21690144</v>
      </c>
      <c r="GY153" s="77">
        <f t="shared" si="482"/>
        <v>-16267608</v>
      </c>
      <c r="GZ153" s="77">
        <f t="shared" si="483"/>
        <v>-10845072</v>
      </c>
      <c r="HA153" s="77">
        <f t="shared" si="484"/>
        <v>-5422536</v>
      </c>
      <c r="HB153" s="77">
        <f t="shared" si="485"/>
        <v>0</v>
      </c>
      <c r="HC153" s="77">
        <f t="shared" si="486"/>
        <v>5422536</v>
      </c>
      <c r="HD153" s="77">
        <f t="shared" si="487"/>
        <v>10845072</v>
      </c>
      <c r="HE153" s="77">
        <f t="shared" si="488"/>
        <v>16267608</v>
      </c>
      <c r="HF153" s="77">
        <f t="shared" si="489"/>
        <v>21690144</v>
      </c>
      <c r="HG153" s="77">
        <f t="shared" si="490"/>
        <v>27112680</v>
      </c>
      <c r="HH153" s="77">
        <f t="shared" si="514"/>
        <v>32535216</v>
      </c>
      <c r="HI153" s="77">
        <f t="shared" si="525"/>
        <v>37957752</v>
      </c>
      <c r="HJ153" s="77">
        <f t="shared" si="525"/>
        <v>43380288</v>
      </c>
      <c r="HK153" s="77">
        <f t="shared" si="525"/>
        <v>48802824</v>
      </c>
      <c r="HL153" s="77">
        <f t="shared" si="525"/>
        <v>54225360</v>
      </c>
      <c r="HM153" s="77">
        <f t="shared" si="525"/>
        <v>378523926.89999998</v>
      </c>
      <c r="HN153" s="77">
        <f t="shared" si="525"/>
        <v>410077079.99999994</v>
      </c>
      <c r="HO153" s="77">
        <f>GA153*(CY153-0.5*$AO153)</f>
        <v>883260466.19999993</v>
      </c>
      <c r="IC153" s="82">
        <v>161</v>
      </c>
    </row>
    <row r="154" spans="1:237" s="77" customFormat="1">
      <c r="A154" s="77">
        <v>153</v>
      </c>
      <c r="B154" s="69">
        <v>225</v>
      </c>
      <c r="C154" s="69" t="s">
        <v>236</v>
      </c>
      <c r="D154" s="70" t="s">
        <v>172</v>
      </c>
      <c r="E154" s="70">
        <v>3</v>
      </c>
      <c r="F154" s="70">
        <v>0.1558641975308642</v>
      </c>
      <c r="G154" s="70">
        <v>1.2345679999999999E-3</v>
      </c>
      <c r="H154" s="70">
        <v>4.8148150000000001E-3</v>
      </c>
      <c r="I154" s="70">
        <v>3.7037037037037038E-3</v>
      </c>
      <c r="J154" s="84">
        <v>0.4</v>
      </c>
      <c r="K154" s="72">
        <v>33</v>
      </c>
      <c r="L154" s="71">
        <v>0.10004999999999999</v>
      </c>
      <c r="M154" s="71">
        <v>9.569999999999998E-2</v>
      </c>
      <c r="N154" s="71">
        <v>0.35842499999999999</v>
      </c>
      <c r="O154" s="71">
        <v>8.224864100023278E-3</v>
      </c>
      <c r="P154" s="71">
        <v>0</v>
      </c>
      <c r="Q154" s="73" t="s">
        <v>28</v>
      </c>
      <c r="R154" s="74">
        <v>0.2</v>
      </c>
      <c r="S154" s="75">
        <f t="shared" si="455"/>
        <v>0.69004021782069269</v>
      </c>
      <c r="T154" s="59">
        <f t="shared" si="430"/>
        <v>2.5242703899447667</v>
      </c>
      <c r="U154" s="59">
        <f t="shared" si="431"/>
        <v>2.0522733412906113</v>
      </c>
      <c r="V154" s="59">
        <f t="shared" si="432"/>
        <v>1.4693225529898211</v>
      </c>
      <c r="W154" s="59">
        <f t="shared" si="433"/>
        <v>0.58207811605395066</v>
      </c>
      <c r="X154" s="59">
        <f t="shared" si="434"/>
        <v>0.71594875956718773</v>
      </c>
      <c r="Y154" s="86">
        <v>1979600</v>
      </c>
      <c r="Z154" s="57">
        <f t="shared" si="435"/>
        <v>1417292.1644392048</v>
      </c>
      <c r="AA154" s="57">
        <f t="shared" si="436"/>
        <v>1152281.8385404006</v>
      </c>
      <c r="AB154" s="57">
        <f t="shared" si="437"/>
        <v>3856119.6938097305</v>
      </c>
      <c r="AC154" s="57">
        <f t="shared" si="438"/>
        <v>0.25</v>
      </c>
      <c r="AD154" s="57">
        <f t="shared" si="439"/>
        <v>1.5</v>
      </c>
      <c r="AE154" s="57">
        <f t="shared" si="440"/>
        <v>0</v>
      </c>
      <c r="AF154" s="57">
        <f t="shared" si="441"/>
        <v>426370.76611369138</v>
      </c>
      <c r="AG154" s="57">
        <f t="shared" si="517"/>
        <v>725911.07242670923</v>
      </c>
      <c r="AH154" s="57">
        <f t="shared" si="442"/>
        <v>3034689308.1889553</v>
      </c>
      <c r="AI154" s="57">
        <f t="shared" si="457"/>
        <v>3212224595.7828088</v>
      </c>
      <c r="AJ154" s="77">
        <v>0</v>
      </c>
      <c r="AK154" s="77">
        <v>19.600000000000001</v>
      </c>
      <c r="AL154" s="78">
        <f t="shared" si="443"/>
        <v>2.3598829314397931</v>
      </c>
      <c r="AM154" s="57">
        <f t="shared" si="444"/>
        <v>1</v>
      </c>
      <c r="AN154" s="57">
        <f t="shared" si="445"/>
        <v>0.8</v>
      </c>
      <c r="AO154" s="77">
        <v>3960</v>
      </c>
      <c r="AP154" s="79">
        <v>360</v>
      </c>
      <c r="AQ154" s="77">
        <f t="shared" si="446"/>
        <v>195.94705665514559</v>
      </c>
      <c r="AR154" s="57">
        <f t="shared" si="447"/>
        <v>3240</v>
      </c>
      <c r="AS154" s="77">
        <f t="shared" si="448"/>
        <v>3764.0529433448546</v>
      </c>
      <c r="AT154" s="77">
        <v>120</v>
      </c>
      <c r="AU154" s="77">
        <v>1620</v>
      </c>
      <c r="AV154" s="77">
        <f t="shared" si="449"/>
        <v>388800</v>
      </c>
      <c r="AW154" s="77">
        <f t="shared" si="518"/>
        <v>259200</v>
      </c>
      <c r="AX154" s="77">
        <f t="shared" si="450"/>
        <v>475200</v>
      </c>
      <c r="AY154" s="77">
        <v>648000</v>
      </c>
      <c r="AZ154" s="77">
        <v>284.2</v>
      </c>
      <c r="BA154" s="77">
        <v>284.2</v>
      </c>
      <c r="BB154" s="77">
        <v>396.9</v>
      </c>
      <c r="BC154" s="77">
        <v>284.2</v>
      </c>
      <c r="BD154" s="77">
        <v>6.8999999999999999E-3</v>
      </c>
      <c r="BE154" s="77">
        <v>6.6E-3</v>
      </c>
      <c r="BF154" s="77">
        <v>1.77E-2</v>
      </c>
      <c r="BH154" s="79">
        <v>150</v>
      </c>
      <c r="BI154" s="79">
        <f>PI()*9*9/4</f>
        <v>63.617251235193308</v>
      </c>
      <c r="BJ154" s="79">
        <v>2</v>
      </c>
      <c r="BK154" s="57">
        <f t="shared" si="459"/>
        <v>127.23450247038662</v>
      </c>
      <c r="BL154" s="57">
        <f t="shared" si="515"/>
        <v>2682.72</v>
      </c>
      <c r="BM154" s="80">
        <f t="shared" si="519"/>
        <v>283.5287369864788</v>
      </c>
      <c r="BN154" s="80">
        <v>8</v>
      </c>
      <c r="BO154" s="57">
        <f t="shared" si="451"/>
        <v>2268.2298958918304</v>
      </c>
      <c r="BP154" s="57">
        <f t="shared" si="452"/>
        <v>2908670.9258986497</v>
      </c>
      <c r="BQ154" s="77">
        <f t="shared" si="453"/>
        <v>1.0477378964424133E-9</v>
      </c>
      <c r="BR154" s="57">
        <f t="shared" si="520"/>
        <v>4712046899.9558125</v>
      </c>
      <c r="BS154" s="57">
        <v>391.89411331029117</v>
      </c>
      <c r="BT154" s="57">
        <f t="shared" si="456"/>
        <v>139.69489334195217</v>
      </c>
      <c r="BU154" s="57"/>
      <c r="BV154" s="57">
        <v>3.3E-3</v>
      </c>
      <c r="BW154" s="57">
        <v>30000</v>
      </c>
      <c r="BX154" s="57">
        <v>200000</v>
      </c>
      <c r="BY154" s="77">
        <v>41.5</v>
      </c>
      <c r="BZ154" s="77">
        <v>180</v>
      </c>
      <c r="CA154" s="77">
        <v>318.5</v>
      </c>
      <c r="CB154" s="77">
        <v>480</v>
      </c>
      <c r="CC154" s="77">
        <v>630</v>
      </c>
      <c r="CD154" s="77">
        <v>780</v>
      </c>
      <c r="CE154" s="77">
        <v>930</v>
      </c>
      <c r="CF154" s="77">
        <v>1080</v>
      </c>
      <c r="CG154" s="77">
        <v>1230</v>
      </c>
      <c r="CH154" s="77">
        <v>1380</v>
      </c>
      <c r="CI154" s="77">
        <v>1530</v>
      </c>
      <c r="CJ154" s="77">
        <v>1680</v>
      </c>
      <c r="CK154" s="77">
        <v>1830</v>
      </c>
      <c r="CL154" s="77">
        <v>1980</v>
      </c>
      <c r="CM154" s="77">
        <v>2130</v>
      </c>
      <c r="CN154" s="77">
        <v>2280</v>
      </c>
      <c r="CO154" s="77">
        <v>2430</v>
      </c>
      <c r="CP154" s="77">
        <v>2580</v>
      </c>
      <c r="CQ154" s="77">
        <v>2730</v>
      </c>
      <c r="CR154" s="77">
        <v>2880</v>
      </c>
      <c r="CS154" s="77">
        <v>3030</v>
      </c>
      <c r="CT154" s="77">
        <v>3180</v>
      </c>
      <c r="CU154" s="77">
        <v>3330</v>
      </c>
      <c r="CV154" s="77">
        <v>3480</v>
      </c>
      <c r="CW154" s="77">
        <v>3641.5</v>
      </c>
      <c r="CX154" s="77">
        <v>3780</v>
      </c>
      <c r="CY154" s="77">
        <v>3918.5</v>
      </c>
      <c r="DM154" s="77">
        <v>1148</v>
      </c>
      <c r="DN154" s="77">
        <v>574</v>
      </c>
      <c r="DO154" s="77">
        <v>574</v>
      </c>
      <c r="DP154" s="77">
        <v>127.2</v>
      </c>
      <c r="DQ154" s="77">
        <v>127.2</v>
      </c>
      <c r="DR154" s="77">
        <v>127.2</v>
      </c>
      <c r="DS154" s="77">
        <v>127.2</v>
      </c>
      <c r="DT154" s="77">
        <v>127.2</v>
      </c>
      <c r="DU154" s="77">
        <v>127.2</v>
      </c>
      <c r="DV154" s="77">
        <v>127.2</v>
      </c>
      <c r="DW154" s="77">
        <v>127.2</v>
      </c>
      <c r="DX154" s="77">
        <v>127.2</v>
      </c>
      <c r="DY154" s="77">
        <v>127.2</v>
      </c>
      <c r="DZ154" s="77">
        <v>127.2</v>
      </c>
      <c r="EA154" s="77">
        <v>127.2</v>
      </c>
      <c r="EB154" s="77">
        <v>127.2</v>
      </c>
      <c r="EC154" s="77">
        <v>127.2</v>
      </c>
      <c r="ED154" s="77">
        <v>127.2</v>
      </c>
      <c r="EE154" s="77">
        <v>127.2</v>
      </c>
      <c r="EF154" s="77">
        <v>127.2</v>
      </c>
      <c r="EG154" s="77">
        <v>127.2</v>
      </c>
      <c r="EH154" s="77">
        <v>127.2</v>
      </c>
      <c r="EI154" s="77">
        <v>127.2</v>
      </c>
      <c r="EJ154" s="77">
        <v>127.2</v>
      </c>
      <c r="EK154" s="77">
        <v>574</v>
      </c>
      <c r="EL154" s="77">
        <v>574</v>
      </c>
      <c r="EM154" s="77">
        <v>1148</v>
      </c>
      <c r="FA154" s="77">
        <f t="shared" si="516"/>
        <v>-455641.19999999995</v>
      </c>
      <c r="FB154" s="77">
        <f t="shared" si="526"/>
        <v>-204835.85529878052</v>
      </c>
      <c r="FC154" s="77">
        <f t="shared" si="521"/>
        <v>-70949.332848120015</v>
      </c>
      <c r="FD154" s="77">
        <f t="shared" si="522"/>
        <v>18874.142652706691</v>
      </c>
      <c r="FE154" s="77">
        <f t="shared" si="522"/>
        <v>36150.239999999998</v>
      </c>
      <c r="FF154" s="77">
        <f t="shared" si="522"/>
        <v>36150.239999999998</v>
      </c>
      <c r="FG154" s="77">
        <f t="shared" si="522"/>
        <v>36150.239999999998</v>
      </c>
      <c r="FH154" s="77">
        <f t="shared" si="522"/>
        <v>36150.239999999998</v>
      </c>
      <c r="FI154" s="77">
        <f t="shared" si="522"/>
        <v>36150.239999999998</v>
      </c>
      <c r="FJ154" s="77">
        <f t="shared" si="522"/>
        <v>36150.239999999998</v>
      </c>
      <c r="FK154" s="77">
        <f t="shared" si="522"/>
        <v>36150.239999999998</v>
      </c>
      <c r="FL154" s="77">
        <f t="shared" si="522"/>
        <v>36150.239999999998</v>
      </c>
      <c r="FM154" s="77">
        <f t="shared" si="522"/>
        <v>36150.239999999998</v>
      </c>
      <c r="FN154" s="77">
        <f t="shared" si="522"/>
        <v>36150.239999999998</v>
      </c>
      <c r="FO154" s="77">
        <f t="shared" si="522"/>
        <v>36150.239999999998</v>
      </c>
      <c r="FP154" s="77">
        <f t="shared" si="522"/>
        <v>36150.239999999998</v>
      </c>
      <c r="FQ154" s="77">
        <f t="shared" si="522"/>
        <v>36150.239999999998</v>
      </c>
      <c r="FR154" s="77">
        <f t="shared" si="511"/>
        <v>36150.239999999998</v>
      </c>
      <c r="FS154" s="77">
        <f t="shared" si="523"/>
        <v>36150.239999999998</v>
      </c>
      <c r="FT154" s="77">
        <f t="shared" si="523"/>
        <v>36150.239999999998</v>
      </c>
      <c r="FU154" s="77">
        <f t="shared" si="523"/>
        <v>36150.239999999998</v>
      </c>
      <c r="FV154" s="77">
        <f t="shared" si="523"/>
        <v>36150.239999999998</v>
      </c>
      <c r="FW154" s="77">
        <f t="shared" si="523"/>
        <v>36150.239999999998</v>
      </c>
      <c r="FX154" s="77">
        <f>IF(ABS(-$BV154*($BS154-CV154)/$BS154*$BX154)&gt;$BA154,$BA154*SIGN(-($BS154-CV154)),-$BV154*($BS154-CV154)/$BS154*$BX154)*EJ154</f>
        <v>36150.239999999998</v>
      </c>
      <c r="FY154" s="77">
        <f t="shared" si="531"/>
        <v>227820.59999999998</v>
      </c>
      <c r="FZ154" s="77">
        <f t="shared" si="531"/>
        <v>227820.59999999998</v>
      </c>
      <c r="GA154" s="77">
        <f t="shared" si="531"/>
        <v>455641.19999999995</v>
      </c>
      <c r="GO154" s="77">
        <f t="shared" si="527"/>
        <v>883260466.19999993</v>
      </c>
      <c r="GP154" s="77">
        <f t="shared" si="528"/>
        <v>368704539.5378049</v>
      </c>
      <c r="GQ154" s="77">
        <f t="shared" si="529"/>
        <v>117882316.52715141</v>
      </c>
      <c r="GR154" s="77">
        <f t="shared" si="530"/>
        <v>-28311213.979060035</v>
      </c>
      <c r="GS154" s="77">
        <f t="shared" si="476"/>
        <v>-48802824</v>
      </c>
      <c r="GT154" s="77">
        <f t="shared" si="477"/>
        <v>-43380288</v>
      </c>
      <c r="GU154" s="77">
        <f t="shared" si="478"/>
        <v>-37957752</v>
      </c>
      <c r="GV154" s="77">
        <f t="shared" si="479"/>
        <v>-32535216</v>
      </c>
      <c r="GW154" s="77">
        <f t="shared" si="480"/>
        <v>-27112680</v>
      </c>
      <c r="GX154" s="77">
        <f t="shared" si="481"/>
        <v>-21690144</v>
      </c>
      <c r="GY154" s="77">
        <f t="shared" si="482"/>
        <v>-16267608</v>
      </c>
      <c r="GZ154" s="77">
        <f t="shared" si="483"/>
        <v>-10845072</v>
      </c>
      <c r="HA154" s="77">
        <f t="shared" si="484"/>
        <v>-5422536</v>
      </c>
      <c r="HB154" s="77">
        <f t="shared" si="485"/>
        <v>0</v>
      </c>
      <c r="HC154" s="77">
        <f t="shared" si="486"/>
        <v>5422536</v>
      </c>
      <c r="HD154" s="77">
        <f t="shared" si="487"/>
        <v>10845072</v>
      </c>
      <c r="HE154" s="77">
        <f t="shared" si="488"/>
        <v>16267608</v>
      </c>
      <c r="HF154" s="77">
        <f t="shared" si="489"/>
        <v>21690144</v>
      </c>
      <c r="HG154" s="77">
        <f t="shared" si="490"/>
        <v>27112680</v>
      </c>
      <c r="HH154" s="77">
        <f t="shared" si="514"/>
        <v>32535216</v>
      </c>
      <c r="HI154" s="77">
        <f t="shared" si="525"/>
        <v>37957752</v>
      </c>
      <c r="HJ154" s="77">
        <f t="shared" si="525"/>
        <v>43380288</v>
      </c>
      <c r="HK154" s="77">
        <f t="shared" si="525"/>
        <v>48802824</v>
      </c>
      <c r="HL154" s="77">
        <f t="shared" si="525"/>
        <v>54225360</v>
      </c>
      <c r="HM154" s="77">
        <f t="shared" si="525"/>
        <v>378523926.89999998</v>
      </c>
      <c r="HN154" s="77">
        <f t="shared" si="525"/>
        <v>410077079.99999994</v>
      </c>
      <c r="HO154" s="77">
        <f>GA154*(CY154-0.5*$AO154)</f>
        <v>883260466.19999993</v>
      </c>
      <c r="IC154" s="82">
        <v>162</v>
      </c>
    </row>
    <row r="155" spans="1:237" s="77" customFormat="1">
      <c r="A155" s="77">
        <v>154</v>
      </c>
      <c r="B155" s="69">
        <v>226</v>
      </c>
      <c r="C155" s="69" t="s">
        <v>236</v>
      </c>
      <c r="D155" s="70" t="s">
        <v>173</v>
      </c>
      <c r="E155" s="70">
        <v>3</v>
      </c>
      <c r="F155" s="70">
        <v>0.17004843759229724</v>
      </c>
      <c r="G155" s="70">
        <v>1.851852E-3</v>
      </c>
      <c r="H155" s="70">
        <v>4.7530860000000001E-3</v>
      </c>
      <c r="I155" s="70">
        <v>3.7037037037037038E-3</v>
      </c>
      <c r="J155" s="84">
        <v>0.4</v>
      </c>
      <c r="K155" s="72">
        <v>33</v>
      </c>
      <c r="L155" s="71">
        <v>0.1462263157894737</v>
      </c>
      <c r="M155" s="71">
        <v>0.14052918660287081</v>
      </c>
      <c r="N155" s="71">
        <v>0.33613062200956939</v>
      </c>
      <c r="O155" s="71">
        <v>1.0771980073582708E-2</v>
      </c>
      <c r="P155" s="71">
        <v>0</v>
      </c>
      <c r="Q155" s="73" t="s">
        <v>28</v>
      </c>
      <c r="R155" s="74">
        <v>0.2</v>
      </c>
      <c r="S155" s="75">
        <f t="shared" si="455"/>
        <v>0.7774022424501047</v>
      </c>
      <c r="T155" s="59">
        <f t="shared" si="430"/>
        <v>2.135739105329173</v>
      </c>
      <c r="U155" s="59">
        <f t="shared" si="431"/>
        <v>1.7177489560807393</v>
      </c>
      <c r="V155" s="59">
        <f t="shared" si="432"/>
        <v>1.4461038105885438</v>
      </c>
      <c r="W155" s="59">
        <f t="shared" si="433"/>
        <v>0.67709759444876638</v>
      </c>
      <c r="X155" s="59">
        <f t="shared" si="434"/>
        <v>0.84185981046264868</v>
      </c>
      <c r="Y155" s="86">
        <v>2303000</v>
      </c>
      <c r="Z155" s="57">
        <f t="shared" si="435"/>
        <v>1938803.1434954798</v>
      </c>
      <c r="AA155" s="57">
        <f t="shared" si="436"/>
        <v>1559355.7600155091</v>
      </c>
      <c r="AB155" s="57">
        <f t="shared" si="437"/>
        <v>3906544.1790974401</v>
      </c>
      <c r="AC155" s="57">
        <f t="shared" si="438"/>
        <v>0.25</v>
      </c>
      <c r="AD155" s="57">
        <f t="shared" si="439"/>
        <v>1.5</v>
      </c>
      <c r="AE155" s="57">
        <f t="shared" si="440"/>
        <v>0</v>
      </c>
      <c r="AF155" s="57">
        <f t="shared" si="441"/>
        <v>436508.45715319755</v>
      </c>
      <c r="AG155" s="57">
        <f t="shared" si="517"/>
        <v>1122847.3028623115</v>
      </c>
      <c r="AH155" s="57">
        <f t="shared" si="442"/>
        <v>3196028216.7418942</v>
      </c>
      <c r="AI155" s="57">
        <f t="shared" si="457"/>
        <v>3132573353.3959584</v>
      </c>
      <c r="AJ155" s="77">
        <v>0</v>
      </c>
      <c r="AK155" s="77">
        <v>20.9</v>
      </c>
      <c r="AL155" s="78">
        <f t="shared" si="443"/>
        <v>2.4447253577253663</v>
      </c>
      <c r="AM155" s="57">
        <f t="shared" si="444"/>
        <v>1</v>
      </c>
      <c r="AN155" s="57">
        <f t="shared" si="445"/>
        <v>0.8</v>
      </c>
      <c r="AO155" s="77">
        <v>3960</v>
      </c>
      <c r="AP155" s="79">
        <v>360</v>
      </c>
      <c r="AQ155" s="77">
        <f t="shared" si="446"/>
        <v>240.18494512903811</v>
      </c>
      <c r="AR155" s="57">
        <f t="shared" si="447"/>
        <v>3240</v>
      </c>
      <c r="AS155" s="77">
        <f t="shared" si="448"/>
        <v>3719.8150548709618</v>
      </c>
      <c r="AT155" s="77">
        <v>120</v>
      </c>
      <c r="AU155" s="77">
        <v>1620</v>
      </c>
      <c r="AV155" s="77">
        <f t="shared" si="449"/>
        <v>388800</v>
      </c>
      <c r="AW155" s="77">
        <f t="shared" si="518"/>
        <v>259200</v>
      </c>
      <c r="AX155" s="77">
        <f t="shared" si="450"/>
        <v>475200</v>
      </c>
      <c r="AY155" s="77">
        <v>648000</v>
      </c>
      <c r="AZ155" s="77">
        <v>396.9</v>
      </c>
      <c r="BA155" s="77">
        <v>396.9</v>
      </c>
      <c r="BB155" s="77">
        <v>396.9</v>
      </c>
      <c r="BC155" s="77">
        <v>284.2</v>
      </c>
      <c r="BD155" s="77">
        <v>7.7000000000000002E-3</v>
      </c>
      <c r="BE155" s="77">
        <v>7.4000000000000003E-3</v>
      </c>
      <c r="BF155" s="77">
        <v>1.77E-2</v>
      </c>
      <c r="BH155" s="79">
        <v>150</v>
      </c>
      <c r="BI155" s="79"/>
      <c r="BJ155" s="79"/>
      <c r="BK155" s="57">
        <v>142.6</v>
      </c>
      <c r="BL155" s="57">
        <f t="shared" si="515"/>
        <v>2993.76</v>
      </c>
      <c r="BM155" s="80">
        <f t="shared" si="519"/>
        <v>283.5287369864788</v>
      </c>
      <c r="BN155" s="80">
        <v>8</v>
      </c>
      <c r="BO155" s="57">
        <f t="shared" si="451"/>
        <v>2268.2298958918304</v>
      </c>
      <c r="BP155" s="57">
        <f t="shared" si="452"/>
        <v>3330377.0757854162</v>
      </c>
      <c r="BQ155" s="77">
        <f t="shared" si="453"/>
        <v>1.8160790205001831E-8</v>
      </c>
      <c r="BR155" s="57">
        <f t="shared" si="520"/>
        <v>5395210862.7723742</v>
      </c>
      <c r="BS155" s="57">
        <v>480.36989025807623</v>
      </c>
      <c r="BT155" s="57">
        <f t="shared" si="456"/>
        <v>206.27344262134091</v>
      </c>
      <c r="BU155" s="57"/>
      <c r="BV155" s="57">
        <v>3.3E-3</v>
      </c>
      <c r="BW155" s="57">
        <v>30000</v>
      </c>
      <c r="BX155" s="57">
        <v>200000</v>
      </c>
      <c r="BY155" s="77">
        <v>41.5</v>
      </c>
      <c r="BZ155" s="77">
        <v>180</v>
      </c>
      <c r="CA155" s="77">
        <v>318.5</v>
      </c>
      <c r="CB155" s="77">
        <v>480</v>
      </c>
      <c r="CC155" s="77">
        <v>630</v>
      </c>
      <c r="CD155" s="77">
        <v>780</v>
      </c>
      <c r="CE155" s="77">
        <v>930</v>
      </c>
      <c r="CF155" s="77">
        <v>1080</v>
      </c>
      <c r="CG155" s="77">
        <v>1230</v>
      </c>
      <c r="CH155" s="77">
        <v>1380</v>
      </c>
      <c r="CI155" s="77">
        <v>1530</v>
      </c>
      <c r="CJ155" s="77">
        <v>1680</v>
      </c>
      <c r="CK155" s="77">
        <v>1830</v>
      </c>
      <c r="CL155" s="77">
        <v>1980</v>
      </c>
      <c r="CM155" s="77">
        <v>2130</v>
      </c>
      <c r="CN155" s="77">
        <v>2280</v>
      </c>
      <c r="CO155" s="77">
        <v>2430</v>
      </c>
      <c r="CP155" s="77">
        <v>2580</v>
      </c>
      <c r="CQ155" s="77">
        <v>2730</v>
      </c>
      <c r="CR155" s="77">
        <v>2880</v>
      </c>
      <c r="CS155" s="77">
        <v>3030</v>
      </c>
      <c r="CT155" s="77">
        <v>3180</v>
      </c>
      <c r="CU155" s="77">
        <v>3330</v>
      </c>
      <c r="CV155" s="77">
        <v>3480</v>
      </c>
      <c r="CW155" s="77">
        <v>3641.5</v>
      </c>
      <c r="CX155" s="77">
        <v>3780</v>
      </c>
      <c r="CY155" s="77">
        <v>3918.5</v>
      </c>
      <c r="DM155" s="77">
        <v>1148</v>
      </c>
      <c r="DN155" s="77">
        <v>574</v>
      </c>
      <c r="DO155" s="77">
        <v>574</v>
      </c>
      <c r="DP155" s="77">
        <v>142.6</v>
      </c>
      <c r="DQ155" s="77">
        <v>142.6</v>
      </c>
      <c r="DR155" s="77">
        <v>142.6</v>
      </c>
      <c r="DS155" s="77">
        <v>142.6</v>
      </c>
      <c r="DT155" s="77">
        <v>142.6</v>
      </c>
      <c r="DU155" s="77">
        <v>142.6</v>
      </c>
      <c r="DV155" s="77">
        <v>142.6</v>
      </c>
      <c r="DW155" s="77">
        <v>142.6</v>
      </c>
      <c r="DX155" s="77">
        <v>142.6</v>
      </c>
      <c r="DY155" s="77">
        <v>142.6</v>
      </c>
      <c r="DZ155" s="77">
        <v>142.6</v>
      </c>
      <c r="EA155" s="77">
        <v>142.6</v>
      </c>
      <c r="EB155" s="77">
        <v>142.6</v>
      </c>
      <c r="EC155" s="77">
        <v>142.6</v>
      </c>
      <c r="ED155" s="77">
        <v>142.6</v>
      </c>
      <c r="EE155" s="77">
        <v>142.6</v>
      </c>
      <c r="EF155" s="77">
        <v>142.6</v>
      </c>
      <c r="EG155" s="77">
        <v>142.6</v>
      </c>
      <c r="EH155" s="77">
        <v>142.6</v>
      </c>
      <c r="EI155" s="77">
        <v>142.6</v>
      </c>
      <c r="EJ155" s="77">
        <v>142.6</v>
      </c>
      <c r="EK155" s="77">
        <v>574</v>
      </c>
      <c r="EL155" s="77">
        <v>574</v>
      </c>
      <c r="EM155" s="77">
        <v>1148</v>
      </c>
      <c r="FA155" s="77">
        <f t="shared" si="516"/>
        <v>-455641.19999999995</v>
      </c>
      <c r="FB155" s="77">
        <f t="shared" si="526"/>
        <v>-227820.59999999998</v>
      </c>
      <c r="FC155" s="77">
        <f t="shared" si="521"/>
        <v>-127657.43746433452</v>
      </c>
      <c r="FD155" s="77">
        <f t="shared" si="522"/>
        <v>-72.470386331664358</v>
      </c>
      <c r="FE155" s="77">
        <f t="shared" si="522"/>
        <v>29316.132617939689</v>
      </c>
      <c r="FF155" s="77">
        <f t="shared" si="522"/>
        <v>56597.939999999995</v>
      </c>
      <c r="FG155" s="77">
        <f t="shared" si="522"/>
        <v>56597.939999999995</v>
      </c>
      <c r="FH155" s="77">
        <f t="shared" si="522"/>
        <v>56597.939999999995</v>
      </c>
      <c r="FI155" s="77">
        <f t="shared" si="522"/>
        <v>56597.939999999995</v>
      </c>
      <c r="FJ155" s="77">
        <f t="shared" si="522"/>
        <v>56597.939999999995</v>
      </c>
      <c r="FK155" s="77">
        <f t="shared" si="522"/>
        <v>56597.939999999995</v>
      </c>
      <c r="FL155" s="77">
        <f t="shared" si="522"/>
        <v>56597.939999999995</v>
      </c>
      <c r="FM155" s="77">
        <f t="shared" si="522"/>
        <v>56597.939999999995</v>
      </c>
      <c r="FN155" s="77">
        <f t="shared" si="522"/>
        <v>56597.939999999995</v>
      </c>
      <c r="FO155" s="77">
        <f t="shared" si="522"/>
        <v>56597.939999999995</v>
      </c>
      <c r="FP155" s="77">
        <f t="shared" si="522"/>
        <v>56597.939999999995</v>
      </c>
      <c r="FQ155" s="77">
        <f t="shared" si="522"/>
        <v>56597.939999999995</v>
      </c>
      <c r="FR155" s="77">
        <f t="shared" si="511"/>
        <v>56597.939999999995</v>
      </c>
      <c r="FS155" s="77">
        <f t="shared" si="523"/>
        <v>56597.939999999995</v>
      </c>
      <c r="FT155" s="77">
        <f t="shared" si="523"/>
        <v>56597.939999999995</v>
      </c>
      <c r="FU155" s="77">
        <f t="shared" si="523"/>
        <v>56597.939999999995</v>
      </c>
      <c r="FV155" s="77">
        <f t="shared" si="523"/>
        <v>56597.939999999995</v>
      </c>
      <c r="FW155" s="77">
        <f t="shared" si="523"/>
        <v>56597.939999999995</v>
      </c>
      <c r="FX155" s="77">
        <f>IF(ABS(-$BV155*($BS155-CV155)/$BS155*$BX155)&gt;$BA155,$BA155*SIGN(-($BS155-CV155)),-$BV155*($BS155-CV155)/$BS155*$BX155)*EJ155</f>
        <v>56597.939999999995</v>
      </c>
      <c r="FY155" s="77">
        <f t="shared" si="531"/>
        <v>227820.59999999998</v>
      </c>
      <c r="FZ155" s="77">
        <f t="shared" si="531"/>
        <v>227820.59999999998</v>
      </c>
      <c r="GA155" s="77">
        <f t="shared" si="531"/>
        <v>455641.19999999995</v>
      </c>
      <c r="GO155" s="77">
        <f t="shared" si="527"/>
        <v>883260466.19999993</v>
      </c>
      <c r="GP155" s="77">
        <f t="shared" si="528"/>
        <v>410077079.99999994</v>
      </c>
      <c r="GQ155" s="77">
        <f t="shared" si="529"/>
        <v>212102832.34699181</v>
      </c>
      <c r="GR155" s="77">
        <f t="shared" si="530"/>
        <v>108705.57949749654</v>
      </c>
      <c r="GS155" s="77">
        <f t="shared" si="476"/>
        <v>-39576779.03421858</v>
      </c>
      <c r="GT155" s="77">
        <f t="shared" si="477"/>
        <v>-67917528</v>
      </c>
      <c r="GU155" s="77">
        <f t="shared" si="478"/>
        <v>-59427836.999999993</v>
      </c>
      <c r="GV155" s="77">
        <f t="shared" si="479"/>
        <v>-50938145.999999993</v>
      </c>
      <c r="GW155" s="77">
        <f t="shared" si="480"/>
        <v>-42448455</v>
      </c>
      <c r="GX155" s="77">
        <f t="shared" si="481"/>
        <v>-33958764</v>
      </c>
      <c r="GY155" s="77">
        <f t="shared" si="482"/>
        <v>-25469072.999999996</v>
      </c>
      <c r="GZ155" s="77">
        <f t="shared" si="483"/>
        <v>-16979382</v>
      </c>
      <c r="HA155" s="77">
        <f t="shared" si="484"/>
        <v>-8489691</v>
      </c>
      <c r="HB155" s="77">
        <f t="shared" si="485"/>
        <v>0</v>
      </c>
      <c r="HC155" s="77">
        <f t="shared" si="486"/>
        <v>8489691</v>
      </c>
      <c r="HD155" s="77">
        <f t="shared" si="487"/>
        <v>16979382</v>
      </c>
      <c r="HE155" s="77">
        <f t="shared" si="488"/>
        <v>25469072.999999996</v>
      </c>
      <c r="HF155" s="77">
        <f t="shared" si="489"/>
        <v>33958764</v>
      </c>
      <c r="HG155" s="77">
        <f t="shared" si="490"/>
        <v>42448455</v>
      </c>
      <c r="HH155" s="77">
        <f t="shared" si="514"/>
        <v>50938145.999999993</v>
      </c>
      <c r="HI155" s="77">
        <f t="shared" si="525"/>
        <v>59427836.999999993</v>
      </c>
      <c r="HJ155" s="77">
        <f t="shared" si="525"/>
        <v>67917528</v>
      </c>
      <c r="HK155" s="77">
        <f t="shared" si="525"/>
        <v>76407219</v>
      </c>
      <c r="HL155" s="77">
        <f t="shared" si="525"/>
        <v>84896910</v>
      </c>
      <c r="HM155" s="77">
        <f t="shared" si="525"/>
        <v>378523926.89999998</v>
      </c>
      <c r="HN155" s="77">
        <f t="shared" si="525"/>
        <v>410077079.99999994</v>
      </c>
      <c r="HO155" s="77">
        <f>GA155*(CY155-0.5*$AO155)</f>
        <v>883260466.19999993</v>
      </c>
      <c r="IC155" s="82">
        <v>163</v>
      </c>
    </row>
    <row r="156" spans="1:237" s="77" customFormat="1">
      <c r="A156" s="77">
        <v>155</v>
      </c>
      <c r="B156" s="69">
        <v>227</v>
      </c>
      <c r="C156" s="69" t="s">
        <v>175</v>
      </c>
      <c r="D156" s="70" t="s">
        <v>174</v>
      </c>
      <c r="E156" s="70">
        <v>1</v>
      </c>
      <c r="F156" s="70">
        <v>2.4888888888888891E-2</v>
      </c>
      <c r="G156" s="70">
        <v>2.8508769999999999E-3</v>
      </c>
      <c r="H156" s="70">
        <v>6.5789469999999999E-3</v>
      </c>
      <c r="I156" s="70">
        <v>9.2105263157894728E-3</v>
      </c>
      <c r="J156" s="71">
        <v>2.2799999999999998</v>
      </c>
      <c r="K156" s="72">
        <v>13.333333333333334</v>
      </c>
      <c r="L156" s="71">
        <v>3.8906666666666673E-2</v>
      </c>
      <c r="M156" s="71">
        <v>3.2422222222222227E-2</v>
      </c>
      <c r="N156" s="71">
        <v>0.16054133333333331</v>
      </c>
      <c r="O156" s="71">
        <v>0.13747022222222222</v>
      </c>
      <c r="P156" s="71">
        <v>5.103703703703704E-2</v>
      </c>
      <c r="Q156" s="73" t="s">
        <v>3</v>
      </c>
      <c r="R156" s="74">
        <v>0</v>
      </c>
      <c r="S156" s="75">
        <f t="shared" si="455"/>
        <v>0.16695974231998431</v>
      </c>
      <c r="T156" s="59">
        <f t="shared" si="430"/>
        <v>0.50880684107199381</v>
      </c>
      <c r="U156" s="59">
        <f t="shared" si="431"/>
        <v>0.4096470668966366</v>
      </c>
      <c r="V156" s="59">
        <f t="shared" si="432"/>
        <v>0.95074500148926555</v>
      </c>
      <c r="W156" s="59">
        <f t="shared" si="433"/>
        <v>1.8685774733023677</v>
      </c>
      <c r="X156" s="59">
        <f t="shared" si="434"/>
        <v>2.3208880968972259</v>
      </c>
      <c r="Y156" s="86">
        <v>336000</v>
      </c>
      <c r="Z156" s="57">
        <f t="shared" si="435"/>
        <v>779818.40055746795</v>
      </c>
      <c r="AA156" s="57">
        <f t="shared" si="436"/>
        <v>627842.03102959553</v>
      </c>
      <c r="AB156" s="57">
        <f t="shared" si="437"/>
        <v>566181.8913224875</v>
      </c>
      <c r="AC156" s="57">
        <f t="shared" si="438"/>
        <v>0.17</v>
      </c>
      <c r="AD156" s="57">
        <f t="shared" si="439"/>
        <v>2.2000000000000002</v>
      </c>
      <c r="AE156" s="57">
        <f t="shared" si="440"/>
        <v>689000</v>
      </c>
      <c r="AF156" s="57">
        <f t="shared" si="441"/>
        <v>291745.17682048923</v>
      </c>
      <c r="AG156" s="57">
        <f t="shared" si="517"/>
        <v>336096.8542091063</v>
      </c>
      <c r="AH156" s="57">
        <f t="shared" si="442"/>
        <v>2112633822.8325808</v>
      </c>
      <c r="AI156" s="57">
        <f t="shared" si="457"/>
        <v>469155601.59796232</v>
      </c>
      <c r="AJ156" s="77">
        <v>689000</v>
      </c>
      <c r="AK156" s="77">
        <v>45</v>
      </c>
      <c r="AL156" s="78">
        <f t="shared" si="443"/>
        <v>3.7274901324702161</v>
      </c>
      <c r="AM156" s="57">
        <f t="shared" si="444"/>
        <v>0.981578947368421</v>
      </c>
      <c r="AN156" s="57">
        <f t="shared" si="445"/>
        <v>0.78157894736842104</v>
      </c>
      <c r="AO156" s="77">
        <v>2000</v>
      </c>
      <c r="AP156" s="79">
        <f>25+75*2</f>
        <v>175</v>
      </c>
      <c r="AQ156" s="57">
        <f t="shared" si="446"/>
        <v>90.463084553655705</v>
      </c>
      <c r="AR156" s="57">
        <f t="shared" si="447"/>
        <v>1650</v>
      </c>
      <c r="AS156" s="57">
        <f t="shared" si="448"/>
        <v>1909.5369154463442</v>
      </c>
      <c r="AT156" s="77">
        <v>150</v>
      </c>
      <c r="AU156" s="77">
        <v>4560</v>
      </c>
      <c r="AV156" s="77">
        <f t="shared" si="449"/>
        <v>300000</v>
      </c>
      <c r="AW156" s="77">
        <v>0</v>
      </c>
      <c r="AX156" s="77">
        <f t="shared" si="450"/>
        <v>300000</v>
      </c>
      <c r="AY156" s="77">
        <v>300000</v>
      </c>
      <c r="AZ156" s="77">
        <v>583.6</v>
      </c>
      <c r="BA156" s="77">
        <v>583.6</v>
      </c>
      <c r="BB156" s="77">
        <v>547.29999999999995</v>
      </c>
      <c r="BC156" s="77">
        <v>583.6</v>
      </c>
      <c r="BD156" s="77">
        <v>3.0000000000000001E-3</v>
      </c>
      <c r="BE156" s="77">
        <v>2.5000000000000001E-3</v>
      </c>
      <c r="BF156" s="77">
        <v>1.32E-2</v>
      </c>
      <c r="BG156" s="77">
        <v>1.06E-2</v>
      </c>
      <c r="BH156" s="79">
        <v>150</v>
      </c>
      <c r="BI156" s="79">
        <f t="shared" ref="BI156:BI161" si="532">PI()*6*6/4</f>
        <v>28.274333882308138</v>
      </c>
      <c r="BJ156" s="79">
        <v>2</v>
      </c>
      <c r="BK156" s="57">
        <f t="shared" ref="BK156:BK177" si="533">BI156*BJ156</f>
        <v>56.548667764616276</v>
      </c>
      <c r="BL156" s="57">
        <f t="shared" si="515"/>
        <v>742.5</v>
      </c>
      <c r="BM156" s="80">
        <f>PI()*10*10/4</f>
        <v>78.539816339744831</v>
      </c>
      <c r="BN156" s="80">
        <v>6</v>
      </c>
      <c r="BO156" s="57">
        <f t="shared" si="451"/>
        <v>471.23889803846896</v>
      </c>
      <c r="BP156" s="57">
        <f t="shared" si="452"/>
        <v>319450.32050039322</v>
      </c>
      <c r="BQ156" s="77">
        <f t="shared" si="453"/>
        <v>0</v>
      </c>
      <c r="BR156" s="57">
        <f t="shared" si="520"/>
        <v>1456693461.4817932</v>
      </c>
      <c r="BS156" s="57">
        <v>180.92616910731141</v>
      </c>
      <c r="BT156" s="57">
        <f t="shared" si="456"/>
        <v>175.81988124225725</v>
      </c>
      <c r="BU156" s="57"/>
      <c r="BV156" s="57">
        <v>3.3E-3</v>
      </c>
      <c r="BW156" s="57">
        <v>30000</v>
      </c>
      <c r="BX156" s="57">
        <v>200000</v>
      </c>
      <c r="BY156" s="77">
        <f>25</f>
        <v>25</v>
      </c>
      <c r="BZ156" s="77">
        <f>BY156+75</f>
        <v>100</v>
      </c>
      <c r="CA156" s="77">
        <f>BZ156+75</f>
        <v>175</v>
      </c>
      <c r="CB156" s="77">
        <f>CA156+125*1</f>
        <v>300</v>
      </c>
      <c r="CC156" s="77">
        <f>CA156+125*2</f>
        <v>425</v>
      </c>
      <c r="CD156" s="77">
        <f>CA156+125*3</f>
        <v>550</v>
      </c>
      <c r="CE156" s="77">
        <f>CA156+125*4</f>
        <v>675</v>
      </c>
      <c r="CF156" s="77">
        <f>CA156+125*5</f>
        <v>800</v>
      </c>
      <c r="CG156" s="77">
        <f>CA156+125*6</f>
        <v>925</v>
      </c>
      <c r="CH156" s="77">
        <f>CG156+150</f>
        <v>1075</v>
      </c>
      <c r="CI156" s="77">
        <f>CH156+125*1</f>
        <v>1200</v>
      </c>
      <c r="CJ156" s="77">
        <f>CH156+125*2</f>
        <v>1325</v>
      </c>
      <c r="CK156" s="77">
        <f>CH156+125*3</f>
        <v>1450</v>
      </c>
      <c r="CL156" s="77">
        <f>CH156+125*4</f>
        <v>1575</v>
      </c>
      <c r="CM156" s="77">
        <f>CH156+125*5</f>
        <v>1700</v>
      </c>
      <c r="CN156" s="77">
        <f>CH156+125*6</f>
        <v>1825</v>
      </c>
      <c r="CO156" s="77">
        <f>CN156+75</f>
        <v>1900</v>
      </c>
      <c r="CP156" s="77">
        <f>CO156+75</f>
        <v>1975</v>
      </c>
      <c r="DM156" s="77">
        <f t="shared" ref="DM156:DO157" si="534">PI()*10*10/4*2</f>
        <v>157.07963267948966</v>
      </c>
      <c r="DN156" s="77">
        <f t="shared" si="534"/>
        <v>157.07963267948966</v>
      </c>
      <c r="DO156" s="77">
        <f t="shared" si="534"/>
        <v>157.07963267948966</v>
      </c>
      <c r="DP156" s="77">
        <f t="shared" ref="DP156:EA157" si="535">PI()*6*6/4*2</f>
        <v>56.548667764616276</v>
      </c>
      <c r="DQ156" s="77">
        <f t="shared" si="535"/>
        <v>56.548667764616276</v>
      </c>
      <c r="DR156" s="77">
        <f t="shared" si="535"/>
        <v>56.548667764616276</v>
      </c>
      <c r="DS156" s="77">
        <f t="shared" si="535"/>
        <v>56.548667764616276</v>
      </c>
      <c r="DT156" s="77">
        <f t="shared" si="535"/>
        <v>56.548667764616276</v>
      </c>
      <c r="DU156" s="77">
        <f t="shared" si="535"/>
        <v>56.548667764616276</v>
      </c>
      <c r="DV156" s="77">
        <f t="shared" si="535"/>
        <v>56.548667764616276</v>
      </c>
      <c r="DW156" s="77">
        <f t="shared" si="535"/>
        <v>56.548667764616276</v>
      </c>
      <c r="DX156" s="77">
        <f t="shared" si="535"/>
        <v>56.548667764616276</v>
      </c>
      <c r="DY156" s="77">
        <f t="shared" si="535"/>
        <v>56.548667764616276</v>
      </c>
      <c r="DZ156" s="77">
        <f t="shared" si="535"/>
        <v>56.548667764616276</v>
      </c>
      <c r="EA156" s="77">
        <f t="shared" si="535"/>
        <v>56.548667764616276</v>
      </c>
      <c r="EB156" s="77">
        <f t="shared" ref="EB156:ED157" si="536">PI()*10*10/4*2</f>
        <v>157.07963267948966</v>
      </c>
      <c r="EC156" s="77">
        <f t="shared" si="536"/>
        <v>157.07963267948966</v>
      </c>
      <c r="ED156" s="77">
        <f t="shared" si="536"/>
        <v>157.07963267948966</v>
      </c>
      <c r="FA156" s="77">
        <f t="shared" si="516"/>
        <v>-85969.682965484681</v>
      </c>
      <c r="FB156" s="77">
        <f t="shared" si="526"/>
        <v>-46371.528049083572</v>
      </c>
      <c r="FC156" s="77">
        <f t="shared" si="521"/>
        <v>-3395.7559095488655</v>
      </c>
      <c r="FD156" s="77">
        <f t="shared" ref="FD156:FO157" si="537">IF(ABS(-$BV156*($BS156-CB156)/$BS156*$BX156)&gt;$BA156,$BA156*SIGN(-($BS156-CB156)),-$BV156*($BS156-CB156)/$BS156*$BX156)*DP156</f>
        <v>24562.991156283231</v>
      </c>
      <c r="FE156" s="77">
        <f t="shared" si="537"/>
        <v>33001.80250743006</v>
      </c>
      <c r="FF156" s="77">
        <f t="shared" si="537"/>
        <v>33001.80250743006</v>
      </c>
      <c r="FG156" s="77">
        <f t="shared" si="537"/>
        <v>33001.80250743006</v>
      </c>
      <c r="FH156" s="77">
        <f t="shared" si="537"/>
        <v>33001.80250743006</v>
      </c>
      <c r="FI156" s="77">
        <f t="shared" si="537"/>
        <v>33001.80250743006</v>
      </c>
      <c r="FJ156" s="77">
        <f t="shared" si="537"/>
        <v>33001.80250743006</v>
      </c>
      <c r="FK156" s="77">
        <f t="shared" si="537"/>
        <v>33001.80250743006</v>
      </c>
      <c r="FL156" s="77">
        <f t="shared" si="537"/>
        <v>33001.80250743006</v>
      </c>
      <c r="FM156" s="77">
        <f t="shared" si="537"/>
        <v>33001.80250743006</v>
      </c>
      <c r="FN156" s="77">
        <f t="shared" si="537"/>
        <v>33001.80250743006</v>
      </c>
      <c r="FO156" s="77">
        <f t="shared" si="537"/>
        <v>33001.80250743006</v>
      </c>
      <c r="FP156" s="77">
        <f t="shared" ref="FP156:FR157" si="538">IF(ABS(-$BV156*($BS156-CN156)/$BS156*$BX156)&gt;$BB156,$BB156*SIGN(-($BS156-CN156)),-$BV156*($BS156-CN156)/$BS156*$BX156)*EB156</f>
        <v>85969.682965484681</v>
      </c>
      <c r="FQ156" s="77">
        <f t="shared" si="538"/>
        <v>85969.682965484681</v>
      </c>
      <c r="FR156" s="77">
        <f t="shared" si="538"/>
        <v>85969.682965484681</v>
      </c>
      <c r="GO156" s="77">
        <f t="shared" si="527"/>
        <v>83820440.891347557</v>
      </c>
      <c r="GP156" s="77">
        <f t="shared" si="528"/>
        <v>41734375.244175218</v>
      </c>
      <c r="GQ156" s="77">
        <f t="shared" si="529"/>
        <v>2801498.6253778138</v>
      </c>
      <c r="GR156" s="77">
        <f t="shared" si="530"/>
        <v>-17194093.809398264</v>
      </c>
      <c r="GS156" s="77">
        <f t="shared" ref="GS156:HF157" si="539">FE156*(CC156-0.5*$AO156)</f>
        <v>-18976036.441772286</v>
      </c>
      <c r="GT156" s="77">
        <f t="shared" si="539"/>
        <v>-14850811.128343526</v>
      </c>
      <c r="GU156" s="77">
        <f t="shared" si="539"/>
        <v>-10725585.81491477</v>
      </c>
      <c r="GV156" s="77">
        <f t="shared" si="539"/>
        <v>-6600360.5014860118</v>
      </c>
      <c r="GW156" s="77">
        <f t="shared" si="539"/>
        <v>-2475135.1880572545</v>
      </c>
      <c r="GX156" s="77">
        <f t="shared" si="539"/>
        <v>2475135.1880572545</v>
      </c>
      <c r="GY156" s="77">
        <f t="shared" si="539"/>
        <v>6600360.5014860118</v>
      </c>
      <c r="GZ156" s="77">
        <f t="shared" si="539"/>
        <v>10725585.81491477</v>
      </c>
      <c r="HA156" s="77">
        <f t="shared" si="539"/>
        <v>14850811.128343526</v>
      </c>
      <c r="HB156" s="77">
        <f t="shared" si="539"/>
        <v>18976036.441772286</v>
      </c>
      <c r="HC156" s="77">
        <f t="shared" si="539"/>
        <v>23101261.755201042</v>
      </c>
      <c r="HD156" s="77">
        <f t="shared" si="539"/>
        <v>70924988.446524858</v>
      </c>
      <c r="HE156" s="77">
        <f t="shared" si="539"/>
        <v>77372714.668936208</v>
      </c>
      <c r="HF156" s="77">
        <f t="shared" si="539"/>
        <v>83820440.891347557</v>
      </c>
      <c r="IC156" s="82">
        <v>164</v>
      </c>
    </row>
    <row r="157" spans="1:237" s="77" customFormat="1">
      <c r="A157" s="77">
        <v>156</v>
      </c>
      <c r="B157" s="69">
        <v>228</v>
      </c>
      <c r="C157" s="69" t="s">
        <v>175</v>
      </c>
      <c r="D157" s="70" t="s">
        <v>176</v>
      </c>
      <c r="E157" s="70">
        <v>1</v>
      </c>
      <c r="F157" s="70">
        <v>2.9547325102880662E-2</v>
      </c>
      <c r="G157" s="70">
        <v>2.8508769999999999E-3</v>
      </c>
      <c r="H157" s="70">
        <v>1.0964912E-2</v>
      </c>
      <c r="I157" s="70">
        <v>1.425438596491228E-2</v>
      </c>
      <c r="J157" s="71">
        <v>2.2799999999999998</v>
      </c>
      <c r="K157" s="72">
        <v>13.333333333333334</v>
      </c>
      <c r="L157" s="71">
        <v>3.5918518518518516E-2</v>
      </c>
      <c r="M157" s="71">
        <v>2.99320987654321E-2</v>
      </c>
      <c r="N157" s="71">
        <v>0.19004740740740741</v>
      </c>
      <c r="O157" s="71">
        <v>0.13050395061728395</v>
      </c>
      <c r="P157" s="71">
        <v>5.6872427983539094E-2</v>
      </c>
      <c r="Q157" s="73" t="s">
        <v>3</v>
      </c>
      <c r="R157" s="74">
        <v>0</v>
      </c>
      <c r="S157" s="75">
        <f t="shared" si="455"/>
        <v>0.18803802551553378</v>
      </c>
      <c r="T157" s="59">
        <f t="shared" si="430"/>
        <v>0.56173444553321394</v>
      </c>
      <c r="U157" s="59">
        <f t="shared" si="431"/>
        <v>0.4536734712602784</v>
      </c>
      <c r="V157" s="59">
        <f t="shared" si="432"/>
        <v>0.86973502657380897</v>
      </c>
      <c r="W157" s="59">
        <f t="shared" si="433"/>
        <v>1.5483028208252965</v>
      </c>
      <c r="X157" s="59">
        <f t="shared" si="434"/>
        <v>1.9170947425198479</v>
      </c>
      <c r="Y157" s="86">
        <v>359000</v>
      </c>
      <c r="Z157" s="57">
        <f t="shared" si="435"/>
        <v>688237.01256462536</v>
      </c>
      <c r="AA157" s="57">
        <f t="shared" si="436"/>
        <v>555840.71267628146</v>
      </c>
      <c r="AB157" s="57">
        <f t="shared" si="437"/>
        <v>530136.30336118862</v>
      </c>
      <c r="AC157" s="57">
        <f t="shared" si="438"/>
        <v>0.17</v>
      </c>
      <c r="AD157" s="57">
        <f t="shared" si="439"/>
        <v>2.2000000000000002</v>
      </c>
      <c r="AE157" s="57">
        <f t="shared" si="440"/>
        <v>691000</v>
      </c>
      <c r="AF157" s="57">
        <f t="shared" si="441"/>
        <v>277198.56883133773</v>
      </c>
      <c r="AG157" s="57">
        <f t="shared" si="517"/>
        <v>278642.14384494373</v>
      </c>
      <c r="AH157" s="57">
        <f t="shared" si="442"/>
        <v>1919881498.0292201</v>
      </c>
      <c r="AI157" s="57">
        <f t="shared" si="457"/>
        <v>497540045.29780018</v>
      </c>
      <c r="AJ157" s="77">
        <v>691000</v>
      </c>
      <c r="AK157" s="77">
        <v>40.5</v>
      </c>
      <c r="AL157" s="78">
        <f t="shared" si="443"/>
        <v>3.517627781876584</v>
      </c>
      <c r="AM157" s="57">
        <f t="shared" si="444"/>
        <v>0.99342105263157898</v>
      </c>
      <c r="AN157" s="57">
        <f t="shared" si="445"/>
        <v>0.79342105263157903</v>
      </c>
      <c r="AO157" s="77">
        <v>2000</v>
      </c>
      <c r="AP157" s="79">
        <f>25+75*2</f>
        <v>175</v>
      </c>
      <c r="AQ157" s="57">
        <f t="shared" si="446"/>
        <v>94.655489678037938</v>
      </c>
      <c r="AR157" s="57">
        <f t="shared" si="447"/>
        <v>1650</v>
      </c>
      <c r="AS157" s="57">
        <f t="shared" si="448"/>
        <v>1905.3445103219622</v>
      </c>
      <c r="AT157" s="77">
        <v>150</v>
      </c>
      <c r="AU157" s="77">
        <v>4560</v>
      </c>
      <c r="AV157" s="77">
        <f t="shared" si="449"/>
        <v>300000</v>
      </c>
      <c r="AW157" s="77">
        <v>0</v>
      </c>
      <c r="AX157" s="77">
        <f t="shared" si="450"/>
        <v>300000</v>
      </c>
      <c r="AY157" s="77">
        <v>300000</v>
      </c>
      <c r="AZ157" s="77">
        <v>484.9</v>
      </c>
      <c r="BA157" s="77">
        <v>484.9</v>
      </c>
      <c r="BB157" s="77">
        <v>583.1</v>
      </c>
      <c r="BC157" s="77">
        <v>484.9</v>
      </c>
      <c r="BD157" s="77">
        <v>3.0000000000000001E-3</v>
      </c>
      <c r="BE157" s="77">
        <v>2.5000000000000001E-3</v>
      </c>
      <c r="BF157" s="77">
        <v>1.32E-2</v>
      </c>
      <c r="BG157" s="77">
        <v>1.09E-2</v>
      </c>
      <c r="BH157" s="79">
        <v>150</v>
      </c>
      <c r="BI157" s="79">
        <f t="shared" si="532"/>
        <v>28.274333882308138</v>
      </c>
      <c r="BJ157" s="79">
        <v>2</v>
      </c>
      <c r="BK157" s="57">
        <f t="shared" si="533"/>
        <v>56.548667764616276</v>
      </c>
      <c r="BL157" s="57">
        <f t="shared" si="515"/>
        <v>742.5</v>
      </c>
      <c r="BM157" s="80">
        <f>PI()*10*10/4</f>
        <v>78.539816339744831</v>
      </c>
      <c r="BN157" s="80">
        <v>6</v>
      </c>
      <c r="BO157" s="57">
        <f t="shared" si="451"/>
        <v>471.23889803846896</v>
      </c>
      <c r="BP157" s="57">
        <f t="shared" si="452"/>
        <v>312234.87453999743</v>
      </c>
      <c r="BQ157" s="77">
        <f t="shared" si="453"/>
        <v>0</v>
      </c>
      <c r="BR157" s="57">
        <f t="shared" si="520"/>
        <v>1423791027.9023883</v>
      </c>
      <c r="BS157" s="57">
        <v>189.31097935607588</v>
      </c>
      <c r="BT157" s="57">
        <f t="shared" si="456"/>
        <v>185.63141164423806</v>
      </c>
      <c r="BU157" s="57"/>
      <c r="BV157" s="57">
        <v>3.3E-3</v>
      </c>
      <c r="BW157" s="57">
        <v>30000</v>
      </c>
      <c r="BX157" s="57">
        <v>200000</v>
      </c>
      <c r="BY157" s="77">
        <f>25</f>
        <v>25</v>
      </c>
      <c r="BZ157" s="77">
        <f>BY157+75</f>
        <v>100</v>
      </c>
      <c r="CA157" s="77">
        <f>BZ157+75</f>
        <v>175</v>
      </c>
      <c r="CB157" s="77">
        <f>CA157+125*1</f>
        <v>300</v>
      </c>
      <c r="CC157" s="77">
        <f>CA157+125*2</f>
        <v>425</v>
      </c>
      <c r="CD157" s="77">
        <f>CA157+125*3</f>
        <v>550</v>
      </c>
      <c r="CE157" s="77">
        <f>CA157+125*4</f>
        <v>675</v>
      </c>
      <c r="CF157" s="77">
        <f>CA157+125*5</f>
        <v>800</v>
      </c>
      <c r="CG157" s="77">
        <f>CA157+125*6</f>
        <v>925</v>
      </c>
      <c r="CH157" s="77">
        <f>CG157+150</f>
        <v>1075</v>
      </c>
      <c r="CI157" s="77">
        <f>CH157+125*1</f>
        <v>1200</v>
      </c>
      <c r="CJ157" s="77">
        <f>CH157+125*2</f>
        <v>1325</v>
      </c>
      <c r="CK157" s="77">
        <f>CH157+125*3</f>
        <v>1450</v>
      </c>
      <c r="CL157" s="77">
        <f>CH157+125*4</f>
        <v>1575</v>
      </c>
      <c r="CM157" s="77">
        <f>CH157+125*5</f>
        <v>1700</v>
      </c>
      <c r="CN157" s="77">
        <f>CH157+125*6</f>
        <v>1825</v>
      </c>
      <c r="CO157" s="77">
        <f>CN157+75</f>
        <v>1900</v>
      </c>
      <c r="CP157" s="77">
        <f>CO157+75</f>
        <v>1975</v>
      </c>
      <c r="DM157" s="77">
        <f t="shared" si="534"/>
        <v>157.07963267948966</v>
      </c>
      <c r="DN157" s="77">
        <f t="shared" si="534"/>
        <v>157.07963267948966</v>
      </c>
      <c r="DO157" s="77">
        <f t="shared" si="534"/>
        <v>157.07963267948966</v>
      </c>
      <c r="DP157" s="77">
        <f t="shared" si="535"/>
        <v>56.548667764616276</v>
      </c>
      <c r="DQ157" s="77">
        <f t="shared" si="535"/>
        <v>56.548667764616276</v>
      </c>
      <c r="DR157" s="77">
        <f t="shared" si="535"/>
        <v>56.548667764616276</v>
      </c>
      <c r="DS157" s="77">
        <f t="shared" si="535"/>
        <v>56.548667764616276</v>
      </c>
      <c r="DT157" s="77">
        <f t="shared" si="535"/>
        <v>56.548667764616276</v>
      </c>
      <c r="DU157" s="77">
        <f t="shared" si="535"/>
        <v>56.548667764616276</v>
      </c>
      <c r="DV157" s="77">
        <f t="shared" si="535"/>
        <v>56.548667764616276</v>
      </c>
      <c r="DW157" s="77">
        <f t="shared" si="535"/>
        <v>56.548667764616276</v>
      </c>
      <c r="DX157" s="77">
        <f t="shared" si="535"/>
        <v>56.548667764616276</v>
      </c>
      <c r="DY157" s="77">
        <f t="shared" si="535"/>
        <v>56.548667764616276</v>
      </c>
      <c r="DZ157" s="77">
        <f t="shared" si="535"/>
        <v>56.548667764616276</v>
      </c>
      <c r="EA157" s="77">
        <f t="shared" si="535"/>
        <v>56.548667764616276</v>
      </c>
      <c r="EB157" s="77">
        <f t="shared" si="536"/>
        <v>157.07963267948966</v>
      </c>
      <c r="EC157" s="77">
        <f t="shared" si="536"/>
        <v>157.07963267948966</v>
      </c>
      <c r="ED157" s="77">
        <f t="shared" si="536"/>
        <v>157.07963267948966</v>
      </c>
      <c r="FA157" s="77">
        <f t="shared" si="516"/>
        <v>-89981.783013139444</v>
      </c>
      <c r="FB157" s="77">
        <f t="shared" si="526"/>
        <v>-48909.459347168253</v>
      </c>
      <c r="FC157" s="77">
        <f t="shared" si="521"/>
        <v>-7837.1356811970718</v>
      </c>
      <c r="FD157" s="77">
        <f t="shared" si="537"/>
        <v>21822.025354351765</v>
      </c>
      <c r="FE157" s="77">
        <f t="shared" si="537"/>
        <v>27420.448999062432</v>
      </c>
      <c r="FF157" s="77">
        <f t="shared" si="537"/>
        <v>27420.448999062432</v>
      </c>
      <c r="FG157" s="77">
        <f t="shared" si="537"/>
        <v>27420.448999062432</v>
      </c>
      <c r="FH157" s="77">
        <f t="shared" si="537"/>
        <v>27420.448999062432</v>
      </c>
      <c r="FI157" s="77">
        <f t="shared" si="537"/>
        <v>27420.448999062432</v>
      </c>
      <c r="FJ157" s="77">
        <f t="shared" si="537"/>
        <v>27420.448999062432</v>
      </c>
      <c r="FK157" s="77">
        <f t="shared" si="537"/>
        <v>27420.448999062432</v>
      </c>
      <c r="FL157" s="77">
        <f t="shared" si="537"/>
        <v>27420.448999062432</v>
      </c>
      <c r="FM157" s="77">
        <f t="shared" si="537"/>
        <v>27420.448999062432</v>
      </c>
      <c r="FN157" s="77">
        <f t="shared" si="537"/>
        <v>27420.448999062432</v>
      </c>
      <c r="FO157" s="77">
        <f t="shared" si="537"/>
        <v>27420.448999062432</v>
      </c>
      <c r="FP157" s="77">
        <f t="shared" si="538"/>
        <v>91593.133815410431</v>
      </c>
      <c r="FQ157" s="77">
        <f t="shared" si="538"/>
        <v>91593.133815410431</v>
      </c>
      <c r="FR157" s="77">
        <f t="shared" si="538"/>
        <v>91593.133815410431</v>
      </c>
      <c r="GO157" s="77">
        <f t="shared" si="527"/>
        <v>87732238.437810957</v>
      </c>
      <c r="GP157" s="77">
        <f t="shared" si="528"/>
        <v>44018513.412451431</v>
      </c>
      <c r="GQ157" s="77">
        <f t="shared" si="529"/>
        <v>6465636.9369875845</v>
      </c>
      <c r="GR157" s="77">
        <f t="shared" si="530"/>
        <v>-15275417.748046236</v>
      </c>
      <c r="GS157" s="77">
        <f t="shared" si="539"/>
        <v>-15766758.174460897</v>
      </c>
      <c r="GT157" s="77">
        <f t="shared" si="539"/>
        <v>-12339202.049578095</v>
      </c>
      <c r="GU157" s="77">
        <f t="shared" si="539"/>
        <v>-8911645.9246952906</v>
      </c>
      <c r="GV157" s="77">
        <f t="shared" si="539"/>
        <v>-5484089.7998124864</v>
      </c>
      <c r="GW157" s="77">
        <f t="shared" si="539"/>
        <v>-2056533.6749296824</v>
      </c>
      <c r="GX157" s="77">
        <f t="shared" si="539"/>
        <v>2056533.6749296824</v>
      </c>
      <c r="GY157" s="77">
        <f t="shared" si="539"/>
        <v>5484089.7998124864</v>
      </c>
      <c r="GZ157" s="77">
        <f t="shared" si="539"/>
        <v>8911645.9246952906</v>
      </c>
      <c r="HA157" s="77">
        <f t="shared" si="539"/>
        <v>12339202.049578095</v>
      </c>
      <c r="HB157" s="77">
        <f t="shared" si="539"/>
        <v>15766758.174460897</v>
      </c>
      <c r="HC157" s="77">
        <f t="shared" si="539"/>
        <v>19194314.299343701</v>
      </c>
      <c r="HD157" s="77">
        <f t="shared" si="539"/>
        <v>75564335.397713602</v>
      </c>
      <c r="HE157" s="77">
        <f t="shared" si="539"/>
        <v>82433820.433869392</v>
      </c>
      <c r="HF157" s="77">
        <f t="shared" si="539"/>
        <v>89303305.470025167</v>
      </c>
      <c r="IC157" s="82">
        <v>165</v>
      </c>
    </row>
    <row r="158" spans="1:237" s="77" customFormat="1">
      <c r="A158" s="77">
        <v>157</v>
      </c>
      <c r="B158" s="69">
        <v>229</v>
      </c>
      <c r="C158" s="69" t="s">
        <v>175</v>
      </c>
      <c r="D158" s="70" t="s">
        <v>177</v>
      </c>
      <c r="E158" s="70">
        <v>1</v>
      </c>
      <c r="F158" s="70">
        <v>3.8605442176870751E-2</v>
      </c>
      <c r="G158" s="70">
        <v>4.3859650000000003E-3</v>
      </c>
      <c r="H158" s="70">
        <v>1.6447368E-2</v>
      </c>
      <c r="I158" s="70">
        <v>2.0394736842105264E-2</v>
      </c>
      <c r="J158" s="71">
        <v>2.2799999999999998</v>
      </c>
      <c r="K158" s="72">
        <v>13.333333333333334</v>
      </c>
      <c r="L158" s="71">
        <v>7.8410204081632656E-2</v>
      </c>
      <c r="M158" s="71">
        <v>3.1186224489795914E-2</v>
      </c>
      <c r="N158" s="71">
        <v>0.23610714285714285</v>
      </c>
      <c r="O158" s="71">
        <v>0.12474489795918366</v>
      </c>
      <c r="P158" s="71">
        <v>5.8333333333333334E-2</v>
      </c>
      <c r="Q158" s="73" t="s">
        <v>3</v>
      </c>
      <c r="R158" s="74">
        <v>0</v>
      </c>
      <c r="S158" s="75">
        <f t="shared" si="455"/>
        <v>0.24170830042497729</v>
      </c>
      <c r="T158" s="59">
        <f t="shared" si="430"/>
        <v>0.75013032094475418</v>
      </c>
      <c r="U158" s="59">
        <f t="shared" si="431"/>
        <v>0.59618590288811357</v>
      </c>
      <c r="V158" s="59">
        <f t="shared" si="432"/>
        <v>0.90092423549149969</v>
      </c>
      <c r="W158" s="59">
        <f t="shared" si="433"/>
        <v>1.2010236226111053</v>
      </c>
      <c r="X158" s="59">
        <f t="shared" si="434"/>
        <v>1.5111464916012554</v>
      </c>
      <c r="Y158" s="86">
        <v>454000</v>
      </c>
      <c r="Z158" s="57">
        <f t="shared" si="435"/>
        <v>686060.50718696998</v>
      </c>
      <c r="AA158" s="57">
        <f t="shared" si="436"/>
        <v>545264.72466544178</v>
      </c>
      <c r="AB158" s="57">
        <f t="shared" si="437"/>
        <v>676393.74917554401</v>
      </c>
      <c r="AC158" s="57">
        <f t="shared" si="438"/>
        <v>0.17</v>
      </c>
      <c r="AD158" s="57">
        <f t="shared" si="439"/>
        <v>2.2000000000000002</v>
      </c>
      <c r="AE158" s="57">
        <f t="shared" si="440"/>
        <v>686000</v>
      </c>
      <c r="AF158" s="57">
        <f t="shared" si="441"/>
        <v>268881.64967777469</v>
      </c>
      <c r="AG158" s="57">
        <f t="shared" si="517"/>
        <v>276383.07498766715</v>
      </c>
      <c r="AH158" s="57">
        <f t="shared" si="442"/>
        <v>2371428559.2099323</v>
      </c>
      <c r="AI158" s="57">
        <f t="shared" si="457"/>
        <v>712926937.03054857</v>
      </c>
      <c r="AJ158" s="77">
        <v>686000</v>
      </c>
      <c r="AK158" s="77">
        <v>39.200000000000003</v>
      </c>
      <c r="AL158" s="78">
        <f t="shared" si="443"/>
        <v>3.4550708440272331</v>
      </c>
      <c r="AM158" s="57">
        <f t="shared" si="444"/>
        <v>0.99684210526315786</v>
      </c>
      <c r="AN158" s="57">
        <f t="shared" si="445"/>
        <v>0.79684210526315791</v>
      </c>
      <c r="AO158" s="77">
        <v>2000</v>
      </c>
      <c r="AP158" s="79">
        <f>30+100*2</f>
        <v>230</v>
      </c>
      <c r="AQ158" s="57">
        <f t="shared" si="446"/>
        <v>125.94868050335688</v>
      </c>
      <c r="AR158" s="57">
        <f t="shared" si="447"/>
        <v>1540</v>
      </c>
      <c r="AS158" s="57">
        <f t="shared" si="448"/>
        <v>1874.0513194966431</v>
      </c>
      <c r="AT158" s="77">
        <v>150</v>
      </c>
      <c r="AU158" s="77">
        <v>4560</v>
      </c>
      <c r="AV158" s="77">
        <f t="shared" si="449"/>
        <v>300000</v>
      </c>
      <c r="AW158" s="77">
        <v>0</v>
      </c>
      <c r="AX158" s="77">
        <f t="shared" si="450"/>
        <v>300000</v>
      </c>
      <c r="AY158" s="77">
        <v>300000</v>
      </c>
      <c r="AZ158" s="77">
        <v>489</v>
      </c>
      <c r="BA158" s="77">
        <v>569.20000000000005</v>
      </c>
      <c r="BB158" s="77">
        <v>601</v>
      </c>
      <c r="BC158" s="77">
        <v>489</v>
      </c>
      <c r="BD158" s="77">
        <v>5.4000000000000003E-3</v>
      </c>
      <c r="BE158" s="77">
        <v>2.5000000000000001E-3</v>
      </c>
      <c r="BF158" s="77">
        <v>1.54E-2</v>
      </c>
      <c r="BG158" s="77">
        <v>0.01</v>
      </c>
      <c r="BH158" s="79">
        <v>150</v>
      </c>
      <c r="BI158" s="79">
        <f t="shared" si="532"/>
        <v>28.274333882308138</v>
      </c>
      <c r="BJ158" s="79">
        <v>2</v>
      </c>
      <c r="BK158" s="57">
        <f t="shared" si="533"/>
        <v>56.548667764616276</v>
      </c>
      <c r="BL158" s="57">
        <f t="shared" si="515"/>
        <v>1247.4000000000001</v>
      </c>
      <c r="BM158" s="80">
        <f>PI()*12*12/4</f>
        <v>113.09733552923255</v>
      </c>
      <c r="BN158" s="80">
        <v>6</v>
      </c>
      <c r="BO158" s="57">
        <f t="shared" si="451"/>
        <v>678.58401317539528</v>
      </c>
      <c r="BP158" s="57">
        <f t="shared" si="452"/>
        <v>409019.60291314084</v>
      </c>
      <c r="BQ158" s="77">
        <f t="shared" si="453"/>
        <v>0</v>
      </c>
      <c r="BR158" s="57">
        <f t="shared" si="520"/>
        <v>1865129389.2839222</v>
      </c>
      <c r="BS158" s="57">
        <v>251.89736100671377</v>
      </c>
      <c r="BT158" s="57">
        <f t="shared" si="456"/>
        <v>205.80750741855184</v>
      </c>
      <c r="BU158" s="57"/>
      <c r="BV158" s="57">
        <v>3.3E-3</v>
      </c>
      <c r="BW158" s="57">
        <v>30000</v>
      </c>
      <c r="BX158" s="57">
        <v>200000</v>
      </c>
      <c r="BY158" s="77">
        <f>30</f>
        <v>30</v>
      </c>
      <c r="BZ158" s="77">
        <f t="shared" ref="BZ158:CA161" si="540">BY158+100</f>
        <v>130</v>
      </c>
      <c r="CA158" s="77">
        <f t="shared" si="540"/>
        <v>230</v>
      </c>
      <c r="CB158" s="77">
        <f>CA158+125*1</f>
        <v>355</v>
      </c>
      <c r="CC158" s="77">
        <f>CA158+125*2</f>
        <v>480</v>
      </c>
      <c r="CD158" s="77">
        <f>CA158+125*3</f>
        <v>605</v>
      </c>
      <c r="CE158" s="77">
        <f>CA158+125*4</f>
        <v>730</v>
      </c>
      <c r="CF158" s="77">
        <f>CA158+125*5</f>
        <v>855</v>
      </c>
      <c r="CG158" s="77">
        <f>CF158+145</f>
        <v>1000</v>
      </c>
      <c r="CH158" s="77">
        <f>CG158+145</f>
        <v>1145</v>
      </c>
      <c r="CI158" s="77">
        <f>CH158+125*1</f>
        <v>1270</v>
      </c>
      <c r="CJ158" s="77">
        <f>CH158+125*2</f>
        <v>1395</v>
      </c>
      <c r="CK158" s="77">
        <f>CH158+125*3</f>
        <v>1520</v>
      </c>
      <c r="CL158" s="77">
        <f>CH158+125*4</f>
        <v>1645</v>
      </c>
      <c r="CM158" s="77">
        <f>CH158+125*5</f>
        <v>1770</v>
      </c>
      <c r="CN158" s="77">
        <f>CM158+100</f>
        <v>1870</v>
      </c>
      <c r="CO158" s="77">
        <f>CN158+100</f>
        <v>1970</v>
      </c>
      <c r="DM158" s="77">
        <f t="shared" ref="DM158:DO159" si="541">PI()*12*12/4*2</f>
        <v>226.1946710584651</v>
      </c>
      <c r="DN158" s="77">
        <f t="shared" si="541"/>
        <v>226.1946710584651</v>
      </c>
      <c r="DO158" s="77">
        <f t="shared" si="541"/>
        <v>226.1946710584651</v>
      </c>
      <c r="DP158" s="77">
        <f t="shared" ref="DP158:DZ159" si="542">PI()*8*8/4*2</f>
        <v>100.53096491487338</v>
      </c>
      <c r="DQ158" s="77">
        <f t="shared" si="542"/>
        <v>100.53096491487338</v>
      </c>
      <c r="DR158" s="77">
        <f t="shared" si="542"/>
        <v>100.53096491487338</v>
      </c>
      <c r="DS158" s="77">
        <f t="shared" si="542"/>
        <v>100.53096491487338</v>
      </c>
      <c r="DT158" s="77">
        <f t="shared" si="542"/>
        <v>100.53096491487338</v>
      </c>
      <c r="DU158" s="77">
        <f t="shared" si="542"/>
        <v>100.53096491487338</v>
      </c>
      <c r="DV158" s="77">
        <f t="shared" si="542"/>
        <v>100.53096491487338</v>
      </c>
      <c r="DW158" s="77">
        <f t="shared" si="542"/>
        <v>100.53096491487338</v>
      </c>
      <c r="DX158" s="77">
        <f t="shared" si="542"/>
        <v>100.53096491487338</v>
      </c>
      <c r="DY158" s="77">
        <f t="shared" si="542"/>
        <v>100.53096491487338</v>
      </c>
      <c r="DZ158" s="77">
        <f t="shared" si="542"/>
        <v>100.53096491487338</v>
      </c>
      <c r="EA158" s="77">
        <f t="shared" ref="EA158:EC159" si="543">PI()*12*12/4*2</f>
        <v>226.1946710584651</v>
      </c>
      <c r="EB158" s="77">
        <f t="shared" si="543"/>
        <v>226.1946710584651</v>
      </c>
      <c r="EC158" s="77">
        <f t="shared" si="543"/>
        <v>226.1946710584651</v>
      </c>
      <c r="FA158" s="77">
        <f t="shared" si="516"/>
        <v>-131508.80283739633</v>
      </c>
      <c r="FB158" s="77">
        <f t="shared" si="526"/>
        <v>-72243.202633427529</v>
      </c>
      <c r="FC158" s="77">
        <f t="shared" si="521"/>
        <v>-12977.602429458739</v>
      </c>
      <c r="FD158" s="77">
        <f t="shared" ref="FD158:FN159" si="544">IF(ABS(-$BV158*($BS158-CB158)/$BS158*$BX158)&gt;$BA158,$BA158*SIGN(-($BS158-CB158)),-$BV158*($BS158-CB158)/$BS158*$BX158)*DP158</f>
        <v>27157.510144667667</v>
      </c>
      <c r="FE158" s="77">
        <f t="shared" si="544"/>
        <v>57222.225229545933</v>
      </c>
      <c r="FF158" s="77">
        <f t="shared" si="544"/>
        <v>57222.225229545933</v>
      </c>
      <c r="FG158" s="77">
        <f t="shared" si="544"/>
        <v>57222.225229545933</v>
      </c>
      <c r="FH158" s="77">
        <f t="shared" si="544"/>
        <v>57222.225229545933</v>
      </c>
      <c r="FI158" s="77">
        <f t="shared" si="544"/>
        <v>57222.225229545933</v>
      </c>
      <c r="FJ158" s="77">
        <f t="shared" si="544"/>
        <v>57222.225229545933</v>
      </c>
      <c r="FK158" s="77">
        <f t="shared" si="544"/>
        <v>57222.225229545933</v>
      </c>
      <c r="FL158" s="77">
        <f t="shared" si="544"/>
        <v>57222.225229545933</v>
      </c>
      <c r="FM158" s="77">
        <f t="shared" si="544"/>
        <v>57222.225229545933</v>
      </c>
      <c r="FN158" s="77">
        <f t="shared" si="544"/>
        <v>57222.225229545933</v>
      </c>
      <c r="FO158" s="77">
        <f t="shared" ref="FO158:FQ159" si="545">IF(ABS(-$BV158*($BS158-CM158)/$BS158*$BX158)&gt;$BB158,$BB158*SIGN(-($BS158-CM158)),-$BV158*($BS158-CM158)/$BS158*$BX158)*EA158</f>
        <v>135942.99730613752</v>
      </c>
      <c r="FP158" s="77">
        <f t="shared" si="545"/>
        <v>135942.99730613752</v>
      </c>
      <c r="FQ158" s="77">
        <f t="shared" si="545"/>
        <v>135942.99730613752</v>
      </c>
      <c r="GO158" s="77">
        <f t="shared" si="527"/>
        <v>127563538.75227444</v>
      </c>
      <c r="GP158" s="77">
        <f t="shared" si="528"/>
        <v>62851586.29108195</v>
      </c>
      <c r="GQ158" s="77">
        <f t="shared" si="529"/>
        <v>9992753.8706832286</v>
      </c>
      <c r="GR158" s="77">
        <f t="shared" si="530"/>
        <v>-17516594.043310646</v>
      </c>
      <c r="GS158" s="77">
        <f t="shared" ref="GS158:HE159" si="546">FE158*(CC158-0.5*$AO158)</f>
        <v>-29755557.119363885</v>
      </c>
      <c r="GT158" s="77">
        <f t="shared" si="546"/>
        <v>-22602778.965670645</v>
      </c>
      <c r="GU158" s="77">
        <f t="shared" si="546"/>
        <v>-15450000.811977401</v>
      </c>
      <c r="GV158" s="77">
        <f t="shared" si="546"/>
        <v>-8297222.6582841603</v>
      </c>
      <c r="GW158" s="77">
        <f t="shared" si="546"/>
        <v>0</v>
      </c>
      <c r="GX158" s="77">
        <f t="shared" si="546"/>
        <v>8297222.6582841603</v>
      </c>
      <c r="GY158" s="77">
        <f t="shared" si="546"/>
        <v>15450000.811977401</v>
      </c>
      <c r="GZ158" s="77">
        <f t="shared" si="546"/>
        <v>22602778.965670645</v>
      </c>
      <c r="HA158" s="77">
        <f t="shared" si="546"/>
        <v>29755557.119363885</v>
      </c>
      <c r="HB158" s="77">
        <f t="shared" si="546"/>
        <v>36908335.273057126</v>
      </c>
      <c r="HC158" s="77">
        <f t="shared" si="546"/>
        <v>104676107.92572589</v>
      </c>
      <c r="HD158" s="77">
        <f t="shared" si="546"/>
        <v>118270407.65633965</v>
      </c>
      <c r="HE158" s="77">
        <f t="shared" si="546"/>
        <v>131864707.3869534</v>
      </c>
      <c r="IC158" s="82">
        <v>166</v>
      </c>
    </row>
    <row r="159" spans="1:237" s="77" customFormat="1">
      <c r="A159" s="77">
        <v>158</v>
      </c>
      <c r="B159" s="69">
        <v>230</v>
      </c>
      <c r="C159" s="69" t="s">
        <v>175</v>
      </c>
      <c r="D159" s="70" t="s">
        <v>178</v>
      </c>
      <c r="E159" s="70">
        <v>1</v>
      </c>
      <c r="F159" s="70">
        <v>3.6104319478402605E-2</v>
      </c>
      <c r="G159" s="70">
        <v>3.72807E-3</v>
      </c>
      <c r="H159" s="70">
        <v>9.8684210000000005E-3</v>
      </c>
      <c r="I159" s="70">
        <v>1.3157894736842105E-2</v>
      </c>
      <c r="J159" s="71">
        <v>2.2799999999999998</v>
      </c>
      <c r="K159" s="72">
        <v>13.333333333333334</v>
      </c>
      <c r="L159" s="71">
        <v>7.5745232273838642E-2</v>
      </c>
      <c r="M159" s="71">
        <v>3.171760391198044E-2</v>
      </c>
      <c r="N159" s="71">
        <v>0.21688019559902202</v>
      </c>
      <c r="O159" s="71">
        <v>0</v>
      </c>
      <c r="P159" s="71">
        <v>5.664221678891606E-2</v>
      </c>
      <c r="Q159" s="73" t="s">
        <v>3</v>
      </c>
      <c r="R159" s="74">
        <v>0</v>
      </c>
      <c r="S159" s="75">
        <f t="shared" si="455"/>
        <v>0.23089834364161466</v>
      </c>
      <c r="T159" s="59">
        <f t="shared" si="430"/>
        <v>0.71795977982387238</v>
      </c>
      <c r="U159" s="59">
        <f t="shared" si="431"/>
        <v>0.57112419198501752</v>
      </c>
      <c r="V159" s="59">
        <f t="shared" si="432"/>
        <v>0.92222485161511358</v>
      </c>
      <c r="W159" s="59">
        <f t="shared" si="433"/>
        <v>1.2845076806967528</v>
      </c>
      <c r="X159" s="59">
        <f t="shared" si="434"/>
        <v>1.6147536114864955</v>
      </c>
      <c r="Y159" s="86">
        <v>443000</v>
      </c>
      <c r="Z159" s="57">
        <f t="shared" si="435"/>
        <v>715335.84988851752</v>
      </c>
      <c r="AA159" s="57">
        <f t="shared" si="436"/>
        <v>569036.90254866146</v>
      </c>
      <c r="AB159" s="57">
        <f t="shared" si="437"/>
        <v>691614.87072311365</v>
      </c>
      <c r="AC159" s="57">
        <f t="shared" si="438"/>
        <v>0.17</v>
      </c>
      <c r="AD159" s="57">
        <f t="shared" si="439"/>
        <v>2.2000000000000002</v>
      </c>
      <c r="AE159" s="57">
        <f t="shared" si="440"/>
        <v>695000</v>
      </c>
      <c r="AF159" s="57">
        <f t="shared" si="441"/>
        <v>275228.9160994055</v>
      </c>
      <c r="AG159" s="57">
        <f t="shared" si="517"/>
        <v>293807.98644925602</v>
      </c>
      <c r="AH159" s="57">
        <f t="shared" si="442"/>
        <v>2467868194.2218566</v>
      </c>
      <c r="AI159" s="57">
        <f t="shared" si="457"/>
        <v>685895616.27554166</v>
      </c>
      <c r="AJ159" s="77">
        <v>695000</v>
      </c>
      <c r="AK159" s="77">
        <v>40.9</v>
      </c>
      <c r="AL159" s="78">
        <f t="shared" si="443"/>
        <v>3.5366936224433911</v>
      </c>
      <c r="AM159" s="57">
        <f t="shared" si="444"/>
        <v>0.99236842105263157</v>
      </c>
      <c r="AN159" s="57">
        <f t="shared" si="445"/>
        <v>0.79236842105263161</v>
      </c>
      <c r="AO159" s="77">
        <v>2000</v>
      </c>
      <c r="AP159" s="79">
        <f>30+100*2</f>
        <v>230</v>
      </c>
      <c r="AQ159" s="57">
        <f t="shared" si="446"/>
        <v>122.59132446538776</v>
      </c>
      <c r="AR159" s="57">
        <f t="shared" si="447"/>
        <v>1540</v>
      </c>
      <c r="AS159" s="57">
        <f t="shared" si="448"/>
        <v>1877.4086755346123</v>
      </c>
      <c r="AT159" s="77">
        <v>150</v>
      </c>
      <c r="AU159" s="77">
        <v>4560</v>
      </c>
      <c r="AV159" s="77">
        <f t="shared" si="449"/>
        <v>300000</v>
      </c>
      <c r="AW159" s="77">
        <v>0</v>
      </c>
      <c r="AX159" s="77">
        <f t="shared" si="450"/>
        <v>300000</v>
      </c>
      <c r="AY159" s="77">
        <v>300000</v>
      </c>
      <c r="AZ159" s="77">
        <v>518.9</v>
      </c>
      <c r="BA159" s="77">
        <v>583.70000000000005</v>
      </c>
      <c r="BB159" s="77">
        <v>576</v>
      </c>
      <c r="BC159" s="77">
        <v>518.9</v>
      </c>
      <c r="BD159" s="77">
        <v>5.4000000000000003E-3</v>
      </c>
      <c r="BE159" s="77">
        <v>2.5000000000000001E-3</v>
      </c>
      <c r="BF159" s="77">
        <v>1.54E-2</v>
      </c>
      <c r="BG159" s="77">
        <v>0</v>
      </c>
      <c r="BH159" s="79">
        <v>150</v>
      </c>
      <c r="BI159" s="79">
        <f t="shared" si="532"/>
        <v>28.274333882308138</v>
      </c>
      <c r="BJ159" s="79">
        <v>2</v>
      </c>
      <c r="BK159" s="57">
        <f t="shared" si="533"/>
        <v>56.548667764616276</v>
      </c>
      <c r="BL159" s="57">
        <f t="shared" si="515"/>
        <v>1247.4000000000001</v>
      </c>
      <c r="BM159" s="80">
        <f>PI()*12*12/4</f>
        <v>113.09733552923255</v>
      </c>
      <c r="BN159" s="80">
        <v>6</v>
      </c>
      <c r="BO159" s="57">
        <f t="shared" si="451"/>
        <v>678.58401317539528</v>
      </c>
      <c r="BP159" s="57">
        <f t="shared" si="452"/>
        <v>408545.60926549532</v>
      </c>
      <c r="BQ159" s="77">
        <f t="shared" si="453"/>
        <v>0</v>
      </c>
      <c r="BR159" s="57">
        <f t="shared" si="520"/>
        <v>1862967978.2506588</v>
      </c>
      <c r="BS159" s="57">
        <v>245.18264893077551</v>
      </c>
      <c r="BT159" s="57">
        <f t="shared" si="456"/>
        <v>203.37451491430795</v>
      </c>
      <c r="BU159" s="57"/>
      <c r="BV159" s="57">
        <v>3.3E-3</v>
      </c>
      <c r="BW159" s="57">
        <v>30000</v>
      </c>
      <c r="BX159" s="57">
        <v>200000</v>
      </c>
      <c r="BY159" s="77">
        <f>30</f>
        <v>30</v>
      </c>
      <c r="BZ159" s="77">
        <f t="shared" si="540"/>
        <v>130</v>
      </c>
      <c r="CA159" s="77">
        <f t="shared" si="540"/>
        <v>230</v>
      </c>
      <c r="CB159" s="77">
        <f>CA159+125*1</f>
        <v>355</v>
      </c>
      <c r="CC159" s="77">
        <f>CA159+125*2</f>
        <v>480</v>
      </c>
      <c r="CD159" s="77">
        <f>CA159+125*3</f>
        <v>605</v>
      </c>
      <c r="CE159" s="77">
        <f>CA159+125*4</f>
        <v>730</v>
      </c>
      <c r="CF159" s="77">
        <f>CA159+125*5</f>
        <v>855</v>
      </c>
      <c r="CG159" s="77">
        <f>CF159+145</f>
        <v>1000</v>
      </c>
      <c r="CH159" s="77">
        <f>CG159+145</f>
        <v>1145</v>
      </c>
      <c r="CI159" s="77">
        <f>CH159+125*1</f>
        <v>1270</v>
      </c>
      <c r="CJ159" s="77">
        <f>CH159+125*2</f>
        <v>1395</v>
      </c>
      <c r="CK159" s="77">
        <f>CH159+125*3</f>
        <v>1520</v>
      </c>
      <c r="CL159" s="77">
        <f>CH159+125*4</f>
        <v>1645</v>
      </c>
      <c r="CM159" s="77">
        <f>CH159+125*5</f>
        <v>1770</v>
      </c>
      <c r="CN159" s="77">
        <f>CM159+100</f>
        <v>1870</v>
      </c>
      <c r="CO159" s="77">
        <f>CN159+100</f>
        <v>1970</v>
      </c>
      <c r="DM159" s="77">
        <f t="shared" si="541"/>
        <v>226.1946710584651</v>
      </c>
      <c r="DN159" s="77">
        <f t="shared" si="541"/>
        <v>226.1946710584651</v>
      </c>
      <c r="DO159" s="77">
        <f t="shared" si="541"/>
        <v>226.1946710584651</v>
      </c>
      <c r="DP159" s="77">
        <f t="shared" si="542"/>
        <v>100.53096491487338</v>
      </c>
      <c r="DQ159" s="77">
        <f t="shared" si="542"/>
        <v>100.53096491487338</v>
      </c>
      <c r="DR159" s="77">
        <f t="shared" si="542"/>
        <v>100.53096491487338</v>
      </c>
      <c r="DS159" s="77">
        <f t="shared" si="542"/>
        <v>100.53096491487338</v>
      </c>
      <c r="DT159" s="77">
        <f t="shared" si="542"/>
        <v>100.53096491487338</v>
      </c>
      <c r="DU159" s="77">
        <f t="shared" si="542"/>
        <v>100.53096491487338</v>
      </c>
      <c r="DV159" s="77">
        <f t="shared" si="542"/>
        <v>100.53096491487338</v>
      </c>
      <c r="DW159" s="77">
        <f t="shared" si="542"/>
        <v>100.53096491487338</v>
      </c>
      <c r="DX159" s="77">
        <f t="shared" si="542"/>
        <v>100.53096491487338</v>
      </c>
      <c r="DY159" s="77">
        <f t="shared" si="542"/>
        <v>100.53096491487338</v>
      </c>
      <c r="DZ159" s="77">
        <f t="shared" si="542"/>
        <v>100.53096491487338</v>
      </c>
      <c r="EA159" s="77">
        <f t="shared" si="543"/>
        <v>226.1946710584651</v>
      </c>
      <c r="EB159" s="77">
        <f t="shared" si="543"/>
        <v>226.1946710584651</v>
      </c>
      <c r="EC159" s="77">
        <f t="shared" si="543"/>
        <v>226.1946710584651</v>
      </c>
      <c r="FA159" s="77">
        <f t="shared" si="516"/>
        <v>-130288.13052967589</v>
      </c>
      <c r="FB159" s="77">
        <f t="shared" si="526"/>
        <v>-70133.196578567688</v>
      </c>
      <c r="FC159" s="77">
        <f t="shared" si="521"/>
        <v>-9244.5147939374638</v>
      </c>
      <c r="FD159" s="77">
        <f t="shared" si="544"/>
        <v>29718.372194155694</v>
      </c>
      <c r="FE159" s="77">
        <f t="shared" si="544"/>
        <v>58679.924220811597</v>
      </c>
      <c r="FF159" s="77">
        <f t="shared" si="544"/>
        <v>58679.924220811597</v>
      </c>
      <c r="FG159" s="77">
        <f t="shared" si="544"/>
        <v>58679.924220811597</v>
      </c>
      <c r="FH159" s="77">
        <f t="shared" si="544"/>
        <v>58679.924220811597</v>
      </c>
      <c r="FI159" s="77">
        <f t="shared" si="544"/>
        <v>58679.924220811597</v>
      </c>
      <c r="FJ159" s="77">
        <f t="shared" si="544"/>
        <v>58679.924220811597</v>
      </c>
      <c r="FK159" s="77">
        <f t="shared" si="544"/>
        <v>58679.924220811597</v>
      </c>
      <c r="FL159" s="77">
        <f t="shared" si="544"/>
        <v>58679.924220811597</v>
      </c>
      <c r="FM159" s="77">
        <f t="shared" si="544"/>
        <v>58679.924220811597</v>
      </c>
      <c r="FN159" s="77">
        <f t="shared" si="544"/>
        <v>58679.924220811597</v>
      </c>
      <c r="FO159" s="77">
        <f t="shared" si="545"/>
        <v>130288.13052967589</v>
      </c>
      <c r="FP159" s="77">
        <f t="shared" si="545"/>
        <v>130288.13052967589</v>
      </c>
      <c r="FQ159" s="77">
        <f t="shared" si="545"/>
        <v>130288.13052967589</v>
      </c>
      <c r="GO159" s="77">
        <f t="shared" si="527"/>
        <v>126379486.61378562</v>
      </c>
      <c r="GP159" s="77">
        <f t="shared" si="528"/>
        <v>61015881.02335389</v>
      </c>
      <c r="GQ159" s="77">
        <f t="shared" si="529"/>
        <v>7118276.3913318468</v>
      </c>
      <c r="GR159" s="77">
        <f t="shared" si="530"/>
        <v>-19168350.065230422</v>
      </c>
      <c r="GS159" s="77">
        <f t="shared" si="546"/>
        <v>-30513560.594822031</v>
      </c>
      <c r="GT159" s="77">
        <f t="shared" si="546"/>
        <v>-23178570.06722058</v>
      </c>
      <c r="GU159" s="77">
        <f t="shared" si="546"/>
        <v>-15843579.539619131</v>
      </c>
      <c r="GV159" s="77">
        <f t="shared" si="546"/>
        <v>-8508589.0120176822</v>
      </c>
      <c r="GW159" s="77">
        <f t="shared" si="546"/>
        <v>0</v>
      </c>
      <c r="GX159" s="77">
        <f t="shared" si="546"/>
        <v>8508589.0120176822</v>
      </c>
      <c r="GY159" s="77">
        <f t="shared" si="546"/>
        <v>15843579.539619131</v>
      </c>
      <c r="GZ159" s="77">
        <f t="shared" si="546"/>
        <v>23178570.06722058</v>
      </c>
      <c r="HA159" s="77">
        <f t="shared" si="546"/>
        <v>30513560.594822031</v>
      </c>
      <c r="HB159" s="77">
        <f t="shared" si="546"/>
        <v>37848551.122423477</v>
      </c>
      <c r="HC159" s="77">
        <f t="shared" si="546"/>
        <v>100321860.50785044</v>
      </c>
      <c r="HD159" s="77">
        <f t="shared" si="546"/>
        <v>113350673.56081803</v>
      </c>
      <c r="HE159" s="77">
        <f t="shared" si="546"/>
        <v>126379486.61378562</v>
      </c>
      <c r="IC159" s="82">
        <v>167</v>
      </c>
    </row>
    <row r="160" spans="1:237" s="77" customFormat="1">
      <c r="A160" s="77">
        <v>159</v>
      </c>
      <c r="B160" s="69">
        <v>231</v>
      </c>
      <c r="C160" s="69" t="s">
        <v>175</v>
      </c>
      <c r="D160" s="70" t="s">
        <v>179</v>
      </c>
      <c r="E160" s="70">
        <v>1</v>
      </c>
      <c r="F160" s="70">
        <v>3.8207136640557013E-2</v>
      </c>
      <c r="G160" s="70">
        <v>1.9736839999999999E-3</v>
      </c>
      <c r="H160" s="70">
        <v>7.0175439999999997E-3</v>
      </c>
      <c r="I160" s="70">
        <v>1.3157894736842105E-2</v>
      </c>
      <c r="J160" s="71">
        <v>2.2799999999999998</v>
      </c>
      <c r="K160" s="72">
        <v>13.333333333333334</v>
      </c>
      <c r="L160" s="71">
        <v>3.6580417754569196E-2</v>
      </c>
      <c r="M160" s="71">
        <v>3.3870757180156662E-2</v>
      </c>
      <c r="N160" s="71">
        <v>0.10210939947780681</v>
      </c>
      <c r="O160" s="71">
        <v>0.15851514360313318</v>
      </c>
      <c r="P160" s="71">
        <v>0.12828546562228024</v>
      </c>
      <c r="Q160" s="73" t="s">
        <v>3</v>
      </c>
      <c r="R160" s="74">
        <v>0</v>
      </c>
      <c r="S160" s="75">
        <f t="shared" si="455"/>
        <v>0.23645248278956266</v>
      </c>
      <c r="T160" s="59">
        <f t="shared" si="430"/>
        <v>0.6582521456113698</v>
      </c>
      <c r="U160" s="59">
        <f t="shared" si="431"/>
        <v>0.55765300770387938</v>
      </c>
      <c r="V160" s="59">
        <f t="shared" si="432"/>
        <v>0.89529179319135199</v>
      </c>
      <c r="W160" s="59">
        <f t="shared" si="433"/>
        <v>1.3601046333997515</v>
      </c>
      <c r="X160" s="59">
        <f t="shared" si="434"/>
        <v>1.605463936933992</v>
      </c>
      <c r="Y160" s="86">
        <v>439000</v>
      </c>
      <c r="Z160" s="57">
        <f t="shared" si="435"/>
        <v>704798.66831402248</v>
      </c>
      <c r="AA160" s="57">
        <f t="shared" si="436"/>
        <v>597085.93406249094</v>
      </c>
      <c r="AB160" s="57">
        <f t="shared" ref="AB160:AB173" si="547">(AH160+AI160)/AU160</f>
        <v>565504.56281978055</v>
      </c>
      <c r="AC160" s="57">
        <f t="shared" si="438"/>
        <v>0.17</v>
      </c>
      <c r="AD160" s="57">
        <f t="shared" si="439"/>
        <v>2.2000000000000002</v>
      </c>
      <c r="AE160" s="57">
        <f t="shared" si="440"/>
        <v>1474000</v>
      </c>
      <c r="AF160" s="57">
        <f t="shared" si="441"/>
        <v>308624.64957153908</v>
      </c>
      <c r="AG160" s="57">
        <f t="shared" si="517"/>
        <v>288461.28449095186</v>
      </c>
      <c r="AH160" s="57">
        <f t="shared" ref="AH160:AH173" si="548">AM160*AK160*AT160*AP160*(AS160-0.5*AP160)</f>
        <v>2281811950.3285747</v>
      </c>
      <c r="AI160" s="57">
        <f t="shared" si="457"/>
        <v>296888856.12962484</v>
      </c>
      <c r="AJ160" s="77">
        <v>1474000</v>
      </c>
      <c r="AK160" s="77">
        <v>38.299999999999997</v>
      </c>
      <c r="AL160" s="78">
        <f t="shared" si="443"/>
        <v>3.4112138440703146</v>
      </c>
      <c r="AM160" s="57">
        <f t="shared" si="444"/>
        <v>0.99921052631578944</v>
      </c>
      <c r="AN160" s="57">
        <f t="shared" si="445"/>
        <v>0.79921052631578948</v>
      </c>
      <c r="AO160" s="77">
        <v>2000</v>
      </c>
      <c r="AP160" s="79">
        <f>30+100*2</f>
        <v>230</v>
      </c>
      <c r="AQ160" s="57">
        <f t="shared" si="446"/>
        <v>156.75630671562979</v>
      </c>
      <c r="AR160" s="57">
        <f t="shared" ref="AR160:AR173" si="549">AO160-2*AP160</f>
        <v>1540</v>
      </c>
      <c r="AS160" s="57">
        <f t="shared" si="448"/>
        <v>1843.2436932843702</v>
      </c>
      <c r="AT160" s="77">
        <v>150</v>
      </c>
      <c r="AU160" s="77">
        <v>4560</v>
      </c>
      <c r="AV160" s="77">
        <f t="shared" si="449"/>
        <v>300000</v>
      </c>
      <c r="AW160" s="77">
        <v>0</v>
      </c>
      <c r="AX160" s="77">
        <f t="shared" si="450"/>
        <v>300000</v>
      </c>
      <c r="AY160" s="77">
        <v>300000</v>
      </c>
      <c r="AZ160" s="77">
        <v>518.9</v>
      </c>
      <c r="BA160" s="77">
        <v>518.9</v>
      </c>
      <c r="BB160" s="77">
        <v>583.70000000000005</v>
      </c>
      <c r="BC160" s="77">
        <v>562.20000000000005</v>
      </c>
      <c r="BD160" s="77">
        <v>2.7000000000000001E-3</v>
      </c>
      <c r="BE160" s="77">
        <v>2.5000000000000001E-3</v>
      </c>
      <c r="BF160" s="77">
        <v>6.7000000000000002E-3</v>
      </c>
      <c r="BG160" s="77">
        <v>1.17E-2</v>
      </c>
      <c r="BH160" s="79">
        <v>150</v>
      </c>
      <c r="BI160" s="79">
        <f t="shared" si="532"/>
        <v>28.274333882308138</v>
      </c>
      <c r="BJ160" s="79">
        <v>2</v>
      </c>
      <c r="BK160" s="57">
        <f t="shared" si="533"/>
        <v>56.548667764616276</v>
      </c>
      <c r="BL160" s="57">
        <f t="shared" si="515"/>
        <v>623.70000000000005</v>
      </c>
      <c r="BM160" s="80">
        <f>PI()*8*8/4</f>
        <v>50.26548245743669</v>
      </c>
      <c r="BN160" s="80">
        <v>6</v>
      </c>
      <c r="BO160" s="57">
        <f t="shared" ref="BO160:BO173" si="550">BM160*BN160</f>
        <v>301.59289474462014</v>
      </c>
      <c r="BP160" s="57">
        <f t="shared" si="452"/>
        <v>393033.09721100354</v>
      </c>
      <c r="BQ160" s="77">
        <f t="shared" si="453"/>
        <v>0</v>
      </c>
      <c r="BR160" s="57">
        <f t="shared" si="520"/>
        <v>1792230923.282176</v>
      </c>
      <c r="BS160" s="57">
        <v>313.51261343125958</v>
      </c>
      <c r="BT160" s="57">
        <f t="shared" si="456"/>
        <v>401.51328346702303</v>
      </c>
      <c r="BU160" s="57"/>
      <c r="BV160" s="57">
        <v>3.3E-3</v>
      </c>
      <c r="BW160" s="57">
        <v>30000</v>
      </c>
      <c r="BX160" s="57">
        <v>200000</v>
      </c>
      <c r="BY160" s="77">
        <f>30</f>
        <v>30</v>
      </c>
      <c r="BZ160" s="77">
        <f t="shared" si="540"/>
        <v>130</v>
      </c>
      <c r="CA160" s="77">
        <f t="shared" si="540"/>
        <v>230</v>
      </c>
      <c r="CB160" s="77">
        <f>CA160+140*1</f>
        <v>370</v>
      </c>
      <c r="CC160" s="77">
        <f>CA160+140*2</f>
        <v>510</v>
      </c>
      <c r="CD160" s="77">
        <f>CA160+140*3</f>
        <v>650</v>
      </c>
      <c r="CE160" s="77">
        <f>CA160+140*4</f>
        <v>790</v>
      </c>
      <c r="CF160" s="77">
        <f>CA160+140*5</f>
        <v>930</v>
      </c>
      <c r="CG160" s="77">
        <f>CA160+140*6</f>
        <v>1070</v>
      </c>
      <c r="CH160" s="77">
        <f>CA160+140*7</f>
        <v>1210</v>
      </c>
      <c r="CI160" s="77">
        <f>CA160+140*8</f>
        <v>1350</v>
      </c>
      <c r="CJ160" s="77">
        <f>CA160+140*9</f>
        <v>1490</v>
      </c>
      <c r="CK160" s="77">
        <f>CA160+140*10</f>
        <v>1630</v>
      </c>
      <c r="CL160" s="77">
        <f>CA160+140*11</f>
        <v>1770</v>
      </c>
      <c r="CM160" s="77">
        <f>CL160+100</f>
        <v>1870</v>
      </c>
      <c r="CN160" s="77">
        <f>CM160+100</f>
        <v>1970</v>
      </c>
      <c r="DM160" s="77">
        <f>PI()*8*8/4*2</f>
        <v>100.53096491487338</v>
      </c>
      <c r="DN160" s="77">
        <f>PI()*8*8/4*2</f>
        <v>100.53096491487338</v>
      </c>
      <c r="DO160" s="77">
        <f>PI()*8*8/4*2</f>
        <v>100.53096491487338</v>
      </c>
      <c r="DP160" s="77">
        <f t="shared" ref="DP160:DY160" si="551">PI()*6*6/4*2</f>
        <v>56.548667764616276</v>
      </c>
      <c r="DQ160" s="77">
        <f t="shared" si="551"/>
        <v>56.548667764616276</v>
      </c>
      <c r="DR160" s="77">
        <f t="shared" si="551"/>
        <v>56.548667764616276</v>
      </c>
      <c r="DS160" s="77">
        <f t="shared" si="551"/>
        <v>56.548667764616276</v>
      </c>
      <c r="DT160" s="77">
        <f t="shared" si="551"/>
        <v>56.548667764616276</v>
      </c>
      <c r="DU160" s="77">
        <f t="shared" si="551"/>
        <v>56.548667764616276</v>
      </c>
      <c r="DV160" s="77">
        <f t="shared" si="551"/>
        <v>56.548667764616276</v>
      </c>
      <c r="DW160" s="77">
        <f t="shared" si="551"/>
        <v>56.548667764616276</v>
      </c>
      <c r="DX160" s="77">
        <f t="shared" si="551"/>
        <v>56.548667764616276</v>
      </c>
      <c r="DY160" s="77">
        <f t="shared" si="551"/>
        <v>56.548667764616276</v>
      </c>
      <c r="DZ160" s="77">
        <f>PI()*8*8/4*2</f>
        <v>100.53096491487338</v>
      </c>
      <c r="EA160" s="77">
        <f>PI()*8*8/4*2</f>
        <v>100.53096491487338</v>
      </c>
      <c r="EB160" s="77">
        <f>PI()*8*8/4*2</f>
        <v>100.53096491487338</v>
      </c>
      <c r="FA160" s="77">
        <f t="shared" si="516"/>
        <v>-58679.924220811597</v>
      </c>
      <c r="FB160" s="77">
        <f t="shared" si="526"/>
        <v>-38837.806027170307</v>
      </c>
      <c r="FC160" s="77">
        <f t="shared" si="521"/>
        <v>-17674.24386051944</v>
      </c>
      <c r="FD160" s="77">
        <f t="shared" ref="FD160:FM161" si="552">IF(ABS(-$BV160*($BS160-CB160)/$BS160*$BX160)&gt;$BA160,$BA160*SIGN(-($BS160-CB160)),-$BV160*($BS160-CB160)/$BS160*$BX160)*DP160</f>
        <v>6724.543034695369</v>
      </c>
      <c r="FE160" s="77">
        <f t="shared" si="552"/>
        <v>23390.848240932926</v>
      </c>
      <c r="FF160" s="77">
        <f t="shared" si="552"/>
        <v>29343.103703059383</v>
      </c>
      <c r="FG160" s="77">
        <f t="shared" si="552"/>
        <v>29343.103703059383</v>
      </c>
      <c r="FH160" s="77">
        <f t="shared" si="552"/>
        <v>29343.103703059383</v>
      </c>
      <c r="FI160" s="77">
        <f t="shared" si="552"/>
        <v>29343.103703059383</v>
      </c>
      <c r="FJ160" s="77">
        <f t="shared" si="552"/>
        <v>29343.103703059383</v>
      </c>
      <c r="FK160" s="77">
        <f t="shared" si="552"/>
        <v>29343.103703059383</v>
      </c>
      <c r="FL160" s="77">
        <f t="shared" si="552"/>
        <v>29343.103703059383</v>
      </c>
      <c r="FM160" s="77">
        <f t="shared" si="552"/>
        <v>29343.103703059383</v>
      </c>
      <c r="FN160" s="77">
        <f>IF(ABS(-$BV160*($BS160-CL160)/$BS160*$BX160)&gt;$BB160,$BB160*SIGN(-($BS160-CL160)),-$BV160*($BS160-CL160)/$BS160*$BX160)*DZ160</f>
        <v>58679.924220811597</v>
      </c>
      <c r="FO160" s="77">
        <f>IF(ABS(-$BV160*($BS160-CM160)/$BS160*$BX160)&gt;$BB160,$BB160*SIGN(-($BS160-CM160)),-$BV160*($BS160-CM160)/$BS160*$BX160)*EA160</f>
        <v>58679.924220811597</v>
      </c>
      <c r="FP160" s="77">
        <f>IF(ABS(-$BV160*($BS160-CN160)/$BS160*$BX160)&gt;$BB160,$BB160*SIGN(-($BS160-CN160)),-$BV160*($BS160-CN160)/$BS160*$BX160)*EB160</f>
        <v>58679.924220811597</v>
      </c>
      <c r="GO160" s="77">
        <f t="shared" si="527"/>
        <v>56919526.494187251</v>
      </c>
      <c r="GP160" s="77">
        <f t="shared" si="528"/>
        <v>33788891.243638165</v>
      </c>
      <c r="GQ160" s="77">
        <f t="shared" si="529"/>
        <v>13609167.772599969</v>
      </c>
      <c r="GR160" s="77">
        <f t="shared" si="530"/>
        <v>-4236462.111858082</v>
      </c>
      <c r="GS160" s="77">
        <f t="shared" ref="GS160:HD161" si="553">FE160*(CC160-0.5*$AO160)</f>
        <v>-11461515.638057133</v>
      </c>
      <c r="GT160" s="77">
        <f t="shared" si="553"/>
        <v>-10270086.296070784</v>
      </c>
      <c r="GU160" s="77">
        <f t="shared" si="553"/>
        <v>-6162051.7776424708</v>
      </c>
      <c r="GV160" s="77">
        <f t="shared" si="553"/>
        <v>-2054017.2592141568</v>
      </c>
      <c r="GW160" s="77">
        <f t="shared" si="553"/>
        <v>2054017.2592141568</v>
      </c>
      <c r="GX160" s="77">
        <f t="shared" si="553"/>
        <v>6162051.7776424708</v>
      </c>
      <c r="GY160" s="77">
        <f t="shared" si="553"/>
        <v>10270086.296070784</v>
      </c>
      <c r="GZ160" s="77">
        <f t="shared" si="553"/>
        <v>14378120.814499097</v>
      </c>
      <c r="HA160" s="77">
        <f t="shared" si="553"/>
        <v>18486155.332927413</v>
      </c>
      <c r="HB160" s="77">
        <f t="shared" si="553"/>
        <v>45183541.650024928</v>
      </c>
      <c r="HC160" s="77">
        <f t="shared" si="553"/>
        <v>51051534.072106093</v>
      </c>
      <c r="HD160" s="77">
        <f t="shared" si="553"/>
        <v>56919526.494187251</v>
      </c>
      <c r="IC160" s="82">
        <v>168</v>
      </c>
    </row>
    <row r="161" spans="1:237" s="77" customFormat="1">
      <c r="A161" s="77">
        <v>160</v>
      </c>
      <c r="B161" s="69">
        <v>232</v>
      </c>
      <c r="C161" s="69" t="s">
        <v>175</v>
      </c>
      <c r="D161" s="70" t="s">
        <v>180</v>
      </c>
      <c r="E161" s="70">
        <v>1</v>
      </c>
      <c r="F161" s="70">
        <v>4.3640350877192979E-2</v>
      </c>
      <c r="G161" s="70">
        <v>3.7610619999999999E-3</v>
      </c>
      <c r="H161" s="70">
        <v>1.1504425E-2</v>
      </c>
      <c r="I161" s="70">
        <v>2.1017699115044249E-2</v>
      </c>
      <c r="J161" s="71">
        <v>2.2599999999999998</v>
      </c>
      <c r="K161" s="72">
        <v>13.333333333333334</v>
      </c>
      <c r="L161" s="71">
        <v>6.9122368421052641E-2</v>
      </c>
      <c r="M161" s="71">
        <v>2.8448464912280702E-2</v>
      </c>
      <c r="N161" s="71">
        <v>0.19452631578947369</v>
      </c>
      <c r="O161" s="71">
        <v>0.16841491228070174</v>
      </c>
      <c r="P161" s="71">
        <v>0.10789473684210525</v>
      </c>
      <c r="Q161" s="73" t="s">
        <v>3</v>
      </c>
      <c r="R161" s="74">
        <v>0</v>
      </c>
      <c r="S161" s="75">
        <f t="shared" si="455"/>
        <v>0.2946935666851484</v>
      </c>
      <c r="T161" s="59">
        <f t="shared" si="430"/>
        <v>0.87476632991701664</v>
      </c>
      <c r="U161" s="59">
        <f t="shared" si="431"/>
        <v>0.73705553525421108</v>
      </c>
      <c r="V161" s="59">
        <f t="shared" si="432"/>
        <v>0.90566055388386846</v>
      </c>
      <c r="W161" s="59">
        <f t="shared" si="433"/>
        <v>1.0353171160231813</v>
      </c>
      <c r="X161" s="59">
        <f t="shared" si="434"/>
        <v>1.2287548367322216</v>
      </c>
      <c r="Y161" s="86">
        <v>597000</v>
      </c>
      <c r="Z161" s="57">
        <f t="shared" si="435"/>
        <v>733566.63752913638</v>
      </c>
      <c r="AA161" s="57">
        <f t="shared" si="436"/>
        <v>618084.31826583925</v>
      </c>
      <c r="AB161" s="57">
        <f t="shared" si="547"/>
        <v>732717.5475702181</v>
      </c>
      <c r="AC161" s="57">
        <f t="shared" si="438"/>
        <v>0.17</v>
      </c>
      <c r="AD161" s="57">
        <f t="shared" si="439"/>
        <v>2.2000000000000002</v>
      </c>
      <c r="AE161" s="57">
        <f t="shared" si="440"/>
        <v>1476000</v>
      </c>
      <c r="AF161" s="57">
        <f t="shared" si="441"/>
        <v>330417.82536766859</v>
      </c>
      <c r="AG161" s="57">
        <f t="shared" si="517"/>
        <v>287666.49289817066</v>
      </c>
      <c r="AH161" s="57">
        <f t="shared" si="548"/>
        <v>2656665577.493845</v>
      </c>
      <c r="AI161" s="57">
        <f t="shared" si="457"/>
        <v>655217737.52354085</v>
      </c>
      <c r="AJ161" s="77">
        <v>1476000</v>
      </c>
      <c r="AK161" s="77">
        <v>45.6</v>
      </c>
      <c r="AL161" s="78">
        <f t="shared" si="443"/>
        <v>3.7547435795241197</v>
      </c>
      <c r="AM161" s="57">
        <f t="shared" si="444"/>
        <v>0.98</v>
      </c>
      <c r="AN161" s="57">
        <f t="shared" si="445"/>
        <v>0.78</v>
      </c>
      <c r="AO161" s="77">
        <v>2000</v>
      </c>
      <c r="AP161" s="79">
        <f>30+100*2</f>
        <v>230</v>
      </c>
      <c r="AQ161" s="57">
        <f t="shared" si="446"/>
        <v>161.83495910204837</v>
      </c>
      <c r="AR161" s="57">
        <f t="shared" si="549"/>
        <v>1540</v>
      </c>
      <c r="AS161" s="57">
        <f t="shared" si="448"/>
        <v>1838.1650408979517</v>
      </c>
      <c r="AT161" s="77">
        <v>150</v>
      </c>
      <c r="AU161" s="77">
        <v>4520</v>
      </c>
      <c r="AV161" s="77">
        <f t="shared" si="449"/>
        <v>300000</v>
      </c>
      <c r="AW161" s="77">
        <v>0</v>
      </c>
      <c r="AX161" s="77">
        <f t="shared" si="450"/>
        <v>300000</v>
      </c>
      <c r="AY161" s="77">
        <v>300000</v>
      </c>
      <c r="AZ161" s="77">
        <v>518.9</v>
      </c>
      <c r="BA161" s="77">
        <v>583.70000000000005</v>
      </c>
      <c r="BB161" s="77">
        <v>576</v>
      </c>
      <c r="BC161" s="77">
        <v>518.9</v>
      </c>
      <c r="BD161" s="77">
        <v>5.4000000000000003E-3</v>
      </c>
      <c r="BE161" s="77">
        <v>2.5000000000000001E-3</v>
      </c>
      <c r="BF161" s="77">
        <v>1.54E-2</v>
      </c>
      <c r="BG161" s="77">
        <v>1.4800000000000001E-2</v>
      </c>
      <c r="BH161" s="79">
        <v>150</v>
      </c>
      <c r="BI161" s="79">
        <f t="shared" si="532"/>
        <v>28.274333882308138</v>
      </c>
      <c r="BJ161" s="79">
        <v>2</v>
      </c>
      <c r="BK161" s="57">
        <f t="shared" si="533"/>
        <v>56.548667764616276</v>
      </c>
      <c r="BL161" s="57">
        <f t="shared" si="515"/>
        <v>1247.4000000000001</v>
      </c>
      <c r="BM161" s="80">
        <f>PI()*12*12/4</f>
        <v>113.09733552923255</v>
      </c>
      <c r="BN161" s="80">
        <v>6</v>
      </c>
      <c r="BO161" s="57">
        <f t="shared" si="550"/>
        <v>678.58401317539528</v>
      </c>
      <c r="BP161" s="57">
        <f t="shared" si="452"/>
        <v>540679.35066866945</v>
      </c>
      <c r="BQ161" s="77">
        <f t="shared" si="453"/>
        <v>1.1641532182693481E-9</v>
      </c>
      <c r="BR161" s="57">
        <f t="shared" si="520"/>
        <v>2443870665.0223861</v>
      </c>
      <c r="BS161" s="57">
        <v>323.66991820409675</v>
      </c>
      <c r="BT161" s="57">
        <f t="shared" si="456"/>
        <v>376.33445386874769</v>
      </c>
      <c r="BU161" s="57"/>
      <c r="BV161" s="57">
        <v>3.3E-3</v>
      </c>
      <c r="BW161" s="57">
        <v>30000</v>
      </c>
      <c r="BX161" s="57">
        <v>200000</v>
      </c>
      <c r="BY161" s="77">
        <f>30</f>
        <v>30</v>
      </c>
      <c r="BZ161" s="77">
        <f t="shared" si="540"/>
        <v>130</v>
      </c>
      <c r="CA161" s="77">
        <f t="shared" si="540"/>
        <v>230</v>
      </c>
      <c r="CB161" s="77">
        <f>CA161+125*1</f>
        <v>355</v>
      </c>
      <c r="CC161" s="77">
        <f>CA161+125*2</f>
        <v>480</v>
      </c>
      <c r="CD161" s="77">
        <f>CA161+125*3</f>
        <v>605</v>
      </c>
      <c r="CE161" s="77">
        <f>CA161+125*4</f>
        <v>730</v>
      </c>
      <c r="CF161" s="77">
        <f>CA161+125*5</f>
        <v>855</v>
      </c>
      <c r="CG161" s="77">
        <f>CF161+145</f>
        <v>1000</v>
      </c>
      <c r="CH161" s="77">
        <f>CG161+145</f>
        <v>1145</v>
      </c>
      <c r="CI161" s="77">
        <f>CH161+125*1</f>
        <v>1270</v>
      </c>
      <c r="CJ161" s="77">
        <f>CH161+125*2</f>
        <v>1395</v>
      </c>
      <c r="CK161" s="77">
        <f>CH161+125*3</f>
        <v>1520</v>
      </c>
      <c r="CL161" s="77">
        <f>CH161+125*4</f>
        <v>1645</v>
      </c>
      <c r="CM161" s="77">
        <f>CH161+125*5</f>
        <v>1770</v>
      </c>
      <c r="CN161" s="77">
        <f>CM161+100</f>
        <v>1870</v>
      </c>
      <c r="CO161" s="77">
        <f>CN161+100</f>
        <v>1970</v>
      </c>
      <c r="DM161" s="77">
        <f>PI()*12*12/4*2</f>
        <v>226.1946710584651</v>
      </c>
      <c r="DN161" s="77">
        <f>PI()*12*12/4*2</f>
        <v>226.1946710584651</v>
      </c>
      <c r="DO161" s="77">
        <f>PI()*12*12/4*2</f>
        <v>226.1946710584651</v>
      </c>
      <c r="DP161" s="77">
        <f t="shared" ref="DP161:DZ161" si="554">PI()*8*8/4*2</f>
        <v>100.53096491487338</v>
      </c>
      <c r="DQ161" s="77">
        <f t="shared" si="554"/>
        <v>100.53096491487338</v>
      </c>
      <c r="DR161" s="77">
        <f t="shared" si="554"/>
        <v>100.53096491487338</v>
      </c>
      <c r="DS161" s="77">
        <f t="shared" si="554"/>
        <v>100.53096491487338</v>
      </c>
      <c r="DT161" s="77">
        <f t="shared" si="554"/>
        <v>100.53096491487338</v>
      </c>
      <c r="DU161" s="77">
        <f t="shared" si="554"/>
        <v>100.53096491487338</v>
      </c>
      <c r="DV161" s="77">
        <f t="shared" si="554"/>
        <v>100.53096491487338</v>
      </c>
      <c r="DW161" s="77">
        <f t="shared" si="554"/>
        <v>100.53096491487338</v>
      </c>
      <c r="DX161" s="77">
        <f t="shared" si="554"/>
        <v>100.53096491487338</v>
      </c>
      <c r="DY161" s="77">
        <f t="shared" si="554"/>
        <v>100.53096491487338</v>
      </c>
      <c r="DZ161" s="77">
        <f t="shared" si="554"/>
        <v>100.53096491487338</v>
      </c>
      <c r="EA161" s="77">
        <f>PI()*12*12/4*2</f>
        <v>226.1946710584651</v>
      </c>
      <c r="EB161" s="77">
        <f>PI()*12*12/4*2</f>
        <v>226.1946710584651</v>
      </c>
      <c r="EC161" s="77">
        <f>PI()*12*12/4*2</f>
        <v>226.1946710584651</v>
      </c>
      <c r="FA161" s="77">
        <f t="shared" si="516"/>
        <v>-130288.13052967589</v>
      </c>
      <c r="FB161" s="77">
        <f t="shared" si="526"/>
        <v>-89327.696661484442</v>
      </c>
      <c r="FC161" s="77">
        <f t="shared" si="521"/>
        <v>-43204.014940636334</v>
      </c>
      <c r="FD161" s="77">
        <f t="shared" si="552"/>
        <v>6422.4832046327956</v>
      </c>
      <c r="FE161" s="77">
        <f t="shared" si="552"/>
        <v>32046.750827326185</v>
      </c>
      <c r="FF161" s="77">
        <f t="shared" si="552"/>
        <v>57671.018450019576</v>
      </c>
      <c r="FG161" s="77">
        <f t="shared" si="552"/>
        <v>58679.924220811597</v>
      </c>
      <c r="FH161" s="77">
        <f t="shared" si="552"/>
        <v>58679.924220811597</v>
      </c>
      <c r="FI161" s="77">
        <f t="shared" si="552"/>
        <v>58679.924220811597</v>
      </c>
      <c r="FJ161" s="77">
        <f t="shared" si="552"/>
        <v>58679.924220811597</v>
      </c>
      <c r="FK161" s="77">
        <f t="shared" si="552"/>
        <v>58679.924220811597</v>
      </c>
      <c r="FL161" s="77">
        <f t="shared" si="552"/>
        <v>58679.924220811597</v>
      </c>
      <c r="FM161" s="77">
        <f t="shared" si="552"/>
        <v>58679.924220811597</v>
      </c>
      <c r="FN161" s="77">
        <f>IF(ABS(-$BV161*($BS161-CL161)/$BS161*$BX161)&gt;$BA161,$BA161*SIGN(-($BS161-CL161)),-$BV161*($BS161-CL161)/$BS161*$BX161)*DZ161</f>
        <v>58679.924220811597</v>
      </c>
      <c r="FO161" s="77">
        <f>IF(ABS(-$BV161*($BS161-CM161)/$BS161*$BX161)&gt;$BB161,$BB161*SIGN(-($BS161-CM161)),-$BV161*($BS161-CM161)/$BS161*$BX161)*EA161</f>
        <v>130288.13052967589</v>
      </c>
      <c r="FP161" s="77">
        <f>IF(ABS(-$BV161*($BS161-CN161)/$BS161*$BX161)&gt;$BB161,$BB161*SIGN(-($BS161-CN161)),-$BV161*($BS161-CN161)/$BS161*$BX161)*EB161</f>
        <v>130288.13052967589</v>
      </c>
      <c r="FQ161" s="77">
        <f>IF(ABS(-$BV161*($BS161-CO161)/$BS161*$BX161)&gt;$BB161,$BB161*SIGN(-($BS161-CO161)),-$BV161*($BS161-CO161)/$BS161*$BX161)*EC161</f>
        <v>130288.13052967589</v>
      </c>
      <c r="GO161" s="77">
        <f t="shared" si="527"/>
        <v>126379486.61378562</v>
      </c>
      <c r="GP161" s="77">
        <f t="shared" si="528"/>
        <v>77715096.095491469</v>
      </c>
      <c r="GQ161" s="77">
        <f t="shared" si="529"/>
        <v>33267091.504289977</v>
      </c>
      <c r="GR161" s="77">
        <f t="shared" si="530"/>
        <v>-4142501.666988153</v>
      </c>
      <c r="GS161" s="77">
        <f t="shared" si="553"/>
        <v>-16664310.430209616</v>
      </c>
      <c r="GT161" s="77">
        <f t="shared" si="553"/>
        <v>-22780052.287757732</v>
      </c>
      <c r="GU161" s="77">
        <f t="shared" si="553"/>
        <v>-15843579.539619131</v>
      </c>
      <c r="GV161" s="77">
        <f t="shared" si="553"/>
        <v>-8508589.0120176822</v>
      </c>
      <c r="GW161" s="77">
        <f t="shared" si="553"/>
        <v>0</v>
      </c>
      <c r="GX161" s="77">
        <f t="shared" si="553"/>
        <v>8508589.0120176822</v>
      </c>
      <c r="GY161" s="77">
        <f t="shared" si="553"/>
        <v>15843579.539619131</v>
      </c>
      <c r="GZ161" s="77">
        <f t="shared" si="553"/>
        <v>23178570.06722058</v>
      </c>
      <c r="HA161" s="77">
        <f t="shared" si="553"/>
        <v>30513560.594822031</v>
      </c>
      <c r="HB161" s="77">
        <f t="shared" si="553"/>
        <v>37848551.122423477</v>
      </c>
      <c r="HC161" s="77">
        <f t="shared" si="553"/>
        <v>100321860.50785044</v>
      </c>
      <c r="HD161" s="77">
        <f t="shared" si="553"/>
        <v>113350673.56081803</v>
      </c>
      <c r="HE161" s="77">
        <f>FQ161*(CO161-0.5*$AO161)</f>
        <v>126379486.61378562</v>
      </c>
      <c r="IC161" s="82">
        <v>169</v>
      </c>
    </row>
    <row r="162" spans="1:237" s="77" customFormat="1">
      <c r="A162" s="77">
        <v>161</v>
      </c>
      <c r="B162" s="69">
        <v>233</v>
      </c>
      <c r="C162" s="69" t="s">
        <v>480</v>
      </c>
      <c r="D162" s="70" t="s">
        <v>181</v>
      </c>
      <c r="E162" s="70">
        <v>1</v>
      </c>
      <c r="F162" s="70">
        <v>7.3925822827754784E-2</v>
      </c>
      <c r="G162" s="70">
        <v>8.1447959999999993E-3</v>
      </c>
      <c r="H162" s="70">
        <v>3.0165912999999999E-2</v>
      </c>
      <c r="I162" s="70">
        <v>3.0165912518853696E-2</v>
      </c>
      <c r="J162" s="71">
        <v>2.1751968503937009</v>
      </c>
      <c r="K162" s="72">
        <v>7.5</v>
      </c>
      <c r="L162" s="71">
        <v>5.6547231270358309E-2</v>
      </c>
      <c r="M162" s="71">
        <v>9.5112377850162855E-2</v>
      </c>
      <c r="N162" s="71">
        <v>0.73739413680781762</v>
      </c>
      <c r="O162" s="71">
        <v>0.2127058631921824</v>
      </c>
      <c r="P162" s="71">
        <v>9.3576958966355608E-2</v>
      </c>
      <c r="Q162" s="73" t="s">
        <v>3</v>
      </c>
      <c r="R162" s="74">
        <v>0</v>
      </c>
      <c r="S162" s="75">
        <f t="shared" si="455"/>
        <v>0.40960509947918144</v>
      </c>
      <c r="T162" s="59">
        <f t="shared" si="430"/>
        <v>0.65930244602750698</v>
      </c>
      <c r="U162" s="59">
        <f t="shared" si="431"/>
        <v>0.5120731328067657</v>
      </c>
      <c r="V162" s="59">
        <f t="shared" si="432"/>
        <v>0.87135637919056397</v>
      </c>
      <c r="W162" s="59">
        <f t="shared" si="433"/>
        <v>1.3216337728469612</v>
      </c>
      <c r="X162" s="59">
        <f t="shared" si="434"/>
        <v>1.7016248722413958</v>
      </c>
      <c r="Y162" s="86">
        <v>702819</v>
      </c>
      <c r="Z162" s="57">
        <f t="shared" si="435"/>
        <v>1195934.2910838255</v>
      </c>
      <c r="AA162" s="57">
        <f t="shared" si="436"/>
        <v>928869.32659852842</v>
      </c>
      <c r="AB162" s="57">
        <f t="shared" si="547"/>
        <v>729664.33190271107</v>
      </c>
      <c r="AC162" s="57">
        <f t="shared" si="438"/>
        <v>0.17</v>
      </c>
      <c r="AD162" s="57">
        <f t="shared" si="439"/>
        <v>2.1751968503937009</v>
      </c>
      <c r="AE162" s="57">
        <f t="shared" si="440"/>
        <v>889644</v>
      </c>
      <c r="AF162" s="57">
        <f t="shared" si="441"/>
        <v>259069.95742808012</v>
      </c>
      <c r="AG162" s="57">
        <f t="shared" si="517"/>
        <v>669799.36917044828</v>
      </c>
      <c r="AH162" s="57">
        <f t="shared" si="548"/>
        <v>1213908189.633178</v>
      </c>
      <c r="AI162" s="57">
        <f t="shared" si="457"/>
        <v>1204929070.6243091</v>
      </c>
      <c r="AJ162" s="77">
        <v>889644</v>
      </c>
      <c r="AK162" s="77">
        <v>30.7</v>
      </c>
      <c r="AL162" s="78">
        <f t="shared" si="443"/>
        <v>3.0204783445561443</v>
      </c>
      <c r="AM162" s="57">
        <f t="shared" si="444"/>
        <v>1</v>
      </c>
      <c r="AN162" s="57">
        <f t="shared" si="445"/>
        <v>0.8</v>
      </c>
      <c r="AO162" s="77">
        <v>1524</v>
      </c>
      <c r="AP162" s="79">
        <f>5.75*25.4</f>
        <v>146.04999999999998</v>
      </c>
      <c r="AQ162" s="57">
        <f t="shared" si="446"/>
        <v>118.61311283505138</v>
      </c>
      <c r="AR162" s="57">
        <f t="shared" si="549"/>
        <v>1231.9000000000001</v>
      </c>
      <c r="AS162" s="57">
        <f t="shared" si="448"/>
        <v>1405.3868871649486</v>
      </c>
      <c r="AT162" s="77">
        <v>203.2</v>
      </c>
      <c r="AU162" s="77">
        <v>3315</v>
      </c>
      <c r="AV162" s="77">
        <f t="shared" si="449"/>
        <v>309677</v>
      </c>
      <c r="AW162" s="77">
        <v>0</v>
      </c>
      <c r="AX162" s="77">
        <f t="shared" si="450"/>
        <v>309676.79999999999</v>
      </c>
      <c r="AY162" s="77">
        <v>309677</v>
      </c>
      <c r="AZ162" s="77">
        <v>530.9</v>
      </c>
      <c r="BA162" s="77">
        <v>434</v>
      </c>
      <c r="BB162" s="77">
        <v>462</v>
      </c>
      <c r="BC162" s="77">
        <v>482.6</v>
      </c>
      <c r="BD162" s="77">
        <v>4.0000000000000001E-3</v>
      </c>
      <c r="BE162" s="77">
        <v>5.4999999999999997E-3</v>
      </c>
      <c r="BF162" s="77">
        <v>4.9000000000000002E-2</v>
      </c>
      <c r="BG162" s="77">
        <v>1.23E-2</v>
      </c>
      <c r="BH162" s="79">
        <f t="shared" ref="BH162:BH167" si="555">5*25.4</f>
        <v>127</v>
      </c>
      <c r="BI162" s="79">
        <f t="shared" ref="BI162:BI167" si="556">PI()*3/8*25.4*3/8*25.4/4</f>
        <v>71.255739248085618</v>
      </c>
      <c r="BJ162" s="79">
        <v>2</v>
      </c>
      <c r="BK162" s="57">
        <f t="shared" si="533"/>
        <v>142.51147849617124</v>
      </c>
      <c r="BL162" s="57">
        <f t="shared" si="515"/>
        <v>1001.2883200000001</v>
      </c>
      <c r="BM162" s="80">
        <f t="shared" ref="BM162:BM167" si="557">PI()*8/8*25.4*8/8*25.4/4</f>
        <v>506.7074790974977</v>
      </c>
      <c r="BN162" s="80">
        <v>4</v>
      </c>
      <c r="BO162" s="57">
        <f t="shared" si="550"/>
        <v>2026.8299163899908</v>
      </c>
      <c r="BP162" s="57">
        <f t="shared" si="452"/>
        <v>612405.819066333</v>
      </c>
      <c r="BQ162" s="77">
        <f t="shared" si="453"/>
        <v>4.0745362639427185E-9</v>
      </c>
      <c r="BR162" s="57">
        <f t="shared" si="520"/>
        <v>2030125290.2048941</v>
      </c>
      <c r="BS162" s="57">
        <v>237.22622567010276</v>
      </c>
      <c r="BT162" s="57">
        <f t="shared" si="456"/>
        <v>213.66460065054369</v>
      </c>
      <c r="BU162" s="57"/>
      <c r="BV162" s="57">
        <v>3.3E-3</v>
      </c>
      <c r="BW162" s="57">
        <v>30000</v>
      </c>
      <c r="BX162" s="57">
        <v>200000</v>
      </c>
      <c r="BY162" s="77">
        <f>27/16*25.4</f>
        <v>42.862499999999997</v>
      </c>
      <c r="BZ162" s="77">
        <f>BY162+4*25.4+3/4*25.4</f>
        <v>163.51249999999999</v>
      </c>
      <c r="CA162" s="77">
        <f>BZ162+11*25.4+9/16*25.4</f>
        <v>457.2</v>
      </c>
      <c r="CB162" s="77">
        <f t="shared" ref="CB162:CC167" si="558">CA162+12*25.4</f>
        <v>762</v>
      </c>
      <c r="CC162" s="77">
        <f t="shared" si="558"/>
        <v>1066.8</v>
      </c>
      <c r="CD162" s="77">
        <f>CC162+11*25.4+9/16*25.4</f>
        <v>1360.4874999999997</v>
      </c>
      <c r="CE162" s="77">
        <f>CD162+4*25.4+3/4*25.4</f>
        <v>1481.1374999999996</v>
      </c>
      <c r="DM162" s="77">
        <f t="shared" ref="DM162:DM167" si="559">PI()*8/8*25.4*8/8*25.4/4*2</f>
        <v>1013.4149581949954</v>
      </c>
      <c r="DN162" s="77">
        <f t="shared" ref="DN162:DN167" si="560">PI()*25.4*25.4/4*2</f>
        <v>1013.4149581949954</v>
      </c>
      <c r="DO162" s="77">
        <f t="shared" ref="DO162:DQ167" si="561">PI()*4/8*25.4*4/8*25.4/4*2</f>
        <v>253.35373954874885</v>
      </c>
      <c r="DP162" s="77">
        <f t="shared" si="561"/>
        <v>253.35373954874885</v>
      </c>
      <c r="DQ162" s="77">
        <f t="shared" si="561"/>
        <v>253.35373954874885</v>
      </c>
      <c r="DR162" s="77">
        <f t="shared" ref="DR162:DR167" si="562">PI()*8/8*25.4*8/8*25.4/4*2</f>
        <v>1013.4149581949954</v>
      </c>
      <c r="DS162" s="77">
        <f t="shared" ref="DS162:DS167" si="563">PI()*25.4*25.4/4*2</f>
        <v>1013.4149581949954</v>
      </c>
      <c r="FA162" s="77">
        <f t="shared" si="516"/>
        <v>-468197.7106860879</v>
      </c>
      <c r="FB162" s="77">
        <f t="shared" si="526"/>
        <v>-207834.14955429305</v>
      </c>
      <c r="FC162" s="77">
        <f t="shared" ref="FC162:FC188" si="564">IF(ABS(-$BV162*($BS162-CA162)/$BS162*$BX162)&gt;$BA162,$BA162*SIGN(-($BS162-CA162)),-$BV162*($BS162-CA162)/$BS162*$BX162)*DO162</f>
        <v>109955.522964157</v>
      </c>
      <c r="FD162" s="77">
        <f t="shared" ref="FD162:FD188" si="565">IF(ABS(-$BV162*($BS162-CB162)/$BS162*$BX162)&gt;$BA162,$BA162*SIGN(-($BS162-CB162)),-$BV162*($BS162-CB162)/$BS162*$BX162)*DP162</f>
        <v>109955.522964157</v>
      </c>
      <c r="FE162" s="77">
        <f t="shared" ref="FE162:FE188" si="566">IF(ABS(-$BV162*($BS162-CC162)/$BS162*$BX162)&gt;$BA162,$BA162*SIGN(-($BS162-CC162)),-$BV162*($BS162-CC162)/$BS162*$BX162)*DQ162</f>
        <v>109955.522964157</v>
      </c>
      <c r="FF162" s="77">
        <f t="shared" ref="FF162:FF171" si="567">IF(ABS(-$BV162*($BS162-CD162)/$BS162*$BX162)&gt;$BB162,$BB162*SIGN(-($BS162-CD162)),-$BV162*($BS162-CD162)/$BS162*$BX162)*DR162</f>
        <v>468197.7106860879</v>
      </c>
      <c r="FG162" s="77">
        <f t="shared" ref="FG162:FG171" si="568">IF(ABS(-$BV162*($BS162-CE162)/$BS162*$BX162)&gt;$BB162,$BB162*SIGN(-($BS162-CE162)),-$BV162*($BS162-CE162)/$BS162*$BX162)*DS162</f>
        <v>468197.7106860879</v>
      </c>
      <c r="GO162" s="77">
        <f t="shared" si="527"/>
        <v>336698531.16851658</v>
      </c>
      <c r="GP162" s="77">
        <f t="shared" si="528"/>
        <v>124386140.58137496</v>
      </c>
      <c r="GQ162" s="77">
        <f t="shared" si="529"/>
        <v>-33514443.399475057</v>
      </c>
      <c r="GR162" s="77">
        <f t="shared" si="530"/>
        <v>0</v>
      </c>
      <c r="GS162" s="77">
        <f t="shared" ref="GS162:GS191" si="569">FE162*(CC162-0.5*$AO162)</f>
        <v>33514443.399475049</v>
      </c>
      <c r="GT162" s="77">
        <f t="shared" ref="GT162:GT191" si="570">FF162*(CD162-0.5*$AO162)</f>
        <v>280210477.37423992</v>
      </c>
      <c r="GU162" s="77">
        <f t="shared" ref="GU162:GU191" si="571">FG162*(CE162-0.5*$AO162)</f>
        <v>336698531.16851634</v>
      </c>
      <c r="IC162" s="82">
        <v>170</v>
      </c>
    </row>
    <row r="163" spans="1:237" s="77" customFormat="1">
      <c r="A163" s="77">
        <v>162</v>
      </c>
      <c r="B163" s="69">
        <v>234</v>
      </c>
      <c r="C163" s="69" t="s">
        <v>182</v>
      </c>
      <c r="D163" s="70" t="s">
        <v>183</v>
      </c>
      <c r="E163" s="70">
        <v>1</v>
      </c>
      <c r="F163" s="70">
        <v>7.3953665189592677E-2</v>
      </c>
      <c r="G163" s="70">
        <v>6.9381599999999996E-3</v>
      </c>
      <c r="H163" s="70">
        <v>2.5037706999999999E-2</v>
      </c>
      <c r="I163" s="70">
        <v>2.5037707390648568E-2</v>
      </c>
      <c r="J163" s="71">
        <v>2.1751968503937009</v>
      </c>
      <c r="K163" s="72">
        <v>7.5</v>
      </c>
      <c r="L163" s="71">
        <v>5.7293729372937294E-2</v>
      </c>
      <c r="M163" s="71">
        <v>9.6367986798679847E-2</v>
      </c>
      <c r="N163" s="71">
        <v>0.74712871287128713</v>
      </c>
      <c r="O163" s="71">
        <v>0</v>
      </c>
      <c r="P163" s="71">
        <v>9.4812298358650737E-2</v>
      </c>
      <c r="Q163" s="73" t="s">
        <v>3</v>
      </c>
      <c r="R163" s="74">
        <v>0</v>
      </c>
      <c r="S163" s="75">
        <f t="shared" si="455"/>
        <v>0.40708117277482075</v>
      </c>
      <c r="T163" s="59">
        <f t="shared" si="430"/>
        <v>0.66024366169181659</v>
      </c>
      <c r="U163" s="59">
        <f t="shared" si="431"/>
        <v>0.51239402691752123</v>
      </c>
      <c r="V163" s="59">
        <f t="shared" si="432"/>
        <v>0.88167231946967151</v>
      </c>
      <c r="W163" s="59">
        <f t="shared" si="433"/>
        <v>1.3353741514314024</v>
      </c>
      <c r="X163" s="59">
        <f t="shared" si="434"/>
        <v>1.7206920322113592</v>
      </c>
      <c r="Y163" s="86">
        <v>693923</v>
      </c>
      <c r="Z163" s="57">
        <f t="shared" si="435"/>
        <v>1194027.7770682031</v>
      </c>
      <c r="AA163" s="57">
        <f t="shared" si="436"/>
        <v>926646.83728373307</v>
      </c>
      <c r="AB163" s="57">
        <f t="shared" si="547"/>
        <v>723895.55472424824</v>
      </c>
      <c r="AC163" s="57">
        <f t="shared" si="438"/>
        <v>0.17</v>
      </c>
      <c r="AD163" s="57">
        <f t="shared" si="439"/>
        <v>2.1751968503937009</v>
      </c>
      <c r="AE163" s="57">
        <f t="shared" si="440"/>
        <v>889644.00000000012</v>
      </c>
      <c r="AF163" s="57">
        <f t="shared" si="441"/>
        <v>257416.0604540956</v>
      </c>
      <c r="AG163" s="57">
        <f t="shared" si="517"/>
        <v>669230.77682963747</v>
      </c>
      <c r="AH163" s="57">
        <f t="shared" si="548"/>
        <v>1197018993.0796955</v>
      </c>
      <c r="AI163" s="57">
        <f t="shared" si="457"/>
        <v>1202694770.8311875</v>
      </c>
      <c r="AJ163" s="77">
        <v>889644</v>
      </c>
      <c r="AK163" s="77">
        <v>30.3</v>
      </c>
      <c r="AL163" s="78">
        <f t="shared" si="443"/>
        <v>2.998769365290161</v>
      </c>
      <c r="AM163" s="57">
        <f t="shared" si="444"/>
        <v>1</v>
      </c>
      <c r="AN163" s="57">
        <f t="shared" si="445"/>
        <v>0.8</v>
      </c>
      <c r="AO163" s="77">
        <v>1524</v>
      </c>
      <c r="AP163" s="79">
        <f>5.75*25.4</f>
        <v>146.04999999999998</v>
      </c>
      <c r="AQ163" s="57">
        <f t="shared" si="446"/>
        <v>119.80614504245329</v>
      </c>
      <c r="AR163" s="57">
        <f t="shared" si="549"/>
        <v>1231.9000000000001</v>
      </c>
      <c r="AS163" s="57">
        <f t="shared" si="448"/>
        <v>1404.1938549575466</v>
      </c>
      <c r="AT163" s="77">
        <v>203.2</v>
      </c>
      <c r="AU163" s="77">
        <v>3315</v>
      </c>
      <c r="AV163" s="77">
        <f t="shared" si="449"/>
        <v>309677</v>
      </c>
      <c r="AW163" s="77">
        <v>0</v>
      </c>
      <c r="AX163" s="77">
        <f t="shared" si="450"/>
        <v>309676.79999999999</v>
      </c>
      <c r="AY163" s="77">
        <v>309677</v>
      </c>
      <c r="AZ163" s="77">
        <v>530.9</v>
      </c>
      <c r="BA163" s="77">
        <v>434</v>
      </c>
      <c r="BB163" s="77">
        <v>462</v>
      </c>
      <c r="BC163" s="77">
        <v>0</v>
      </c>
      <c r="BD163" s="77">
        <v>4.0000000000000001E-3</v>
      </c>
      <c r="BE163" s="77">
        <v>5.4999999999999997E-3</v>
      </c>
      <c r="BF163" s="77">
        <v>4.9000000000000002E-2</v>
      </c>
      <c r="BG163" s="77">
        <v>0</v>
      </c>
      <c r="BH163" s="79">
        <f t="shared" si="555"/>
        <v>127</v>
      </c>
      <c r="BI163" s="79">
        <f t="shared" si="556"/>
        <v>71.255739248085618</v>
      </c>
      <c r="BJ163" s="79">
        <v>2</v>
      </c>
      <c r="BK163" s="57">
        <f t="shared" si="533"/>
        <v>142.51147849617124</v>
      </c>
      <c r="BL163" s="57">
        <f t="shared" si="515"/>
        <v>1001.2883200000001</v>
      </c>
      <c r="BM163" s="80">
        <f t="shared" si="557"/>
        <v>506.7074790974977</v>
      </c>
      <c r="BN163" s="80">
        <v>4</v>
      </c>
      <c r="BO163" s="57">
        <f t="shared" si="550"/>
        <v>2026.8299163899908</v>
      </c>
      <c r="BP163" s="57">
        <f t="shared" si="452"/>
        <v>611812.70094335289</v>
      </c>
      <c r="BQ163" s="77">
        <f t="shared" si="453"/>
        <v>5.2386894822120667E-9</v>
      </c>
      <c r="BR163" s="57">
        <f t="shared" si="520"/>
        <v>2028159103.6272147</v>
      </c>
      <c r="BS163" s="57">
        <v>239.61229008490659</v>
      </c>
      <c r="BT163" s="57">
        <f t="shared" si="456"/>
        <v>215.74323228970164</v>
      </c>
      <c r="BU163" s="57"/>
      <c r="BV163" s="57">
        <v>3.3E-3</v>
      </c>
      <c r="BW163" s="57">
        <v>30000</v>
      </c>
      <c r="BX163" s="57">
        <v>200000</v>
      </c>
      <c r="BY163" s="77">
        <f>27/16*25.4</f>
        <v>42.862499999999997</v>
      </c>
      <c r="BZ163" s="77">
        <f>BY163+4*25.4+3/4*25.4</f>
        <v>163.51249999999999</v>
      </c>
      <c r="CA163" s="77">
        <f>BZ163+11*25.4+9/16*25.4</f>
        <v>457.2</v>
      </c>
      <c r="CB163" s="77">
        <f t="shared" si="558"/>
        <v>762</v>
      </c>
      <c r="CC163" s="77">
        <f t="shared" si="558"/>
        <v>1066.8</v>
      </c>
      <c r="CD163" s="77">
        <f>CC163+11*25.4+9/16*25.4</f>
        <v>1360.4874999999997</v>
      </c>
      <c r="CE163" s="77">
        <f>CD163+4*25.4+3/4*25.4</f>
        <v>1481.1374999999996</v>
      </c>
      <c r="DM163" s="77">
        <f t="shared" si="559"/>
        <v>1013.4149581949954</v>
      </c>
      <c r="DN163" s="77">
        <f t="shared" si="560"/>
        <v>1013.4149581949954</v>
      </c>
      <c r="DO163" s="77">
        <f t="shared" si="561"/>
        <v>253.35373954874885</v>
      </c>
      <c r="DP163" s="77">
        <f t="shared" si="561"/>
        <v>253.35373954874885</v>
      </c>
      <c r="DQ163" s="77">
        <f t="shared" si="561"/>
        <v>253.35373954874885</v>
      </c>
      <c r="DR163" s="77">
        <f t="shared" si="562"/>
        <v>1013.4149581949954</v>
      </c>
      <c r="DS163" s="77">
        <f t="shared" si="563"/>
        <v>1013.4149581949954</v>
      </c>
      <c r="FA163" s="77">
        <f t="shared" si="516"/>
        <v>-468197.7106860879</v>
      </c>
      <c r="FB163" s="77">
        <f t="shared" si="526"/>
        <v>-212424.99401738727</v>
      </c>
      <c r="FC163" s="77">
        <f t="shared" si="564"/>
        <v>109955.522964157</v>
      </c>
      <c r="FD163" s="77">
        <f t="shared" si="565"/>
        <v>109955.522964157</v>
      </c>
      <c r="FE163" s="77">
        <f t="shared" si="566"/>
        <v>109955.522964157</v>
      </c>
      <c r="FF163" s="77">
        <f t="shared" si="567"/>
        <v>468197.7106860879</v>
      </c>
      <c r="FG163" s="77">
        <f t="shared" si="568"/>
        <v>468197.7106860879</v>
      </c>
      <c r="GO163" s="77">
        <f t="shared" si="527"/>
        <v>336698531.16851658</v>
      </c>
      <c r="GP163" s="77">
        <f t="shared" si="528"/>
        <v>127133703.60698105</v>
      </c>
      <c r="GQ163" s="77">
        <f t="shared" si="529"/>
        <v>-33514443.399475057</v>
      </c>
      <c r="GR163" s="77">
        <f t="shared" si="530"/>
        <v>0</v>
      </c>
      <c r="GS163" s="77">
        <f t="shared" si="569"/>
        <v>33514443.399475049</v>
      </c>
      <c r="GT163" s="77">
        <f t="shared" si="570"/>
        <v>280210477.37423992</v>
      </c>
      <c r="GU163" s="77">
        <f t="shared" si="571"/>
        <v>336698531.16851634</v>
      </c>
      <c r="IC163" s="82">
        <v>171</v>
      </c>
    </row>
    <row r="164" spans="1:237" s="77" customFormat="1">
      <c r="A164" s="77">
        <v>163</v>
      </c>
      <c r="B164" s="69">
        <v>235</v>
      </c>
      <c r="C164" s="69" t="s">
        <v>182</v>
      </c>
      <c r="D164" s="70" t="s">
        <v>184</v>
      </c>
      <c r="E164" s="87">
        <v>1</v>
      </c>
      <c r="F164" s="70">
        <v>6.7570595076798204E-2</v>
      </c>
      <c r="G164" s="70">
        <v>5.7315229999999997E-3</v>
      </c>
      <c r="H164" s="70">
        <v>1.5384615000000001E-2</v>
      </c>
      <c r="I164" s="70">
        <v>2.0512820512820513E-2</v>
      </c>
      <c r="J164" s="71">
        <v>2.1751968503937009</v>
      </c>
      <c r="K164" s="72">
        <v>7.5</v>
      </c>
      <c r="L164" s="71">
        <v>5.1360946745562137E-2</v>
      </c>
      <c r="M164" s="71">
        <v>8.6389053254437867E-2</v>
      </c>
      <c r="N164" s="71">
        <v>0.66976331360946761</v>
      </c>
      <c r="O164" s="71">
        <v>0</v>
      </c>
      <c r="P164" s="71">
        <v>8.4994456812636607E-2</v>
      </c>
      <c r="Q164" s="73" t="s">
        <v>3</v>
      </c>
      <c r="R164" s="74">
        <v>0</v>
      </c>
      <c r="S164" s="75">
        <f t="shared" si="455"/>
        <v>0.39284035406676682</v>
      </c>
      <c r="T164" s="59">
        <f t="shared" si="430"/>
        <v>0.65235756657098609</v>
      </c>
      <c r="U164" s="59">
        <f t="shared" si="431"/>
        <v>0.50953095528232473</v>
      </c>
      <c r="V164" s="59">
        <f t="shared" si="432"/>
        <v>0.87193248462896233</v>
      </c>
      <c r="W164" s="59">
        <f t="shared" si="433"/>
        <v>1.3365867574927304</v>
      </c>
      <c r="X164" s="59">
        <f t="shared" si="434"/>
        <v>1.7112453631906142</v>
      </c>
      <c r="Y164" s="86">
        <v>707267</v>
      </c>
      <c r="Z164" s="57">
        <f t="shared" si="435"/>
        <v>1210307.3742877361</v>
      </c>
      <c r="AA164" s="57">
        <f t="shared" si="436"/>
        <v>945323.70621161093</v>
      </c>
      <c r="AB164" s="57">
        <f t="shared" si="547"/>
        <v>773876.33984493325</v>
      </c>
      <c r="AC164" s="57">
        <f t="shared" si="438"/>
        <v>0.17</v>
      </c>
      <c r="AD164" s="57">
        <f t="shared" si="439"/>
        <v>2.1751968503937009</v>
      </c>
      <c r="AE164" s="57">
        <f t="shared" si="440"/>
        <v>889644</v>
      </c>
      <c r="AF164" s="57">
        <f t="shared" si="441"/>
        <v>271549.39615464443</v>
      </c>
      <c r="AG164" s="57">
        <f t="shared" si="517"/>
        <v>673774.3100569665</v>
      </c>
      <c r="AH164" s="57">
        <f t="shared" si="548"/>
        <v>1344851352.5669515</v>
      </c>
      <c r="AI164" s="57">
        <f t="shared" si="457"/>
        <v>1220548714.019002</v>
      </c>
      <c r="AJ164" s="77">
        <v>889644</v>
      </c>
      <c r="AK164" s="77">
        <v>33.799999999999997</v>
      </c>
      <c r="AL164" s="78">
        <f t="shared" si="443"/>
        <v>3.1845920384580424</v>
      </c>
      <c r="AM164" s="57">
        <f t="shared" si="444"/>
        <v>1</v>
      </c>
      <c r="AN164" s="57">
        <f t="shared" si="445"/>
        <v>0.8</v>
      </c>
      <c r="AO164" s="77">
        <v>1524</v>
      </c>
      <c r="AP164" s="79">
        <f>5.75*25.4</f>
        <v>146.04999999999998</v>
      </c>
      <c r="AQ164" s="57">
        <f t="shared" si="446"/>
        <v>110.27280966921359</v>
      </c>
      <c r="AR164" s="57">
        <f t="shared" si="549"/>
        <v>1231.9000000000001</v>
      </c>
      <c r="AS164" s="57">
        <f t="shared" si="448"/>
        <v>1413.7271903307865</v>
      </c>
      <c r="AT164" s="77">
        <v>203.2</v>
      </c>
      <c r="AU164" s="77">
        <v>3315</v>
      </c>
      <c r="AV164" s="77">
        <f t="shared" si="449"/>
        <v>309677</v>
      </c>
      <c r="AW164" s="77">
        <v>0</v>
      </c>
      <c r="AX164" s="77">
        <f t="shared" si="450"/>
        <v>309676.79999999999</v>
      </c>
      <c r="AY164" s="77">
        <v>309677</v>
      </c>
      <c r="AZ164" s="77">
        <v>530.9</v>
      </c>
      <c r="BA164" s="77">
        <v>434</v>
      </c>
      <c r="BB164" s="77">
        <v>462</v>
      </c>
      <c r="BC164" s="77">
        <v>0</v>
      </c>
      <c r="BD164" s="77">
        <v>4.0000000000000001E-3</v>
      </c>
      <c r="BE164" s="77">
        <v>5.4999999999999997E-3</v>
      </c>
      <c r="BF164" s="77">
        <v>4.9000000000000002E-2</v>
      </c>
      <c r="BG164" s="77">
        <v>0</v>
      </c>
      <c r="BH164" s="79">
        <f t="shared" si="555"/>
        <v>127</v>
      </c>
      <c r="BI164" s="79">
        <f t="shared" si="556"/>
        <v>71.255739248085618</v>
      </c>
      <c r="BJ164" s="79">
        <v>2</v>
      </c>
      <c r="BK164" s="57">
        <f t="shared" si="533"/>
        <v>142.51147849617124</v>
      </c>
      <c r="BL164" s="57">
        <f t="shared" si="515"/>
        <v>1001.2883200000001</v>
      </c>
      <c r="BM164" s="80">
        <f t="shared" si="557"/>
        <v>506.7074790974977</v>
      </c>
      <c r="BN164" s="80">
        <v>4</v>
      </c>
      <c r="BO164" s="57">
        <f t="shared" si="550"/>
        <v>2026.8299163899908</v>
      </c>
      <c r="BP164" s="57">
        <f t="shared" si="452"/>
        <v>616689.0726060723</v>
      </c>
      <c r="BQ164" s="77">
        <f t="shared" si="453"/>
        <v>3.7252902984619141E-9</v>
      </c>
      <c r="BR164" s="57">
        <f t="shared" si="520"/>
        <v>2044324275.6891298</v>
      </c>
      <c r="BS164" s="57">
        <v>220.54561933842717</v>
      </c>
      <c r="BT164" s="57">
        <f t="shared" si="456"/>
        <v>199.38273015470025</v>
      </c>
      <c r="BU164" s="57"/>
      <c r="BV164" s="57">
        <v>3.3E-3</v>
      </c>
      <c r="BW164" s="57">
        <v>30000</v>
      </c>
      <c r="BX164" s="57">
        <v>200000</v>
      </c>
      <c r="BY164" s="77">
        <f>27/16*25.4</f>
        <v>42.862499999999997</v>
      </c>
      <c r="BZ164" s="77">
        <f>BY164+4*25.4+3/4*25.4</f>
        <v>163.51249999999999</v>
      </c>
      <c r="CA164" s="77">
        <f>BZ164+11*25.4+9/16*25.4</f>
        <v>457.2</v>
      </c>
      <c r="CB164" s="77">
        <f t="shared" si="558"/>
        <v>762</v>
      </c>
      <c r="CC164" s="77">
        <f t="shared" si="558"/>
        <v>1066.8</v>
      </c>
      <c r="CD164" s="77">
        <f>CC164+11*25.4+9/16*25.4</f>
        <v>1360.4874999999997</v>
      </c>
      <c r="CE164" s="77">
        <f>CD164+4*25.4+3/4*25.4</f>
        <v>1481.1374999999996</v>
      </c>
      <c r="DM164" s="77">
        <f t="shared" si="559"/>
        <v>1013.4149581949954</v>
      </c>
      <c r="DN164" s="77">
        <f t="shared" si="560"/>
        <v>1013.4149581949954</v>
      </c>
      <c r="DO164" s="77">
        <f t="shared" si="561"/>
        <v>253.35373954874885</v>
      </c>
      <c r="DP164" s="77">
        <f t="shared" si="561"/>
        <v>253.35373954874885</v>
      </c>
      <c r="DQ164" s="77">
        <f t="shared" si="561"/>
        <v>253.35373954874885</v>
      </c>
      <c r="DR164" s="77">
        <f t="shared" si="562"/>
        <v>1013.4149581949954</v>
      </c>
      <c r="DS164" s="77">
        <f t="shared" si="563"/>
        <v>1013.4149581949954</v>
      </c>
      <c r="FA164" s="77">
        <f t="shared" si="516"/>
        <v>-468197.7106860879</v>
      </c>
      <c r="FB164" s="77">
        <f t="shared" si="526"/>
        <v>-172965.67866314351</v>
      </c>
      <c r="FC164" s="77">
        <f t="shared" si="564"/>
        <v>109955.522964157</v>
      </c>
      <c r="FD164" s="77">
        <f t="shared" si="565"/>
        <v>109955.522964157</v>
      </c>
      <c r="FE164" s="77">
        <f t="shared" si="566"/>
        <v>109955.522964157</v>
      </c>
      <c r="FF164" s="77">
        <f t="shared" si="567"/>
        <v>468197.7106860879</v>
      </c>
      <c r="FG164" s="77">
        <f t="shared" si="568"/>
        <v>468197.7106860879</v>
      </c>
      <c r="GO164" s="77">
        <f t="shared" si="527"/>
        <v>336698531.16851658</v>
      </c>
      <c r="GP164" s="77">
        <f t="shared" si="528"/>
        <v>103517796.60890809</v>
      </c>
      <c r="GQ164" s="77">
        <f t="shared" si="529"/>
        <v>-33514443.399475057</v>
      </c>
      <c r="GR164" s="77">
        <f t="shared" si="530"/>
        <v>0</v>
      </c>
      <c r="GS164" s="77">
        <f t="shared" si="569"/>
        <v>33514443.399475049</v>
      </c>
      <c r="GT164" s="77">
        <f t="shared" si="570"/>
        <v>280210477.37423992</v>
      </c>
      <c r="GU164" s="77">
        <f t="shared" si="571"/>
        <v>336698531.16851634</v>
      </c>
      <c r="IC164" s="82">
        <v>172</v>
      </c>
    </row>
    <row r="165" spans="1:237" s="77" customFormat="1">
      <c r="A165" s="77">
        <v>164</v>
      </c>
      <c r="B165" s="69">
        <v>236</v>
      </c>
      <c r="C165" s="69" t="s">
        <v>182</v>
      </c>
      <c r="D165" s="70" t="s">
        <v>185</v>
      </c>
      <c r="E165" s="87">
        <v>1</v>
      </c>
      <c r="F165" s="70">
        <v>7.410762423942481E-2</v>
      </c>
      <c r="G165" s="70">
        <v>4.2232279999999999E-3</v>
      </c>
      <c r="H165" s="70">
        <v>1.5686275E-2</v>
      </c>
      <c r="I165" s="70">
        <v>2.564102564102564E-2</v>
      </c>
      <c r="J165" s="71">
        <v>2.1751968503937009</v>
      </c>
      <c r="K165" s="72">
        <v>7.5</v>
      </c>
      <c r="L165" s="71">
        <v>5.528662420382166E-2</v>
      </c>
      <c r="M165" s="71">
        <v>9.2992038216560505E-2</v>
      </c>
      <c r="N165" s="71">
        <v>0.72095541401273899</v>
      </c>
      <c r="O165" s="71">
        <v>0.20796401273885348</v>
      </c>
      <c r="P165" s="71">
        <v>9.1490848416150225E-2</v>
      </c>
      <c r="Q165" s="73" t="s">
        <v>3</v>
      </c>
      <c r="R165" s="74">
        <v>0</v>
      </c>
      <c r="S165" s="75">
        <f t="shared" si="455"/>
        <v>0.41526728148378128</v>
      </c>
      <c r="T165" s="59">
        <f t="shared" si="430"/>
        <v>0.6576814216790019</v>
      </c>
      <c r="U165" s="59">
        <f t="shared" si="431"/>
        <v>0.5115068329615563</v>
      </c>
      <c r="V165" s="59">
        <f t="shared" si="432"/>
        <v>0.85124864465636463</v>
      </c>
      <c r="W165" s="59">
        <f t="shared" si="433"/>
        <v>1.294317608186655</v>
      </c>
      <c r="X165" s="59">
        <f t="shared" si="434"/>
        <v>1.6641979926792936</v>
      </c>
      <c r="Y165" s="86">
        <v>720612</v>
      </c>
      <c r="Z165" s="57">
        <f t="shared" si="435"/>
        <v>1199241.0439006111</v>
      </c>
      <c r="AA165" s="57">
        <f t="shared" si="436"/>
        <v>932700.80027060187</v>
      </c>
      <c r="AB165" s="57">
        <f t="shared" si="547"/>
        <v>739721.80844795424</v>
      </c>
      <c r="AC165" s="57">
        <f t="shared" si="438"/>
        <v>0.17</v>
      </c>
      <c r="AD165" s="57">
        <f t="shared" si="439"/>
        <v>2.1751968503937009</v>
      </c>
      <c r="AE165" s="57">
        <f t="shared" si="440"/>
        <v>889644</v>
      </c>
      <c r="AF165" s="57">
        <f t="shared" si="441"/>
        <v>261939.3167179896</v>
      </c>
      <c r="AG165" s="57">
        <f t="shared" si="517"/>
        <v>670761.48355261225</v>
      </c>
      <c r="AH165" s="57">
        <f t="shared" si="548"/>
        <v>1243468068.5210268</v>
      </c>
      <c r="AI165" s="57">
        <f t="shared" ref="AI165:AI173" si="572">BB165*BO165*(AS165-AQ165)</f>
        <v>1208709726.4839413</v>
      </c>
      <c r="AJ165" s="77">
        <v>889644</v>
      </c>
      <c r="AK165" s="77">
        <v>31.4</v>
      </c>
      <c r="AL165" s="78">
        <f t="shared" si="443"/>
        <v>3.0581650895185528</v>
      </c>
      <c r="AM165" s="57">
        <f t="shared" si="444"/>
        <v>1</v>
      </c>
      <c r="AN165" s="57">
        <f t="shared" si="445"/>
        <v>0.8</v>
      </c>
      <c r="AO165" s="77">
        <v>1524</v>
      </c>
      <c r="AP165" s="79">
        <f>5.75*25.4</f>
        <v>146.04999999999998</v>
      </c>
      <c r="AQ165" s="57">
        <f t="shared" si="446"/>
        <v>116.5943845428456</v>
      </c>
      <c r="AR165" s="57">
        <f t="shared" si="549"/>
        <v>1231.9000000000001</v>
      </c>
      <c r="AS165" s="57">
        <f t="shared" si="448"/>
        <v>1407.4056154571545</v>
      </c>
      <c r="AT165" s="77">
        <v>203.2</v>
      </c>
      <c r="AU165" s="77">
        <v>3315</v>
      </c>
      <c r="AV165" s="77">
        <f t="shared" si="449"/>
        <v>309677</v>
      </c>
      <c r="AW165" s="77">
        <v>0</v>
      </c>
      <c r="AX165" s="77">
        <f t="shared" si="450"/>
        <v>309676.79999999999</v>
      </c>
      <c r="AY165" s="77">
        <v>309677</v>
      </c>
      <c r="AZ165" s="77">
        <v>530.9</v>
      </c>
      <c r="BA165" s="77">
        <v>434</v>
      </c>
      <c r="BB165" s="77">
        <v>462</v>
      </c>
      <c r="BC165" s="77">
        <v>482.6</v>
      </c>
      <c r="BD165" s="77">
        <v>4.0000000000000001E-3</v>
      </c>
      <c r="BE165" s="77">
        <v>5.4999999999999997E-3</v>
      </c>
      <c r="BF165" s="77">
        <v>4.9000000000000002E-2</v>
      </c>
      <c r="BG165" s="77">
        <v>1.23E-2</v>
      </c>
      <c r="BH165" s="79">
        <f t="shared" si="555"/>
        <v>127</v>
      </c>
      <c r="BI165" s="79">
        <f t="shared" si="556"/>
        <v>71.255739248085618</v>
      </c>
      <c r="BJ165" s="79">
        <v>2</v>
      </c>
      <c r="BK165" s="57">
        <f t="shared" si="533"/>
        <v>142.51147849617124</v>
      </c>
      <c r="BL165" s="57">
        <f t="shared" si="515"/>
        <v>1001.2883200000001</v>
      </c>
      <c r="BM165" s="80">
        <f t="shared" si="557"/>
        <v>506.7074790974977</v>
      </c>
      <c r="BN165" s="80">
        <v>4</v>
      </c>
      <c r="BO165" s="57">
        <f t="shared" si="550"/>
        <v>2026.8299163899908</v>
      </c>
      <c r="BP165" s="57">
        <f t="shared" si="452"/>
        <v>613419.98832311225</v>
      </c>
      <c r="BQ165" s="77">
        <f t="shared" si="453"/>
        <v>3.14321368932724E-9</v>
      </c>
      <c r="BR165" s="57">
        <f t="shared" si="520"/>
        <v>2033487261.291117</v>
      </c>
      <c r="BS165" s="57">
        <v>233.18876908569121</v>
      </c>
      <c r="BT165" s="57">
        <f t="shared" si="456"/>
        <v>210.16635080574014</v>
      </c>
      <c r="BU165" s="57"/>
      <c r="BV165" s="57">
        <v>3.3E-3</v>
      </c>
      <c r="BW165" s="57">
        <v>30000</v>
      </c>
      <c r="BX165" s="57">
        <v>200000</v>
      </c>
      <c r="BY165" s="77">
        <f>27/16*25.4</f>
        <v>42.862499999999997</v>
      </c>
      <c r="BZ165" s="77">
        <f>BY165+4*25.4+3/4*25.4</f>
        <v>163.51249999999999</v>
      </c>
      <c r="CA165" s="77">
        <f>BZ165+11*25.4+9/16*25.4</f>
        <v>457.2</v>
      </c>
      <c r="CB165" s="77">
        <f t="shared" si="558"/>
        <v>762</v>
      </c>
      <c r="CC165" s="77">
        <f t="shared" si="558"/>
        <v>1066.8</v>
      </c>
      <c r="CD165" s="77">
        <f>CC165+11*25.4+9/16*25.4</f>
        <v>1360.4874999999997</v>
      </c>
      <c r="CE165" s="77">
        <f>CD165+4*25.4+3/4*25.4</f>
        <v>1481.1374999999996</v>
      </c>
      <c r="DM165" s="77">
        <f t="shared" si="559"/>
        <v>1013.4149581949954</v>
      </c>
      <c r="DN165" s="77">
        <f t="shared" si="560"/>
        <v>1013.4149581949954</v>
      </c>
      <c r="DO165" s="77">
        <f t="shared" si="561"/>
        <v>253.35373954874885</v>
      </c>
      <c r="DP165" s="77">
        <f t="shared" si="561"/>
        <v>253.35373954874885</v>
      </c>
      <c r="DQ165" s="77">
        <f t="shared" si="561"/>
        <v>253.35373954874885</v>
      </c>
      <c r="DR165" s="77">
        <f t="shared" si="562"/>
        <v>1013.4149581949954</v>
      </c>
      <c r="DS165" s="77">
        <f t="shared" si="563"/>
        <v>1013.4149581949954</v>
      </c>
      <c r="FA165" s="77">
        <f t="shared" si="516"/>
        <v>-468197.7106860879</v>
      </c>
      <c r="FB165" s="77">
        <f t="shared" si="526"/>
        <v>-199852.00220268496</v>
      </c>
      <c r="FC165" s="77">
        <f t="shared" si="564"/>
        <v>109955.522964157</v>
      </c>
      <c r="FD165" s="77">
        <f t="shared" si="565"/>
        <v>109955.522964157</v>
      </c>
      <c r="FE165" s="77">
        <f t="shared" si="566"/>
        <v>109955.522964157</v>
      </c>
      <c r="FF165" s="77">
        <f t="shared" si="567"/>
        <v>468197.7106860879</v>
      </c>
      <c r="FG165" s="77">
        <f t="shared" si="568"/>
        <v>468197.7106860879</v>
      </c>
      <c r="GO165" s="77">
        <f t="shared" si="527"/>
        <v>336698531.16851658</v>
      </c>
      <c r="GP165" s="77">
        <f t="shared" si="528"/>
        <v>119608925.16827941</v>
      </c>
      <c r="GQ165" s="77">
        <f t="shared" si="529"/>
        <v>-33514443.399475057</v>
      </c>
      <c r="GR165" s="77">
        <f t="shared" si="530"/>
        <v>0</v>
      </c>
      <c r="GS165" s="77">
        <f t="shared" si="569"/>
        <v>33514443.399475049</v>
      </c>
      <c r="GT165" s="77">
        <f t="shared" si="570"/>
        <v>280210477.37423992</v>
      </c>
      <c r="GU165" s="77">
        <f t="shared" si="571"/>
        <v>336698531.16851634</v>
      </c>
      <c r="IC165" s="82">
        <v>173</v>
      </c>
    </row>
    <row r="166" spans="1:237" s="77" customFormat="1">
      <c r="A166" s="77">
        <v>165</v>
      </c>
      <c r="B166" s="69">
        <v>237</v>
      </c>
      <c r="C166" s="69" t="s">
        <v>182</v>
      </c>
      <c r="D166" s="70" t="s">
        <v>186</v>
      </c>
      <c r="E166" s="87">
        <v>1</v>
      </c>
      <c r="F166" s="70">
        <v>7.5063851648965771E-2</v>
      </c>
      <c r="G166" s="70">
        <v>6.0331830000000001E-3</v>
      </c>
      <c r="H166" s="70">
        <v>1.5384615000000001E-2</v>
      </c>
      <c r="I166" s="70">
        <v>2.564102564102564E-2</v>
      </c>
      <c r="J166" s="71">
        <v>2.1751968503937009</v>
      </c>
      <c r="K166" s="72">
        <v>7.5</v>
      </c>
      <c r="L166" s="71">
        <v>5.6000000000000001E-2</v>
      </c>
      <c r="M166" s="71">
        <v>9.4191935483870962E-2</v>
      </c>
      <c r="N166" s="71">
        <v>0.73025806451612907</v>
      </c>
      <c r="O166" s="71">
        <v>0.21064741935483869</v>
      </c>
      <c r="P166" s="71">
        <v>9.2671375492487648E-2</v>
      </c>
      <c r="Q166" s="73" t="s">
        <v>3</v>
      </c>
      <c r="R166" s="74">
        <v>0</v>
      </c>
      <c r="S166" s="75">
        <f t="shared" si="455"/>
        <v>0.41793783814787122</v>
      </c>
      <c r="T166" s="59">
        <f t="shared" si="430"/>
        <v>0.65860371663357153</v>
      </c>
      <c r="U166" s="59">
        <f t="shared" si="431"/>
        <v>0.51183112952636933</v>
      </c>
      <c r="V166" s="59">
        <f t="shared" si="432"/>
        <v>0.85044947045378705</v>
      </c>
      <c r="W166" s="59">
        <f t="shared" si="433"/>
        <v>1.2912916355844877</v>
      </c>
      <c r="X166" s="59">
        <f t="shared" si="434"/>
        <v>1.6615821535528006</v>
      </c>
      <c r="Y166" s="86">
        <v>720612</v>
      </c>
      <c r="Z166" s="57">
        <f t="shared" si="435"/>
        <v>1197356.0388359907</v>
      </c>
      <c r="AA166" s="57">
        <f t="shared" si="436"/>
        <v>930520.24810180883</v>
      </c>
      <c r="AB166" s="57">
        <f t="shared" si="547"/>
        <v>733980.45002360153</v>
      </c>
      <c r="AC166" s="57">
        <f t="shared" si="438"/>
        <v>0.17</v>
      </c>
      <c r="AD166" s="57">
        <f t="shared" si="439"/>
        <v>2.1751968503937009</v>
      </c>
      <c r="AE166" s="57">
        <f t="shared" si="440"/>
        <v>889644</v>
      </c>
      <c r="AF166" s="57">
        <f t="shared" si="441"/>
        <v>260303.52680632047</v>
      </c>
      <c r="AG166" s="57">
        <f t="shared" si="517"/>
        <v>670216.72129548842</v>
      </c>
      <c r="AH166" s="57">
        <f t="shared" si="548"/>
        <v>1226576124.1450415</v>
      </c>
      <c r="AI166" s="57">
        <f t="shared" si="572"/>
        <v>1206569067.6831975</v>
      </c>
      <c r="AJ166" s="77">
        <v>889644</v>
      </c>
      <c r="AK166" s="77">
        <v>31</v>
      </c>
      <c r="AL166" s="78">
        <f t="shared" si="443"/>
        <v>3.0366766601041832</v>
      </c>
      <c r="AM166" s="57">
        <f t="shared" si="444"/>
        <v>1</v>
      </c>
      <c r="AN166" s="57">
        <f t="shared" si="445"/>
        <v>0.8</v>
      </c>
      <c r="AO166" s="77">
        <v>1524</v>
      </c>
      <c r="AP166" s="79">
        <f>5.75*25.4</f>
        <v>146.04999999999998</v>
      </c>
      <c r="AQ166" s="57">
        <f t="shared" si="446"/>
        <v>117.7374159758736</v>
      </c>
      <c r="AR166" s="57">
        <f t="shared" si="549"/>
        <v>1231.9000000000001</v>
      </c>
      <c r="AS166" s="57">
        <f t="shared" si="448"/>
        <v>1406.2625840241265</v>
      </c>
      <c r="AT166" s="77">
        <v>203.2</v>
      </c>
      <c r="AU166" s="77">
        <v>3315</v>
      </c>
      <c r="AV166" s="77">
        <f t="shared" si="449"/>
        <v>309677</v>
      </c>
      <c r="AW166" s="77">
        <v>0</v>
      </c>
      <c r="AX166" s="77">
        <f t="shared" si="450"/>
        <v>309676.79999999999</v>
      </c>
      <c r="AY166" s="77">
        <v>309677</v>
      </c>
      <c r="AZ166" s="77">
        <v>530.9</v>
      </c>
      <c r="BA166" s="77">
        <v>434</v>
      </c>
      <c r="BB166" s="77">
        <v>462</v>
      </c>
      <c r="BC166" s="77">
        <v>482.6</v>
      </c>
      <c r="BD166" s="77">
        <v>4.0000000000000001E-3</v>
      </c>
      <c r="BE166" s="77">
        <v>5.4999999999999997E-3</v>
      </c>
      <c r="BF166" s="77">
        <v>4.9000000000000002E-2</v>
      </c>
      <c r="BG166" s="77">
        <v>1.23E-2</v>
      </c>
      <c r="BH166" s="79">
        <f t="shared" si="555"/>
        <v>127</v>
      </c>
      <c r="BI166" s="79">
        <f t="shared" si="556"/>
        <v>71.255739248085618</v>
      </c>
      <c r="BJ166" s="79">
        <v>2</v>
      </c>
      <c r="BK166" s="57">
        <f t="shared" si="533"/>
        <v>142.51147849617124</v>
      </c>
      <c r="BL166" s="57">
        <f t="shared" si="515"/>
        <v>1001.2883200000001</v>
      </c>
      <c r="BM166" s="80">
        <f t="shared" si="557"/>
        <v>506.7074790974977</v>
      </c>
      <c r="BN166" s="80">
        <v>4</v>
      </c>
      <c r="BO166" s="57">
        <f t="shared" si="550"/>
        <v>2026.8299163899908</v>
      </c>
      <c r="BP166" s="57">
        <f t="shared" si="452"/>
        <v>612844.09380264441</v>
      </c>
      <c r="BQ166" s="77">
        <f t="shared" si="453"/>
        <v>3.6088749766349792E-9</v>
      </c>
      <c r="BR166" s="57">
        <f t="shared" si="520"/>
        <v>2031578170.9557662</v>
      </c>
      <c r="BS166" s="57">
        <v>235.47483195174721</v>
      </c>
      <c r="BT166" s="57">
        <f t="shared" si="456"/>
        <v>212.14411201576968</v>
      </c>
      <c r="BU166" s="57"/>
      <c r="BV166" s="57">
        <v>3.3E-3</v>
      </c>
      <c r="BW166" s="57">
        <v>30000</v>
      </c>
      <c r="BX166" s="57">
        <v>200000</v>
      </c>
      <c r="BY166" s="77">
        <f>27/16*25.4</f>
        <v>42.862499999999997</v>
      </c>
      <c r="BZ166" s="77">
        <f>BY166+4*25.4+3/4*25.4</f>
        <v>163.51249999999999</v>
      </c>
      <c r="CA166" s="77">
        <f>BZ166+11*25.4+9/16*25.4</f>
        <v>457.2</v>
      </c>
      <c r="CB166" s="77">
        <f t="shared" si="558"/>
        <v>762</v>
      </c>
      <c r="CC166" s="77">
        <f t="shared" si="558"/>
        <v>1066.8</v>
      </c>
      <c r="CD166" s="77">
        <f>CC166+11*25.4+9/16*25.4</f>
        <v>1360.4874999999997</v>
      </c>
      <c r="CE166" s="77">
        <f>CD166+4*25.4+3/4*25.4</f>
        <v>1481.1374999999996</v>
      </c>
      <c r="DM166" s="77">
        <f t="shared" si="559"/>
        <v>1013.4149581949954</v>
      </c>
      <c r="DN166" s="77">
        <f t="shared" si="560"/>
        <v>1013.4149581949954</v>
      </c>
      <c r="DO166" s="77">
        <f t="shared" si="561"/>
        <v>253.35373954874885</v>
      </c>
      <c r="DP166" s="77">
        <f t="shared" si="561"/>
        <v>253.35373954874885</v>
      </c>
      <c r="DQ166" s="77">
        <f t="shared" si="561"/>
        <v>253.35373954874885</v>
      </c>
      <c r="DR166" s="77">
        <f t="shared" si="562"/>
        <v>1013.4149581949954</v>
      </c>
      <c r="DS166" s="77">
        <f t="shared" si="563"/>
        <v>1013.4149581949954</v>
      </c>
      <c r="FA166" s="77">
        <f t="shared" si="516"/>
        <v>-468197.7106860879</v>
      </c>
      <c r="FB166" s="77">
        <f t="shared" si="526"/>
        <v>-204405.21814810915</v>
      </c>
      <c r="FC166" s="77">
        <f t="shared" si="564"/>
        <v>109955.522964157</v>
      </c>
      <c r="FD166" s="77">
        <f t="shared" si="565"/>
        <v>109955.522964157</v>
      </c>
      <c r="FE166" s="77">
        <f t="shared" si="566"/>
        <v>109955.522964157</v>
      </c>
      <c r="FF166" s="77">
        <f t="shared" si="567"/>
        <v>468197.7106860879</v>
      </c>
      <c r="FG166" s="77">
        <f t="shared" si="568"/>
        <v>468197.7106860879</v>
      </c>
      <c r="GO166" s="77">
        <f t="shared" si="527"/>
        <v>336698531.16851658</v>
      </c>
      <c r="GP166" s="77">
        <f t="shared" si="528"/>
        <v>122333967.99641646</v>
      </c>
      <c r="GQ166" s="77">
        <f t="shared" si="529"/>
        <v>-33514443.399475057</v>
      </c>
      <c r="GR166" s="77">
        <f t="shared" si="530"/>
        <v>0</v>
      </c>
      <c r="GS166" s="77">
        <f t="shared" si="569"/>
        <v>33514443.399475049</v>
      </c>
      <c r="GT166" s="77">
        <f t="shared" si="570"/>
        <v>280210477.37423992</v>
      </c>
      <c r="GU166" s="77">
        <f t="shared" si="571"/>
        <v>336698531.16851634</v>
      </c>
      <c r="IC166" s="82">
        <v>174</v>
      </c>
    </row>
    <row r="167" spans="1:237" s="77" customFormat="1">
      <c r="A167" s="77">
        <v>166</v>
      </c>
      <c r="B167" s="69">
        <v>238</v>
      </c>
      <c r="C167" s="69" t="s">
        <v>182</v>
      </c>
      <c r="D167" s="70" t="s">
        <v>187</v>
      </c>
      <c r="E167" s="87">
        <v>1</v>
      </c>
      <c r="F167" s="70">
        <v>7.7031314881062254E-2</v>
      </c>
      <c r="G167" s="70">
        <v>6.3348420000000003E-3</v>
      </c>
      <c r="H167" s="70">
        <v>1.5082956E-2</v>
      </c>
      <c r="I167" s="70">
        <v>2.0211161387631977E-2</v>
      </c>
      <c r="J167" s="71">
        <v>2.1751968503937009</v>
      </c>
      <c r="K167" s="72">
        <v>7.5</v>
      </c>
      <c r="L167" s="71">
        <v>5.476340694006309E-2</v>
      </c>
      <c r="M167" s="71">
        <v>7.8960567823343847E-2</v>
      </c>
      <c r="N167" s="71">
        <v>0.72495268138801272</v>
      </c>
      <c r="O167" s="71">
        <v>0</v>
      </c>
      <c r="P167" s="71">
        <v>9.0625004424830194E-2</v>
      </c>
      <c r="Q167" s="73" t="s">
        <v>3</v>
      </c>
      <c r="R167" s="74">
        <v>0</v>
      </c>
      <c r="S167" s="75">
        <f t="shared" si="455"/>
        <v>0.43370750981748057</v>
      </c>
      <c r="T167" s="59">
        <f t="shared" si="430"/>
        <v>0.74569441527379854</v>
      </c>
      <c r="U167" s="59">
        <f t="shared" si="431"/>
        <v>0.58547043893234596</v>
      </c>
      <c r="V167" s="59">
        <f t="shared" si="432"/>
        <v>0.8296194370379002</v>
      </c>
      <c r="W167" s="59">
        <f t="shared" si="433"/>
        <v>1.1125461315588461</v>
      </c>
      <c r="X167" s="59">
        <f t="shared" si="434"/>
        <v>1.4170133654412684</v>
      </c>
      <c r="Y167" s="86">
        <v>756198</v>
      </c>
      <c r="Z167" s="57">
        <f t="shared" si="435"/>
        <v>1071542.6729199563</v>
      </c>
      <c r="AA167" s="57">
        <f t="shared" si="436"/>
        <v>841305.15959253628</v>
      </c>
      <c r="AB167" s="57">
        <f t="shared" si="547"/>
        <v>674709.2483843345</v>
      </c>
      <c r="AC167" s="57">
        <f t="shared" si="438"/>
        <v>0.17</v>
      </c>
      <c r="AD167" s="57">
        <f t="shared" si="439"/>
        <v>2.1751968503937009</v>
      </c>
      <c r="AE167" s="57">
        <f t="shared" si="440"/>
        <v>889644</v>
      </c>
      <c r="AF167" s="57">
        <f t="shared" si="441"/>
        <v>263911.1102159553</v>
      </c>
      <c r="AG167" s="57">
        <f t="shared" si="517"/>
        <v>577394.04937658098</v>
      </c>
      <c r="AH167" s="57">
        <f t="shared" si="548"/>
        <v>998462391.53553236</v>
      </c>
      <c r="AI167" s="57">
        <f t="shared" si="572"/>
        <v>1238198766.8585365</v>
      </c>
      <c r="AJ167" s="77">
        <v>889644</v>
      </c>
      <c r="AK167" s="77">
        <v>31.7</v>
      </c>
      <c r="AL167" s="78">
        <f t="shared" si="443"/>
        <v>3.0742006785745049</v>
      </c>
      <c r="AM167" s="57">
        <f t="shared" si="444"/>
        <v>1</v>
      </c>
      <c r="AN167" s="57">
        <f t="shared" si="445"/>
        <v>0.8</v>
      </c>
      <c r="AO167" s="77">
        <v>1524</v>
      </c>
      <c r="AP167" s="79">
        <f>4.5*25.4</f>
        <v>114.3</v>
      </c>
      <c r="AQ167" s="57">
        <f t="shared" si="446"/>
        <v>110.71627925019303</v>
      </c>
      <c r="AR167" s="57">
        <f t="shared" si="549"/>
        <v>1295.4000000000001</v>
      </c>
      <c r="AS167" s="57">
        <f t="shared" si="448"/>
        <v>1413.2837207498069</v>
      </c>
      <c r="AT167" s="77">
        <v>203.2</v>
      </c>
      <c r="AU167" s="77">
        <v>3315</v>
      </c>
      <c r="AV167" s="77">
        <f t="shared" si="449"/>
        <v>309677</v>
      </c>
      <c r="AW167" s="77">
        <v>0</v>
      </c>
      <c r="AX167" s="77">
        <f t="shared" si="450"/>
        <v>309676.79999999999</v>
      </c>
      <c r="AY167" s="77">
        <v>309677</v>
      </c>
      <c r="AZ167" s="77">
        <v>455.1</v>
      </c>
      <c r="BA167" s="77">
        <v>434</v>
      </c>
      <c r="BB167" s="77">
        <v>469</v>
      </c>
      <c r="BC167" s="77">
        <v>0</v>
      </c>
      <c r="BD167" s="77">
        <v>4.0000000000000001E-3</v>
      </c>
      <c r="BE167" s="77">
        <v>5.4999999999999997E-3</v>
      </c>
      <c r="BF167" s="77">
        <v>4.9000000000000002E-2</v>
      </c>
      <c r="BG167" s="77">
        <v>0</v>
      </c>
      <c r="BH167" s="79">
        <f t="shared" si="555"/>
        <v>127</v>
      </c>
      <c r="BI167" s="79">
        <f t="shared" si="556"/>
        <v>71.255739248085618</v>
      </c>
      <c r="BJ167" s="79">
        <v>2</v>
      </c>
      <c r="BK167" s="57">
        <f t="shared" si="533"/>
        <v>142.51147849617124</v>
      </c>
      <c r="BL167" s="57">
        <f t="shared" si="515"/>
        <v>1052.90112</v>
      </c>
      <c r="BM167" s="80">
        <f t="shared" si="557"/>
        <v>506.7074790974977</v>
      </c>
      <c r="BN167" s="80">
        <v>4</v>
      </c>
      <c r="BO167" s="57">
        <f t="shared" si="550"/>
        <v>2026.8299163899908</v>
      </c>
      <c r="BP167" s="57">
        <f t="shared" si="452"/>
        <v>627356.55904918606</v>
      </c>
      <c r="BQ167" s="77">
        <f t="shared" si="453"/>
        <v>1.6298145055770874E-9</v>
      </c>
      <c r="BR167" s="57">
        <f t="shared" si="520"/>
        <v>2079686993.2480519</v>
      </c>
      <c r="BS167" s="57">
        <v>221.43255850038605</v>
      </c>
      <c r="BT167" s="57">
        <f t="shared" si="456"/>
        <v>206.23526829890432</v>
      </c>
      <c r="BU167" s="57"/>
      <c r="BV167" s="57">
        <v>3.3E-3</v>
      </c>
      <c r="BW167" s="57">
        <v>30000</v>
      </c>
      <c r="BX167" s="57">
        <v>200000</v>
      </c>
      <c r="BY167" s="77">
        <f>55/32*25.4</f>
        <v>43.65625</v>
      </c>
      <c r="BZ167" s="77">
        <f>BY167+3*25.4+1/2*25.4</f>
        <v>132.55624999999998</v>
      </c>
      <c r="CA167" s="77">
        <f>BZ167+12*25.4+3/4*25.4</f>
        <v>456.40624999999994</v>
      </c>
      <c r="CB167" s="77">
        <f t="shared" si="558"/>
        <v>761.20624999999995</v>
      </c>
      <c r="CC167" s="77">
        <f t="shared" si="558"/>
        <v>1066.0062499999999</v>
      </c>
      <c r="CD167" s="77">
        <f>CC167+12*25.4+13/16*25.4</f>
        <v>1391.4437499999999</v>
      </c>
      <c r="CE167" s="77">
        <f>CD167+3*25.4+1/2*25.4</f>
        <v>1480.34375</v>
      </c>
      <c r="DM167" s="77">
        <f t="shared" si="559"/>
        <v>1013.4149581949954</v>
      </c>
      <c r="DN167" s="77">
        <f t="shared" si="560"/>
        <v>1013.4149581949954</v>
      </c>
      <c r="DO167" s="77">
        <f t="shared" si="561"/>
        <v>253.35373954874885</v>
      </c>
      <c r="DP167" s="77">
        <f t="shared" si="561"/>
        <v>253.35373954874885</v>
      </c>
      <c r="DQ167" s="77">
        <f t="shared" si="561"/>
        <v>253.35373954874885</v>
      </c>
      <c r="DR167" s="77">
        <f t="shared" si="562"/>
        <v>1013.4149581949954</v>
      </c>
      <c r="DS167" s="77">
        <f t="shared" si="563"/>
        <v>1013.4149581949954</v>
      </c>
      <c r="FA167" s="77">
        <f t="shared" si="516"/>
        <v>-475291.61539345281</v>
      </c>
      <c r="FB167" s="77">
        <f t="shared" si="526"/>
        <v>-268457.64465919574</v>
      </c>
      <c r="FC167" s="77">
        <f t="shared" si="564"/>
        <v>109955.522964157</v>
      </c>
      <c r="FD167" s="77">
        <f t="shared" si="565"/>
        <v>109955.522964157</v>
      </c>
      <c r="FE167" s="77">
        <f t="shared" si="566"/>
        <v>109955.522964157</v>
      </c>
      <c r="FF167" s="77">
        <f t="shared" si="567"/>
        <v>475291.61539345281</v>
      </c>
      <c r="FG167" s="77">
        <f t="shared" si="568"/>
        <v>475291.61539345281</v>
      </c>
      <c r="GO167" s="77">
        <f t="shared" si="527"/>
        <v>341422761.3452906</v>
      </c>
      <c r="GP167" s="77">
        <f t="shared" si="528"/>
        <v>168978986.57045165</v>
      </c>
      <c r="GQ167" s="77">
        <f t="shared" si="529"/>
        <v>-33601720.595827863</v>
      </c>
      <c r="GR167" s="77">
        <f t="shared" si="530"/>
        <v>-87277.196352804618</v>
      </c>
      <c r="GS167" s="77">
        <f t="shared" si="569"/>
        <v>33427166.203122247</v>
      </c>
      <c r="GT167" s="77">
        <f t="shared" si="570"/>
        <v>299169336.73681259</v>
      </c>
      <c r="GU167" s="77">
        <f t="shared" si="571"/>
        <v>341422761.3452906</v>
      </c>
      <c r="IC167" s="82">
        <v>175</v>
      </c>
    </row>
    <row r="168" spans="1:237" s="77" customFormat="1">
      <c r="A168" s="77">
        <v>167</v>
      </c>
      <c r="B168" s="69">
        <v>239</v>
      </c>
      <c r="C168" s="69" t="s">
        <v>237</v>
      </c>
      <c r="D168" s="70" t="s">
        <v>25</v>
      </c>
      <c r="E168" s="70">
        <v>1</v>
      </c>
      <c r="F168" s="70">
        <v>7.8105590062111804E-2</v>
      </c>
      <c r="G168" s="70">
        <v>4.6666670000000002E-3</v>
      </c>
      <c r="H168" s="70">
        <v>6.6666670000000003E-3</v>
      </c>
      <c r="I168" s="70">
        <v>2.1333333333333333E-2</v>
      </c>
      <c r="J168" s="71">
        <v>2.1428571428571428</v>
      </c>
      <c r="K168" s="72">
        <v>7</v>
      </c>
      <c r="L168" s="71">
        <v>5.552989130434783E-2</v>
      </c>
      <c r="M168" s="71">
        <v>8.3709239130434779E-2</v>
      </c>
      <c r="N168" s="71">
        <v>9.6847826086956537E-2</v>
      </c>
      <c r="O168" s="71">
        <v>0.99456521739130443</v>
      </c>
      <c r="P168" s="71">
        <v>0.19369565217391305</v>
      </c>
      <c r="Q168" s="73" t="s">
        <v>3</v>
      </c>
      <c r="R168" s="74">
        <v>0</v>
      </c>
      <c r="S168" s="75">
        <f t="shared" si="455"/>
        <v>0.47381196874011555</v>
      </c>
      <c r="T168" s="59">
        <f t="shared" si="430"/>
        <v>0.86532736469795257</v>
      </c>
      <c r="U168" s="59">
        <f t="shared" si="431"/>
        <v>0.69635360431082771</v>
      </c>
      <c r="V168" s="59">
        <f t="shared" si="432"/>
        <v>0.9961593531823878</v>
      </c>
      <c r="W168" s="59">
        <f t="shared" si="433"/>
        <v>1.1511936335563626</v>
      </c>
      <c r="X168" s="59">
        <f t="shared" si="434"/>
        <v>1.4305366512294768</v>
      </c>
      <c r="Y168" s="86">
        <v>201200</v>
      </c>
      <c r="Z168" s="57">
        <f t="shared" si="435"/>
        <v>287823.97422737075</v>
      </c>
      <c r="AA168" s="57">
        <f t="shared" si="436"/>
        <v>231620.15907154017</v>
      </c>
      <c r="AB168" s="57">
        <f t="shared" si="547"/>
        <v>227475.72053381812</v>
      </c>
      <c r="AC168" s="57">
        <f t="shared" si="438"/>
        <v>0.17</v>
      </c>
      <c r="AD168" s="57">
        <f t="shared" si="439"/>
        <v>2.1428571428571428</v>
      </c>
      <c r="AE168" s="57">
        <f t="shared" si="440"/>
        <v>498960</v>
      </c>
      <c r="AF168" s="57">
        <f t="shared" si="441"/>
        <v>80445.756204631121</v>
      </c>
      <c r="AG168" s="57">
        <f t="shared" si="517"/>
        <v>151174.40286690905</v>
      </c>
      <c r="AH168" s="57">
        <f t="shared" si="548"/>
        <v>208396528.75425646</v>
      </c>
      <c r="AI168" s="57">
        <f t="shared" si="572"/>
        <v>132817052.04647072</v>
      </c>
      <c r="AJ168" s="77">
        <v>498960</v>
      </c>
      <c r="AK168" s="77">
        <v>36.799999999999997</v>
      </c>
      <c r="AL168" s="78">
        <f t="shared" si="443"/>
        <v>3.337074636616824</v>
      </c>
      <c r="AM168" s="57">
        <f t="shared" si="444"/>
        <v>1</v>
      </c>
      <c r="AN168" s="57">
        <f t="shared" si="445"/>
        <v>0.8</v>
      </c>
      <c r="AO168" s="77">
        <v>700</v>
      </c>
      <c r="AP168" s="79">
        <v>100</v>
      </c>
      <c r="AQ168" s="57">
        <f t="shared" si="446"/>
        <v>83.705084906911694</v>
      </c>
      <c r="AR168" s="57">
        <f t="shared" si="549"/>
        <v>500</v>
      </c>
      <c r="AS168" s="57">
        <f t="shared" si="448"/>
        <v>616.29491509308832</v>
      </c>
      <c r="AT168" s="77">
        <v>100</v>
      </c>
      <c r="AU168" s="77">
        <v>1500</v>
      </c>
      <c r="AV168" s="77">
        <f t="shared" si="449"/>
        <v>70000</v>
      </c>
      <c r="AW168" s="77">
        <v>0</v>
      </c>
      <c r="AX168" s="77">
        <f t="shared" si="450"/>
        <v>70000</v>
      </c>
      <c r="AY168" s="77">
        <v>70000</v>
      </c>
      <c r="AZ168" s="77">
        <v>305</v>
      </c>
      <c r="BA168" s="77">
        <v>305</v>
      </c>
      <c r="BB168" s="77">
        <v>405</v>
      </c>
      <c r="BC168" s="77">
        <v>366</v>
      </c>
      <c r="BD168" s="77">
        <v>6.7000000000000002E-3</v>
      </c>
      <c r="BE168" s="77">
        <v>1.01E-2</v>
      </c>
      <c r="BF168" s="77">
        <v>8.8000000000000005E-3</v>
      </c>
      <c r="BG168" s="77">
        <f>PI()*6*6*2/(4*100*50)</f>
        <v>1.1309733552923255E-2</v>
      </c>
      <c r="BH168" s="79">
        <v>100</v>
      </c>
      <c r="BI168" s="79">
        <f>PI()*8*8/4</f>
        <v>50.26548245743669</v>
      </c>
      <c r="BJ168" s="79">
        <v>2</v>
      </c>
      <c r="BK168" s="57">
        <f t="shared" si="533"/>
        <v>100.53096491487338</v>
      </c>
      <c r="BL168" s="57">
        <f t="shared" si="515"/>
        <v>335</v>
      </c>
      <c r="BM168" s="80">
        <f>PI()*14*14/4</f>
        <v>153.93804002589985</v>
      </c>
      <c r="BN168" s="80">
        <v>4</v>
      </c>
      <c r="BO168" s="57">
        <f t="shared" si="550"/>
        <v>615.75216010359941</v>
      </c>
      <c r="BP168" s="57">
        <f t="shared" si="452"/>
        <v>200427.26186029642</v>
      </c>
      <c r="BQ168" s="77">
        <f t="shared" si="453"/>
        <v>1.280568540096283E-9</v>
      </c>
      <c r="BR168" s="57">
        <f t="shared" si="520"/>
        <v>300640892.79044461</v>
      </c>
      <c r="BS168" s="57">
        <v>167.41016981382339</v>
      </c>
      <c r="BT168" s="57">
        <f t="shared" si="456"/>
        <v>210.94899531658322</v>
      </c>
      <c r="BU168" s="57"/>
      <c r="BV168" s="57">
        <v>3.3E-3</v>
      </c>
      <c r="BW168" s="57">
        <v>30000</v>
      </c>
      <c r="BX168" s="57">
        <v>200000</v>
      </c>
      <c r="BY168" s="77">
        <f>20</f>
        <v>20</v>
      </c>
      <c r="BZ168" s="77">
        <f>BY168+80</f>
        <v>100</v>
      </c>
      <c r="CA168" s="77">
        <f>BZ168+100</f>
        <v>200</v>
      </c>
      <c r="CB168" s="77">
        <f t="shared" ref="CB168:CC171" si="573">CA168+150</f>
        <v>350</v>
      </c>
      <c r="CC168" s="77">
        <f t="shared" si="573"/>
        <v>500</v>
      </c>
      <c r="CD168" s="77">
        <f>CC168+100</f>
        <v>600</v>
      </c>
      <c r="CE168" s="77">
        <f>CD168+80</f>
        <v>680</v>
      </c>
      <c r="DM168" s="77">
        <f>PI()*14*14/4*2</f>
        <v>307.8760800517997</v>
      </c>
      <c r="DN168" s="77">
        <f>PI()*14*14/4*2</f>
        <v>307.8760800517997</v>
      </c>
      <c r="DO168" s="77">
        <f t="shared" ref="DO168:DQ177" si="574">PI()*8*8/4*2</f>
        <v>100.53096491487338</v>
      </c>
      <c r="DP168" s="77">
        <f t="shared" si="574"/>
        <v>100.53096491487338</v>
      </c>
      <c r="DQ168" s="77">
        <f t="shared" si="574"/>
        <v>100.53096491487338</v>
      </c>
      <c r="DR168" s="77">
        <f>PI()*14*14/4*2</f>
        <v>307.8760800517997</v>
      </c>
      <c r="DS168" s="77">
        <f>PI()*14*14/4*2</f>
        <v>307.8760800517997</v>
      </c>
      <c r="FA168" s="77">
        <f t="shared" si="516"/>
        <v>-124689.81242097888</v>
      </c>
      <c r="FB168" s="77">
        <f t="shared" si="526"/>
        <v>-81820.752277183259</v>
      </c>
      <c r="FC168" s="77">
        <f t="shared" si="564"/>
        <v>12916.476173002866</v>
      </c>
      <c r="FD168" s="77">
        <f t="shared" si="565"/>
        <v>30661.944299036382</v>
      </c>
      <c r="FE168" s="77">
        <f t="shared" si="566"/>
        <v>30661.944299036382</v>
      </c>
      <c r="FF168" s="77">
        <f t="shared" si="567"/>
        <v>124689.81242097888</v>
      </c>
      <c r="FG168" s="77">
        <f t="shared" si="568"/>
        <v>124689.81242097888</v>
      </c>
      <c r="GO168" s="77">
        <f t="shared" si="527"/>
        <v>41147638.098923028</v>
      </c>
      <c r="GP168" s="77">
        <f t="shared" si="528"/>
        <v>20455188.069295816</v>
      </c>
      <c r="GQ168" s="77">
        <f t="shared" si="529"/>
        <v>-1937471.4259504299</v>
      </c>
      <c r="GR168" s="77">
        <f t="shared" si="530"/>
        <v>0</v>
      </c>
      <c r="GS168" s="77">
        <f t="shared" si="569"/>
        <v>4599291.6448554574</v>
      </c>
      <c r="GT168" s="77">
        <f t="shared" si="570"/>
        <v>31172453.105244718</v>
      </c>
      <c r="GU168" s="77">
        <f t="shared" si="571"/>
        <v>41147638.098923028</v>
      </c>
      <c r="IC168" s="82">
        <v>176</v>
      </c>
    </row>
    <row r="169" spans="1:237" s="77" customFormat="1">
      <c r="A169" s="77">
        <v>168</v>
      </c>
      <c r="B169" s="69">
        <v>240</v>
      </c>
      <c r="C169" s="69" t="s">
        <v>237</v>
      </c>
      <c r="D169" s="70" t="s">
        <v>26</v>
      </c>
      <c r="E169" s="70">
        <v>1</v>
      </c>
      <c r="F169" s="70">
        <v>7.9601990049751242E-2</v>
      </c>
      <c r="G169" s="70">
        <v>3.333333E-3</v>
      </c>
      <c r="H169" s="70">
        <v>7.333333E-3</v>
      </c>
      <c r="I169" s="70">
        <v>1.5333333333333332E-2</v>
      </c>
      <c r="J169" s="71">
        <v>2.1428571428571428</v>
      </c>
      <c r="K169" s="72">
        <v>7</v>
      </c>
      <c r="L169" s="71">
        <v>5.0833333333333328E-2</v>
      </c>
      <c r="M169" s="71">
        <v>7.6629353233830841E-2</v>
      </c>
      <c r="N169" s="71">
        <v>6.9850746268656713E-2</v>
      </c>
      <c r="O169" s="71">
        <v>0.91044776119402981</v>
      </c>
      <c r="P169" s="71">
        <v>0.27860696517412931</v>
      </c>
      <c r="Q169" s="73" t="s">
        <v>3</v>
      </c>
      <c r="R169" s="74">
        <v>0</v>
      </c>
      <c r="S169" s="75">
        <f t="shared" si="455"/>
        <v>0.50470423830120936</v>
      </c>
      <c r="T169" s="59">
        <f t="shared" si="430"/>
        <v>0.93399211055473275</v>
      </c>
      <c r="U169" s="59">
        <f t="shared" si="431"/>
        <v>0.73850423625569062</v>
      </c>
      <c r="V169" s="59">
        <f t="shared" si="432"/>
        <v>0.95967679037213827</v>
      </c>
      <c r="W169" s="59">
        <f t="shared" si="433"/>
        <v>1.0274998894820968</v>
      </c>
      <c r="X169" s="59">
        <f t="shared" si="434"/>
        <v>1.2994871840381315</v>
      </c>
      <c r="Y169" s="86">
        <v>224000</v>
      </c>
      <c r="Z169" s="57">
        <f t="shared" si="435"/>
        <v>291085.12922454142</v>
      </c>
      <c r="AA169" s="57">
        <f t="shared" si="436"/>
        <v>230159.9752439897</v>
      </c>
      <c r="AB169" s="57">
        <f t="shared" si="547"/>
        <v>207780.17920035255</v>
      </c>
      <c r="AC169" s="57">
        <f t="shared" si="438"/>
        <v>0.17</v>
      </c>
      <c r="AD169" s="57">
        <f t="shared" si="439"/>
        <v>2.1428571428571428</v>
      </c>
      <c r="AE169" s="57">
        <f t="shared" si="440"/>
        <v>562800</v>
      </c>
      <c r="AF169" s="57">
        <f t="shared" si="441"/>
        <v>84802.733063321444</v>
      </c>
      <c r="AG169" s="57">
        <f t="shared" si="517"/>
        <v>145357.24218066825</v>
      </c>
      <c r="AH169" s="57">
        <f t="shared" si="548"/>
        <v>216854380.61142695</v>
      </c>
      <c r="AI169" s="57">
        <f t="shared" si="572"/>
        <v>94815888.189101875</v>
      </c>
      <c r="AJ169" s="77">
        <v>784000</v>
      </c>
      <c r="AK169" s="77">
        <v>40.200000000000003</v>
      </c>
      <c r="AL169" s="78">
        <f t="shared" si="443"/>
        <v>3.5032727346966546</v>
      </c>
      <c r="AM169" s="57">
        <f t="shared" si="444"/>
        <v>0.99421052631578943</v>
      </c>
      <c r="AN169" s="57">
        <f t="shared" si="445"/>
        <v>0.79421052631578948</v>
      </c>
      <c r="AO169" s="77">
        <v>700</v>
      </c>
      <c r="AP169" s="79">
        <v>100</v>
      </c>
      <c r="AQ169" s="57">
        <f t="shared" si="446"/>
        <v>107.4199895681581</v>
      </c>
      <c r="AR169" s="57">
        <f t="shared" si="549"/>
        <v>500</v>
      </c>
      <c r="AS169" s="57">
        <f t="shared" si="448"/>
        <v>592.58001043184186</v>
      </c>
      <c r="AT169" s="77">
        <v>100</v>
      </c>
      <c r="AU169" s="77">
        <v>1500</v>
      </c>
      <c r="AV169" s="77">
        <f t="shared" si="449"/>
        <v>70000</v>
      </c>
      <c r="AW169" s="77">
        <v>0</v>
      </c>
      <c r="AX169" s="77">
        <f t="shared" si="450"/>
        <v>70000</v>
      </c>
      <c r="AY169" s="77">
        <v>70000</v>
      </c>
      <c r="AZ169" s="77">
        <v>305</v>
      </c>
      <c r="BA169" s="77">
        <v>305</v>
      </c>
      <c r="BB169" s="77">
        <v>432</v>
      </c>
      <c r="BC169" s="77">
        <v>366</v>
      </c>
      <c r="BD169" s="77">
        <v>6.7000000000000002E-3</v>
      </c>
      <c r="BE169" s="77">
        <v>1.01E-2</v>
      </c>
      <c r="BF169" s="77">
        <v>6.4999999999999997E-3</v>
      </c>
      <c r="BG169" s="77">
        <f>PI()*6*6*2/(4*100*50)</f>
        <v>1.1309733552923255E-2</v>
      </c>
      <c r="BH169" s="79">
        <v>100</v>
      </c>
      <c r="BI169" s="79">
        <f>PI()*8*8/4</f>
        <v>50.26548245743669</v>
      </c>
      <c r="BJ169" s="79">
        <v>2</v>
      </c>
      <c r="BK169" s="57">
        <f t="shared" si="533"/>
        <v>100.53096491487338</v>
      </c>
      <c r="BL169" s="57">
        <f t="shared" si="515"/>
        <v>335</v>
      </c>
      <c r="BM169" s="80">
        <f>PI()*12*12/4</f>
        <v>113.09733552923255</v>
      </c>
      <c r="BN169" s="80">
        <v>4</v>
      </c>
      <c r="BO169" s="57">
        <f t="shared" si="550"/>
        <v>452.38934211693021</v>
      </c>
      <c r="BP169" s="57">
        <f t="shared" si="452"/>
        <v>214967.60104335897</v>
      </c>
      <c r="BQ169" s="77">
        <f t="shared" si="453"/>
        <v>1.1932570487260818E-9</v>
      </c>
      <c r="BR169" s="57">
        <f t="shared" si="520"/>
        <v>322451401.56503844</v>
      </c>
      <c r="BS169" s="57">
        <v>214.8399791363162</v>
      </c>
      <c r="BT169" s="57">
        <f t="shared" si="456"/>
        <v>223.74605272820739</v>
      </c>
      <c r="BU169" s="57"/>
      <c r="BV169" s="57">
        <v>3.3E-3</v>
      </c>
      <c r="BW169" s="57">
        <v>30000</v>
      </c>
      <c r="BX169" s="57">
        <v>200000</v>
      </c>
      <c r="BY169" s="77">
        <f>20</f>
        <v>20</v>
      </c>
      <c r="BZ169" s="77">
        <f>BY169+80</f>
        <v>100</v>
      </c>
      <c r="CA169" s="77">
        <f>BZ169+100</f>
        <v>200</v>
      </c>
      <c r="CB169" s="77">
        <f t="shared" si="573"/>
        <v>350</v>
      </c>
      <c r="CC169" s="77">
        <f t="shared" si="573"/>
        <v>500</v>
      </c>
      <c r="CD169" s="77">
        <f>CC169+100</f>
        <v>600</v>
      </c>
      <c r="CE169" s="77">
        <f>CD169+80</f>
        <v>680</v>
      </c>
      <c r="DM169" s="77">
        <f>PI()*12*12/4*2</f>
        <v>226.1946710584651</v>
      </c>
      <c r="DN169" s="77">
        <f>PI()*12*12/4*2</f>
        <v>226.1946710584651</v>
      </c>
      <c r="DO169" s="77">
        <f t="shared" si="574"/>
        <v>100.53096491487338</v>
      </c>
      <c r="DP169" s="77">
        <f t="shared" si="574"/>
        <v>100.53096491487338</v>
      </c>
      <c r="DQ169" s="77">
        <f t="shared" si="574"/>
        <v>100.53096491487338</v>
      </c>
      <c r="DR169" s="77">
        <f>PI()*12*12/4*2</f>
        <v>226.1946710584651</v>
      </c>
      <c r="DS169" s="77">
        <f>PI()*12*12/4*2</f>
        <v>226.1946710584651</v>
      </c>
      <c r="FA169" s="77">
        <f t="shared" si="516"/>
        <v>-97716.097897256928</v>
      </c>
      <c r="FB169" s="77">
        <f t="shared" si="526"/>
        <v>-79800.260316018554</v>
      </c>
      <c r="FC169" s="77">
        <f t="shared" si="564"/>
        <v>-4583.1278815333853</v>
      </c>
      <c r="FD169" s="77">
        <f t="shared" si="565"/>
        <v>30661.944299036382</v>
      </c>
      <c r="FE169" s="77">
        <f t="shared" si="566"/>
        <v>30661.944299036382</v>
      </c>
      <c r="FF169" s="77">
        <f t="shared" si="567"/>
        <v>97716.097897256928</v>
      </c>
      <c r="FG169" s="77">
        <f t="shared" si="568"/>
        <v>97716.097897256928</v>
      </c>
      <c r="GO169" s="77">
        <f t="shared" si="527"/>
        <v>32246312.306094788</v>
      </c>
      <c r="GP169" s="77">
        <f t="shared" si="528"/>
        <v>19950065.079004638</v>
      </c>
      <c r="GQ169" s="77">
        <f t="shared" si="529"/>
        <v>687469.18223000783</v>
      </c>
      <c r="GR169" s="77">
        <f t="shared" si="530"/>
        <v>0</v>
      </c>
      <c r="GS169" s="77">
        <f t="shared" si="569"/>
        <v>4599291.6448554574</v>
      </c>
      <c r="GT169" s="77">
        <f t="shared" si="570"/>
        <v>24429024.474314231</v>
      </c>
      <c r="GU169" s="77">
        <f t="shared" si="571"/>
        <v>32246312.306094788</v>
      </c>
      <c r="IC169" s="82">
        <v>177</v>
      </c>
    </row>
    <row r="170" spans="1:237" s="77" customFormat="1">
      <c r="A170" s="77">
        <v>169</v>
      </c>
      <c r="B170" s="69">
        <v>241</v>
      </c>
      <c r="C170" s="69" t="s">
        <v>237</v>
      </c>
      <c r="D170" s="70" t="s">
        <v>27</v>
      </c>
      <c r="E170" s="70">
        <v>1</v>
      </c>
      <c r="F170" s="70">
        <v>0.10059661915810407</v>
      </c>
      <c r="G170" s="70">
        <v>4.6666670000000002E-3</v>
      </c>
      <c r="H170" s="70">
        <v>0.01</v>
      </c>
      <c r="I170" s="70">
        <v>0.02</v>
      </c>
      <c r="J170" s="71">
        <v>2.1428571428571428</v>
      </c>
      <c r="K170" s="72">
        <v>7</v>
      </c>
      <c r="L170" s="71">
        <v>4.7412993039443151E-2</v>
      </c>
      <c r="M170" s="71">
        <v>7.1473317865429223E-2</v>
      </c>
      <c r="N170" s="71">
        <v>0.15661252900232017</v>
      </c>
      <c r="O170" s="71">
        <v>0.56612529002320189</v>
      </c>
      <c r="P170" s="71">
        <v>0.19712296983758701</v>
      </c>
      <c r="Q170" s="73" t="s">
        <v>3</v>
      </c>
      <c r="R170" s="74">
        <v>0</v>
      </c>
      <c r="S170" s="75">
        <f t="shared" si="455"/>
        <v>0.66042274247511434</v>
      </c>
      <c r="T170" s="59">
        <f t="shared" si="430"/>
        <v>0.97000800386918917</v>
      </c>
      <c r="U170" s="59">
        <f t="shared" si="431"/>
        <v>0.95857644265398201</v>
      </c>
      <c r="V170" s="59">
        <f t="shared" si="432"/>
        <v>0.99591734547192545</v>
      </c>
      <c r="W170" s="59">
        <f t="shared" si="433"/>
        <v>1.0267104410472785</v>
      </c>
      <c r="X170" s="59">
        <f t="shared" si="434"/>
        <v>1.0389545383720873</v>
      </c>
      <c r="Y170" s="86">
        <v>303500</v>
      </c>
      <c r="Z170" s="57">
        <f t="shared" si="435"/>
        <v>315322.7023959285</v>
      </c>
      <c r="AA170" s="57">
        <f t="shared" si="436"/>
        <v>311606.61885784904</v>
      </c>
      <c r="AB170" s="57">
        <f t="shared" si="547"/>
        <v>325943.56885788526</v>
      </c>
      <c r="AC170" s="57">
        <f t="shared" si="438"/>
        <v>0.17</v>
      </c>
      <c r="AD170" s="57">
        <f t="shared" si="439"/>
        <v>2.1428571428571428</v>
      </c>
      <c r="AE170" s="57">
        <f t="shared" si="440"/>
        <v>594720</v>
      </c>
      <c r="AF170" s="57">
        <f t="shared" si="441"/>
        <v>90636.232503511681</v>
      </c>
      <c r="AG170" s="57">
        <f t="shared" si="517"/>
        <v>220970.38635433739</v>
      </c>
      <c r="AH170" s="57">
        <f t="shared" si="548"/>
        <v>239908502.53449595</v>
      </c>
      <c r="AI170" s="57">
        <f t="shared" si="572"/>
        <v>249006850.75233197</v>
      </c>
      <c r="AJ170" s="77">
        <v>594720</v>
      </c>
      <c r="AK170" s="77">
        <v>43.1</v>
      </c>
      <c r="AL170" s="78">
        <f t="shared" si="443"/>
        <v>3.6400899739645456</v>
      </c>
      <c r="AM170" s="57">
        <f t="shared" si="444"/>
        <v>0.986578947368421</v>
      </c>
      <c r="AN170" s="57">
        <f t="shared" si="445"/>
        <v>0.78657894736842104</v>
      </c>
      <c r="AO170" s="77">
        <v>700</v>
      </c>
      <c r="AP170" s="79">
        <v>100</v>
      </c>
      <c r="AQ170" s="57">
        <f t="shared" si="446"/>
        <v>85.795525593470188</v>
      </c>
      <c r="AR170" s="57">
        <f t="shared" si="549"/>
        <v>500</v>
      </c>
      <c r="AS170" s="57">
        <f t="shared" si="448"/>
        <v>614.20447440652981</v>
      </c>
      <c r="AT170" s="77">
        <v>100</v>
      </c>
      <c r="AU170" s="77">
        <v>1500</v>
      </c>
      <c r="AV170" s="77">
        <f t="shared" si="449"/>
        <v>70000</v>
      </c>
      <c r="AW170" s="77">
        <v>0</v>
      </c>
      <c r="AX170" s="77">
        <f t="shared" si="450"/>
        <v>70000</v>
      </c>
      <c r="AY170" s="77">
        <v>70000</v>
      </c>
      <c r="AZ170" s="77">
        <f>(305+366)/2</f>
        <v>335.5</v>
      </c>
      <c r="BA170" s="77">
        <v>305</v>
      </c>
      <c r="BB170" s="77">
        <v>375</v>
      </c>
      <c r="BC170" s="77">
        <v>366</v>
      </c>
      <c r="BD170" s="77">
        <v>6.7000000000000002E-3</v>
      </c>
      <c r="BE170" s="77">
        <v>1.01E-2</v>
      </c>
      <c r="BF170" s="77">
        <v>1.7999999999999999E-2</v>
      </c>
      <c r="BG170" s="77">
        <f>PI()*6*6*2/(4*100*75)</f>
        <v>7.5398223686155034E-3</v>
      </c>
      <c r="BH170" s="79">
        <v>75</v>
      </c>
      <c r="BI170" s="79">
        <f>PI()*8*8/4</f>
        <v>50.26548245743669</v>
      </c>
      <c r="BJ170" s="79">
        <v>2</v>
      </c>
      <c r="BK170" s="57">
        <f t="shared" si="533"/>
        <v>100.53096491487338</v>
      </c>
      <c r="BL170" s="57">
        <f t="shared" si="515"/>
        <v>335</v>
      </c>
      <c r="BM170" s="80">
        <f>PI()*20*20/4</f>
        <v>314.15926535897933</v>
      </c>
      <c r="BN170" s="80">
        <v>4</v>
      </c>
      <c r="BO170" s="57">
        <f t="shared" si="550"/>
        <v>1256.6370614359173</v>
      </c>
      <c r="BP170" s="57">
        <f t="shared" si="452"/>
        <v>302260.91435072938</v>
      </c>
      <c r="BQ170" s="77">
        <f t="shared" si="453"/>
        <v>4.71482053399086E-9</v>
      </c>
      <c r="BR170" s="57">
        <f t="shared" si="520"/>
        <v>453391371.52609408</v>
      </c>
      <c r="BS170" s="57">
        <v>171.59105118694038</v>
      </c>
      <c r="BT170" s="57">
        <f t="shared" si="456"/>
        <v>226.25638845763152</v>
      </c>
      <c r="BU170" s="57"/>
      <c r="BV170" s="57">
        <v>3.3E-3</v>
      </c>
      <c r="BW170" s="57">
        <v>30000</v>
      </c>
      <c r="BX170" s="57">
        <v>200000</v>
      </c>
      <c r="BY170" s="77">
        <f>20</f>
        <v>20</v>
      </c>
      <c r="BZ170" s="77">
        <f>BY170+80</f>
        <v>100</v>
      </c>
      <c r="CA170" s="77">
        <f>BZ170+100</f>
        <v>200</v>
      </c>
      <c r="CB170" s="77">
        <f t="shared" si="573"/>
        <v>350</v>
      </c>
      <c r="CC170" s="77">
        <f t="shared" si="573"/>
        <v>500</v>
      </c>
      <c r="CD170" s="77">
        <f>CC170+100</f>
        <v>600</v>
      </c>
      <c r="CE170" s="77">
        <f>CD170+80</f>
        <v>680</v>
      </c>
      <c r="DM170" s="77">
        <f>PI()*20*20/4*2</f>
        <v>628.31853071795865</v>
      </c>
      <c r="DN170" s="77">
        <f>PI()*20*20/4*2</f>
        <v>628.31853071795865</v>
      </c>
      <c r="DO170" s="77">
        <f t="shared" si="574"/>
        <v>100.53096491487338</v>
      </c>
      <c r="DP170" s="77">
        <f t="shared" si="574"/>
        <v>100.53096491487338</v>
      </c>
      <c r="DQ170" s="77">
        <f t="shared" si="574"/>
        <v>100.53096491487338</v>
      </c>
      <c r="DR170" s="77">
        <f>PI()*20*20/4*2</f>
        <v>628.31853071795865</v>
      </c>
      <c r="DS170" s="77">
        <f>PI()*20*20/4*2</f>
        <v>628.31853071795865</v>
      </c>
      <c r="FA170" s="77">
        <f t="shared" si="516"/>
        <v>-235619.44901923448</v>
      </c>
      <c r="FB170" s="77">
        <f t="shared" si="526"/>
        <v>-173016.65382255675</v>
      </c>
      <c r="FC170" s="77">
        <f t="shared" si="564"/>
        <v>10985.10762059827</v>
      </c>
      <c r="FD170" s="77">
        <f t="shared" si="565"/>
        <v>30661.944299036382</v>
      </c>
      <c r="FE170" s="77">
        <f t="shared" si="566"/>
        <v>30661.944299036382</v>
      </c>
      <c r="FF170" s="77">
        <f t="shared" si="567"/>
        <v>235619.44901923448</v>
      </c>
      <c r="FG170" s="77">
        <f t="shared" si="568"/>
        <v>235619.44901923448</v>
      </c>
      <c r="GO170" s="77">
        <f t="shared" si="527"/>
        <v>77754418.176347375</v>
      </c>
      <c r="GP170" s="77">
        <f t="shared" si="528"/>
        <v>43254163.455639191</v>
      </c>
      <c r="GQ170" s="77">
        <f t="shared" si="529"/>
        <v>-1647766.1430897405</v>
      </c>
      <c r="GR170" s="77">
        <f t="shared" si="530"/>
        <v>0</v>
      </c>
      <c r="GS170" s="77">
        <f t="shared" si="569"/>
        <v>4599291.6448554574</v>
      </c>
      <c r="GT170" s="77">
        <f t="shared" si="570"/>
        <v>58904862.25480862</v>
      </c>
      <c r="GU170" s="77">
        <f t="shared" si="571"/>
        <v>77754418.176347375</v>
      </c>
      <c r="IC170" s="82">
        <v>178</v>
      </c>
    </row>
    <row r="171" spans="1:237" s="77" customFormat="1">
      <c r="A171" s="77">
        <v>170</v>
      </c>
      <c r="B171" s="69">
        <v>242</v>
      </c>
      <c r="C171" s="69" t="s">
        <v>237</v>
      </c>
      <c r="D171" s="70" t="s">
        <v>188</v>
      </c>
      <c r="E171" s="70">
        <v>1</v>
      </c>
      <c r="F171" s="70">
        <v>0.1095100864553314</v>
      </c>
      <c r="G171" s="70">
        <v>4.6666670000000002E-3</v>
      </c>
      <c r="H171" s="70">
        <v>9.3333329999999992E-3</v>
      </c>
      <c r="I171" s="70">
        <v>1.4E-2</v>
      </c>
      <c r="J171" s="71">
        <v>2.1428571428571428</v>
      </c>
      <c r="K171" s="72">
        <v>7</v>
      </c>
      <c r="L171" s="71">
        <v>5.8890489913544661E-2</v>
      </c>
      <c r="M171" s="71">
        <v>8.8775216138328519E-2</v>
      </c>
      <c r="N171" s="71">
        <v>0.19047838616714693</v>
      </c>
      <c r="O171" s="71">
        <v>0.70317002881844382</v>
      </c>
      <c r="P171" s="71">
        <v>0.28342939481268009</v>
      </c>
      <c r="Q171" s="73" t="s">
        <v>3</v>
      </c>
      <c r="R171" s="74">
        <v>0</v>
      </c>
      <c r="S171" s="75">
        <f t="shared" si="455"/>
        <v>0.64508784559179166</v>
      </c>
      <c r="T171" s="59">
        <f t="shared" si="430"/>
        <v>0.94702499629219483</v>
      </c>
      <c r="U171" s="59">
        <f t="shared" si="431"/>
        <v>0.88339432353947156</v>
      </c>
      <c r="V171" s="59">
        <f t="shared" si="432"/>
        <v>1.0205445469497476</v>
      </c>
      <c r="W171" s="59">
        <f t="shared" si="433"/>
        <v>1.0776321120829941</v>
      </c>
      <c r="X171" s="59">
        <f t="shared" si="434"/>
        <v>1.1552536842898877</v>
      </c>
      <c r="Y171" s="86">
        <v>266000</v>
      </c>
      <c r="Z171" s="57">
        <f t="shared" si="435"/>
        <v>307297.48002111015</v>
      </c>
      <c r="AA171" s="57">
        <f t="shared" si="436"/>
        <v>286650.14181407646</v>
      </c>
      <c r="AB171" s="57">
        <f t="shared" si="547"/>
        <v>257116.19149038629</v>
      </c>
      <c r="AC171" s="57">
        <f t="shared" si="438"/>
        <v>0.17</v>
      </c>
      <c r="AD171" s="57">
        <f t="shared" si="439"/>
        <v>2.1428571428571428</v>
      </c>
      <c r="AE171" s="57">
        <f t="shared" si="440"/>
        <v>485800.00000000006</v>
      </c>
      <c r="AF171" s="57">
        <f t="shared" si="441"/>
        <v>75697.418721716254</v>
      </c>
      <c r="AG171" s="57">
        <f t="shared" si="517"/>
        <v>210952.72309236019</v>
      </c>
      <c r="AH171" s="57">
        <f t="shared" si="548"/>
        <v>186116779.71915507</v>
      </c>
      <c r="AI171" s="57">
        <f t="shared" si="572"/>
        <v>199557507.51642436</v>
      </c>
      <c r="AJ171" s="77">
        <v>688450</v>
      </c>
      <c r="AK171" s="77">
        <v>34.700000000000003</v>
      </c>
      <c r="AL171" s="78">
        <f t="shared" si="443"/>
        <v>3.2309544174919202</v>
      </c>
      <c r="AM171" s="57">
        <f t="shared" si="444"/>
        <v>1</v>
      </c>
      <c r="AN171" s="57">
        <f t="shared" si="445"/>
        <v>0.8</v>
      </c>
      <c r="AO171" s="77">
        <v>700</v>
      </c>
      <c r="AP171" s="79">
        <v>100</v>
      </c>
      <c r="AQ171" s="57">
        <f t="shared" si="446"/>
        <v>113.6404042675647</v>
      </c>
      <c r="AR171" s="57">
        <f t="shared" si="549"/>
        <v>500</v>
      </c>
      <c r="AS171" s="57">
        <f t="shared" si="448"/>
        <v>586.35959573243531</v>
      </c>
      <c r="AT171" s="77">
        <v>100</v>
      </c>
      <c r="AU171" s="77">
        <v>1500</v>
      </c>
      <c r="AV171" s="77">
        <f t="shared" si="449"/>
        <v>70000</v>
      </c>
      <c r="AW171" s="77">
        <v>0</v>
      </c>
      <c r="AX171" s="77">
        <f t="shared" si="450"/>
        <v>70000</v>
      </c>
      <c r="AY171" s="77">
        <v>70000</v>
      </c>
      <c r="AZ171" s="77">
        <f>(305+366)/2</f>
        <v>335.5</v>
      </c>
      <c r="BA171" s="77">
        <v>305</v>
      </c>
      <c r="BB171" s="77">
        <v>432</v>
      </c>
      <c r="BC171" s="77">
        <v>366</v>
      </c>
      <c r="BD171" s="77">
        <v>6.7000000000000002E-3</v>
      </c>
      <c r="BE171" s="77">
        <v>1.01E-2</v>
      </c>
      <c r="BF171" s="77">
        <v>1.5299999999999999E-2</v>
      </c>
      <c r="BG171" s="77">
        <f>PI()*6*6*2/(4*100*75)</f>
        <v>7.5398223686155034E-3</v>
      </c>
      <c r="BH171" s="79">
        <v>75</v>
      </c>
      <c r="BI171" s="79">
        <f>PI()*8*8/4</f>
        <v>50.26548245743669</v>
      </c>
      <c r="BJ171" s="79">
        <v>2</v>
      </c>
      <c r="BK171" s="57">
        <f t="shared" si="533"/>
        <v>100.53096491487338</v>
      </c>
      <c r="BL171" s="57">
        <f t="shared" si="515"/>
        <v>335</v>
      </c>
      <c r="BM171" s="80">
        <f>PI()*12*12/4*2+751</f>
        <v>977.19467105846513</v>
      </c>
      <c r="BN171" s="80">
        <v>1</v>
      </c>
      <c r="BO171" s="57">
        <f t="shared" si="550"/>
        <v>977.19467105846513</v>
      </c>
      <c r="BP171" s="57">
        <f t="shared" si="452"/>
        <v>271464.84948863287</v>
      </c>
      <c r="BQ171" s="77">
        <f t="shared" si="453"/>
        <v>2.0081643015146255E-9</v>
      </c>
      <c r="BR171" s="57">
        <f t="shared" si="520"/>
        <v>407197274.23294932</v>
      </c>
      <c r="BS171" s="57">
        <v>227.28080853512941</v>
      </c>
      <c r="BT171" s="57">
        <f t="shared" si="456"/>
        <v>213.96958628452808</v>
      </c>
      <c r="BU171" s="57"/>
      <c r="BV171" s="57">
        <v>3.3E-3</v>
      </c>
      <c r="BW171" s="57">
        <v>30000</v>
      </c>
      <c r="BX171" s="57">
        <v>200000</v>
      </c>
      <c r="BY171" s="77">
        <f>20</f>
        <v>20</v>
      </c>
      <c r="BZ171" s="77">
        <f>BY171+80</f>
        <v>100</v>
      </c>
      <c r="CA171" s="77">
        <f>BZ171+100</f>
        <v>200</v>
      </c>
      <c r="CB171" s="77">
        <f t="shared" si="573"/>
        <v>350</v>
      </c>
      <c r="CC171" s="77">
        <f t="shared" si="573"/>
        <v>500</v>
      </c>
      <c r="CD171" s="77">
        <f>CC171+100</f>
        <v>600</v>
      </c>
      <c r="CE171" s="77">
        <f>CD171+80</f>
        <v>680</v>
      </c>
      <c r="DM171" s="77">
        <f>PI()*12*12/4*2</f>
        <v>226.1946710584651</v>
      </c>
      <c r="DN171" s="77">
        <v>751</v>
      </c>
      <c r="DO171" s="77">
        <f t="shared" si="574"/>
        <v>100.53096491487338</v>
      </c>
      <c r="DP171" s="77">
        <f t="shared" si="574"/>
        <v>100.53096491487338</v>
      </c>
      <c r="DQ171" s="77">
        <f t="shared" si="574"/>
        <v>100.53096491487338</v>
      </c>
      <c r="DR171" s="77">
        <v>751</v>
      </c>
      <c r="DS171" s="77">
        <f>PI()*12*12/4*2</f>
        <v>226.1946710584651</v>
      </c>
      <c r="FA171" s="77">
        <f t="shared" si="516"/>
        <v>-97716.097897256928</v>
      </c>
      <c r="FB171" s="77">
        <f t="shared" si="526"/>
        <v>-277577.35448556853</v>
      </c>
      <c r="FC171" s="77">
        <f t="shared" si="564"/>
        <v>-7964.1284956031704</v>
      </c>
      <c r="FD171" s="77">
        <f t="shared" si="565"/>
        <v>30661.944299036382</v>
      </c>
      <c r="FE171" s="77">
        <f t="shared" si="566"/>
        <v>30661.944299036382</v>
      </c>
      <c r="FF171" s="77">
        <f t="shared" si="567"/>
        <v>324432</v>
      </c>
      <c r="FG171" s="77">
        <f t="shared" si="568"/>
        <v>97716.097897256928</v>
      </c>
      <c r="GO171" s="77">
        <f t="shared" si="527"/>
        <v>32246312.306094788</v>
      </c>
      <c r="GP171" s="77">
        <f t="shared" si="528"/>
        <v>69394338.621392131</v>
      </c>
      <c r="GQ171" s="77">
        <f t="shared" si="529"/>
        <v>1194619.2743404757</v>
      </c>
      <c r="GR171" s="77">
        <f t="shared" si="530"/>
        <v>0</v>
      </c>
      <c r="GS171" s="77">
        <f t="shared" si="569"/>
        <v>4599291.6448554574</v>
      </c>
      <c r="GT171" s="77">
        <f t="shared" si="570"/>
        <v>81108000</v>
      </c>
      <c r="GU171" s="77">
        <f t="shared" si="571"/>
        <v>32246312.306094788</v>
      </c>
      <c r="IC171" s="82">
        <v>179</v>
      </c>
    </row>
    <row r="172" spans="1:237" s="77" customFormat="1">
      <c r="A172" s="77">
        <v>171</v>
      </c>
      <c r="B172" s="69">
        <v>243</v>
      </c>
      <c r="C172" s="69" t="s">
        <v>189</v>
      </c>
      <c r="D172" s="70" t="s">
        <v>73</v>
      </c>
      <c r="E172" s="70">
        <v>2</v>
      </c>
      <c r="F172" s="70">
        <v>7.8554049356969066E-2</v>
      </c>
      <c r="G172" s="70"/>
      <c r="H172" s="70"/>
      <c r="I172" s="70">
        <v>1.2999999999999999E-2</v>
      </c>
      <c r="J172" s="71">
        <v>2.5</v>
      </c>
      <c r="K172" s="72">
        <v>9.3333333333333339</v>
      </c>
      <c r="L172" s="71">
        <v>0.10896058394160585</v>
      </c>
      <c r="M172" s="71">
        <v>8.7954014598540145E-2</v>
      </c>
      <c r="N172" s="71">
        <v>8.3908029197080292E-2</v>
      </c>
      <c r="O172" s="71">
        <v>0</v>
      </c>
      <c r="P172" s="71">
        <v>0.15015641293013557</v>
      </c>
      <c r="Q172" s="73" t="s">
        <v>3</v>
      </c>
      <c r="R172" s="74">
        <v>0</v>
      </c>
      <c r="S172" s="75">
        <f t="shared" si="455"/>
        <v>0.4111912445180872</v>
      </c>
      <c r="T172" s="59">
        <f t="shared" si="430"/>
        <v>0.59635825628496075</v>
      </c>
      <c r="U172" s="59">
        <f t="shared" si="431"/>
        <v>0.53930488580101876</v>
      </c>
      <c r="V172" s="59">
        <f t="shared" si="432"/>
        <v>0.82680579481399707</v>
      </c>
      <c r="W172" s="59">
        <f t="shared" si="433"/>
        <v>1.3864246635313127</v>
      </c>
      <c r="X172" s="59">
        <f t="shared" si="434"/>
        <v>1.5330953169207042</v>
      </c>
      <c r="Y172" s="86">
        <v>113000</v>
      </c>
      <c r="Z172" s="57">
        <f t="shared" si="435"/>
        <v>173239.77081203958</v>
      </c>
      <c r="AA172" s="57">
        <f t="shared" si="436"/>
        <v>156665.98697903834</v>
      </c>
      <c r="AB172" s="57">
        <f t="shared" si="547"/>
        <v>91319.215431904755</v>
      </c>
      <c r="AC172" s="57">
        <f t="shared" si="438"/>
        <v>0.17</v>
      </c>
      <c r="AD172" s="57">
        <f t="shared" si="439"/>
        <v>2.2000000000000002</v>
      </c>
      <c r="AE172" s="57">
        <f t="shared" si="440"/>
        <v>216000</v>
      </c>
      <c r="AF172" s="57">
        <f t="shared" si="441"/>
        <v>43649.484251850736</v>
      </c>
      <c r="AG172" s="57">
        <f t="shared" si="517"/>
        <v>113016.50272718759</v>
      </c>
      <c r="AH172" s="57">
        <f t="shared" si="548"/>
        <v>95022644.912242994</v>
      </c>
      <c r="AI172" s="57">
        <f t="shared" si="572"/>
        <v>64785982.093590334</v>
      </c>
      <c r="AJ172" s="77">
        <v>216000</v>
      </c>
      <c r="AK172" s="77">
        <v>27.4</v>
      </c>
      <c r="AL172" s="78">
        <f t="shared" si="443"/>
        <v>2.8373468518132152</v>
      </c>
      <c r="AM172" s="57">
        <f t="shared" si="444"/>
        <v>1</v>
      </c>
      <c r="AN172" s="57">
        <f t="shared" si="445"/>
        <v>0.8</v>
      </c>
      <c r="AO172" s="77">
        <v>700</v>
      </c>
      <c r="AP172" s="79">
        <v>80</v>
      </c>
      <c r="AQ172" s="57">
        <f t="shared" si="446"/>
        <v>82.003376446210495</v>
      </c>
      <c r="AR172" s="57">
        <f t="shared" si="549"/>
        <v>540</v>
      </c>
      <c r="AS172" s="57">
        <f t="shared" si="448"/>
        <v>617.9966235537895</v>
      </c>
      <c r="AT172" s="77">
        <v>75</v>
      </c>
      <c r="AU172" s="77">
        <v>1750</v>
      </c>
      <c r="AV172" s="77">
        <f t="shared" si="449"/>
        <v>52500</v>
      </c>
      <c r="AW172" s="77">
        <v>0</v>
      </c>
      <c r="AX172" s="77">
        <f t="shared" si="450"/>
        <v>52500</v>
      </c>
      <c r="AY172" s="77">
        <v>52500</v>
      </c>
      <c r="AZ172" s="77">
        <v>523.9</v>
      </c>
      <c r="BA172" s="77">
        <v>445.6</v>
      </c>
      <c r="BB172" s="77">
        <v>469.2</v>
      </c>
      <c r="BC172" s="77">
        <v>0</v>
      </c>
      <c r="BD172" s="77">
        <v>6.7000000000000002E-3</v>
      </c>
      <c r="BE172" s="77">
        <v>4.5999999999999999E-3</v>
      </c>
      <c r="BF172" s="77">
        <v>4.8999999999999998E-3</v>
      </c>
      <c r="BG172" s="77">
        <v>0</v>
      </c>
      <c r="BH172" s="79">
        <v>90</v>
      </c>
      <c r="BI172" s="79">
        <f t="shared" ref="BI172:BI177" si="575">PI()*5*5/4</f>
        <v>19.634954084936208</v>
      </c>
      <c r="BJ172" s="79">
        <v>2</v>
      </c>
      <c r="BK172" s="57">
        <f t="shared" si="533"/>
        <v>39.269908169872416</v>
      </c>
      <c r="BL172" s="57">
        <f t="shared" si="515"/>
        <v>271.35000000000002</v>
      </c>
      <c r="BM172" s="80">
        <f>PI()*8*8/4+PI()*10*10/4</f>
        <v>128.80529879718154</v>
      </c>
      <c r="BN172" s="80">
        <v>2</v>
      </c>
      <c r="BO172" s="57">
        <f t="shared" si="550"/>
        <v>257.61059759436307</v>
      </c>
      <c r="BP172" s="57">
        <f t="shared" si="452"/>
        <v>93429.054813981667</v>
      </c>
      <c r="BQ172" s="77">
        <f t="shared" si="453"/>
        <v>5.2386894822120667E-10</v>
      </c>
      <c r="BR172" s="57">
        <f t="shared" si="520"/>
        <v>163500845.92446792</v>
      </c>
      <c r="BS172" s="57">
        <v>164.00675289242099</v>
      </c>
      <c r="BT172" s="57">
        <f t="shared" si="456"/>
        <v>156.75474136631192</v>
      </c>
      <c r="BU172" s="57"/>
      <c r="BV172" s="57">
        <v>3.3E-3</v>
      </c>
      <c r="BW172" s="57">
        <v>30000</v>
      </c>
      <c r="BX172" s="57">
        <v>200000</v>
      </c>
      <c r="BY172" s="77">
        <v>20</v>
      </c>
      <c r="BZ172" s="77">
        <f>BY172+60</f>
        <v>80</v>
      </c>
      <c r="CA172" s="77">
        <f>BZ172+135*1</f>
        <v>215</v>
      </c>
      <c r="CB172" s="77">
        <f>BZ172+135*2</f>
        <v>350</v>
      </c>
      <c r="CC172" s="77">
        <f>BZ172+135*3</f>
        <v>485</v>
      </c>
      <c r="CD172" s="77">
        <f>BZ172+135*4</f>
        <v>620</v>
      </c>
      <c r="CE172" s="77">
        <f>CD172+60</f>
        <v>680</v>
      </c>
      <c r="DM172" s="77">
        <f>PI()*10*10/4*2</f>
        <v>157.07963267948966</v>
      </c>
      <c r="DN172" s="77">
        <f>PI()*8*8/4*2</f>
        <v>100.53096491487338</v>
      </c>
      <c r="DO172" s="77">
        <f t="shared" si="574"/>
        <v>100.53096491487338</v>
      </c>
      <c r="DP172" s="77">
        <f t="shared" si="574"/>
        <v>100.53096491487338</v>
      </c>
      <c r="DQ172" s="77">
        <f t="shared" si="574"/>
        <v>100.53096491487338</v>
      </c>
      <c r="DR172" s="77">
        <f>PI()*8*8/4*2</f>
        <v>100.53096491487338</v>
      </c>
      <c r="DS172" s="77">
        <f>PI()*10*10/4*2</f>
        <v>157.07963267948966</v>
      </c>
      <c r="FA172" s="77">
        <f t="shared" si="516"/>
        <v>-73701.763653216549</v>
      </c>
      <c r="FB172" s="77">
        <f>IF(ABS(-$BV172*($BS172-BZ172)/$BS172*$BX172)&gt;$BA172,$BA172*SIGN(-($BS172-BZ172)),-$BV172*($BS172-BZ172)/$BS172*$BX172)*DN172</f>
        <v>-33985.702746635201</v>
      </c>
      <c r="FC172" s="77">
        <f t="shared" si="564"/>
        <v>20629.78604235813</v>
      </c>
      <c r="FD172" s="77">
        <f t="shared" si="565"/>
        <v>44796.59796606758</v>
      </c>
      <c r="FE172" s="77">
        <f t="shared" si="566"/>
        <v>44796.59796606758</v>
      </c>
      <c r="FF172" s="77">
        <f>IF(ABS(-$BV172*($BS172-CD172)/$BS172*$BX172)&gt;$BA172,$BA172*SIGN(-($BS172-CD172)),-$BV172*($BS172-CD172)/$BS172*$BX172)*DR172</f>
        <v>44796.59796606758</v>
      </c>
      <c r="FG172" s="77">
        <f>IF(ABS(-$BV172*($BS172-CE172)/$BS172*$BX172)&gt;$BB172,$BB172*SIGN(-($BS172-CE172)),-$BV172*($BS172-CE172)/$BS172*$BX172)*DS172</f>
        <v>73701.763653216549</v>
      </c>
      <c r="GO172" s="77">
        <f t="shared" si="527"/>
        <v>24321582.00556146</v>
      </c>
      <c r="GP172" s="77">
        <f t="shared" si="528"/>
        <v>9176139.7415915038</v>
      </c>
      <c r="GQ172" s="77">
        <f t="shared" si="529"/>
        <v>-2785021.1157183475</v>
      </c>
      <c r="GR172" s="77">
        <f t="shared" si="530"/>
        <v>0</v>
      </c>
      <c r="GS172" s="77">
        <f t="shared" si="569"/>
        <v>6047540.7254191237</v>
      </c>
      <c r="GT172" s="77">
        <f t="shared" si="570"/>
        <v>12095081.450838247</v>
      </c>
      <c r="GU172" s="77">
        <f t="shared" si="571"/>
        <v>24321582.00556146</v>
      </c>
      <c r="IC172" s="82">
        <v>180</v>
      </c>
    </row>
    <row r="173" spans="1:237" s="77" customFormat="1">
      <c r="A173" s="77">
        <v>172</v>
      </c>
      <c r="B173" s="69">
        <v>244</v>
      </c>
      <c r="C173" s="69" t="s">
        <v>189</v>
      </c>
      <c r="D173" s="70" t="s">
        <v>74</v>
      </c>
      <c r="E173" s="70">
        <v>1</v>
      </c>
      <c r="F173" s="70">
        <v>9.9582898852971849E-2</v>
      </c>
      <c r="G173" s="70"/>
      <c r="H173" s="70"/>
      <c r="I173" s="70">
        <v>1.95E-2</v>
      </c>
      <c r="J173" s="71">
        <v>1.9</v>
      </c>
      <c r="K173" s="72">
        <v>7</v>
      </c>
      <c r="L173" s="71">
        <v>0.11709197080291972</v>
      </c>
      <c r="M173" s="71">
        <v>9.777956204379562E-2</v>
      </c>
      <c r="N173" s="71">
        <v>7.7058394160583937E-2</v>
      </c>
      <c r="O173" s="71">
        <v>0</v>
      </c>
      <c r="P173" s="71">
        <v>0.14963503649635038</v>
      </c>
      <c r="Q173" s="73" t="s">
        <v>3</v>
      </c>
      <c r="R173" s="74">
        <v>0</v>
      </c>
      <c r="S173" s="75">
        <f t="shared" si="455"/>
        <v>0.52126677678952205</v>
      </c>
      <c r="T173" s="59">
        <f t="shared" si="430"/>
        <v>0.74219582280465957</v>
      </c>
      <c r="U173" s="59">
        <f t="shared" si="431"/>
        <v>0.58990834909677015</v>
      </c>
      <c r="V173" s="59">
        <f t="shared" si="432"/>
        <v>0.78971865251997753</v>
      </c>
      <c r="W173" s="59">
        <f t="shared" si="433"/>
        <v>1.0640300420120063</v>
      </c>
      <c r="X173" s="59">
        <f t="shared" si="434"/>
        <v>1.3387141472554915</v>
      </c>
      <c r="Y173" s="86">
        <v>191000</v>
      </c>
      <c r="Z173" s="57">
        <f t="shared" si="435"/>
        <v>255694.40212579889</v>
      </c>
      <c r="AA173" s="57">
        <f t="shared" si="436"/>
        <v>203229.73802429321</v>
      </c>
      <c r="AB173" s="57">
        <f t="shared" si="547"/>
        <v>126162.32089284775</v>
      </c>
      <c r="AC173" s="57">
        <f t="shared" si="438"/>
        <v>0.18600000000000003</v>
      </c>
      <c r="AD173" s="57">
        <f t="shared" si="439"/>
        <v>1.9</v>
      </c>
      <c r="AE173" s="57">
        <f t="shared" si="440"/>
        <v>287000</v>
      </c>
      <c r="AF173" s="57">
        <f t="shared" si="441"/>
        <v>70951.951265710275</v>
      </c>
      <c r="AG173" s="57">
        <f t="shared" si="517"/>
        <v>132277.78675858295</v>
      </c>
      <c r="AH173" s="57">
        <f t="shared" si="548"/>
        <v>127650770.88913982</v>
      </c>
      <c r="AI173" s="57">
        <f t="shared" si="572"/>
        <v>40145115.898347698</v>
      </c>
      <c r="AJ173" s="77">
        <v>287000</v>
      </c>
      <c r="AK173" s="77">
        <v>27.4</v>
      </c>
      <c r="AL173" s="78">
        <f t="shared" si="443"/>
        <v>2.8373468518132152</v>
      </c>
      <c r="AM173" s="57">
        <f t="shared" si="444"/>
        <v>1</v>
      </c>
      <c r="AN173" s="57">
        <f t="shared" si="445"/>
        <v>0.8</v>
      </c>
      <c r="AO173" s="77">
        <v>700</v>
      </c>
      <c r="AP173" s="79">
        <v>80</v>
      </c>
      <c r="AQ173" s="57">
        <f t="shared" si="446"/>
        <v>77.651592659033668</v>
      </c>
      <c r="AR173" s="57">
        <f t="shared" si="549"/>
        <v>540</v>
      </c>
      <c r="AS173" s="57">
        <f t="shared" si="448"/>
        <v>622.34840734096633</v>
      </c>
      <c r="AT173" s="77">
        <v>100</v>
      </c>
      <c r="AU173" s="77">
        <v>1330</v>
      </c>
      <c r="AV173" s="77">
        <f t="shared" si="449"/>
        <v>70000</v>
      </c>
      <c r="AW173" s="77">
        <v>0</v>
      </c>
      <c r="AX173" s="77">
        <f t="shared" si="450"/>
        <v>70000</v>
      </c>
      <c r="AY173" s="77">
        <v>70000</v>
      </c>
      <c r="AZ173" s="77">
        <v>608.9</v>
      </c>
      <c r="BA173" s="77">
        <v>445.6</v>
      </c>
      <c r="BB173" s="77">
        <v>469.2</v>
      </c>
      <c r="BC173" s="77">
        <v>0</v>
      </c>
      <c r="BD173" s="77">
        <v>7.1999999999999998E-3</v>
      </c>
      <c r="BE173" s="77">
        <v>4.4000000000000003E-3</v>
      </c>
      <c r="BF173" s="77">
        <v>4.4999999999999997E-3</v>
      </c>
      <c r="BG173" s="77">
        <v>0</v>
      </c>
      <c r="BH173" s="79">
        <v>90</v>
      </c>
      <c r="BI173" s="79">
        <f t="shared" si="575"/>
        <v>19.634954084936208</v>
      </c>
      <c r="BJ173" s="79">
        <v>2</v>
      </c>
      <c r="BK173" s="57">
        <f t="shared" si="533"/>
        <v>39.269908169872416</v>
      </c>
      <c r="BL173" s="57">
        <f t="shared" si="515"/>
        <v>388.8</v>
      </c>
      <c r="BM173" s="80">
        <f>PI()*10*10/4</f>
        <v>78.539816339744831</v>
      </c>
      <c r="BN173" s="80">
        <v>2</v>
      </c>
      <c r="BO173" s="57">
        <f t="shared" si="550"/>
        <v>157.07963267948966</v>
      </c>
      <c r="BP173" s="57">
        <f t="shared" si="452"/>
        <v>150836.26263131571</v>
      </c>
      <c r="BQ173" s="77">
        <f t="shared" si="453"/>
        <v>6.1118043959140778E-10</v>
      </c>
      <c r="BR173" s="57">
        <f t="shared" si="520"/>
        <v>200612229.29964989</v>
      </c>
      <c r="BS173" s="57">
        <v>155.30318531806734</v>
      </c>
      <c r="BT173" s="57">
        <f t="shared" si="456"/>
        <v>157.14798002788743</v>
      </c>
      <c r="BU173" s="57"/>
      <c r="BV173" s="57">
        <v>3.3E-3</v>
      </c>
      <c r="BW173" s="57">
        <v>30000</v>
      </c>
      <c r="BX173" s="57">
        <v>200000</v>
      </c>
      <c r="BY173" s="77">
        <v>20</v>
      </c>
      <c r="BZ173" s="77">
        <f>BY173+60</f>
        <v>80</v>
      </c>
      <c r="CA173" s="77">
        <f>BZ173+135*1</f>
        <v>215</v>
      </c>
      <c r="CB173" s="77">
        <f>BZ173+135*2</f>
        <v>350</v>
      </c>
      <c r="CC173" s="77">
        <f>BZ173+135*3</f>
        <v>485</v>
      </c>
      <c r="CD173" s="77">
        <f>BZ173+135*4</f>
        <v>620</v>
      </c>
      <c r="CE173" s="77">
        <f>CD173+60</f>
        <v>680</v>
      </c>
      <c r="DM173" s="77">
        <f>PI()*10*10/4*2</f>
        <v>157.07963267948966</v>
      </c>
      <c r="DN173" s="77">
        <f>PI()*10*10/4*2</f>
        <v>157.07963267948966</v>
      </c>
      <c r="DO173" s="77">
        <f t="shared" si="574"/>
        <v>100.53096491487338</v>
      </c>
      <c r="DP173" s="77">
        <f t="shared" si="574"/>
        <v>100.53096491487338</v>
      </c>
      <c r="DQ173" s="77">
        <f t="shared" si="574"/>
        <v>100.53096491487338</v>
      </c>
      <c r="DR173" s="77">
        <f>PI()*10*10/4*2</f>
        <v>157.07963267948966</v>
      </c>
      <c r="DS173" s="77">
        <f>PI()*10*10/4*2</f>
        <v>157.07963267948966</v>
      </c>
      <c r="FA173" s="77">
        <f t="shared" si="516"/>
        <v>-73701.763653216549</v>
      </c>
      <c r="FB173" s="77">
        <f>IF(ABS(-$BV173*($BS173-BZ173)/$BS173*$BX173)&gt;$BB173,$BB173*SIGN(-($BS173-BZ173)),-$BV173*($BS173-BZ173)/$BS173*$BX173)*DN173</f>
        <v>-50268.600730803992</v>
      </c>
      <c r="FC173" s="77">
        <f t="shared" si="564"/>
        <v>25504.36891695737</v>
      </c>
      <c r="FD173" s="77">
        <f t="shared" si="565"/>
        <v>44796.59796606758</v>
      </c>
      <c r="FE173" s="77">
        <f t="shared" si="566"/>
        <v>44796.59796606758</v>
      </c>
      <c r="FF173" s="77">
        <f>IF(ABS(-$BV173*($BS173-CD173)/$BS173*$BX173)&gt;$BB173,$BB173*SIGN(-($BS173-CD173)),-$BV173*($BS173-CD173)/$BS173*$BX173)*DR173</f>
        <v>73701.763653216549</v>
      </c>
      <c r="FG173" s="77">
        <f>IF(ABS(-$BV173*($BS173-CE173)/$BS173*$BX173)&gt;$BB173,$BB173*SIGN(-($BS173-CE173)),-$BV173*($BS173-CE173)/$BS173*$BX173)*DS173</f>
        <v>73701.763653216549</v>
      </c>
      <c r="GO173" s="77">
        <f t="shared" si="527"/>
        <v>24321582.00556146</v>
      </c>
      <c r="GP173" s="77">
        <f t="shared" si="528"/>
        <v>13572522.197317077</v>
      </c>
      <c r="GQ173" s="77">
        <f t="shared" si="529"/>
        <v>-3443089.803789245</v>
      </c>
      <c r="GR173" s="77">
        <f t="shared" si="530"/>
        <v>0</v>
      </c>
      <c r="GS173" s="77">
        <f t="shared" si="569"/>
        <v>6047540.7254191237</v>
      </c>
      <c r="GT173" s="77">
        <f t="shared" si="570"/>
        <v>19899476.186368469</v>
      </c>
      <c r="GU173" s="77">
        <f t="shared" si="571"/>
        <v>24321582.00556146</v>
      </c>
      <c r="IC173" s="82">
        <v>181</v>
      </c>
    </row>
    <row r="174" spans="1:237" s="77" customFormat="1">
      <c r="A174" s="77">
        <v>173</v>
      </c>
      <c r="B174" s="69">
        <v>245</v>
      </c>
      <c r="C174" s="69" t="s">
        <v>189</v>
      </c>
      <c r="D174" s="70" t="s">
        <v>75</v>
      </c>
      <c r="E174" s="70">
        <v>1</v>
      </c>
      <c r="F174" s="70">
        <v>7.1949947862356631E-2</v>
      </c>
      <c r="G174" s="70"/>
      <c r="H174" s="70"/>
      <c r="I174" s="70">
        <v>2.0500000000000001E-2</v>
      </c>
      <c r="J174" s="71">
        <v>2.5</v>
      </c>
      <c r="K174" s="72">
        <v>7</v>
      </c>
      <c r="L174" s="71">
        <v>0.2179211678832117</v>
      </c>
      <c r="M174" s="71">
        <v>9.777956204379562E-2</v>
      </c>
      <c r="N174" s="71">
        <v>0</v>
      </c>
      <c r="O174" s="71">
        <v>0</v>
      </c>
      <c r="P174" s="71">
        <v>0.14963503649635038</v>
      </c>
      <c r="Q174" s="73" t="s">
        <v>3</v>
      </c>
      <c r="R174" s="74">
        <v>0</v>
      </c>
      <c r="S174" s="75">
        <f t="shared" si="455"/>
        <v>0.37662206909400026</v>
      </c>
      <c r="T174" s="59">
        <f t="shared" si="430"/>
        <v>0.57895715517798596</v>
      </c>
      <c r="U174" s="59">
        <f t="shared" si="431"/>
        <v>0.43369207646211055</v>
      </c>
      <c r="V174" s="59">
        <f t="shared" si="432"/>
        <v>0.78514532775471368</v>
      </c>
      <c r="W174" s="59">
        <f t="shared" si="433"/>
        <v>1.3561371868931138</v>
      </c>
      <c r="X174" s="59">
        <f t="shared" si="434"/>
        <v>1.8103750803095611</v>
      </c>
      <c r="Y174" s="86">
        <v>138000</v>
      </c>
      <c r="Z174" s="57">
        <f t="shared" si="435"/>
        <v>249831.76108271943</v>
      </c>
      <c r="AA174" s="57">
        <f t="shared" si="436"/>
        <v>187146.93179124969</v>
      </c>
      <c r="AB174" s="57"/>
      <c r="AC174" s="57">
        <f t="shared" si="438"/>
        <v>0.17</v>
      </c>
      <c r="AD174" s="57">
        <f t="shared" si="439"/>
        <v>2.2000000000000002</v>
      </c>
      <c r="AE174" s="57">
        <f t="shared" si="440"/>
        <v>287000</v>
      </c>
      <c r="AF174" s="57">
        <f t="shared" si="441"/>
        <v>57579.645979057641</v>
      </c>
      <c r="AG174" s="57">
        <f t="shared" si="517"/>
        <v>129567.28581219206</v>
      </c>
      <c r="AH174" s="57"/>
      <c r="AI174" s="57"/>
      <c r="AJ174" s="77">
        <v>287000</v>
      </c>
      <c r="AK174" s="77">
        <v>27.4</v>
      </c>
      <c r="AL174" s="78">
        <f t="shared" si="443"/>
        <v>2.8373468518132152</v>
      </c>
      <c r="AM174" s="57">
        <f t="shared" si="444"/>
        <v>1</v>
      </c>
      <c r="AN174" s="57">
        <f t="shared" si="445"/>
        <v>0.8</v>
      </c>
      <c r="AO174" s="77">
        <v>700</v>
      </c>
      <c r="AP174" s="79"/>
      <c r="AQ174" s="57">
        <f t="shared" si="446"/>
        <v>90.404118902621533</v>
      </c>
      <c r="AR174" s="57"/>
      <c r="AS174" s="57">
        <f t="shared" si="448"/>
        <v>609.59588109737842</v>
      </c>
      <c r="AT174" s="77">
        <v>100</v>
      </c>
      <c r="AU174" s="77">
        <v>1750</v>
      </c>
      <c r="AV174" s="77">
        <f t="shared" si="449"/>
        <v>70000</v>
      </c>
      <c r="AW174" s="77">
        <v>0</v>
      </c>
      <c r="AX174" s="77">
        <f t="shared" si="450"/>
        <v>70000</v>
      </c>
      <c r="AY174" s="77">
        <v>70000</v>
      </c>
      <c r="AZ174" s="77">
        <v>608.9</v>
      </c>
      <c r="BA174" s="77">
        <v>445.6</v>
      </c>
      <c r="BB174" s="77">
        <v>445.6</v>
      </c>
      <c r="BC174" s="77">
        <v>0</v>
      </c>
      <c r="BD174" s="77">
        <v>1.34E-2</v>
      </c>
      <c r="BE174" s="77">
        <v>4.4000000000000003E-3</v>
      </c>
      <c r="BF174" s="77">
        <v>0</v>
      </c>
      <c r="BG174" s="77">
        <v>0</v>
      </c>
      <c r="BH174" s="79">
        <v>90</v>
      </c>
      <c r="BI174" s="79">
        <f t="shared" si="575"/>
        <v>19.634954084936208</v>
      </c>
      <c r="BJ174" s="79">
        <v>2</v>
      </c>
      <c r="BK174" s="57">
        <f t="shared" si="533"/>
        <v>39.269908169872416</v>
      </c>
      <c r="BL174" s="57" t="b">
        <f t="shared" si="515"/>
        <v>0</v>
      </c>
      <c r="BM174" s="80"/>
      <c r="BN174" s="80"/>
      <c r="BO174" s="57"/>
      <c r="BP174" s="57">
        <f t="shared" si="452"/>
        <v>108350.05523015049</v>
      </c>
      <c r="BQ174" s="77">
        <f t="shared" si="453"/>
        <v>1.1350493878126144E-9</v>
      </c>
      <c r="BR174" s="57">
        <f t="shared" si="520"/>
        <v>189612596.65276337</v>
      </c>
      <c r="BS174" s="57">
        <v>180.80823780524307</v>
      </c>
      <c r="BT174" s="57">
        <f t="shared" si="456"/>
        <v>144.2478219225097</v>
      </c>
      <c r="BU174" s="57"/>
      <c r="BV174" s="57">
        <v>3.3E-3</v>
      </c>
      <c r="BW174" s="57">
        <v>30000</v>
      </c>
      <c r="BX174" s="57">
        <v>200000</v>
      </c>
      <c r="BY174" s="77">
        <f>20</f>
        <v>20</v>
      </c>
      <c r="BZ174" s="77">
        <f>BY174+660/9*1</f>
        <v>93.333333333333329</v>
      </c>
      <c r="CA174" s="77">
        <f>BY174+660/9*2</f>
        <v>166.66666666666666</v>
      </c>
      <c r="CB174" s="77">
        <f>BY174+660/9*3</f>
        <v>240</v>
      </c>
      <c r="CC174" s="77">
        <f>BY174+660/9*4</f>
        <v>313.33333333333331</v>
      </c>
      <c r="CD174" s="77">
        <f>BY174+660/9*5</f>
        <v>386.66666666666663</v>
      </c>
      <c r="CE174" s="77">
        <f>BY174+660/9*6</f>
        <v>460</v>
      </c>
      <c r="CF174" s="77">
        <f>BY174+660/9*7</f>
        <v>533.33333333333326</v>
      </c>
      <c r="CG174" s="77">
        <f>BY174+660/9*8</f>
        <v>606.66666666666663</v>
      </c>
      <c r="CH174" s="77">
        <f>BY174+660/9*9</f>
        <v>680</v>
      </c>
      <c r="DM174" s="77">
        <f>PI()*8*8/4*2</f>
        <v>100.53096491487338</v>
      </c>
      <c r="DN174" s="77">
        <f>PI()*8*8/4*2</f>
        <v>100.53096491487338</v>
      </c>
      <c r="DO174" s="77">
        <f t="shared" si="574"/>
        <v>100.53096491487338</v>
      </c>
      <c r="DP174" s="77">
        <f t="shared" si="574"/>
        <v>100.53096491487338</v>
      </c>
      <c r="DQ174" s="77">
        <f t="shared" si="574"/>
        <v>100.53096491487338</v>
      </c>
      <c r="DR174" s="77">
        <f>PI()*8*8/4*2</f>
        <v>100.53096491487338</v>
      </c>
      <c r="DS174" s="77">
        <f>PI()*8*8/4*2</f>
        <v>100.53096491487338</v>
      </c>
      <c r="DT174" s="77">
        <f>PI()*8*8/4*2</f>
        <v>100.53096491487338</v>
      </c>
      <c r="DU174" s="77">
        <f>PI()*8*8/4*2</f>
        <v>100.53096491487338</v>
      </c>
      <c r="DV174" s="77">
        <f>PI()*8*8/4*2</f>
        <v>100.53096491487338</v>
      </c>
      <c r="FA174" s="77">
        <f>IF(ABS(-$BV174*($BS174-BY174)/$BS174*$BX174)&gt;$BA174,$BA174*SIGN(-($BS174-BY174)),-$BV174*($BS174-BY174)/$BS174*$BX174)*DM174</f>
        <v>-44796.59796606758</v>
      </c>
      <c r="FB174" s="77">
        <f>IF(ABS(-$BV174*($BS174-BZ174)/$BS174*$BX174)&gt;$BA174,$BA174*SIGN(-($BS174-BZ174)),-$BV174*($BS174-BZ174)/$BS174*$BX174)*DN174</f>
        <v>-32100.296950153774</v>
      </c>
      <c r="FC174" s="77">
        <f t="shared" si="564"/>
        <v>-5189.4727479902604</v>
      </c>
      <c r="FD174" s="77">
        <f t="shared" si="565"/>
        <v>21721.351454173262</v>
      </c>
      <c r="FE174" s="77">
        <f t="shared" si="566"/>
        <v>44796.59796606758</v>
      </c>
      <c r="FF174" s="77">
        <f>IF(ABS(-$BV174*($BS174-CD174)/$BS174*$BX174)&gt;$BA174,$BA174*SIGN(-($BS174-CD174)),-$BV174*($BS174-CD174)/$BS174*$BX174)*DR174</f>
        <v>44796.59796606758</v>
      </c>
      <c r="FG174" s="77">
        <f>IF(ABS(-$BV174*($BS174-CE174)/$BS174*$BX174)&gt;$BA174,$BA174*SIGN(-($BS174-CE174)),-$BV174*($BS174-CE174)/$BS174*$BX174)*DS174</f>
        <v>44796.59796606758</v>
      </c>
      <c r="FH174" s="77">
        <f>IF(ABS(-$BV174*($BS174-CF174)/$BS174*$BX174)&gt;$BA174,$BA174*SIGN(-($BS174-CF174)),-$BV174*($BS174-CF174)/$BS174*$BX174)*DT174</f>
        <v>44796.59796606758</v>
      </c>
      <c r="FI174" s="77">
        <f>IF(ABS(-$BV174*($BS174-CG174)/$BS174*$BX174)&gt;$BA174,$BA174*SIGN(-($BS174-CG174)),-$BV174*($BS174-CG174)/$BS174*$BX174)*DU174</f>
        <v>44796.59796606758</v>
      </c>
      <c r="FJ174" s="77">
        <f>IF(ABS(-$BV174*($BS174-CH174)/$BS174*$BX174)&gt;$BA174,$BA174*SIGN(-($BS174-CH174)),-$BV174*($BS174-CH174)/$BS174*$BX174)*DV174</f>
        <v>44796.59796606758</v>
      </c>
      <c r="GO174" s="77">
        <f t="shared" si="527"/>
        <v>14782877.328802301</v>
      </c>
      <c r="GP174" s="77">
        <f t="shared" si="528"/>
        <v>8239076.2172061354</v>
      </c>
      <c r="GQ174" s="77">
        <f t="shared" si="529"/>
        <v>951403.33713154774</v>
      </c>
      <c r="GR174" s="77">
        <f t="shared" si="530"/>
        <v>-2389348.6599590587</v>
      </c>
      <c r="GS174" s="77">
        <f t="shared" si="569"/>
        <v>-1642541.9254224787</v>
      </c>
      <c r="GT174" s="77">
        <f t="shared" si="570"/>
        <v>1642541.9254224761</v>
      </c>
      <c r="GU174" s="77">
        <f t="shared" si="571"/>
        <v>4927625.7762674335</v>
      </c>
      <c r="GV174" s="77">
        <f>FH174*(CF174-0.5*$AO174)</f>
        <v>8212709.6271123867</v>
      </c>
      <c r="GW174" s="77">
        <f>FI174*(CG174-0.5*$AO174)</f>
        <v>11497793.477957344</v>
      </c>
      <c r="GX174" s="77">
        <f>FJ174*(CH174-0.5*$AO174)</f>
        <v>14782877.328802301</v>
      </c>
      <c r="IC174" s="82">
        <v>182</v>
      </c>
    </row>
    <row r="175" spans="1:237" s="77" customFormat="1">
      <c r="A175" s="77">
        <v>174</v>
      </c>
      <c r="B175" s="69">
        <v>246</v>
      </c>
      <c r="C175" s="69" t="s">
        <v>189</v>
      </c>
      <c r="D175" s="70" t="s">
        <v>190</v>
      </c>
      <c r="E175" s="70">
        <v>1</v>
      </c>
      <c r="F175" s="70">
        <v>7.7685088633993746E-2</v>
      </c>
      <c r="G175" s="70"/>
      <c r="H175" s="70"/>
      <c r="I175" s="70">
        <v>2.1999999999999999E-2</v>
      </c>
      <c r="J175" s="71">
        <v>2.5</v>
      </c>
      <c r="K175" s="72">
        <v>7</v>
      </c>
      <c r="L175" s="71">
        <v>0.11709197080291972</v>
      </c>
      <c r="M175" s="71">
        <v>9.777956204379562E-2</v>
      </c>
      <c r="N175" s="71">
        <v>7.7058394160583937E-2</v>
      </c>
      <c r="O175" s="71">
        <v>0</v>
      </c>
      <c r="P175" s="71">
        <v>0.14963503649635038</v>
      </c>
      <c r="Q175" s="73" t="s">
        <v>3</v>
      </c>
      <c r="R175" s="74">
        <v>0</v>
      </c>
      <c r="S175" s="75">
        <f t="shared" si="455"/>
        <v>0.40664266880439159</v>
      </c>
      <c r="T175" s="59">
        <f t="shared" si="430"/>
        <v>0.60110260420598371</v>
      </c>
      <c r="U175" s="59">
        <f t="shared" si="431"/>
        <v>0.45885102479761986</v>
      </c>
      <c r="V175" s="59">
        <f t="shared" si="432"/>
        <v>0.76936617181073785</v>
      </c>
      <c r="W175" s="59">
        <f t="shared" si="433"/>
        <v>1.2799248687784659</v>
      </c>
      <c r="X175" s="59">
        <f t="shared" si="434"/>
        <v>1.6767232287430833</v>
      </c>
      <c r="Y175" s="86">
        <v>149000</v>
      </c>
      <c r="Z175" s="57">
        <f t="shared" si="435"/>
        <v>249831.76108271943</v>
      </c>
      <c r="AA175" s="57">
        <f t="shared" si="436"/>
        <v>190708.80544799141</v>
      </c>
      <c r="AB175" s="57">
        <f t="shared" ref="AB175:AB205" si="576">(AH175+AI175)/AU175</f>
        <v>118823.43010619155</v>
      </c>
      <c r="AC175" s="57">
        <f t="shared" si="438"/>
        <v>0.17</v>
      </c>
      <c r="AD175" s="57">
        <f t="shared" si="439"/>
        <v>2.2000000000000002</v>
      </c>
      <c r="AE175" s="57">
        <f t="shared" si="440"/>
        <v>287000</v>
      </c>
      <c r="AF175" s="57">
        <f t="shared" si="441"/>
        <v>58431.018689408455</v>
      </c>
      <c r="AG175" s="57">
        <f t="shared" si="517"/>
        <v>132277.78675858295</v>
      </c>
      <c r="AH175" s="57">
        <f>AM175*AK175*AT175*AP175*(AS175-0.5*AP175)</f>
        <v>127650770.88913982</v>
      </c>
      <c r="AI175" s="57">
        <f>BB175*BO175*(AS175-AQ175)</f>
        <v>80290231.796695396</v>
      </c>
      <c r="AJ175" s="77">
        <v>287000</v>
      </c>
      <c r="AK175" s="77">
        <v>27.4</v>
      </c>
      <c r="AL175" s="78">
        <f t="shared" si="443"/>
        <v>2.8373468518132152</v>
      </c>
      <c r="AM175" s="57">
        <f t="shared" si="444"/>
        <v>1</v>
      </c>
      <c r="AN175" s="57">
        <f t="shared" si="445"/>
        <v>0.8</v>
      </c>
      <c r="AO175" s="77">
        <v>700</v>
      </c>
      <c r="AP175" s="79">
        <v>80</v>
      </c>
      <c r="AQ175" s="57">
        <f t="shared" si="446"/>
        <v>77.651592659033668</v>
      </c>
      <c r="AR175" s="57">
        <f>AO175-2*AP175</f>
        <v>540</v>
      </c>
      <c r="AS175" s="57">
        <f t="shared" si="448"/>
        <v>622.34840734096633</v>
      </c>
      <c r="AT175" s="77">
        <v>100</v>
      </c>
      <c r="AU175" s="77">
        <v>1750</v>
      </c>
      <c r="AV175" s="77">
        <f t="shared" si="449"/>
        <v>70000</v>
      </c>
      <c r="AW175" s="77">
        <v>0</v>
      </c>
      <c r="AX175" s="77">
        <f t="shared" si="450"/>
        <v>70000</v>
      </c>
      <c r="AY175" s="77">
        <v>70000</v>
      </c>
      <c r="AZ175" s="77">
        <v>608.9</v>
      </c>
      <c r="BA175" s="77">
        <v>445.6</v>
      </c>
      <c r="BB175" s="77">
        <v>469.2</v>
      </c>
      <c r="BC175" s="77">
        <v>0</v>
      </c>
      <c r="BD175" s="77">
        <v>7.1999999999999998E-3</v>
      </c>
      <c r="BE175" s="77">
        <v>4.4000000000000003E-3</v>
      </c>
      <c r="BF175" s="77">
        <v>4.4999999999999997E-3</v>
      </c>
      <c r="BG175" s="77">
        <v>0</v>
      </c>
      <c r="BH175" s="79">
        <v>90</v>
      </c>
      <c r="BI175" s="79">
        <f t="shared" si="575"/>
        <v>19.634954084936208</v>
      </c>
      <c r="BJ175" s="79">
        <v>2</v>
      </c>
      <c r="BK175" s="57">
        <f t="shared" si="533"/>
        <v>39.269908169872416</v>
      </c>
      <c r="BL175" s="57">
        <f t="shared" si="515"/>
        <v>388.8</v>
      </c>
      <c r="BM175" s="80">
        <f>PI()*10*10/4</f>
        <v>78.539816339744831</v>
      </c>
      <c r="BN175" s="80">
        <v>4</v>
      </c>
      <c r="BO175" s="57">
        <f>BM175*BN175</f>
        <v>314.15926535897933</v>
      </c>
      <c r="BP175" s="57">
        <f t="shared" si="452"/>
        <v>114635.55959979993</v>
      </c>
      <c r="BQ175" s="77">
        <f t="shared" si="453"/>
        <v>6.1118043959140778E-10</v>
      </c>
      <c r="BR175" s="57">
        <f t="shared" si="520"/>
        <v>200612229.29964989</v>
      </c>
      <c r="BS175" s="57">
        <v>155.30318531806734</v>
      </c>
      <c r="BT175" s="57">
        <f t="shared" si="456"/>
        <v>157.14798002788743</v>
      </c>
      <c r="BU175" s="57"/>
      <c r="BV175" s="57">
        <v>3.3E-3</v>
      </c>
      <c r="BW175" s="57">
        <v>30000</v>
      </c>
      <c r="BX175" s="57">
        <v>200000</v>
      </c>
      <c r="BY175" s="77">
        <v>20</v>
      </c>
      <c r="BZ175" s="77">
        <f>BY175+60</f>
        <v>80</v>
      </c>
      <c r="CA175" s="77">
        <f>BZ175+135*1</f>
        <v>215</v>
      </c>
      <c r="CB175" s="77">
        <f>BZ175+135*2</f>
        <v>350</v>
      </c>
      <c r="CC175" s="77">
        <f>BZ175+135*3</f>
        <v>485</v>
      </c>
      <c r="CD175" s="77">
        <f>BZ175+135*4</f>
        <v>620</v>
      </c>
      <c r="CE175" s="77">
        <f>CD175+60</f>
        <v>680</v>
      </c>
      <c r="DM175" s="77">
        <f t="shared" ref="DM175:DN177" si="577">PI()*10*10/4*2</f>
        <v>157.07963267948966</v>
      </c>
      <c r="DN175" s="77">
        <f t="shared" si="577"/>
        <v>157.07963267948966</v>
      </c>
      <c r="DO175" s="77">
        <f t="shared" si="574"/>
        <v>100.53096491487338</v>
      </c>
      <c r="DP175" s="77">
        <f t="shared" si="574"/>
        <v>100.53096491487338</v>
      </c>
      <c r="DQ175" s="77">
        <f t="shared" si="574"/>
        <v>100.53096491487338</v>
      </c>
      <c r="DR175" s="77">
        <f t="shared" ref="DR175:DS177" si="578">PI()*10*10/4*2</f>
        <v>157.07963267948966</v>
      </c>
      <c r="DS175" s="77">
        <f t="shared" si="578"/>
        <v>157.07963267948966</v>
      </c>
      <c r="FA175" s="77">
        <f t="shared" ref="FA175:FA205" si="579">IF(ABS(-$BV175*($BS175-BY175)/$BS175*$BX175)&gt;$BB175,$BB175*SIGN(-($BS175-BY175)),-$BV175*($BS175-BY175)/$BS175*$BX175)*DM175</f>
        <v>-73701.763653216549</v>
      </c>
      <c r="FB175" s="77">
        <f t="shared" ref="FB175:FB205" si="580">IF(ABS(-$BV175*($BS175-BZ175)/$BS175*$BX175)&gt;$BB175,$BB175*SIGN(-($BS175-BZ175)),-$BV175*($BS175-BZ175)/$BS175*$BX175)*DN175</f>
        <v>-50268.600730803992</v>
      </c>
      <c r="FC175" s="77">
        <f t="shared" si="564"/>
        <v>25504.36891695737</v>
      </c>
      <c r="FD175" s="77">
        <f t="shared" si="565"/>
        <v>44796.59796606758</v>
      </c>
      <c r="FE175" s="77">
        <f t="shared" si="566"/>
        <v>44796.59796606758</v>
      </c>
      <c r="FF175" s="77">
        <f t="shared" ref="FF175:FG177" si="581">IF(ABS(-$BV175*($BS175-CD175)/$BS175*$BX175)&gt;$BB175,$BB175*SIGN(-($BS175-CD175)),-$BV175*($BS175-CD175)/$BS175*$BX175)*DR175</f>
        <v>73701.763653216549</v>
      </c>
      <c r="FG175" s="77">
        <f t="shared" si="581"/>
        <v>73701.763653216549</v>
      </c>
      <c r="GO175" s="77">
        <f t="shared" si="527"/>
        <v>24321582.00556146</v>
      </c>
      <c r="GP175" s="77">
        <f t="shared" si="528"/>
        <v>13572522.197317077</v>
      </c>
      <c r="GQ175" s="77">
        <f t="shared" si="529"/>
        <v>-3443089.803789245</v>
      </c>
      <c r="GR175" s="77">
        <f t="shared" si="530"/>
        <v>0</v>
      </c>
      <c r="GS175" s="77">
        <f t="shared" si="569"/>
        <v>6047540.7254191237</v>
      </c>
      <c r="GT175" s="77">
        <f t="shared" si="570"/>
        <v>19899476.186368469</v>
      </c>
      <c r="GU175" s="77">
        <f t="shared" si="571"/>
        <v>24321582.00556146</v>
      </c>
      <c r="IC175" s="82">
        <v>183</v>
      </c>
    </row>
    <row r="176" spans="1:237" s="77" customFormat="1">
      <c r="A176" s="77">
        <v>175</v>
      </c>
      <c r="B176" s="69">
        <v>247</v>
      </c>
      <c r="C176" s="69" t="s">
        <v>189</v>
      </c>
      <c r="D176" s="70" t="s">
        <v>191</v>
      </c>
      <c r="E176" s="70">
        <v>1</v>
      </c>
      <c r="F176" s="70">
        <v>8.1334723670490106E-2</v>
      </c>
      <c r="G176" s="70"/>
      <c r="H176" s="70"/>
      <c r="I176" s="70">
        <v>2.75E-2</v>
      </c>
      <c r="J176" s="71">
        <v>2.5</v>
      </c>
      <c r="K176" s="72">
        <v>7</v>
      </c>
      <c r="L176" s="71">
        <v>0.11709197080291972</v>
      </c>
      <c r="M176" s="71">
        <v>0.14222481751824817</v>
      </c>
      <c r="N176" s="71">
        <v>7.7058394160583937E-2</v>
      </c>
      <c r="O176" s="71">
        <v>0.25778248175182483</v>
      </c>
      <c r="P176" s="71">
        <v>0.14963503649635038</v>
      </c>
      <c r="Q176" s="73" t="s">
        <v>3</v>
      </c>
      <c r="R176" s="74">
        <v>0</v>
      </c>
      <c r="S176" s="75">
        <f t="shared" si="455"/>
        <v>0.42574668680191335</v>
      </c>
      <c r="T176" s="59">
        <f t="shared" si="430"/>
        <v>0.60110260420598371</v>
      </c>
      <c r="U176" s="59">
        <f t="shared" si="431"/>
        <v>0.45885102479761986</v>
      </c>
      <c r="V176" s="59">
        <f t="shared" si="432"/>
        <v>0.73484333076794828</v>
      </c>
      <c r="W176" s="59">
        <f t="shared" si="433"/>
        <v>1.2224923426153296</v>
      </c>
      <c r="X176" s="59">
        <f t="shared" si="434"/>
        <v>1.6014856479661501</v>
      </c>
      <c r="Y176" s="86">
        <v>156000</v>
      </c>
      <c r="Z176" s="57">
        <f t="shared" si="435"/>
        <v>249831.76108271943</v>
      </c>
      <c r="AA176" s="57">
        <f t="shared" si="436"/>
        <v>190708.80544799141</v>
      </c>
      <c r="AB176" s="57">
        <f t="shared" si="576"/>
        <v>118823.43010619155</v>
      </c>
      <c r="AC176" s="57">
        <f t="shared" si="438"/>
        <v>0.17</v>
      </c>
      <c r="AD176" s="57">
        <f t="shared" si="439"/>
        <v>2.2000000000000002</v>
      </c>
      <c r="AE176" s="57">
        <f t="shared" si="440"/>
        <v>287000</v>
      </c>
      <c r="AF176" s="57">
        <f t="shared" si="441"/>
        <v>58431.018689408455</v>
      </c>
      <c r="AG176" s="57">
        <f t="shared" si="517"/>
        <v>132277.78675858295</v>
      </c>
      <c r="AH176" s="57">
        <f>AM176*AK176*AT176*AP176*(AS176-0.5*AP176)</f>
        <v>127650770.88913982</v>
      </c>
      <c r="AI176" s="57">
        <f>BB176*BO176*(AS176-AQ176)</f>
        <v>80290231.796695396</v>
      </c>
      <c r="AJ176" s="77">
        <v>287000</v>
      </c>
      <c r="AK176" s="77">
        <v>27.4</v>
      </c>
      <c r="AL176" s="78">
        <f t="shared" si="443"/>
        <v>2.8373468518132152</v>
      </c>
      <c r="AM176" s="57">
        <f t="shared" si="444"/>
        <v>1</v>
      </c>
      <c r="AN176" s="57">
        <f t="shared" si="445"/>
        <v>0.8</v>
      </c>
      <c r="AO176" s="77">
        <v>700</v>
      </c>
      <c r="AP176" s="79">
        <v>80</v>
      </c>
      <c r="AQ176" s="57">
        <f t="shared" si="446"/>
        <v>77.651592659033668</v>
      </c>
      <c r="AR176" s="57">
        <f>AO176-2*AP176</f>
        <v>540</v>
      </c>
      <c r="AS176" s="57">
        <f t="shared" si="448"/>
        <v>622.34840734096633</v>
      </c>
      <c r="AT176" s="77">
        <v>100</v>
      </c>
      <c r="AU176" s="77">
        <v>1750</v>
      </c>
      <c r="AV176" s="77">
        <f t="shared" si="449"/>
        <v>70000</v>
      </c>
      <c r="AW176" s="77">
        <v>0</v>
      </c>
      <c r="AX176" s="77">
        <f t="shared" si="450"/>
        <v>70000</v>
      </c>
      <c r="AY176" s="77">
        <v>70000</v>
      </c>
      <c r="AZ176" s="77">
        <v>608.9</v>
      </c>
      <c r="BA176" s="77">
        <v>445.6</v>
      </c>
      <c r="BB176" s="77">
        <v>469.2</v>
      </c>
      <c r="BC176" s="77">
        <v>608.9</v>
      </c>
      <c r="BD176" s="77">
        <v>7.1999999999999998E-3</v>
      </c>
      <c r="BE176" s="77">
        <v>4.4000000000000003E-3</v>
      </c>
      <c r="BF176" s="77">
        <v>4.4999999999999997E-3</v>
      </c>
      <c r="BG176" s="77">
        <v>1.1599999999999999E-2</v>
      </c>
      <c r="BH176" s="79">
        <v>90</v>
      </c>
      <c r="BI176" s="79">
        <f t="shared" si="575"/>
        <v>19.634954084936208</v>
      </c>
      <c r="BJ176" s="79">
        <v>2</v>
      </c>
      <c r="BK176" s="57">
        <f t="shared" si="533"/>
        <v>39.269908169872416</v>
      </c>
      <c r="BL176" s="57">
        <f t="shared" si="515"/>
        <v>388.8</v>
      </c>
      <c r="BM176" s="80">
        <f>PI()*10*10/4</f>
        <v>78.539816339744831</v>
      </c>
      <c r="BN176" s="80">
        <v>4</v>
      </c>
      <c r="BO176" s="57">
        <f>BM176*BN176</f>
        <v>314.15926535897933</v>
      </c>
      <c r="BP176" s="57">
        <f t="shared" si="452"/>
        <v>114635.55959979993</v>
      </c>
      <c r="BQ176" s="77">
        <f t="shared" si="453"/>
        <v>6.1118043959140778E-10</v>
      </c>
      <c r="BR176" s="57">
        <f t="shared" si="520"/>
        <v>200612229.29964989</v>
      </c>
      <c r="BS176" s="57">
        <v>155.30318531806734</v>
      </c>
      <c r="BT176" s="57">
        <f t="shared" si="456"/>
        <v>157.14798002788743</v>
      </c>
      <c r="BU176" s="57"/>
      <c r="BV176" s="57">
        <v>3.3E-3</v>
      </c>
      <c r="BW176" s="57">
        <v>30000</v>
      </c>
      <c r="BX176" s="57">
        <v>200000</v>
      </c>
      <c r="BY176" s="77">
        <v>20</v>
      </c>
      <c r="BZ176" s="77">
        <f>BY176+60</f>
        <v>80</v>
      </c>
      <c r="CA176" s="77">
        <f>BZ176+135*1</f>
        <v>215</v>
      </c>
      <c r="CB176" s="77">
        <f>BZ176+135*2</f>
        <v>350</v>
      </c>
      <c r="CC176" s="77">
        <f>BZ176+135*3</f>
        <v>485</v>
      </c>
      <c r="CD176" s="77">
        <f>BZ176+135*4</f>
        <v>620</v>
      </c>
      <c r="CE176" s="77">
        <f>CD176+60</f>
        <v>680</v>
      </c>
      <c r="DM176" s="77">
        <f t="shared" si="577"/>
        <v>157.07963267948966</v>
      </c>
      <c r="DN176" s="77">
        <f t="shared" si="577"/>
        <v>157.07963267948966</v>
      </c>
      <c r="DO176" s="77">
        <f t="shared" si="574"/>
        <v>100.53096491487338</v>
      </c>
      <c r="DP176" s="77">
        <f t="shared" si="574"/>
        <v>100.53096491487338</v>
      </c>
      <c r="DQ176" s="77">
        <f t="shared" si="574"/>
        <v>100.53096491487338</v>
      </c>
      <c r="DR176" s="77">
        <f t="shared" si="578"/>
        <v>157.07963267948966</v>
      </c>
      <c r="DS176" s="77">
        <f t="shared" si="578"/>
        <v>157.07963267948966</v>
      </c>
      <c r="FA176" s="77">
        <f t="shared" si="579"/>
        <v>-73701.763653216549</v>
      </c>
      <c r="FB176" s="77">
        <f t="shared" si="580"/>
        <v>-50268.600730803992</v>
      </c>
      <c r="FC176" s="77">
        <f t="shared" si="564"/>
        <v>25504.36891695737</v>
      </c>
      <c r="FD176" s="77">
        <f t="shared" si="565"/>
        <v>44796.59796606758</v>
      </c>
      <c r="FE176" s="77">
        <f t="shared" si="566"/>
        <v>44796.59796606758</v>
      </c>
      <c r="FF176" s="77">
        <f t="shared" si="581"/>
        <v>73701.763653216549</v>
      </c>
      <c r="FG176" s="77">
        <f t="shared" si="581"/>
        <v>73701.763653216549</v>
      </c>
      <c r="GO176" s="77">
        <f t="shared" si="527"/>
        <v>24321582.00556146</v>
      </c>
      <c r="GP176" s="77">
        <f t="shared" si="528"/>
        <v>13572522.197317077</v>
      </c>
      <c r="GQ176" s="77">
        <f t="shared" si="529"/>
        <v>-3443089.803789245</v>
      </c>
      <c r="GR176" s="77">
        <f t="shared" si="530"/>
        <v>0</v>
      </c>
      <c r="GS176" s="77">
        <f t="shared" si="569"/>
        <v>6047540.7254191237</v>
      </c>
      <c r="GT176" s="77">
        <f t="shared" si="570"/>
        <v>19899476.186368469</v>
      </c>
      <c r="GU176" s="77">
        <f t="shared" si="571"/>
        <v>24321582.00556146</v>
      </c>
      <c r="IC176" s="82">
        <v>184</v>
      </c>
    </row>
    <row r="177" spans="1:237" s="77" customFormat="1">
      <c r="A177" s="77">
        <v>176</v>
      </c>
      <c r="B177" s="69">
        <v>248</v>
      </c>
      <c r="C177" s="69" t="s">
        <v>189</v>
      </c>
      <c r="D177" s="70" t="s">
        <v>192</v>
      </c>
      <c r="E177" s="70">
        <v>1</v>
      </c>
      <c r="F177" s="70">
        <v>7.5599582898852977E-2</v>
      </c>
      <c r="G177" s="70"/>
      <c r="H177" s="70"/>
      <c r="I177" s="70">
        <v>2.7E-2</v>
      </c>
      <c r="J177" s="71">
        <v>2.5</v>
      </c>
      <c r="K177" s="72">
        <v>7</v>
      </c>
      <c r="L177" s="71">
        <v>0.11709197080291972</v>
      </c>
      <c r="M177" s="71">
        <v>0.12444671532846716</v>
      </c>
      <c r="N177" s="71">
        <v>7.7058394160583937E-2</v>
      </c>
      <c r="O177" s="71">
        <v>0</v>
      </c>
      <c r="P177" s="71">
        <v>0.14963503649635038</v>
      </c>
      <c r="Q177" s="73" t="s">
        <v>3</v>
      </c>
      <c r="R177" s="74">
        <v>0</v>
      </c>
      <c r="S177" s="75">
        <f t="shared" si="455"/>
        <v>0.39572608709152202</v>
      </c>
      <c r="T177" s="59">
        <f t="shared" si="430"/>
        <v>0.60110260420598371</v>
      </c>
      <c r="U177" s="59">
        <f t="shared" si="431"/>
        <v>0.45885102479761986</v>
      </c>
      <c r="V177" s="59">
        <f t="shared" si="432"/>
        <v>0.79059006620551675</v>
      </c>
      <c r="W177" s="59">
        <f t="shared" si="433"/>
        <v>1.3152331410206304</v>
      </c>
      <c r="X177" s="59">
        <f t="shared" si="434"/>
        <v>1.7229776626394444</v>
      </c>
      <c r="Y177" s="86">
        <v>145000</v>
      </c>
      <c r="Z177" s="57">
        <f t="shared" si="435"/>
        <v>249831.76108271943</v>
      </c>
      <c r="AA177" s="57">
        <f t="shared" si="436"/>
        <v>190708.80544799141</v>
      </c>
      <c r="AB177" s="57">
        <f t="shared" si="576"/>
        <v>118823.43010619155</v>
      </c>
      <c r="AC177" s="57">
        <f t="shared" si="438"/>
        <v>0.17</v>
      </c>
      <c r="AD177" s="57">
        <f t="shared" si="439"/>
        <v>2.2000000000000002</v>
      </c>
      <c r="AE177" s="57">
        <f t="shared" si="440"/>
        <v>287000</v>
      </c>
      <c r="AF177" s="57">
        <f t="shared" si="441"/>
        <v>58431.018689408455</v>
      </c>
      <c r="AG177" s="57">
        <f t="shared" si="517"/>
        <v>132277.78675858295</v>
      </c>
      <c r="AH177" s="57">
        <f>AM177*AK177*AT177*AP177*(AS177-0.5*AP177)</f>
        <v>127650770.88913982</v>
      </c>
      <c r="AI177" s="57">
        <f>BB177*BO177*(AS177-AQ177)</f>
        <v>80290231.796695396</v>
      </c>
      <c r="AJ177" s="77">
        <v>287000</v>
      </c>
      <c r="AK177" s="77">
        <v>27.4</v>
      </c>
      <c r="AL177" s="78">
        <f t="shared" si="443"/>
        <v>2.8373468518132152</v>
      </c>
      <c r="AM177" s="57">
        <f t="shared" si="444"/>
        <v>1</v>
      </c>
      <c r="AN177" s="57">
        <f t="shared" si="445"/>
        <v>0.8</v>
      </c>
      <c r="AO177" s="77">
        <v>700</v>
      </c>
      <c r="AP177" s="79">
        <v>80</v>
      </c>
      <c r="AQ177" s="57">
        <f t="shared" si="446"/>
        <v>77.651592659033668</v>
      </c>
      <c r="AR177" s="57">
        <f>AO177-2*AP177</f>
        <v>540</v>
      </c>
      <c r="AS177" s="57">
        <f t="shared" si="448"/>
        <v>622.34840734096633</v>
      </c>
      <c r="AT177" s="77">
        <v>100</v>
      </c>
      <c r="AU177" s="77">
        <v>1750</v>
      </c>
      <c r="AV177" s="77">
        <f t="shared" si="449"/>
        <v>70000</v>
      </c>
      <c r="AW177" s="77">
        <v>0</v>
      </c>
      <c r="AX177" s="77">
        <f t="shared" si="450"/>
        <v>70000</v>
      </c>
      <c r="AY177" s="77">
        <v>70000</v>
      </c>
      <c r="AZ177" s="77">
        <v>608.9</v>
      </c>
      <c r="BA177" s="77">
        <v>445.6</v>
      </c>
      <c r="BB177" s="77">
        <v>469.2</v>
      </c>
      <c r="BC177" s="77">
        <v>0</v>
      </c>
      <c r="BD177" s="77">
        <v>7.1999999999999998E-3</v>
      </c>
      <c r="BE177" s="77">
        <v>4.4000000000000003E-3</v>
      </c>
      <c r="BF177" s="77">
        <v>4.4999999999999997E-3</v>
      </c>
      <c r="BG177" s="77">
        <v>0</v>
      </c>
      <c r="BH177" s="79">
        <v>90</v>
      </c>
      <c r="BI177" s="79">
        <f t="shared" si="575"/>
        <v>19.634954084936208</v>
      </c>
      <c r="BJ177" s="79">
        <v>2</v>
      </c>
      <c r="BK177" s="57">
        <f t="shared" si="533"/>
        <v>39.269908169872416</v>
      </c>
      <c r="BL177" s="57">
        <f t="shared" si="515"/>
        <v>388.8</v>
      </c>
      <c r="BM177" s="80">
        <f>PI()*10*10/4</f>
        <v>78.539816339744831</v>
      </c>
      <c r="BN177" s="80">
        <v>4</v>
      </c>
      <c r="BO177" s="57">
        <f>BM177*BN177</f>
        <v>314.15926535897933</v>
      </c>
      <c r="BP177" s="57">
        <f t="shared" si="452"/>
        <v>114635.55959979993</v>
      </c>
      <c r="BQ177" s="77">
        <f t="shared" si="453"/>
        <v>6.1118043959140778E-10</v>
      </c>
      <c r="BR177" s="57">
        <f t="shared" si="520"/>
        <v>200612229.29964989</v>
      </c>
      <c r="BS177" s="57">
        <v>155.30318531806734</v>
      </c>
      <c r="BT177" s="57">
        <f t="shared" si="456"/>
        <v>157.14798002788743</v>
      </c>
      <c r="BU177" s="57"/>
      <c r="BV177" s="57">
        <v>3.3E-3</v>
      </c>
      <c r="BW177" s="57">
        <v>30000</v>
      </c>
      <c r="BX177" s="57">
        <v>200000</v>
      </c>
      <c r="BY177" s="77">
        <v>20</v>
      </c>
      <c r="BZ177" s="77">
        <f>BY177+60</f>
        <v>80</v>
      </c>
      <c r="CA177" s="77">
        <f>BZ177+135*1</f>
        <v>215</v>
      </c>
      <c r="CB177" s="77">
        <f>BZ177+135*2</f>
        <v>350</v>
      </c>
      <c r="CC177" s="77">
        <f>BZ177+135*3</f>
        <v>485</v>
      </c>
      <c r="CD177" s="77">
        <f>BZ177+135*4</f>
        <v>620</v>
      </c>
      <c r="CE177" s="77">
        <f>CD177+60</f>
        <v>680</v>
      </c>
      <c r="DM177" s="77">
        <f t="shared" si="577"/>
        <v>157.07963267948966</v>
      </c>
      <c r="DN177" s="77">
        <f t="shared" si="577"/>
        <v>157.07963267948966</v>
      </c>
      <c r="DO177" s="77">
        <f t="shared" si="574"/>
        <v>100.53096491487338</v>
      </c>
      <c r="DP177" s="77">
        <f t="shared" si="574"/>
        <v>100.53096491487338</v>
      </c>
      <c r="DQ177" s="77">
        <f t="shared" si="574"/>
        <v>100.53096491487338</v>
      </c>
      <c r="DR177" s="77">
        <f t="shared" si="578"/>
        <v>157.07963267948966</v>
      </c>
      <c r="DS177" s="77">
        <f t="shared" si="578"/>
        <v>157.07963267948966</v>
      </c>
      <c r="FA177" s="77">
        <f t="shared" si="579"/>
        <v>-73701.763653216549</v>
      </c>
      <c r="FB177" s="77">
        <f t="shared" si="580"/>
        <v>-50268.600730803992</v>
      </c>
      <c r="FC177" s="77">
        <f t="shared" si="564"/>
        <v>25504.36891695737</v>
      </c>
      <c r="FD177" s="77">
        <f t="shared" si="565"/>
        <v>44796.59796606758</v>
      </c>
      <c r="FE177" s="77">
        <f t="shared" si="566"/>
        <v>44796.59796606758</v>
      </c>
      <c r="FF177" s="77">
        <f t="shared" si="581"/>
        <v>73701.763653216549</v>
      </c>
      <c r="FG177" s="77">
        <f t="shared" si="581"/>
        <v>73701.763653216549</v>
      </c>
      <c r="GO177" s="77">
        <f t="shared" si="527"/>
        <v>24321582.00556146</v>
      </c>
      <c r="GP177" s="77">
        <f t="shared" si="528"/>
        <v>13572522.197317077</v>
      </c>
      <c r="GQ177" s="77">
        <f t="shared" si="529"/>
        <v>-3443089.803789245</v>
      </c>
      <c r="GR177" s="77">
        <f t="shared" si="530"/>
        <v>0</v>
      </c>
      <c r="GS177" s="77">
        <f t="shared" si="569"/>
        <v>6047540.7254191237</v>
      </c>
      <c r="GT177" s="77">
        <f t="shared" si="570"/>
        <v>19899476.186368469</v>
      </c>
      <c r="GU177" s="77">
        <f t="shared" si="571"/>
        <v>24321582.00556146</v>
      </c>
      <c r="IC177" s="82">
        <v>185</v>
      </c>
    </row>
    <row r="178" spans="1:237" s="77" customFormat="1">
      <c r="A178" s="77">
        <v>177</v>
      </c>
      <c r="B178" s="69">
        <v>249</v>
      </c>
      <c r="C178" s="69" t="s">
        <v>193</v>
      </c>
      <c r="D178" s="70">
        <v>1</v>
      </c>
      <c r="E178" s="87">
        <v>3</v>
      </c>
      <c r="F178" s="70">
        <v>8.505154639175258E-2</v>
      </c>
      <c r="G178" s="70">
        <v>1E-3</v>
      </c>
      <c r="H178" s="70">
        <v>1.32E-2</v>
      </c>
      <c r="I178" s="118">
        <f>18.5/AU178</f>
        <v>9.2499999999999995E-3</v>
      </c>
      <c r="J178" s="71">
        <v>1</v>
      </c>
      <c r="K178" s="72">
        <v>8.3333333333333339</v>
      </c>
      <c r="L178" s="71">
        <v>5.0515463917525774E-2</v>
      </c>
      <c r="M178" s="71">
        <v>2.6268041237113401E-2</v>
      </c>
      <c r="N178" s="71">
        <v>0.9541809851088201</v>
      </c>
      <c r="O178" s="71">
        <v>2.6268041237113401E-2</v>
      </c>
      <c r="P178" s="71">
        <v>0</v>
      </c>
      <c r="Q178" s="73" t="s">
        <v>3</v>
      </c>
      <c r="R178" s="74">
        <v>0</v>
      </c>
      <c r="S178" s="75">
        <f t="shared" si="455"/>
        <v>0.37461320257886233</v>
      </c>
      <c r="T178" s="59">
        <f t="shared" si="430"/>
        <v>1.267370633133369</v>
      </c>
      <c r="U178" s="59">
        <f t="shared" si="431"/>
        <v>0.99688688167163597</v>
      </c>
      <c r="V178" s="59">
        <f t="shared" si="432"/>
        <v>0.97316446436779924</v>
      </c>
      <c r="W178" s="59">
        <f t="shared" si="433"/>
        <v>0.76786098630185828</v>
      </c>
      <c r="X178" s="59">
        <f t="shared" si="434"/>
        <v>0.97620350138015899</v>
      </c>
      <c r="Y178" s="76">
        <v>198000</v>
      </c>
      <c r="Z178" s="57">
        <f t="shared" si="435"/>
        <v>193288.29327327147</v>
      </c>
      <c r="AA178" s="57">
        <f t="shared" si="436"/>
        <v>152036.47528776794</v>
      </c>
      <c r="AB178" s="57">
        <f t="shared" si="576"/>
        <v>0</v>
      </c>
      <c r="AC178" s="57">
        <f t="shared" si="438"/>
        <v>0.25</v>
      </c>
      <c r="AD178" s="57">
        <f t="shared" si="439"/>
        <v>1.5</v>
      </c>
      <c r="AE178" s="57">
        <f t="shared" si="440"/>
        <v>0</v>
      </c>
      <c r="AF178" s="57">
        <f t="shared" si="441"/>
        <v>105998.32648622943</v>
      </c>
      <c r="AG178" s="57">
        <f t="shared" ref="AG178:AG199" si="582">0.8*AZ178*BE178*AT178*AS178</f>
        <v>46038.148801538518</v>
      </c>
      <c r="AH178" s="57"/>
      <c r="AI178" s="57"/>
      <c r="AJ178" s="77">
        <v>0</v>
      </c>
      <c r="AK178" s="77">
        <v>19.399999999999999</v>
      </c>
      <c r="AL178" s="78">
        <f t="shared" si="443"/>
        <v>2.3466081318881078</v>
      </c>
      <c r="AM178" s="57">
        <f t="shared" si="444"/>
        <v>1</v>
      </c>
      <c r="AN178" s="57">
        <f t="shared" si="445"/>
        <v>0.8</v>
      </c>
      <c r="AO178" s="77">
        <v>1000</v>
      </c>
      <c r="AP178" s="79"/>
      <c r="AQ178" s="77">
        <f t="shared" si="446"/>
        <v>58.940247221298627</v>
      </c>
      <c r="AS178" s="77">
        <f t="shared" si="448"/>
        <v>941.05975277870141</v>
      </c>
      <c r="AT178" s="77">
        <v>120</v>
      </c>
      <c r="AU178" s="77">
        <v>2000</v>
      </c>
      <c r="AV178" s="77">
        <f t="shared" si="449"/>
        <v>120000</v>
      </c>
      <c r="AX178" s="77">
        <f t="shared" si="450"/>
        <v>120000</v>
      </c>
      <c r="AY178" s="77">
        <v>120000</v>
      </c>
      <c r="AZ178" s="77">
        <v>392</v>
      </c>
      <c r="BA178" s="77">
        <v>392</v>
      </c>
      <c r="BB178" s="77">
        <v>392</v>
      </c>
      <c r="BD178" s="77">
        <v>2.5000000000000001E-3</v>
      </c>
      <c r="BE178" s="77">
        <v>1.2999999999999999E-3</v>
      </c>
      <c r="BH178" s="79"/>
      <c r="BI178" s="79"/>
      <c r="BJ178" s="79"/>
      <c r="BK178" s="57"/>
      <c r="BL178" s="57" t="b">
        <f t="shared" si="515"/>
        <v>0</v>
      </c>
      <c r="BM178" s="80"/>
      <c r="BN178" s="80"/>
      <c r="BO178" s="57"/>
      <c r="BP178" s="57">
        <f t="shared" si="452"/>
        <v>192686.56394482424</v>
      </c>
      <c r="BQ178" s="77">
        <f t="shared" si="453"/>
        <v>2.2700987756252289E-9</v>
      </c>
      <c r="BR178" s="57">
        <f t="shared" si="520"/>
        <v>385373127.8896485</v>
      </c>
      <c r="BS178" s="57">
        <v>117.88049444259725</v>
      </c>
      <c r="BT178" s="57">
        <f t="shared" si="456"/>
        <v>0</v>
      </c>
      <c r="BU178" s="57"/>
      <c r="BV178" s="57">
        <v>3.3E-3</v>
      </c>
      <c r="BW178" s="57">
        <v>30000</v>
      </c>
      <c r="BX178" s="57">
        <v>200000</v>
      </c>
      <c r="BY178" s="77">
        <v>33</v>
      </c>
      <c r="BZ178" s="77">
        <v>116.5</v>
      </c>
      <c r="CA178" s="77">
        <v>249.5</v>
      </c>
      <c r="CB178" s="77">
        <v>416.5</v>
      </c>
      <c r="CC178" s="77">
        <v>583.5</v>
      </c>
      <c r="CD178" s="77">
        <v>750.5</v>
      </c>
      <c r="CE178" s="77">
        <v>883.5</v>
      </c>
      <c r="CF178" s="77">
        <v>967</v>
      </c>
      <c r="DM178" s="77">
        <v>508.9</v>
      </c>
      <c r="DN178" s="77">
        <v>508.9</v>
      </c>
      <c r="DO178" s="77">
        <v>50.3</v>
      </c>
      <c r="DP178" s="77">
        <v>50.3</v>
      </c>
      <c r="DQ178" s="77">
        <v>50.3</v>
      </c>
      <c r="DR178" s="77">
        <v>50.3</v>
      </c>
      <c r="DS178" s="77">
        <v>508.9</v>
      </c>
      <c r="DT178" s="77">
        <v>508.9</v>
      </c>
      <c r="FA178" s="77">
        <f t="shared" si="579"/>
        <v>-199488.8</v>
      </c>
      <c r="FB178" s="77">
        <f t="shared" si="580"/>
        <v>-3933.4089376313086</v>
      </c>
      <c r="FC178" s="77">
        <f t="shared" si="564"/>
        <v>19717.599999999999</v>
      </c>
      <c r="FD178" s="77">
        <f t="shared" si="565"/>
        <v>19717.599999999999</v>
      </c>
      <c r="FE178" s="77">
        <f t="shared" si="566"/>
        <v>19717.599999999999</v>
      </c>
      <c r="FF178" s="77">
        <f t="shared" ref="FF178:FF191" si="583">IF(ABS(-$BV178*($BS178-CD178)/$BS178*$BX178)&gt;$BA178,$BA178*SIGN(-($BS178-CD178)),-$BV178*($BS178-CD178)/$BS178*$BX178)*DR178</f>
        <v>19717.599999999999</v>
      </c>
      <c r="FG178" s="77">
        <f t="shared" ref="FG178:FH180" si="584">IF(ABS(-$BV178*($BS178-CE178)/$BS178*$BX178)&gt;$BB178,$BB178*SIGN(-($BS178-CE178)),-$BV178*($BS178-CE178)/$BS178*$BX178)*DS178</f>
        <v>199488.8</v>
      </c>
      <c r="FH178" s="77">
        <f t="shared" si="584"/>
        <v>199488.8</v>
      </c>
      <c r="GO178" s="77">
        <f t="shared" si="527"/>
        <v>93161269.599999994</v>
      </c>
      <c r="GP178" s="77">
        <f t="shared" si="528"/>
        <v>1508462.3275816068</v>
      </c>
      <c r="GQ178" s="77">
        <f t="shared" si="529"/>
        <v>-4939258.8</v>
      </c>
      <c r="GR178" s="77">
        <f t="shared" si="530"/>
        <v>-1646419.5999999999</v>
      </c>
      <c r="GS178" s="77">
        <f t="shared" si="569"/>
        <v>1646419.5999999999</v>
      </c>
      <c r="GT178" s="77">
        <f t="shared" si="570"/>
        <v>4939258.8</v>
      </c>
      <c r="GU178" s="77">
        <f t="shared" si="571"/>
        <v>76503954.799999997</v>
      </c>
      <c r="GV178" s="77">
        <f t="shared" ref="GV178:GV191" si="585">FH178*(CF178-0.5*$AO178)</f>
        <v>93161269.599999994</v>
      </c>
      <c r="IC178" s="82">
        <v>186</v>
      </c>
    </row>
    <row r="179" spans="1:237" s="77" customFormat="1">
      <c r="A179" s="77">
        <v>178</v>
      </c>
      <c r="B179" s="69">
        <v>250</v>
      </c>
      <c r="C179" s="69" t="s">
        <v>193</v>
      </c>
      <c r="D179" s="70">
        <v>2</v>
      </c>
      <c r="E179" s="87">
        <v>3</v>
      </c>
      <c r="F179" s="70">
        <v>0.11479591836734693</v>
      </c>
      <c r="G179" s="70">
        <v>7.0000000000000001E-3</v>
      </c>
      <c r="H179" s="70">
        <v>1.4999999999999999E-2</v>
      </c>
      <c r="I179" s="118">
        <f>26.1/AU179</f>
        <v>1.3050000000000001E-2</v>
      </c>
      <c r="J179" s="71">
        <v>1</v>
      </c>
      <c r="K179" s="72">
        <v>8.3333333333333339</v>
      </c>
      <c r="L179" s="71">
        <v>5.1275510204081637E-2</v>
      </c>
      <c r="M179" s="71">
        <v>5.1275510204081637E-2</v>
      </c>
      <c r="N179" s="71">
        <v>0.96853741496598633</v>
      </c>
      <c r="O179" s="71">
        <v>5.1275510204081637E-2</v>
      </c>
      <c r="P179" s="71">
        <v>0</v>
      </c>
      <c r="Q179" s="73" t="s">
        <v>3</v>
      </c>
      <c r="R179" s="74">
        <v>0</v>
      </c>
      <c r="S179" s="75">
        <f t="shared" si="455"/>
        <v>0.5082231953842038</v>
      </c>
      <c r="T179" s="59">
        <f t="shared" si="430"/>
        <v>0.99881752633023213</v>
      </c>
      <c r="U179" s="59">
        <f t="shared" si="431"/>
        <v>0.7776594098637537</v>
      </c>
      <c r="V179" s="59">
        <f t="shared" si="432"/>
        <v>0.72989286647743479</v>
      </c>
      <c r="W179" s="59">
        <f t="shared" si="433"/>
        <v>0.73075696735032591</v>
      </c>
      <c r="X179" s="59">
        <f t="shared" si="434"/>
        <v>0.93857652491508126</v>
      </c>
      <c r="Y179" s="76">
        <v>270000</v>
      </c>
      <c r="Z179" s="57">
        <f t="shared" si="435"/>
        <v>253415.66172707194</v>
      </c>
      <c r="AA179" s="57">
        <f t="shared" si="436"/>
        <v>197304.38118458801</v>
      </c>
      <c r="AB179" s="57">
        <f t="shared" si="576"/>
        <v>0</v>
      </c>
      <c r="AC179" s="57">
        <f t="shared" si="438"/>
        <v>0.25</v>
      </c>
      <c r="AD179" s="57">
        <f t="shared" si="439"/>
        <v>1.5</v>
      </c>
      <c r="AE179" s="57">
        <f t="shared" si="440"/>
        <v>0</v>
      </c>
      <c r="AF179" s="57">
        <f t="shared" si="441"/>
        <v>106550.96458210805</v>
      </c>
      <c r="AG179" s="57">
        <f t="shared" si="582"/>
        <v>90753.416602479949</v>
      </c>
      <c r="AH179" s="57"/>
      <c r="AI179" s="57"/>
      <c r="AJ179" s="77">
        <v>0</v>
      </c>
      <c r="AK179" s="77">
        <v>19.600000000000001</v>
      </c>
      <c r="AL179" s="78">
        <f t="shared" si="443"/>
        <v>2.3598829314397931</v>
      </c>
      <c r="AM179" s="57">
        <f t="shared" si="444"/>
        <v>1</v>
      </c>
      <c r="AN179" s="57">
        <f t="shared" si="445"/>
        <v>0.8</v>
      </c>
      <c r="AO179" s="77">
        <v>1000</v>
      </c>
      <c r="AP179" s="79"/>
      <c r="AQ179" s="77">
        <f t="shared" si="446"/>
        <v>59.355134717247616</v>
      </c>
      <c r="AS179" s="77">
        <f t="shared" si="448"/>
        <v>940.64486528275233</v>
      </c>
      <c r="AT179" s="77">
        <v>120</v>
      </c>
      <c r="AU179" s="77">
        <v>2000</v>
      </c>
      <c r="AV179" s="77">
        <f t="shared" si="449"/>
        <v>120000</v>
      </c>
      <c r="AX179" s="77">
        <f t="shared" si="450"/>
        <v>120000</v>
      </c>
      <c r="AY179" s="77">
        <v>120000</v>
      </c>
      <c r="AZ179" s="77">
        <v>402</v>
      </c>
      <c r="BA179" s="77">
        <v>402</v>
      </c>
      <c r="BB179" s="77">
        <v>402</v>
      </c>
      <c r="BD179" s="77">
        <v>2.5000000000000001E-3</v>
      </c>
      <c r="BE179" s="77">
        <v>2.5000000000000001E-3</v>
      </c>
      <c r="BH179" s="79"/>
      <c r="BI179" s="79"/>
      <c r="BJ179" s="79"/>
      <c r="BK179" s="57"/>
      <c r="BL179" s="57" t="b">
        <f t="shared" si="515"/>
        <v>0</v>
      </c>
      <c r="BM179" s="80"/>
      <c r="BN179" s="80"/>
      <c r="BO179" s="57"/>
      <c r="BP179" s="57">
        <f t="shared" si="452"/>
        <v>197071.0739489074</v>
      </c>
      <c r="BQ179" s="77">
        <f t="shared" si="453"/>
        <v>2.2118911147117615E-9</v>
      </c>
      <c r="BR179" s="57">
        <f t="shared" si="520"/>
        <v>394142147.89781481</v>
      </c>
      <c r="BS179" s="57">
        <v>118.71026943449523</v>
      </c>
      <c r="BT179" s="57">
        <f t="shared" si="456"/>
        <v>0</v>
      </c>
      <c r="BU179" s="57"/>
      <c r="BV179" s="57">
        <v>3.3E-3</v>
      </c>
      <c r="BW179" s="57">
        <v>30000</v>
      </c>
      <c r="BX179" s="57">
        <v>200000</v>
      </c>
      <c r="BY179" s="77">
        <v>35</v>
      </c>
      <c r="BZ179" s="77">
        <v>116.5</v>
      </c>
      <c r="CA179" s="77">
        <v>249.5</v>
      </c>
      <c r="CB179" s="77">
        <v>416.5</v>
      </c>
      <c r="CC179" s="77">
        <v>583.5</v>
      </c>
      <c r="CD179" s="77">
        <v>750.5</v>
      </c>
      <c r="CE179" s="77">
        <v>883.5</v>
      </c>
      <c r="CF179" s="77">
        <v>965</v>
      </c>
      <c r="DM179" s="77">
        <v>508.9</v>
      </c>
      <c r="DN179" s="77">
        <v>508.9</v>
      </c>
      <c r="DO179" s="77">
        <v>50.3</v>
      </c>
      <c r="DP179" s="77">
        <v>50.3</v>
      </c>
      <c r="DQ179" s="77">
        <v>50.3</v>
      </c>
      <c r="DR179" s="77">
        <v>50.3</v>
      </c>
      <c r="DS179" s="77">
        <v>508.9</v>
      </c>
      <c r="DT179" s="77">
        <v>508.9</v>
      </c>
      <c r="FA179" s="77">
        <f t="shared" si="579"/>
        <v>-204577.8</v>
      </c>
      <c r="FB179" s="77">
        <f t="shared" si="580"/>
        <v>-6253.6462900650295</v>
      </c>
      <c r="FC179" s="77">
        <f t="shared" si="564"/>
        <v>20220.599999999999</v>
      </c>
      <c r="FD179" s="77">
        <f t="shared" si="565"/>
        <v>20220.599999999999</v>
      </c>
      <c r="FE179" s="77">
        <f t="shared" si="566"/>
        <v>20220.599999999999</v>
      </c>
      <c r="FF179" s="77">
        <f t="shared" si="583"/>
        <v>20220.599999999999</v>
      </c>
      <c r="FG179" s="77">
        <f t="shared" si="584"/>
        <v>204577.8</v>
      </c>
      <c r="FH179" s="77">
        <f t="shared" si="584"/>
        <v>204577.8</v>
      </c>
      <c r="GO179" s="77">
        <f t="shared" si="527"/>
        <v>95128677</v>
      </c>
      <c r="GP179" s="77">
        <f t="shared" si="528"/>
        <v>2398273.3522399389</v>
      </c>
      <c r="GQ179" s="77">
        <f t="shared" si="529"/>
        <v>-5065260.3</v>
      </c>
      <c r="GR179" s="77">
        <f t="shared" si="530"/>
        <v>-1688420.0999999999</v>
      </c>
      <c r="GS179" s="77">
        <f t="shared" si="569"/>
        <v>1688420.0999999999</v>
      </c>
      <c r="GT179" s="77">
        <f t="shared" si="570"/>
        <v>5065260.3</v>
      </c>
      <c r="GU179" s="77">
        <f t="shared" si="571"/>
        <v>78455586.299999997</v>
      </c>
      <c r="GV179" s="77">
        <f t="shared" si="585"/>
        <v>95128677</v>
      </c>
      <c r="IC179" s="82">
        <v>187</v>
      </c>
    </row>
    <row r="180" spans="1:237" s="77" customFormat="1">
      <c r="A180" s="77">
        <v>179</v>
      </c>
      <c r="B180" s="69">
        <v>251</v>
      </c>
      <c r="C180" s="69" t="s">
        <v>193</v>
      </c>
      <c r="D180" s="70">
        <v>4</v>
      </c>
      <c r="E180" s="87">
        <v>3</v>
      </c>
      <c r="F180" s="70">
        <v>0.13846153846153847</v>
      </c>
      <c r="G180" s="70">
        <v>8.9999999999999993E-3</v>
      </c>
      <c r="H180" s="70">
        <v>1.4999999999999999E-2</v>
      </c>
      <c r="I180" s="118">
        <f>24.2/AU180</f>
        <v>1.21E-2</v>
      </c>
      <c r="J180" s="71">
        <v>1</v>
      </c>
      <c r="K180" s="72">
        <v>8.3333333333333339</v>
      </c>
      <c r="L180" s="71">
        <v>5.1538461538461547E-2</v>
      </c>
      <c r="M180" s="71">
        <v>7.8338461538461537E-2</v>
      </c>
      <c r="N180" s="71">
        <v>1.2121082621082622</v>
      </c>
      <c r="O180" s="71">
        <v>7.8338461538461537E-2</v>
      </c>
      <c r="P180" s="71">
        <v>0</v>
      </c>
      <c r="Q180" s="73" t="s">
        <v>3</v>
      </c>
      <c r="R180" s="74">
        <v>0</v>
      </c>
      <c r="S180" s="75">
        <f t="shared" si="455"/>
        <v>0.61142959843808165</v>
      </c>
      <c r="T180" s="59">
        <f t="shared" si="430"/>
        <v>0.99192879457491323</v>
      </c>
      <c r="U180" s="59">
        <f t="shared" si="431"/>
        <v>0.76693746174941335</v>
      </c>
      <c r="V180" s="59">
        <f t="shared" si="432"/>
        <v>0.74749988861789396</v>
      </c>
      <c r="W180" s="59">
        <f t="shared" si="433"/>
        <v>0.75358220540238652</v>
      </c>
      <c r="X180" s="59">
        <f t="shared" si="434"/>
        <v>0.97465559566332627</v>
      </c>
      <c r="Y180" s="76">
        <v>324000</v>
      </c>
      <c r="Z180" s="57">
        <f t="shared" si="435"/>
        <v>315788.41299491771</v>
      </c>
      <c r="AA180" s="57">
        <f t="shared" si="436"/>
        <v>244160.63455037324</v>
      </c>
      <c r="AB180" s="57">
        <f t="shared" si="576"/>
        <v>0</v>
      </c>
      <c r="AC180" s="57">
        <f t="shared" si="438"/>
        <v>0.25</v>
      </c>
      <c r="AD180" s="57">
        <f t="shared" si="439"/>
        <v>1.5</v>
      </c>
      <c r="AE180" s="57">
        <f t="shared" si="440"/>
        <v>0</v>
      </c>
      <c r="AF180" s="57">
        <f t="shared" si="441"/>
        <v>106235.88149446015</v>
      </c>
      <c r="AG180" s="57">
        <f t="shared" si="582"/>
        <v>137924.75305591308</v>
      </c>
      <c r="AH180" s="57"/>
      <c r="AI180" s="57"/>
      <c r="AJ180" s="77">
        <v>0</v>
      </c>
      <c r="AK180" s="77">
        <v>19.5</v>
      </c>
      <c r="AL180" s="78">
        <f t="shared" si="443"/>
        <v>2.3532531902398768</v>
      </c>
      <c r="AM180" s="57">
        <f t="shared" si="444"/>
        <v>1</v>
      </c>
      <c r="AN180" s="57">
        <f t="shared" si="445"/>
        <v>0.8</v>
      </c>
      <c r="AO180" s="77">
        <v>1000</v>
      </c>
      <c r="AP180" s="79"/>
      <c r="AQ180" s="77">
        <f t="shared" si="446"/>
        <v>59.494515798794701</v>
      </c>
      <c r="AS180" s="77">
        <f t="shared" si="448"/>
        <v>940.50548420120526</v>
      </c>
      <c r="AT180" s="77">
        <v>120</v>
      </c>
      <c r="AU180" s="77">
        <v>2000</v>
      </c>
      <c r="AV180" s="77">
        <f t="shared" si="449"/>
        <v>120000</v>
      </c>
      <c r="AX180" s="77">
        <f t="shared" si="450"/>
        <v>120000</v>
      </c>
      <c r="AY180" s="77">
        <v>120000</v>
      </c>
      <c r="AZ180" s="77">
        <v>402</v>
      </c>
      <c r="BA180" s="77">
        <v>402</v>
      </c>
      <c r="BB180" s="77">
        <v>402</v>
      </c>
      <c r="BD180" s="77">
        <v>2.5000000000000001E-3</v>
      </c>
      <c r="BE180" s="77">
        <v>3.8E-3</v>
      </c>
      <c r="BH180" s="79"/>
      <c r="BI180" s="79"/>
      <c r="BJ180" s="79"/>
      <c r="BK180" s="57"/>
      <c r="BL180" s="57" t="b">
        <f t="shared" si="515"/>
        <v>0</v>
      </c>
      <c r="BM180" s="80"/>
      <c r="BN180" s="80"/>
      <c r="BO180" s="57"/>
      <c r="BP180" s="57">
        <f t="shared" si="452"/>
        <v>242189.96391219765</v>
      </c>
      <c r="BQ180" s="77">
        <f t="shared" si="453"/>
        <v>2.2118911147117615E-9</v>
      </c>
      <c r="BR180" s="57">
        <f t="shared" si="520"/>
        <v>484379927.8243953</v>
      </c>
      <c r="BS180" s="57">
        <v>118.9890315975894</v>
      </c>
      <c r="BT180" s="57">
        <f t="shared" si="456"/>
        <v>0</v>
      </c>
      <c r="BU180" s="57"/>
      <c r="BV180" s="57">
        <v>3.3E-3</v>
      </c>
      <c r="BW180" s="57">
        <v>30000</v>
      </c>
      <c r="BX180" s="57">
        <v>200000</v>
      </c>
      <c r="BY180" s="77">
        <v>41</v>
      </c>
      <c r="BZ180" s="77">
        <v>116.5</v>
      </c>
      <c r="CA180" s="77">
        <v>249.5</v>
      </c>
      <c r="CB180" s="77">
        <v>416.5</v>
      </c>
      <c r="CC180" s="77">
        <v>583.5</v>
      </c>
      <c r="CD180" s="77">
        <v>750.5</v>
      </c>
      <c r="CE180" s="77">
        <v>883.5</v>
      </c>
      <c r="CF180" s="77">
        <v>959</v>
      </c>
      <c r="DM180" s="77">
        <v>760.3</v>
      </c>
      <c r="DN180" s="77">
        <v>508.9</v>
      </c>
      <c r="DO180" s="77">
        <v>50.3</v>
      </c>
      <c r="DP180" s="77">
        <v>50.3</v>
      </c>
      <c r="DQ180" s="77">
        <v>50.3</v>
      </c>
      <c r="DR180" s="77">
        <v>50.3</v>
      </c>
      <c r="DS180" s="77">
        <v>508.9</v>
      </c>
      <c r="DT180" s="77">
        <v>760.3</v>
      </c>
      <c r="FA180" s="77">
        <f t="shared" si="579"/>
        <v>-305640.59999999998</v>
      </c>
      <c r="FB180" s="77">
        <f t="shared" si="580"/>
        <v>-7025.8660616385714</v>
      </c>
      <c r="FC180" s="77">
        <f t="shared" si="564"/>
        <v>20220.599999999999</v>
      </c>
      <c r="FD180" s="77">
        <f t="shared" si="565"/>
        <v>20220.599999999999</v>
      </c>
      <c r="FE180" s="77">
        <f t="shared" si="566"/>
        <v>20220.599999999999</v>
      </c>
      <c r="FF180" s="77">
        <f t="shared" si="583"/>
        <v>20220.599999999999</v>
      </c>
      <c r="FG180" s="77">
        <f t="shared" si="584"/>
        <v>204577.8</v>
      </c>
      <c r="FH180" s="77">
        <f t="shared" si="584"/>
        <v>305640.59999999998</v>
      </c>
      <c r="GO180" s="77">
        <f t="shared" si="527"/>
        <v>140289035.39999998</v>
      </c>
      <c r="GP180" s="77">
        <f t="shared" si="528"/>
        <v>2694419.6346383924</v>
      </c>
      <c r="GQ180" s="77">
        <f t="shared" si="529"/>
        <v>-5065260.3</v>
      </c>
      <c r="GR180" s="77">
        <f t="shared" si="530"/>
        <v>-1688420.0999999999</v>
      </c>
      <c r="GS180" s="77">
        <f t="shared" si="569"/>
        <v>1688420.0999999999</v>
      </c>
      <c r="GT180" s="77">
        <f t="shared" si="570"/>
        <v>5065260.3</v>
      </c>
      <c r="GU180" s="77">
        <f t="shared" si="571"/>
        <v>78455586.299999997</v>
      </c>
      <c r="GV180" s="77">
        <f t="shared" si="585"/>
        <v>140289035.39999998</v>
      </c>
      <c r="IC180" s="82">
        <v>188</v>
      </c>
    </row>
    <row r="181" spans="1:237" s="77" customFormat="1">
      <c r="A181" s="77">
        <v>180</v>
      </c>
      <c r="B181" s="69">
        <v>252</v>
      </c>
      <c r="C181" s="69" t="s">
        <v>193</v>
      </c>
      <c r="D181" s="70">
        <v>6</v>
      </c>
      <c r="E181" s="87">
        <v>3</v>
      </c>
      <c r="F181" s="70">
        <v>0.11254370629370629</v>
      </c>
      <c r="G181" s="70">
        <v>5.5555559999999997E-3</v>
      </c>
      <c r="H181" s="70">
        <v>8.777778E-3</v>
      </c>
      <c r="I181" s="118">
        <f>17.1/AU181</f>
        <v>9.5000000000000015E-3</v>
      </c>
      <c r="J181" s="88">
        <v>0.69230769230769229</v>
      </c>
      <c r="K181" s="72">
        <v>10.833333333333334</v>
      </c>
      <c r="L181" s="71">
        <v>4.6386363636363635E-2</v>
      </c>
      <c r="M181" s="71">
        <v>2.3193181818181818E-2</v>
      </c>
      <c r="N181" s="71">
        <v>0.8424873737373737</v>
      </c>
      <c r="O181" s="71">
        <v>2.3193181818181818E-2</v>
      </c>
      <c r="P181" s="71">
        <v>0</v>
      </c>
      <c r="Q181" s="73" t="s">
        <v>3</v>
      </c>
      <c r="R181" s="74">
        <v>0</v>
      </c>
      <c r="S181" s="75">
        <f t="shared" si="455"/>
        <v>0.47214733986680774</v>
      </c>
      <c r="T181" s="59">
        <f t="shared" si="430"/>
        <v>1.3274479653906348</v>
      </c>
      <c r="U181" s="59">
        <f t="shared" si="431"/>
        <v>1.0583389784920147</v>
      </c>
      <c r="V181" s="59">
        <f t="shared" si="432"/>
        <v>0.77849010983848255</v>
      </c>
      <c r="W181" s="59">
        <f t="shared" si="433"/>
        <v>0.58645621533601311</v>
      </c>
      <c r="X181" s="59">
        <f t="shared" si="434"/>
        <v>0.73557728257133859</v>
      </c>
      <c r="Y181" s="76">
        <v>309000</v>
      </c>
      <c r="Z181" s="57">
        <f t="shared" si="435"/>
        <v>227293.38031454364</v>
      </c>
      <c r="AA181" s="57">
        <f t="shared" si="436"/>
        <v>181214.97053882806</v>
      </c>
      <c r="AB181" s="57">
        <f t="shared" si="576"/>
        <v>0</v>
      </c>
      <c r="AC181" s="57">
        <f t="shared" si="438"/>
        <v>0.25</v>
      </c>
      <c r="AD181" s="57">
        <f t="shared" si="439"/>
        <v>1.5</v>
      </c>
      <c r="AE181" s="57">
        <f t="shared" si="440"/>
        <v>0</v>
      </c>
      <c r="AF181" s="57">
        <f t="shared" si="441"/>
        <v>132559.4517071665</v>
      </c>
      <c r="AG181" s="57">
        <f t="shared" si="582"/>
        <v>48655.518831661546</v>
      </c>
      <c r="AH181" s="57"/>
      <c r="AI181" s="57"/>
      <c r="AJ181" s="77">
        <v>0</v>
      </c>
      <c r="AK181" s="77">
        <v>17.600000000000001</v>
      </c>
      <c r="AL181" s="78">
        <f t="shared" si="443"/>
        <v>2.224239695154743</v>
      </c>
      <c r="AM181" s="57">
        <f t="shared" si="444"/>
        <v>1</v>
      </c>
      <c r="AN181" s="57">
        <f t="shared" si="445"/>
        <v>0.8</v>
      </c>
      <c r="AO181" s="77">
        <v>1300</v>
      </c>
      <c r="AP181" s="79"/>
      <c r="AQ181" s="77">
        <f t="shared" si="446"/>
        <v>58.382358738017892</v>
      </c>
      <c r="AS181" s="77">
        <f t="shared" si="448"/>
        <v>1241.617641261982</v>
      </c>
      <c r="AT181" s="77">
        <v>120</v>
      </c>
      <c r="AU181" s="77">
        <v>1800</v>
      </c>
      <c r="AV181" s="77">
        <f t="shared" si="449"/>
        <v>156000</v>
      </c>
      <c r="AX181" s="77">
        <f t="shared" si="450"/>
        <v>156000</v>
      </c>
      <c r="AY181" s="77">
        <v>156000</v>
      </c>
      <c r="AZ181" s="77">
        <v>314</v>
      </c>
      <c r="BA181" s="77">
        <v>314</v>
      </c>
      <c r="BB181" s="77">
        <v>314</v>
      </c>
      <c r="BD181" s="77">
        <v>2.5999999999999999E-3</v>
      </c>
      <c r="BE181" s="77">
        <v>1.2999999999999999E-3</v>
      </c>
      <c r="BH181" s="79"/>
      <c r="BI181" s="79"/>
      <c r="BJ181" s="79"/>
      <c r="BK181" s="57"/>
      <c r="BL181" s="57" t="b">
        <f t="shared" si="515"/>
        <v>0</v>
      </c>
      <c r="BM181" s="80"/>
      <c r="BN181" s="80"/>
      <c r="BO181" s="57"/>
      <c r="BP181" s="57">
        <f t="shared" si="452"/>
        <v>240553.44394009112</v>
      </c>
      <c r="BQ181" s="77">
        <f t="shared" si="453"/>
        <v>2.2992026060819626E-9</v>
      </c>
      <c r="BR181" s="57">
        <f t="shared" si="520"/>
        <v>432996199.09216404</v>
      </c>
      <c r="BS181" s="57">
        <v>116.76471747603578</v>
      </c>
      <c r="BT181" s="57">
        <f t="shared" si="456"/>
        <v>0</v>
      </c>
      <c r="BU181" s="57"/>
      <c r="BV181" s="57">
        <v>3.3E-3</v>
      </c>
      <c r="BW181" s="57">
        <v>30000</v>
      </c>
      <c r="BX181" s="57">
        <v>200000</v>
      </c>
      <c r="BY181" s="77">
        <v>33</v>
      </c>
      <c r="BZ181" s="77">
        <v>114</v>
      </c>
      <c r="CA181" s="77">
        <v>245</v>
      </c>
      <c r="CB181" s="77">
        <v>407</v>
      </c>
      <c r="CC181" s="77">
        <v>569</v>
      </c>
      <c r="CD181" s="77">
        <v>731</v>
      </c>
      <c r="CE181" s="77">
        <v>893</v>
      </c>
      <c r="CF181" s="77">
        <v>1055</v>
      </c>
      <c r="CG181" s="77">
        <v>1186</v>
      </c>
      <c r="CH181" s="77">
        <v>1267</v>
      </c>
      <c r="DM181" s="77">
        <v>508.9</v>
      </c>
      <c r="DN181" s="77">
        <v>508.9</v>
      </c>
      <c r="DO181" s="77">
        <v>50.3</v>
      </c>
      <c r="DP181" s="77">
        <v>50.3</v>
      </c>
      <c r="DQ181" s="77">
        <v>50.3</v>
      </c>
      <c r="DR181" s="77">
        <v>50.3</v>
      </c>
      <c r="DS181" s="77">
        <v>50.3</v>
      </c>
      <c r="DT181" s="77">
        <v>50.3</v>
      </c>
      <c r="DU181" s="77">
        <v>508.9</v>
      </c>
      <c r="DV181" s="77">
        <v>508.9</v>
      </c>
      <c r="FA181" s="77">
        <f t="shared" si="579"/>
        <v>-159794.6</v>
      </c>
      <c r="FB181" s="77">
        <f t="shared" si="580"/>
        <v>-7952.7166906101038</v>
      </c>
      <c r="FC181" s="77">
        <f t="shared" si="564"/>
        <v>15794.199999999999</v>
      </c>
      <c r="FD181" s="77">
        <f t="shared" si="565"/>
        <v>15794.199999999999</v>
      </c>
      <c r="FE181" s="77">
        <f t="shared" si="566"/>
        <v>15794.199999999999</v>
      </c>
      <c r="FF181" s="77">
        <f t="shared" si="583"/>
        <v>15794.199999999999</v>
      </c>
      <c r="FG181" s="77">
        <f t="shared" ref="FG181:FH186" si="586">IF(ABS(-$BV181*($BS181-CE181)/$BS181*$BX181)&gt;$BA181,$BA181*SIGN(-($BS181-CE181)),-$BV181*($BS181-CE181)/$BS181*$BX181)*DS181</f>
        <v>15794.199999999999</v>
      </c>
      <c r="FH181" s="77">
        <f t="shared" si="586"/>
        <v>15794.199999999999</v>
      </c>
      <c r="FI181" s="77">
        <f t="shared" ref="FI181:FJ183" si="587">IF(ABS(-$BV181*($BS181-CG181)/$BS181*$BX181)&gt;$BB181,$BB181*SIGN(-($BS181-CG181)),-$BV181*($BS181-CG181)/$BS181*$BX181)*DU181</f>
        <v>159794.6</v>
      </c>
      <c r="FJ181" s="77">
        <f t="shared" si="587"/>
        <v>159794.6</v>
      </c>
      <c r="GO181" s="77">
        <f t="shared" si="527"/>
        <v>98593268.200000003</v>
      </c>
      <c r="GP181" s="77">
        <f t="shared" si="528"/>
        <v>4262656.1461670157</v>
      </c>
      <c r="GQ181" s="77">
        <f t="shared" si="529"/>
        <v>-6396651</v>
      </c>
      <c r="GR181" s="77">
        <f t="shared" si="530"/>
        <v>-3837990.5999999996</v>
      </c>
      <c r="GS181" s="77">
        <f t="shared" si="569"/>
        <v>-1279330.2</v>
      </c>
      <c r="GT181" s="77">
        <f t="shared" si="570"/>
        <v>1279330.2</v>
      </c>
      <c r="GU181" s="77">
        <f t="shared" si="571"/>
        <v>3837990.5999999996</v>
      </c>
      <c r="GV181" s="77">
        <f t="shared" si="585"/>
        <v>6396651</v>
      </c>
      <c r="GW181" s="77">
        <f t="shared" ref="GW181:GX186" si="588">FI181*(CG181-0.5*$AO181)</f>
        <v>85649905.600000009</v>
      </c>
      <c r="GX181" s="77">
        <f t="shared" si="588"/>
        <v>98593268.200000003</v>
      </c>
      <c r="IC181" s="82">
        <v>189</v>
      </c>
    </row>
    <row r="182" spans="1:237" s="77" customFormat="1">
      <c r="A182" s="77">
        <v>181</v>
      </c>
      <c r="B182" s="69">
        <v>253</v>
      </c>
      <c r="C182" s="69" t="s">
        <v>193</v>
      </c>
      <c r="D182" s="70">
        <v>7</v>
      </c>
      <c r="E182" s="87">
        <v>3</v>
      </c>
      <c r="F182" s="70">
        <v>0.12891344383057091</v>
      </c>
      <c r="G182" s="70">
        <v>6.6666670000000003E-3</v>
      </c>
      <c r="H182" s="70">
        <v>1.2555556000000001E-2</v>
      </c>
      <c r="I182" s="118">
        <f>(20+20)/2/AU182</f>
        <v>1.1111111111111112E-2</v>
      </c>
      <c r="J182" s="88">
        <v>0.69230769230769229</v>
      </c>
      <c r="K182" s="72">
        <v>10.833333333333334</v>
      </c>
      <c r="L182" s="71">
        <v>3.3828729281767951E-2</v>
      </c>
      <c r="M182" s="71">
        <v>6.505524861878452E-2</v>
      </c>
      <c r="N182" s="71">
        <v>1.2288213627992632</v>
      </c>
      <c r="O182" s="71">
        <v>6.505524861878452E-2</v>
      </c>
      <c r="P182" s="71">
        <v>0</v>
      </c>
      <c r="Q182" s="73" t="s">
        <v>3</v>
      </c>
      <c r="R182" s="74">
        <v>0</v>
      </c>
      <c r="S182" s="75">
        <f t="shared" si="455"/>
        <v>0.54845057717597989</v>
      </c>
      <c r="T182" s="59">
        <f t="shared" si="430"/>
        <v>1.3001524271918343</v>
      </c>
      <c r="U182" s="59">
        <f t="shared" si="431"/>
        <v>1.0095851299681364</v>
      </c>
      <c r="V182" s="59">
        <f t="shared" si="432"/>
        <v>0.96967869719608246</v>
      </c>
      <c r="W182" s="59">
        <f t="shared" si="433"/>
        <v>0.74581924158728563</v>
      </c>
      <c r="X182" s="59">
        <f t="shared" si="434"/>
        <v>0.96047244398962817</v>
      </c>
      <c r="Y182" s="76">
        <v>364000</v>
      </c>
      <c r="Z182" s="57">
        <f t="shared" si="435"/>
        <v>349611.96961222467</v>
      </c>
      <c r="AA182" s="57">
        <f t="shared" si="436"/>
        <v>271478.20393777196</v>
      </c>
      <c r="AB182" s="57">
        <f t="shared" si="576"/>
        <v>0</v>
      </c>
      <c r="AC182" s="57">
        <f t="shared" si="438"/>
        <v>0.25</v>
      </c>
      <c r="AD182" s="57">
        <f t="shared" si="439"/>
        <v>1.5</v>
      </c>
      <c r="AE182" s="57">
        <f t="shared" si="440"/>
        <v>0</v>
      </c>
      <c r="AF182" s="57">
        <f t="shared" si="441"/>
        <v>132908.10277311839</v>
      </c>
      <c r="AG182" s="57">
        <f t="shared" si="582"/>
        <v>138570.10116465358</v>
      </c>
      <c r="AH182" s="57"/>
      <c r="AI182" s="57"/>
      <c r="AJ182" s="77">
        <v>0</v>
      </c>
      <c r="AK182" s="77">
        <v>18.100000000000001</v>
      </c>
      <c r="AL182" s="78">
        <f t="shared" si="443"/>
        <v>2.2587742911349866</v>
      </c>
      <c r="AM182" s="57">
        <f t="shared" si="444"/>
        <v>1</v>
      </c>
      <c r="AN182" s="57">
        <f t="shared" si="445"/>
        <v>0.8</v>
      </c>
      <c r="AO182" s="77">
        <v>1300</v>
      </c>
      <c r="AP182" s="79"/>
      <c r="AQ182" s="77">
        <f t="shared" si="446"/>
        <v>74.149848154161745</v>
      </c>
      <c r="AS182" s="77">
        <f t="shared" si="448"/>
        <v>1225.8501518458384</v>
      </c>
      <c r="AT182" s="77">
        <v>120</v>
      </c>
      <c r="AU182" s="77">
        <v>1800</v>
      </c>
      <c r="AV182" s="77">
        <f t="shared" si="449"/>
        <v>156000</v>
      </c>
      <c r="AX182" s="77">
        <f t="shared" si="450"/>
        <v>156000</v>
      </c>
      <c r="AY182" s="77">
        <v>156000</v>
      </c>
      <c r="AZ182" s="77">
        <v>471</v>
      </c>
      <c r="BA182" s="77">
        <v>471</v>
      </c>
      <c r="BB182" s="77">
        <v>471</v>
      </c>
      <c r="BD182" s="77">
        <v>1.2999999999999999E-3</v>
      </c>
      <c r="BE182" s="77">
        <v>2.5000000000000001E-3</v>
      </c>
      <c r="BH182" s="79"/>
      <c r="BI182" s="79"/>
      <c r="BJ182" s="79"/>
      <c r="BK182" s="57"/>
      <c r="BL182" s="57" t="b">
        <f t="shared" si="515"/>
        <v>0</v>
      </c>
      <c r="BM182" s="80"/>
      <c r="BN182" s="80"/>
      <c r="BO182" s="57"/>
      <c r="BP182" s="57">
        <f t="shared" si="452"/>
        <v>352963.04577937402</v>
      </c>
      <c r="BQ182" s="77">
        <f t="shared" si="453"/>
        <v>1.2223608791828156E-9</v>
      </c>
      <c r="BR182" s="57">
        <f t="shared" si="520"/>
        <v>635333482.40287328</v>
      </c>
      <c r="BS182" s="57">
        <v>148.29969630832349</v>
      </c>
      <c r="BT182" s="57">
        <f t="shared" si="456"/>
        <v>0</v>
      </c>
      <c r="BU182" s="57"/>
      <c r="BV182" s="57">
        <v>3.3E-3</v>
      </c>
      <c r="BW182" s="57">
        <v>30000</v>
      </c>
      <c r="BX182" s="57">
        <v>200000</v>
      </c>
      <c r="BY182" s="77">
        <v>35</v>
      </c>
      <c r="BZ182" s="77">
        <v>129.5</v>
      </c>
      <c r="CA182" s="77">
        <v>177.5</v>
      </c>
      <c r="CB182" s="77">
        <v>366.5</v>
      </c>
      <c r="CC182" s="77">
        <v>555.5</v>
      </c>
      <c r="CD182" s="77">
        <v>744.5</v>
      </c>
      <c r="CE182" s="77">
        <v>933.5</v>
      </c>
      <c r="CF182" s="77">
        <v>1122.5</v>
      </c>
      <c r="CG182" s="77">
        <v>1170.5</v>
      </c>
      <c r="CH182" s="77">
        <v>1265</v>
      </c>
      <c r="DM182" s="77">
        <v>508.9</v>
      </c>
      <c r="DN182" s="77">
        <v>508.9</v>
      </c>
      <c r="DO182" s="77">
        <v>50.3</v>
      </c>
      <c r="DP182" s="77">
        <v>50.3</v>
      </c>
      <c r="DQ182" s="77">
        <v>50.3</v>
      </c>
      <c r="DR182" s="77">
        <v>50.3</v>
      </c>
      <c r="DS182" s="77">
        <v>50.3</v>
      </c>
      <c r="DT182" s="77">
        <v>50.3</v>
      </c>
      <c r="DU182" s="77">
        <v>508.9</v>
      </c>
      <c r="DV182" s="77">
        <v>508.9</v>
      </c>
      <c r="FA182" s="77">
        <f t="shared" si="579"/>
        <v>-239691.9</v>
      </c>
      <c r="FB182" s="77">
        <f t="shared" si="580"/>
        <v>-42578.166746437535</v>
      </c>
      <c r="FC182" s="77">
        <f t="shared" si="564"/>
        <v>6536.7071281174858</v>
      </c>
      <c r="FD182" s="77">
        <f t="shared" si="565"/>
        <v>23691.3</v>
      </c>
      <c r="FE182" s="77">
        <f t="shared" si="566"/>
        <v>23691.3</v>
      </c>
      <c r="FF182" s="77">
        <f t="shared" si="583"/>
        <v>23691.3</v>
      </c>
      <c r="FG182" s="77">
        <f t="shared" si="586"/>
        <v>23691.3</v>
      </c>
      <c r="FH182" s="77">
        <f t="shared" si="586"/>
        <v>23691.3</v>
      </c>
      <c r="FI182" s="77">
        <f t="shared" si="587"/>
        <v>239691.9</v>
      </c>
      <c r="FJ182" s="77">
        <f t="shared" si="587"/>
        <v>239691.9</v>
      </c>
      <c r="GO182" s="77">
        <f t="shared" si="527"/>
        <v>147410518.5</v>
      </c>
      <c r="GP182" s="77">
        <f t="shared" si="528"/>
        <v>22161935.791520737</v>
      </c>
      <c r="GQ182" s="77">
        <f t="shared" si="529"/>
        <v>-3088594.118035512</v>
      </c>
      <c r="GR182" s="77">
        <f t="shared" si="530"/>
        <v>-6716483.5499999998</v>
      </c>
      <c r="GS182" s="77">
        <f t="shared" si="569"/>
        <v>-2238827.85</v>
      </c>
      <c r="GT182" s="77">
        <f t="shared" si="570"/>
        <v>2238827.85</v>
      </c>
      <c r="GU182" s="77">
        <f t="shared" si="571"/>
        <v>6716483.5499999998</v>
      </c>
      <c r="GV182" s="77">
        <f t="shared" si="585"/>
        <v>11194139.25</v>
      </c>
      <c r="GW182" s="77">
        <f t="shared" si="588"/>
        <v>124759633.95</v>
      </c>
      <c r="GX182" s="77">
        <f t="shared" si="588"/>
        <v>147410518.5</v>
      </c>
      <c r="IC182" s="82">
        <v>190</v>
      </c>
    </row>
    <row r="183" spans="1:237" s="77" customFormat="1">
      <c r="A183" s="77">
        <v>182</v>
      </c>
      <c r="B183" s="69">
        <v>254</v>
      </c>
      <c r="C183" s="69" t="s">
        <v>193</v>
      </c>
      <c r="D183" s="70">
        <v>8</v>
      </c>
      <c r="E183" s="87">
        <v>3</v>
      </c>
      <c r="F183" s="70">
        <v>0.15270292340356034</v>
      </c>
      <c r="G183" s="70">
        <v>7.7777779999999999E-3</v>
      </c>
      <c r="H183" s="70">
        <v>1.0999999999999999E-2</v>
      </c>
      <c r="I183" s="118">
        <f>20.4/AU183</f>
        <v>1.1333333333333332E-2</v>
      </c>
      <c r="J183" s="88">
        <v>0.69230769230769229</v>
      </c>
      <c r="K183" s="72">
        <v>10.833333333333334</v>
      </c>
      <c r="L183" s="71">
        <v>7.8E-2</v>
      </c>
      <c r="M183" s="71">
        <v>7.4999999999999997E-2</v>
      </c>
      <c r="N183" s="71">
        <v>1.4166666666666667</v>
      </c>
      <c r="O183" s="71">
        <v>7.4999999999999997E-2</v>
      </c>
      <c r="P183" s="71">
        <v>0</v>
      </c>
      <c r="Q183" s="73" t="s">
        <v>3</v>
      </c>
      <c r="R183" s="74">
        <v>0</v>
      </c>
      <c r="S183" s="75">
        <f t="shared" si="455"/>
        <v>0.60505823704094774</v>
      </c>
      <c r="T183" s="59">
        <f t="shared" si="430"/>
        <v>1.3580428779596114</v>
      </c>
      <c r="U183" s="59">
        <f t="shared" si="431"/>
        <v>1.0469249729955408</v>
      </c>
      <c r="V183" s="59">
        <f t="shared" si="432"/>
        <v>0.94676890657091306</v>
      </c>
      <c r="W183" s="59">
        <f t="shared" si="433"/>
        <v>0.69715685854734133</v>
      </c>
      <c r="X183" s="59">
        <f t="shared" si="434"/>
        <v>0.90433310026213864</v>
      </c>
      <c r="Y183" s="76">
        <v>374000</v>
      </c>
      <c r="Z183" s="57">
        <f t="shared" si="435"/>
        <v>338220.57949803985</v>
      </c>
      <c r="AA183" s="57">
        <f t="shared" si="436"/>
        <v>260736.66509670566</v>
      </c>
      <c r="AB183" s="57">
        <f t="shared" si="576"/>
        <v>0</v>
      </c>
      <c r="AC183" s="57">
        <f t="shared" si="438"/>
        <v>0.25</v>
      </c>
      <c r="AD183" s="57">
        <f t="shared" si="439"/>
        <v>1.5</v>
      </c>
      <c r="AE183" s="57">
        <f t="shared" si="440"/>
        <v>0</v>
      </c>
      <c r="AF183" s="57">
        <f t="shared" si="441"/>
        <v>122558.42545400011</v>
      </c>
      <c r="AG183" s="57">
        <f t="shared" si="582"/>
        <v>138178.23964270556</v>
      </c>
      <c r="AH183" s="57"/>
      <c r="AI183" s="57"/>
      <c r="AJ183" s="77">
        <v>0</v>
      </c>
      <c r="AK183" s="77">
        <v>15.7</v>
      </c>
      <c r="AL183" s="78">
        <f t="shared" si="443"/>
        <v>2.088788312041626</v>
      </c>
      <c r="AM183" s="57">
        <f t="shared" si="444"/>
        <v>1</v>
      </c>
      <c r="AN183" s="57">
        <f t="shared" si="445"/>
        <v>0.8</v>
      </c>
      <c r="AO183" s="77">
        <v>1300</v>
      </c>
      <c r="AP183" s="79"/>
      <c r="AQ183" s="77">
        <f t="shared" si="446"/>
        <v>77.616422127516302</v>
      </c>
      <c r="AS183" s="77">
        <f t="shared" si="448"/>
        <v>1222.3835778724838</v>
      </c>
      <c r="AT183" s="77">
        <v>120</v>
      </c>
      <c r="AU183" s="77">
        <v>1800</v>
      </c>
      <c r="AV183" s="77">
        <f t="shared" si="449"/>
        <v>156000</v>
      </c>
      <c r="AX183" s="77">
        <f t="shared" si="450"/>
        <v>156000</v>
      </c>
      <c r="AY183" s="77">
        <v>156000</v>
      </c>
      <c r="AZ183" s="77">
        <v>471</v>
      </c>
      <c r="BA183" s="77">
        <v>471</v>
      </c>
      <c r="BB183" s="77">
        <v>471</v>
      </c>
      <c r="BD183" s="77">
        <v>2.5999999999999999E-3</v>
      </c>
      <c r="BE183" s="77">
        <v>2.5000000000000001E-3</v>
      </c>
      <c r="BH183" s="79"/>
      <c r="BI183" s="79"/>
      <c r="BJ183" s="79"/>
      <c r="BK183" s="57"/>
      <c r="BL183" s="57" t="b">
        <f t="shared" si="515"/>
        <v>0</v>
      </c>
      <c r="BM183" s="80"/>
      <c r="BN183" s="80"/>
      <c r="BO183" s="57"/>
      <c r="BP183" s="57">
        <f t="shared" si="452"/>
        <v>354091.57105752151</v>
      </c>
      <c r="BQ183" s="77">
        <f t="shared" si="453"/>
        <v>8.7311491370201111E-10</v>
      </c>
      <c r="BR183" s="57">
        <f t="shared" si="520"/>
        <v>637364827.9035387</v>
      </c>
      <c r="BS183" s="57">
        <v>155.2328442550326</v>
      </c>
      <c r="BT183" s="57">
        <f t="shared" si="456"/>
        <v>0</v>
      </c>
      <c r="BU183" s="57"/>
      <c r="BV183" s="57">
        <v>3.3E-3</v>
      </c>
      <c r="BW183" s="57">
        <v>30000</v>
      </c>
      <c r="BX183" s="57">
        <v>200000</v>
      </c>
      <c r="BY183" s="77">
        <v>35</v>
      </c>
      <c r="BZ183" s="77">
        <v>116</v>
      </c>
      <c r="CA183" s="77">
        <v>245</v>
      </c>
      <c r="CB183" s="77">
        <v>407</v>
      </c>
      <c r="CC183" s="77">
        <v>569</v>
      </c>
      <c r="CD183" s="77">
        <v>731</v>
      </c>
      <c r="CE183" s="77">
        <v>893</v>
      </c>
      <c r="CF183" s="77">
        <v>1055</v>
      </c>
      <c r="CG183" s="77">
        <v>1184</v>
      </c>
      <c r="CH183" s="77">
        <v>1265</v>
      </c>
      <c r="DM183" s="77">
        <v>508.9</v>
      </c>
      <c r="DN183" s="77">
        <v>508.9</v>
      </c>
      <c r="DO183" s="77">
        <v>50.3</v>
      </c>
      <c r="DP183" s="77">
        <v>50.3</v>
      </c>
      <c r="DQ183" s="77">
        <v>50.3</v>
      </c>
      <c r="DR183" s="77">
        <v>50.3</v>
      </c>
      <c r="DS183" s="77">
        <v>50.3</v>
      </c>
      <c r="DT183" s="77">
        <v>50.3</v>
      </c>
      <c r="DU183" s="77">
        <v>508.9</v>
      </c>
      <c r="DV183" s="77">
        <v>508.9</v>
      </c>
      <c r="FA183" s="77">
        <f t="shared" si="579"/>
        <v>-239691.9</v>
      </c>
      <c r="FB183" s="77">
        <f t="shared" si="580"/>
        <v>-84887.269794952677</v>
      </c>
      <c r="FC183" s="77">
        <f t="shared" si="564"/>
        <v>19197.548371435023</v>
      </c>
      <c r="FD183" s="77">
        <f t="shared" si="565"/>
        <v>23691.3</v>
      </c>
      <c r="FE183" s="77">
        <f t="shared" si="566"/>
        <v>23691.3</v>
      </c>
      <c r="FF183" s="77">
        <f t="shared" si="583"/>
        <v>23691.3</v>
      </c>
      <c r="FG183" s="77">
        <f t="shared" si="586"/>
        <v>23691.3</v>
      </c>
      <c r="FH183" s="77">
        <f t="shared" si="586"/>
        <v>23691.3</v>
      </c>
      <c r="FI183" s="77">
        <f t="shared" si="587"/>
        <v>239691.9</v>
      </c>
      <c r="FJ183" s="77">
        <f t="shared" si="587"/>
        <v>239691.9</v>
      </c>
      <c r="GO183" s="77">
        <f t="shared" si="527"/>
        <v>147410518.5</v>
      </c>
      <c r="GP183" s="77">
        <f t="shared" si="528"/>
        <v>45329802.070504732</v>
      </c>
      <c r="GQ183" s="77">
        <f t="shared" si="529"/>
        <v>-7775007.0904311845</v>
      </c>
      <c r="GR183" s="77">
        <f t="shared" si="530"/>
        <v>-5756985.8999999994</v>
      </c>
      <c r="GS183" s="77">
        <f t="shared" si="569"/>
        <v>-1918995.3</v>
      </c>
      <c r="GT183" s="77">
        <f t="shared" si="570"/>
        <v>1918995.3</v>
      </c>
      <c r="GU183" s="77">
        <f t="shared" si="571"/>
        <v>5756985.8999999994</v>
      </c>
      <c r="GV183" s="77">
        <f t="shared" si="585"/>
        <v>9594976.5</v>
      </c>
      <c r="GW183" s="77">
        <f t="shared" si="588"/>
        <v>127995474.59999999</v>
      </c>
      <c r="GX183" s="77">
        <f t="shared" si="588"/>
        <v>147410518.5</v>
      </c>
      <c r="IC183" s="82">
        <v>191</v>
      </c>
    </row>
    <row r="184" spans="1:237" s="77" customFormat="1">
      <c r="A184" s="77">
        <v>183</v>
      </c>
      <c r="B184" s="69">
        <v>255</v>
      </c>
      <c r="C184" s="69" t="s">
        <v>193</v>
      </c>
      <c r="D184" s="70">
        <v>9</v>
      </c>
      <c r="E184" s="70">
        <v>3</v>
      </c>
      <c r="F184" s="70">
        <v>0.11276223776223776</v>
      </c>
      <c r="G184" s="70">
        <v>4.4444439999999997E-3</v>
      </c>
      <c r="H184" s="70">
        <v>1.0777778E-2</v>
      </c>
      <c r="I184" s="118">
        <f>18.1/AU184</f>
        <v>1.0055555555555557E-2</v>
      </c>
      <c r="J184" s="88">
        <v>0.69230769230769229</v>
      </c>
      <c r="K184" s="72">
        <v>13</v>
      </c>
      <c r="L184" s="71">
        <v>5.4068181818181814E-2</v>
      </c>
      <c r="M184" s="71">
        <v>5.4068181818181814E-2</v>
      </c>
      <c r="N184" s="71">
        <v>1.2615909090909088</v>
      </c>
      <c r="O184" s="71">
        <v>5.4068181818181814E-2</v>
      </c>
      <c r="P184" s="71">
        <v>0</v>
      </c>
      <c r="Q184" s="73" t="s">
        <v>3</v>
      </c>
      <c r="R184" s="74">
        <v>0</v>
      </c>
      <c r="S184" s="75">
        <f t="shared" si="455"/>
        <v>0.47306413081800541</v>
      </c>
      <c r="T184" s="59">
        <f t="shared" si="430"/>
        <v>1.2265204535295284</v>
      </c>
      <c r="U184" s="59">
        <f t="shared" si="431"/>
        <v>0.97010217050277436</v>
      </c>
      <c r="V184" s="59">
        <f t="shared" si="432"/>
        <v>0.97782219192002506</v>
      </c>
      <c r="W184" s="59">
        <f t="shared" si="433"/>
        <v>0.79723268299861583</v>
      </c>
      <c r="X184" s="59">
        <f t="shared" si="434"/>
        <v>1.007957946752402</v>
      </c>
      <c r="Y184" s="76">
        <v>258000</v>
      </c>
      <c r="Z184" s="57">
        <f t="shared" si="435"/>
        <v>260053.15026211971</v>
      </c>
      <c r="AA184" s="57">
        <f t="shared" si="436"/>
        <v>205686.03221364287</v>
      </c>
      <c r="AB184" s="57">
        <f t="shared" si="576"/>
        <v>0</v>
      </c>
      <c r="AC184" s="57">
        <f t="shared" si="438"/>
        <v>0.25</v>
      </c>
      <c r="AD184" s="57">
        <f t="shared" si="439"/>
        <v>1.5</v>
      </c>
      <c r="AE184" s="57">
        <f t="shared" si="440"/>
        <v>0</v>
      </c>
      <c r="AF184" s="57">
        <f t="shared" si="441"/>
        <v>110842.33117337154</v>
      </c>
      <c r="AG184" s="57">
        <f t="shared" si="582"/>
        <v>94843.701040271335</v>
      </c>
      <c r="AH184" s="57"/>
      <c r="AI184" s="57"/>
      <c r="AJ184" s="77">
        <v>0</v>
      </c>
      <c r="AK184" s="77">
        <v>17.600000000000001</v>
      </c>
      <c r="AL184" s="78">
        <f t="shared" si="443"/>
        <v>2.224239695154743</v>
      </c>
      <c r="AM184" s="57">
        <f t="shared" si="444"/>
        <v>1</v>
      </c>
      <c r="AN184" s="57">
        <f t="shared" si="445"/>
        <v>0.8</v>
      </c>
      <c r="AO184" s="77">
        <v>1300</v>
      </c>
      <c r="AP184" s="79"/>
      <c r="AQ184" s="77">
        <f t="shared" si="446"/>
        <v>54.154830807700961</v>
      </c>
      <c r="AS184" s="77">
        <f t="shared" si="448"/>
        <v>1245.845169192299</v>
      </c>
      <c r="AT184" s="77">
        <v>100</v>
      </c>
      <c r="AU184" s="77">
        <v>1800</v>
      </c>
      <c r="AV184" s="77">
        <f t="shared" si="449"/>
        <v>130000</v>
      </c>
      <c r="AX184" s="77">
        <f t="shared" si="450"/>
        <v>130000</v>
      </c>
      <c r="AY184" s="77">
        <v>130000</v>
      </c>
      <c r="AZ184" s="77">
        <v>366</v>
      </c>
      <c r="BA184" s="77">
        <v>366</v>
      </c>
      <c r="BB184" s="77">
        <v>366</v>
      </c>
      <c r="BD184" s="77">
        <v>2.5999999999999999E-3</v>
      </c>
      <c r="BE184" s="77">
        <v>2.5999999999999999E-3</v>
      </c>
      <c r="BH184" s="79"/>
      <c r="BI184" s="79"/>
      <c r="BJ184" s="79"/>
      <c r="BK184" s="57"/>
      <c r="BL184" s="57" t="b">
        <f t="shared" si="515"/>
        <v>0</v>
      </c>
      <c r="BM184" s="80"/>
      <c r="BN184" s="80"/>
      <c r="BO184" s="57"/>
      <c r="BP184" s="57">
        <f t="shared" si="452"/>
        <v>252278.12551536647</v>
      </c>
      <c r="BQ184" s="77">
        <f t="shared" si="453"/>
        <v>0</v>
      </c>
      <c r="BR184" s="57">
        <f t="shared" si="520"/>
        <v>454100625.92765963</v>
      </c>
      <c r="BS184" s="57">
        <v>108.30966161540192</v>
      </c>
      <c r="BT184" s="57">
        <f t="shared" si="456"/>
        <v>0</v>
      </c>
      <c r="BU184" s="57"/>
      <c r="BV184" s="57">
        <v>3.3E-3</v>
      </c>
      <c r="BW184" s="57">
        <v>30000</v>
      </c>
      <c r="BX184" s="57">
        <v>200000</v>
      </c>
      <c r="BY184" s="77">
        <v>33</v>
      </c>
      <c r="BZ184" s="77">
        <v>88</v>
      </c>
      <c r="CA184" s="77">
        <v>210</v>
      </c>
      <c r="CB184" s="77">
        <v>320</v>
      </c>
      <c r="CC184" s="77">
        <v>430</v>
      </c>
      <c r="CD184" s="77">
        <v>540</v>
      </c>
      <c r="CE184" s="77">
        <v>650</v>
      </c>
      <c r="CF184" s="77">
        <v>760</v>
      </c>
      <c r="CG184" s="77">
        <v>870</v>
      </c>
      <c r="CH184" s="77">
        <v>980</v>
      </c>
      <c r="CI184" s="77">
        <v>1090</v>
      </c>
      <c r="CJ184" s="77">
        <v>1212</v>
      </c>
      <c r="CK184" s="77">
        <v>1267</v>
      </c>
      <c r="DM184" s="77">
        <v>508.9</v>
      </c>
      <c r="DN184" s="77">
        <v>402.1</v>
      </c>
      <c r="DO184" s="77">
        <v>28.3</v>
      </c>
      <c r="DP184" s="77">
        <v>28.3</v>
      </c>
      <c r="DQ184" s="77">
        <v>28.3</v>
      </c>
      <c r="DR184" s="77">
        <v>28.3</v>
      </c>
      <c r="DS184" s="77">
        <v>28.3</v>
      </c>
      <c r="DT184" s="77">
        <v>28.3</v>
      </c>
      <c r="DU184" s="77">
        <v>28.3</v>
      </c>
      <c r="DV184" s="77">
        <v>28.3</v>
      </c>
      <c r="DW184" s="77">
        <v>28.3</v>
      </c>
      <c r="DX184" s="77">
        <v>402.1</v>
      </c>
      <c r="DY184" s="77">
        <v>508.9</v>
      </c>
      <c r="FA184" s="77">
        <f t="shared" si="579"/>
        <v>-186257.4</v>
      </c>
      <c r="FB184" s="77">
        <f t="shared" si="580"/>
        <v>-49763.795556892379</v>
      </c>
      <c r="FC184" s="77">
        <f t="shared" si="564"/>
        <v>10357.800000000001</v>
      </c>
      <c r="FD184" s="77">
        <f t="shared" si="565"/>
        <v>10357.800000000001</v>
      </c>
      <c r="FE184" s="77">
        <f t="shared" si="566"/>
        <v>10357.800000000001</v>
      </c>
      <c r="FF184" s="77">
        <f t="shared" si="583"/>
        <v>10357.800000000001</v>
      </c>
      <c r="FG184" s="77">
        <f t="shared" si="586"/>
        <v>10357.800000000001</v>
      </c>
      <c r="FH184" s="77">
        <f t="shared" si="586"/>
        <v>10357.800000000001</v>
      </c>
      <c r="FI184" s="77">
        <f t="shared" ref="FI184:FK186" si="589">IF(ABS(-$BV184*($BS184-CG184)/$BS184*$BX184)&gt;$BA184,$BA184*SIGN(-($BS184-CG184)),-$BV184*($BS184-CG184)/$BS184*$BX184)*DU184</f>
        <v>10357.800000000001</v>
      </c>
      <c r="FJ184" s="77">
        <f t="shared" si="589"/>
        <v>10357.800000000001</v>
      </c>
      <c r="FK184" s="77">
        <f t="shared" si="589"/>
        <v>10357.800000000001</v>
      </c>
      <c r="FL184" s="77">
        <f>IF(ABS(-$BV184*($BS184-CJ184)/$BS184*$BX184)&gt;$BB184,$BB184*SIGN(-($BS184-CJ184)),-$BV184*($BS184-CJ184)/$BS184*$BX184)*DX184</f>
        <v>147168.6</v>
      </c>
      <c r="FM184" s="77">
        <f>IF(ABS(-$BV184*($BS184-CK184)/$BS184*$BX184)&gt;$BB184,$BB184*SIGN(-($BS184-CK184)),-$BV184*($BS184-CK184)/$BS184*$BX184)*DY184</f>
        <v>186257.4</v>
      </c>
      <c r="GO184" s="77">
        <f t="shared" si="527"/>
        <v>114920815.8</v>
      </c>
      <c r="GP184" s="77">
        <f t="shared" si="528"/>
        <v>27967253.102973517</v>
      </c>
      <c r="GQ184" s="77">
        <f t="shared" si="529"/>
        <v>-4557432.0000000009</v>
      </c>
      <c r="GR184" s="77">
        <f t="shared" si="530"/>
        <v>-3418074.0000000005</v>
      </c>
      <c r="GS184" s="77">
        <f t="shared" si="569"/>
        <v>-2278716.0000000005</v>
      </c>
      <c r="GT184" s="77">
        <f t="shared" si="570"/>
        <v>-1139358.0000000002</v>
      </c>
      <c r="GU184" s="77">
        <f t="shared" si="571"/>
        <v>0</v>
      </c>
      <c r="GV184" s="77">
        <f t="shared" si="585"/>
        <v>1139358.0000000002</v>
      </c>
      <c r="GW184" s="77">
        <f t="shared" si="588"/>
        <v>2278716.0000000005</v>
      </c>
      <c r="GX184" s="77">
        <f t="shared" si="588"/>
        <v>3418074.0000000005</v>
      </c>
      <c r="GY184" s="77">
        <f t="shared" ref="GY184:HA186" si="590">FK184*(CI184-0.5*$AO184)</f>
        <v>4557432.0000000009</v>
      </c>
      <c r="GZ184" s="77">
        <f t="shared" si="590"/>
        <v>82708753.200000003</v>
      </c>
      <c r="HA184" s="77">
        <f t="shared" si="590"/>
        <v>114920815.8</v>
      </c>
      <c r="IC184" s="82">
        <v>192</v>
      </c>
    </row>
    <row r="185" spans="1:237" s="77" customFormat="1">
      <c r="A185" s="77">
        <v>184</v>
      </c>
      <c r="B185" s="69">
        <v>256</v>
      </c>
      <c r="C185" s="69" t="s">
        <v>193</v>
      </c>
      <c r="D185" s="70">
        <v>10</v>
      </c>
      <c r="E185" s="70">
        <v>3</v>
      </c>
      <c r="F185" s="70">
        <v>0.10963883677298313</v>
      </c>
      <c r="G185" s="70">
        <v>4.4444439999999997E-3</v>
      </c>
      <c r="H185" s="70">
        <v>9.2222220000000004E-3</v>
      </c>
      <c r="I185" s="118">
        <f>15.4/AU185</f>
        <v>8.5555555555555558E-3</v>
      </c>
      <c r="J185" s="88">
        <v>0.69230769230769229</v>
      </c>
      <c r="K185" s="72">
        <v>16.25</v>
      </c>
      <c r="L185" s="71">
        <v>5.5945121951219513E-2</v>
      </c>
      <c r="M185" s="71">
        <v>5.5945121951219513E-2</v>
      </c>
      <c r="N185" s="71">
        <v>1.7715955284552845</v>
      </c>
      <c r="O185" s="71">
        <v>5.5945121951219513E-2</v>
      </c>
      <c r="P185" s="71">
        <v>0</v>
      </c>
      <c r="Q185" s="73" t="s">
        <v>3</v>
      </c>
      <c r="R185" s="74">
        <v>0</v>
      </c>
      <c r="S185" s="75">
        <f t="shared" si="455"/>
        <v>0.44400344849392614</v>
      </c>
      <c r="T185" s="59">
        <f t="shared" si="430"/>
        <v>1.2830166938115364</v>
      </c>
      <c r="U185" s="59">
        <f t="shared" si="431"/>
        <v>0.99171806652184435</v>
      </c>
      <c r="V185" s="59">
        <f t="shared" si="432"/>
        <v>1.0644368544256868</v>
      </c>
      <c r="W185" s="59">
        <f t="shared" si="433"/>
        <v>0.82963601296838863</v>
      </c>
      <c r="X185" s="59">
        <f t="shared" si="434"/>
        <v>1.0733260695339371</v>
      </c>
      <c r="Y185" s="76">
        <v>187000</v>
      </c>
      <c r="Z185" s="57">
        <f t="shared" si="435"/>
        <v>200711.97500284624</v>
      </c>
      <c r="AA185" s="57">
        <f t="shared" si="436"/>
        <v>155141.93442508866</v>
      </c>
      <c r="AB185" s="57">
        <f t="shared" si="576"/>
        <v>0</v>
      </c>
      <c r="AC185" s="57">
        <f t="shared" si="438"/>
        <v>0.25</v>
      </c>
      <c r="AD185" s="57">
        <f t="shared" si="439"/>
        <v>1.5</v>
      </c>
      <c r="AE185" s="57">
        <f t="shared" si="440"/>
        <v>0</v>
      </c>
      <c r="AF185" s="57">
        <f t="shared" si="441"/>
        <v>83514.071899272414</v>
      </c>
      <c r="AG185" s="57">
        <f t="shared" si="582"/>
        <v>71627.86252581625</v>
      </c>
      <c r="AH185" s="57"/>
      <c r="AI185" s="57"/>
      <c r="AJ185" s="77">
        <v>0</v>
      </c>
      <c r="AK185" s="77">
        <v>16.399999999999999</v>
      </c>
      <c r="AL185" s="78">
        <f t="shared" si="443"/>
        <v>2.1395071209884402</v>
      </c>
      <c r="AM185" s="57">
        <f t="shared" si="444"/>
        <v>1</v>
      </c>
      <c r="AN185" s="57">
        <f t="shared" si="445"/>
        <v>0.8</v>
      </c>
      <c r="AO185" s="77">
        <v>1300</v>
      </c>
      <c r="AP185" s="79"/>
      <c r="AQ185" s="77">
        <f t="shared" si="446"/>
        <v>80.179452898224739</v>
      </c>
      <c r="AS185" s="77">
        <f t="shared" si="448"/>
        <v>1219.8205471017752</v>
      </c>
      <c r="AT185" s="77">
        <v>80</v>
      </c>
      <c r="AU185" s="77">
        <v>1800</v>
      </c>
      <c r="AV185" s="77">
        <f t="shared" si="449"/>
        <v>104000</v>
      </c>
      <c r="AX185" s="77">
        <f t="shared" si="450"/>
        <v>104000</v>
      </c>
      <c r="AY185" s="77">
        <v>104000</v>
      </c>
      <c r="AZ185" s="77">
        <v>367</v>
      </c>
      <c r="BA185" s="77">
        <v>367</v>
      </c>
      <c r="BB185" s="77">
        <v>367</v>
      </c>
      <c r="BD185" s="77">
        <v>2.5000000000000001E-3</v>
      </c>
      <c r="BE185" s="77">
        <v>2.5000000000000001E-3</v>
      </c>
      <c r="BH185" s="79"/>
      <c r="BI185" s="79"/>
      <c r="BJ185" s="79"/>
      <c r="BK185" s="57"/>
      <c r="BL185" s="57" t="b">
        <f t="shared" si="515"/>
        <v>0</v>
      </c>
      <c r="BM185" s="80"/>
      <c r="BN185" s="80"/>
      <c r="BO185" s="57"/>
      <c r="BP185" s="57">
        <f t="shared" si="452"/>
        <v>199049.69177760344</v>
      </c>
      <c r="BQ185" s="77">
        <f t="shared" si="453"/>
        <v>7.5669959187507629E-10</v>
      </c>
      <c r="BR185" s="57">
        <f t="shared" si="520"/>
        <v>358289445.19968617</v>
      </c>
      <c r="BS185" s="57">
        <v>160.35890579644948</v>
      </c>
      <c r="BT185" s="57">
        <f t="shared" si="456"/>
        <v>0</v>
      </c>
      <c r="BU185" s="57"/>
      <c r="BV185" s="57">
        <v>3.3E-3</v>
      </c>
      <c r="BW185" s="57">
        <v>30000</v>
      </c>
      <c r="BX185" s="57">
        <v>200000</v>
      </c>
      <c r="BY185" s="77">
        <v>33</v>
      </c>
      <c r="BZ185" s="77">
        <v>103</v>
      </c>
      <c r="CA185" s="77">
        <v>173</v>
      </c>
      <c r="CB185" s="77">
        <v>230</v>
      </c>
      <c r="CC185" s="77">
        <v>370</v>
      </c>
      <c r="CD185" s="77">
        <v>510</v>
      </c>
      <c r="CE185" s="77">
        <v>650</v>
      </c>
      <c r="CF185" s="77">
        <v>790</v>
      </c>
      <c r="CG185" s="77">
        <v>930</v>
      </c>
      <c r="CH185" s="77">
        <v>1070</v>
      </c>
      <c r="CI185" s="77">
        <v>1127</v>
      </c>
      <c r="CJ185" s="77">
        <v>1197</v>
      </c>
      <c r="CK185" s="77">
        <v>1267</v>
      </c>
      <c r="DM185" s="77">
        <v>254.5</v>
      </c>
      <c r="DN185" s="77">
        <v>254.5</v>
      </c>
      <c r="DO185" s="77">
        <v>254.5</v>
      </c>
      <c r="DP185" s="77">
        <v>28.3</v>
      </c>
      <c r="DQ185" s="77">
        <v>28.3</v>
      </c>
      <c r="DR185" s="77">
        <v>28.3</v>
      </c>
      <c r="DS185" s="77">
        <v>28.3</v>
      </c>
      <c r="DT185" s="77">
        <v>28.3</v>
      </c>
      <c r="DU185" s="77">
        <v>28.3</v>
      </c>
      <c r="DV185" s="77">
        <v>28.3</v>
      </c>
      <c r="DW185" s="77">
        <v>254.5</v>
      </c>
      <c r="DX185" s="77">
        <v>254.5</v>
      </c>
      <c r="DY185" s="77">
        <v>254.5</v>
      </c>
      <c r="FA185" s="77">
        <f t="shared" si="579"/>
        <v>-93401.5</v>
      </c>
      <c r="FB185" s="77">
        <f t="shared" si="580"/>
        <v>-60081.324194486602</v>
      </c>
      <c r="FC185" s="77">
        <f t="shared" si="564"/>
        <v>13241.076838386572</v>
      </c>
      <c r="FD185" s="77">
        <f t="shared" si="565"/>
        <v>8111.5317610424654</v>
      </c>
      <c r="FE185" s="77">
        <f t="shared" si="566"/>
        <v>10386.1</v>
      </c>
      <c r="FF185" s="77">
        <f t="shared" si="583"/>
        <v>10386.1</v>
      </c>
      <c r="FG185" s="77">
        <f t="shared" si="586"/>
        <v>10386.1</v>
      </c>
      <c r="FH185" s="77">
        <f t="shared" si="586"/>
        <v>10386.1</v>
      </c>
      <c r="FI185" s="77">
        <f t="shared" si="589"/>
        <v>10386.1</v>
      </c>
      <c r="FJ185" s="77">
        <f t="shared" si="589"/>
        <v>10386.1</v>
      </c>
      <c r="FK185" s="77">
        <f t="shared" si="589"/>
        <v>93401.5</v>
      </c>
      <c r="FL185" s="77">
        <f>IF(ABS(-$BV185*($BS185-CJ185)/$BS185*$BX185)&gt;$BB185,$BB185*SIGN(-($BS185-CJ185)),-$BV185*($BS185-CJ185)/$BS185*$BX185)*DX185</f>
        <v>93401.5</v>
      </c>
      <c r="FM185" s="77">
        <f>IF(ABS(-$BV185*($BS185-CK185)/$BS185*$BX185)&gt;$BB185,$BB185*SIGN(-($BS185-CK185)),-$BV185*($BS185-CK185)/$BS185*$BX185)*DY185</f>
        <v>93401.5</v>
      </c>
      <c r="GO185" s="77">
        <f t="shared" si="527"/>
        <v>57628725.5</v>
      </c>
      <c r="GP185" s="77">
        <f t="shared" si="528"/>
        <v>32864484.334384173</v>
      </c>
      <c r="GQ185" s="77">
        <f t="shared" si="529"/>
        <v>-6315993.6519103954</v>
      </c>
      <c r="GR185" s="77">
        <f t="shared" si="530"/>
        <v>-3406843.3396378355</v>
      </c>
      <c r="GS185" s="77">
        <f t="shared" si="569"/>
        <v>-2908108</v>
      </c>
      <c r="GT185" s="77">
        <f t="shared" si="570"/>
        <v>-1454054</v>
      </c>
      <c r="GU185" s="77">
        <f t="shared" si="571"/>
        <v>0</v>
      </c>
      <c r="GV185" s="77">
        <f t="shared" si="585"/>
        <v>1454054</v>
      </c>
      <c r="GW185" s="77">
        <f t="shared" si="588"/>
        <v>2908108</v>
      </c>
      <c r="GX185" s="77">
        <f t="shared" si="588"/>
        <v>4362162</v>
      </c>
      <c r="GY185" s="77">
        <f t="shared" si="590"/>
        <v>44552515.5</v>
      </c>
      <c r="GZ185" s="77">
        <f t="shared" si="590"/>
        <v>51090620.5</v>
      </c>
      <c r="HA185" s="77">
        <f t="shared" si="590"/>
        <v>57628725.5</v>
      </c>
      <c r="IC185" s="82">
        <v>193</v>
      </c>
    </row>
    <row r="186" spans="1:237" s="77" customFormat="1">
      <c r="A186" s="77">
        <v>185</v>
      </c>
      <c r="B186" s="69">
        <v>257</v>
      </c>
      <c r="C186" s="69" t="s">
        <v>193</v>
      </c>
      <c r="D186" s="70">
        <v>11</v>
      </c>
      <c r="E186" s="70">
        <v>3</v>
      </c>
      <c r="F186" s="70">
        <v>0.10297984224364592</v>
      </c>
      <c r="G186" s="70">
        <v>4.2857140000000004E-3</v>
      </c>
      <c r="H186" s="70">
        <v>7.0000000000000001E-3</v>
      </c>
      <c r="I186" s="118">
        <f>10.4/AU186</f>
        <v>7.4285714285714285E-3</v>
      </c>
      <c r="J186" s="71">
        <v>0.5</v>
      </c>
      <c r="K186" s="72">
        <v>14</v>
      </c>
      <c r="L186" s="71">
        <v>5.7742331288343551E-2</v>
      </c>
      <c r="M186" s="71">
        <v>2.8871165644171776E-2</v>
      </c>
      <c r="N186" s="71">
        <v>1.1844580777096114</v>
      </c>
      <c r="O186" s="71">
        <v>2.8871165644171776E-2</v>
      </c>
      <c r="P186" s="71">
        <v>0</v>
      </c>
      <c r="Q186" s="73" t="s">
        <v>3</v>
      </c>
      <c r="R186" s="74">
        <v>0</v>
      </c>
      <c r="S186" s="75">
        <f t="shared" si="455"/>
        <v>0.41576317887588016</v>
      </c>
      <c r="T186" s="59">
        <f t="shared" si="430"/>
        <v>1.9126285325486987</v>
      </c>
      <c r="U186" s="59">
        <f t="shared" si="431"/>
        <v>1.5250609553810932</v>
      </c>
      <c r="V186" s="59">
        <f t="shared" si="432"/>
        <v>1.3445872190966579</v>
      </c>
      <c r="W186" s="59">
        <f t="shared" si="433"/>
        <v>0.70300489416254297</v>
      </c>
      <c r="X186" s="59">
        <f t="shared" si="434"/>
        <v>0.88166129645661451</v>
      </c>
      <c r="Y186" s="76">
        <v>235000</v>
      </c>
      <c r="Z186" s="57">
        <f t="shared" si="435"/>
        <v>207190.40466730442</v>
      </c>
      <c r="AA186" s="57">
        <f t="shared" si="436"/>
        <v>165206.15012819759</v>
      </c>
      <c r="AB186" s="57">
        <f t="shared" si="576"/>
        <v>0</v>
      </c>
      <c r="AC186" s="57">
        <f t="shared" si="438"/>
        <v>0.25</v>
      </c>
      <c r="AD186" s="57">
        <f t="shared" si="439"/>
        <v>1.5</v>
      </c>
      <c r="AE186" s="57">
        <f t="shared" si="440"/>
        <v>0</v>
      </c>
      <c r="AF186" s="57">
        <f t="shared" si="441"/>
        <v>114615.32146954353</v>
      </c>
      <c r="AG186" s="57">
        <f t="shared" si="582"/>
        <v>50590.828658654071</v>
      </c>
      <c r="AH186" s="57"/>
      <c r="AI186" s="57"/>
      <c r="AJ186" s="77">
        <v>0</v>
      </c>
      <c r="AK186" s="77">
        <v>16.3</v>
      </c>
      <c r="AL186" s="78">
        <f t="shared" si="443"/>
        <v>2.1323220715555746</v>
      </c>
      <c r="AM186" s="57">
        <f t="shared" si="444"/>
        <v>1</v>
      </c>
      <c r="AN186" s="57">
        <f t="shared" si="445"/>
        <v>0.8</v>
      </c>
      <c r="AO186" s="77">
        <v>1400</v>
      </c>
      <c r="AP186" s="79"/>
      <c r="AQ186" s="77">
        <f t="shared" si="446"/>
        <v>56.214708386791649</v>
      </c>
      <c r="AS186" s="77">
        <f t="shared" si="448"/>
        <v>1343.7852916132083</v>
      </c>
      <c r="AT186" s="77">
        <v>100</v>
      </c>
      <c r="AU186" s="77">
        <v>1400</v>
      </c>
      <c r="AV186" s="77">
        <f t="shared" si="449"/>
        <v>140000</v>
      </c>
      <c r="AX186" s="77">
        <f t="shared" si="450"/>
        <v>140000</v>
      </c>
      <c r="AY186" s="77">
        <v>140000</v>
      </c>
      <c r="AZ186" s="77">
        <v>362</v>
      </c>
      <c r="BA186" s="77">
        <v>362</v>
      </c>
      <c r="BB186" s="77">
        <v>362</v>
      </c>
      <c r="BD186" s="77">
        <v>2.5999999999999999E-3</v>
      </c>
      <c r="BE186" s="77">
        <v>1.2999999999999999E-3</v>
      </c>
      <c r="BH186" s="79"/>
      <c r="BI186" s="79"/>
      <c r="BJ186" s="79"/>
      <c r="BK186" s="57"/>
      <c r="BL186" s="57" t="b">
        <f t="shared" si="515"/>
        <v>0</v>
      </c>
      <c r="BM186" s="80"/>
      <c r="BN186" s="80"/>
      <c r="BO186" s="57"/>
      <c r="BP186" s="57">
        <f t="shared" si="452"/>
        <v>315977.99648771458</v>
      </c>
      <c r="BQ186" s="77">
        <f t="shared" si="453"/>
        <v>7.8580342233181E-10</v>
      </c>
      <c r="BR186" s="57">
        <f t="shared" si="520"/>
        <v>442369195.08280039</v>
      </c>
      <c r="BS186" s="57">
        <v>112.4294167735833</v>
      </c>
      <c r="BT186" s="57">
        <f t="shared" si="456"/>
        <v>0</v>
      </c>
      <c r="BU186" s="57"/>
      <c r="BV186" s="57">
        <v>3.3E-3</v>
      </c>
      <c r="BW186" s="57">
        <v>30000</v>
      </c>
      <c r="BX186" s="57">
        <v>200000</v>
      </c>
      <c r="BY186" s="77">
        <v>30</v>
      </c>
      <c r="BZ186" s="77">
        <v>85</v>
      </c>
      <c r="CA186" s="77">
        <v>205</v>
      </c>
      <c r="CB186" s="77">
        <v>315</v>
      </c>
      <c r="CC186" s="77">
        <v>425</v>
      </c>
      <c r="CD186" s="77">
        <v>535</v>
      </c>
      <c r="CE186" s="77">
        <v>645</v>
      </c>
      <c r="CF186" s="77">
        <v>755</v>
      </c>
      <c r="CG186" s="77">
        <v>865</v>
      </c>
      <c r="CH186" s="77">
        <v>975</v>
      </c>
      <c r="CI186" s="77">
        <v>1085</v>
      </c>
      <c r="CJ186" s="77">
        <v>1195</v>
      </c>
      <c r="CK186" s="77">
        <v>1315</v>
      </c>
      <c r="CL186" s="77">
        <v>1370</v>
      </c>
      <c r="DM186" s="77">
        <v>402.1</v>
      </c>
      <c r="DN186" s="77">
        <v>402.1</v>
      </c>
      <c r="DO186" s="77">
        <v>28.3</v>
      </c>
      <c r="DP186" s="77">
        <v>28.3</v>
      </c>
      <c r="DQ186" s="77">
        <v>28.3</v>
      </c>
      <c r="DR186" s="77">
        <v>28.3</v>
      </c>
      <c r="DS186" s="77">
        <v>28.3</v>
      </c>
      <c r="DT186" s="77">
        <v>28.3</v>
      </c>
      <c r="DU186" s="77">
        <v>28.3</v>
      </c>
      <c r="DV186" s="77">
        <v>28.3</v>
      </c>
      <c r="DW186" s="77">
        <v>28.3</v>
      </c>
      <c r="DX186" s="77">
        <v>28.3</v>
      </c>
      <c r="DY186" s="77">
        <v>402.1</v>
      </c>
      <c r="DZ186" s="77">
        <v>402.1</v>
      </c>
      <c r="FA186" s="77">
        <f t="shared" si="579"/>
        <v>-145560.20000000001</v>
      </c>
      <c r="FB186" s="77">
        <f t="shared" si="580"/>
        <v>-64746.250659058474</v>
      </c>
      <c r="FC186" s="77">
        <f t="shared" si="564"/>
        <v>10244.6</v>
      </c>
      <c r="FD186" s="77">
        <f t="shared" si="565"/>
        <v>10244.6</v>
      </c>
      <c r="FE186" s="77">
        <f t="shared" si="566"/>
        <v>10244.6</v>
      </c>
      <c r="FF186" s="77">
        <f t="shared" si="583"/>
        <v>10244.6</v>
      </c>
      <c r="FG186" s="77">
        <f t="shared" si="586"/>
        <v>10244.6</v>
      </c>
      <c r="FH186" s="77">
        <f t="shared" si="586"/>
        <v>10244.6</v>
      </c>
      <c r="FI186" s="77">
        <f t="shared" si="589"/>
        <v>10244.6</v>
      </c>
      <c r="FJ186" s="77">
        <f t="shared" si="589"/>
        <v>10244.6</v>
      </c>
      <c r="FK186" s="77">
        <f t="shared" si="589"/>
        <v>10244.6</v>
      </c>
      <c r="FL186" s="77">
        <f>IF(ABS(-$BV186*($BS186-CJ186)/$BS186*$BX186)&gt;$BA186,$BA186*SIGN(-($BS186-CJ186)),-$BV186*($BS186-CJ186)/$BS186*$BX186)*DX186</f>
        <v>10244.6</v>
      </c>
      <c r="FM186" s="77">
        <f>IF(ABS(-$BV186*($BS186-CK186)/$BS186*$BX186)&gt;$BB186,$BB186*SIGN(-($BS186-CK186)),-$BV186*($BS186-CK186)/$BS186*$BX186)*DY186</f>
        <v>145560.20000000001</v>
      </c>
      <c r="FN186" s="77">
        <f>IF(ABS(-$BV186*($BS186-CL186)/$BS186*$BX186)&gt;$BB186,$BB186*SIGN(-($BS186-CL186)),-$BV186*($BS186-CL186)/$BS186*$BX186)*DZ186</f>
        <v>145560.20000000001</v>
      </c>
      <c r="GO186" s="77">
        <f t="shared" si="527"/>
        <v>97525334.000000015</v>
      </c>
      <c r="GP186" s="77">
        <f t="shared" si="528"/>
        <v>39818944.155320965</v>
      </c>
      <c r="GQ186" s="77">
        <f t="shared" si="529"/>
        <v>-5071077</v>
      </c>
      <c r="GR186" s="77">
        <f t="shared" si="530"/>
        <v>-3944171</v>
      </c>
      <c r="GS186" s="77">
        <f t="shared" si="569"/>
        <v>-2817265</v>
      </c>
      <c r="GT186" s="77">
        <f t="shared" si="570"/>
        <v>-1690359</v>
      </c>
      <c r="GU186" s="77">
        <f t="shared" si="571"/>
        <v>-563453</v>
      </c>
      <c r="GV186" s="77">
        <f t="shared" si="585"/>
        <v>563453</v>
      </c>
      <c r="GW186" s="77">
        <f t="shared" si="588"/>
        <v>1690359</v>
      </c>
      <c r="GX186" s="77">
        <f t="shared" si="588"/>
        <v>2817265</v>
      </c>
      <c r="GY186" s="77">
        <f t="shared" si="590"/>
        <v>3944171</v>
      </c>
      <c r="GZ186" s="77">
        <f t="shared" si="590"/>
        <v>5071077</v>
      </c>
      <c r="HA186" s="77">
        <f t="shared" si="590"/>
        <v>89519523</v>
      </c>
      <c r="HB186" s="77">
        <f>FN186*(CL186-0.5*$AO186)</f>
        <v>97525334.000000015</v>
      </c>
      <c r="IC186" s="82">
        <v>194</v>
      </c>
    </row>
    <row r="187" spans="1:237" s="77" customFormat="1">
      <c r="A187" s="77">
        <v>186</v>
      </c>
      <c r="B187" s="69">
        <v>258</v>
      </c>
      <c r="C187" s="69" t="s">
        <v>193</v>
      </c>
      <c r="D187" s="70">
        <v>12</v>
      </c>
      <c r="E187" s="70">
        <v>3</v>
      </c>
      <c r="F187" s="70">
        <v>0.12773109243697478</v>
      </c>
      <c r="G187" s="70">
        <v>7.1428569999999999E-3</v>
      </c>
      <c r="H187" s="70">
        <v>0.01</v>
      </c>
      <c r="I187" s="118">
        <f>9.8/AU187</f>
        <v>7.0000000000000001E-3</v>
      </c>
      <c r="J187" s="71">
        <v>0.5</v>
      </c>
      <c r="K187" s="72">
        <v>14</v>
      </c>
      <c r="L187" s="71">
        <v>2.7988235294117647E-2</v>
      </c>
      <c r="M187" s="71">
        <v>5.5976470588235294E-2</v>
      </c>
      <c r="N187" s="71">
        <v>1.148235294117647</v>
      </c>
      <c r="O187" s="71">
        <v>5.5976470588235294E-2</v>
      </c>
      <c r="P187" s="71">
        <v>0</v>
      </c>
      <c r="Q187" s="73" t="s">
        <v>3</v>
      </c>
      <c r="R187" s="74">
        <v>0</v>
      </c>
      <c r="S187" s="75">
        <f t="shared" si="455"/>
        <v>0.52664878579318009</v>
      </c>
      <c r="T187" s="59">
        <f t="shared" si="430"/>
        <v>1.3343387210626336</v>
      </c>
      <c r="U187" s="59">
        <f t="shared" si="431"/>
        <v>1.0490510695894382</v>
      </c>
      <c r="V187" s="59">
        <f t="shared" si="432"/>
        <v>0.95771701488631111</v>
      </c>
      <c r="W187" s="59">
        <f t="shared" si="433"/>
        <v>0.71774655098340367</v>
      </c>
      <c r="X187" s="59">
        <f t="shared" si="434"/>
        <v>0.91293650294940165</v>
      </c>
      <c r="Y187" s="76">
        <v>304000</v>
      </c>
      <c r="Z187" s="57">
        <f t="shared" si="435"/>
        <v>277532.69689661812</v>
      </c>
      <c r="AA187" s="57">
        <f t="shared" si="436"/>
        <v>218194.9514989547</v>
      </c>
      <c r="AB187" s="57">
        <f t="shared" si="576"/>
        <v>0</v>
      </c>
      <c r="AC187" s="57">
        <f t="shared" si="438"/>
        <v>0.25</v>
      </c>
      <c r="AD187" s="57">
        <f t="shared" si="439"/>
        <v>1.5</v>
      </c>
      <c r="AE187" s="57">
        <f t="shared" si="440"/>
        <v>0</v>
      </c>
      <c r="AF187" s="57">
        <f t="shared" si="441"/>
        <v>116548.20384336602</v>
      </c>
      <c r="AG187" s="57">
        <f t="shared" si="582"/>
        <v>101646.74765558868</v>
      </c>
      <c r="AH187" s="57"/>
      <c r="AI187" s="57"/>
      <c r="AJ187" s="77">
        <v>0</v>
      </c>
      <c r="AK187" s="77">
        <v>17</v>
      </c>
      <c r="AL187" s="78">
        <f t="shared" si="443"/>
        <v>2.1822099247707558</v>
      </c>
      <c r="AM187" s="57">
        <f t="shared" si="444"/>
        <v>1</v>
      </c>
      <c r="AN187" s="57">
        <f t="shared" si="445"/>
        <v>0.8</v>
      </c>
      <c r="AO187" s="77">
        <v>1400</v>
      </c>
      <c r="AP187" s="79"/>
      <c r="AQ187" s="77">
        <f t="shared" si="446"/>
        <v>64.791566104604229</v>
      </c>
      <c r="AS187" s="77">
        <f t="shared" si="448"/>
        <v>1335.2084338953957</v>
      </c>
      <c r="AT187" s="77">
        <v>100</v>
      </c>
      <c r="AU187" s="77">
        <v>1400</v>
      </c>
      <c r="AV187" s="77">
        <f t="shared" si="449"/>
        <v>140000</v>
      </c>
      <c r="AX187" s="77">
        <f t="shared" si="450"/>
        <v>140000</v>
      </c>
      <c r="AY187" s="77">
        <v>140000</v>
      </c>
      <c r="AZ187" s="77">
        <v>366</v>
      </c>
      <c r="BA187" s="77">
        <v>366</v>
      </c>
      <c r="BB187" s="77">
        <v>366</v>
      </c>
      <c r="BD187" s="77">
        <v>1.2999999999999999E-3</v>
      </c>
      <c r="BE187" s="77">
        <v>2.5999999999999999E-3</v>
      </c>
      <c r="BH187" s="79"/>
      <c r="BI187" s="79"/>
      <c r="BJ187" s="79"/>
      <c r="BK187" s="57"/>
      <c r="BL187" s="57" t="b">
        <f t="shared" si="515"/>
        <v>0</v>
      </c>
      <c r="BM187" s="80"/>
      <c r="BN187" s="80"/>
      <c r="BO187" s="57"/>
      <c r="BP187" s="57">
        <f t="shared" si="452"/>
        <v>291145.97252543858</v>
      </c>
      <c r="BQ187" s="77">
        <f t="shared" si="453"/>
        <v>1.3969838619232178E-9</v>
      </c>
      <c r="BR187" s="57">
        <f t="shared" si="520"/>
        <v>407604361.53561401</v>
      </c>
      <c r="BS187" s="57">
        <v>129.58313220920846</v>
      </c>
      <c r="BT187" s="57">
        <f t="shared" si="456"/>
        <v>0</v>
      </c>
      <c r="BU187" s="57"/>
      <c r="BV187" s="57">
        <v>3.3E-3</v>
      </c>
      <c r="BW187" s="57">
        <v>30000</v>
      </c>
      <c r="BX187" s="57">
        <v>200000</v>
      </c>
      <c r="BY187" s="77">
        <v>30</v>
      </c>
      <c r="BZ187" s="77">
        <v>140</v>
      </c>
      <c r="CA187" s="77">
        <v>260</v>
      </c>
      <c r="CB187" s="77">
        <v>480</v>
      </c>
      <c r="CC187" s="77">
        <v>700</v>
      </c>
      <c r="CD187" s="77">
        <v>920</v>
      </c>
      <c r="CE187" s="77">
        <v>1140</v>
      </c>
      <c r="CF187" s="77">
        <v>1260</v>
      </c>
      <c r="CG187" s="77">
        <v>1370</v>
      </c>
      <c r="DM187" s="77">
        <v>402.1</v>
      </c>
      <c r="DN187" s="77">
        <v>402.1</v>
      </c>
      <c r="DO187" s="77">
        <v>28.3</v>
      </c>
      <c r="DP187" s="77">
        <v>28.3</v>
      </c>
      <c r="DQ187" s="77">
        <v>28.3</v>
      </c>
      <c r="DR187" s="77">
        <v>28.3</v>
      </c>
      <c r="DS187" s="77">
        <v>28.3</v>
      </c>
      <c r="DT187" s="77">
        <v>402.1</v>
      </c>
      <c r="DU187" s="77">
        <v>402.1</v>
      </c>
      <c r="FA187" s="77">
        <f t="shared" si="579"/>
        <v>-147168.6</v>
      </c>
      <c r="FB187" s="77">
        <f t="shared" si="580"/>
        <v>21333.724755655767</v>
      </c>
      <c r="FC187" s="77">
        <f t="shared" si="564"/>
        <v>10357.800000000001</v>
      </c>
      <c r="FD187" s="77">
        <f t="shared" si="565"/>
        <v>10357.800000000001</v>
      </c>
      <c r="FE187" s="77">
        <f t="shared" si="566"/>
        <v>10357.800000000001</v>
      </c>
      <c r="FF187" s="77">
        <f t="shared" si="583"/>
        <v>10357.800000000001</v>
      </c>
      <c r="FG187" s="77">
        <f>IF(ABS(-$BV187*($BS187-CE187)/$BS187*$BX187)&gt;$BA187,$BA187*SIGN(-($BS187-CE187)),-$BV187*($BS187-CE187)/$BS187*$BX187)*DS187</f>
        <v>10357.800000000001</v>
      </c>
      <c r="FH187" s="77">
        <f>IF(ABS(-$BV187*($BS187-CF187)/$BS187*$BX187)&gt;$BB187,$BB187*SIGN(-($BS187-CF187)),-$BV187*($BS187-CF187)/$BS187*$BX187)*DT187</f>
        <v>147168.6</v>
      </c>
      <c r="FI187" s="77">
        <f>IF(ABS(-$BV187*($BS187-CG187)/$BS187*$BX187)&gt;$BB187,$BB187*SIGN(-($BS187-CG187)),-$BV187*($BS187-CG187)/$BS187*$BX187)*DU187</f>
        <v>147168.6</v>
      </c>
      <c r="GO187" s="77">
        <f t="shared" si="527"/>
        <v>98602962</v>
      </c>
      <c r="GP187" s="77">
        <f t="shared" si="528"/>
        <v>-11946885.86316723</v>
      </c>
      <c r="GQ187" s="77">
        <f t="shared" si="529"/>
        <v>-4557432.0000000009</v>
      </c>
      <c r="GR187" s="77">
        <f t="shared" si="530"/>
        <v>-2278716.0000000005</v>
      </c>
      <c r="GS187" s="77">
        <f t="shared" si="569"/>
        <v>0</v>
      </c>
      <c r="GT187" s="77">
        <f t="shared" si="570"/>
        <v>2278716.0000000005</v>
      </c>
      <c r="GU187" s="77">
        <f t="shared" si="571"/>
        <v>4557432.0000000009</v>
      </c>
      <c r="GV187" s="77">
        <f t="shared" si="585"/>
        <v>82414416</v>
      </c>
      <c r="GW187" s="77">
        <f>FI187*(CG187-0.5*$AO187)</f>
        <v>98602962</v>
      </c>
      <c r="IC187" s="82">
        <v>195</v>
      </c>
    </row>
    <row r="188" spans="1:237" s="77" customFormat="1">
      <c r="A188" s="77">
        <v>187</v>
      </c>
      <c r="B188" s="69">
        <v>259</v>
      </c>
      <c r="C188" s="69" t="s">
        <v>193</v>
      </c>
      <c r="D188" s="70">
        <v>13</v>
      </c>
      <c r="E188" s="70">
        <v>3</v>
      </c>
      <c r="F188" s="70">
        <v>0.11404893449092345</v>
      </c>
      <c r="G188" s="70">
        <v>2.8571429999999999E-3</v>
      </c>
      <c r="H188" s="70">
        <v>7.0000000000000001E-3</v>
      </c>
      <c r="I188" s="118">
        <f>10.4/AU188</f>
        <v>7.4285714285714285E-3</v>
      </c>
      <c r="J188" s="71">
        <v>0.5</v>
      </c>
      <c r="K188" s="72">
        <v>14</v>
      </c>
      <c r="L188" s="71">
        <v>5.3149171270718228E-2</v>
      </c>
      <c r="M188" s="71">
        <v>5.3149171270718228E-2</v>
      </c>
      <c r="N188" s="71">
        <v>1.0902394106813995</v>
      </c>
      <c r="O188" s="71">
        <v>5.3149171270718228E-2</v>
      </c>
      <c r="P188" s="71">
        <v>0</v>
      </c>
      <c r="Q188" s="73" t="s">
        <v>3</v>
      </c>
      <c r="R188" s="74">
        <v>0</v>
      </c>
      <c r="S188" s="75">
        <f t="shared" si="455"/>
        <v>0.48521086776691286</v>
      </c>
      <c r="T188" s="59">
        <f t="shared" si="430"/>
        <v>1.436382259492569</v>
      </c>
      <c r="U188" s="59">
        <f t="shared" si="431"/>
        <v>1.1404939018621854</v>
      </c>
      <c r="V188" s="59">
        <f t="shared" si="432"/>
        <v>1.1191218026686933</v>
      </c>
      <c r="W188" s="59">
        <f t="shared" si="433"/>
        <v>0.77912533051198052</v>
      </c>
      <c r="X188" s="59">
        <f t="shared" si="434"/>
        <v>0.98126066333314366</v>
      </c>
      <c r="Y188" s="76">
        <v>289000</v>
      </c>
      <c r="Z188" s="57">
        <f t="shared" si="435"/>
        <v>283584.33170327853</v>
      </c>
      <c r="AA188" s="57">
        <f t="shared" si="436"/>
        <v>225167.22051796239</v>
      </c>
      <c r="AB188" s="57">
        <f t="shared" si="576"/>
        <v>0</v>
      </c>
      <c r="AC188" s="57">
        <f t="shared" si="438"/>
        <v>0.25</v>
      </c>
      <c r="AD188" s="57">
        <f t="shared" si="439"/>
        <v>1.5</v>
      </c>
      <c r="AE188" s="57">
        <f t="shared" si="440"/>
        <v>0</v>
      </c>
      <c r="AF188" s="57">
        <f t="shared" si="441"/>
        <v>121594.39967636592</v>
      </c>
      <c r="AG188" s="57">
        <f t="shared" si="582"/>
        <v>103572.82084159646</v>
      </c>
      <c r="AH188" s="57"/>
      <c r="AI188" s="57"/>
      <c r="AJ188" s="77">
        <v>0</v>
      </c>
      <c r="AK188" s="77">
        <v>18.100000000000001</v>
      </c>
      <c r="AL188" s="78">
        <f t="shared" si="443"/>
        <v>2.2587742911349866</v>
      </c>
      <c r="AM188" s="57">
        <f t="shared" si="444"/>
        <v>1</v>
      </c>
      <c r="AN188" s="57">
        <f t="shared" si="445"/>
        <v>0.8</v>
      </c>
      <c r="AO188" s="77">
        <v>1400</v>
      </c>
      <c r="AP188" s="79"/>
      <c r="AQ188" s="77">
        <f t="shared" si="446"/>
        <v>54.199313388819391</v>
      </c>
      <c r="AS188" s="77">
        <f t="shared" si="448"/>
        <v>1345.8006866111807</v>
      </c>
      <c r="AT188" s="77">
        <v>100</v>
      </c>
      <c r="AU188" s="77">
        <v>1400</v>
      </c>
      <c r="AV188" s="77">
        <f t="shared" si="449"/>
        <v>140000</v>
      </c>
      <c r="AX188" s="77">
        <f t="shared" si="450"/>
        <v>140000</v>
      </c>
      <c r="AY188" s="77">
        <v>140000</v>
      </c>
      <c r="AZ188" s="77">
        <v>370</v>
      </c>
      <c r="BA188" s="77">
        <v>370</v>
      </c>
      <c r="BB188" s="77">
        <v>370</v>
      </c>
      <c r="BD188" s="77">
        <v>2.5999999999999999E-3</v>
      </c>
      <c r="BE188" s="77">
        <v>2.5999999999999999E-3</v>
      </c>
      <c r="BH188" s="79"/>
      <c r="BI188" s="79"/>
      <c r="BJ188" s="79"/>
      <c r="BK188" s="57"/>
      <c r="BL188" s="57" t="b">
        <f t="shared" si="515"/>
        <v>0</v>
      </c>
      <c r="BM188" s="80"/>
      <c r="BN188" s="80"/>
      <c r="BO188" s="57"/>
      <c r="BP188" s="57">
        <f t="shared" si="452"/>
        <v>323426.20097125234</v>
      </c>
      <c r="BQ188" s="77">
        <f t="shared" si="453"/>
        <v>0</v>
      </c>
      <c r="BR188" s="57">
        <f t="shared" si="520"/>
        <v>452796681.35975325</v>
      </c>
      <c r="BS188" s="57">
        <v>108.39862677763878</v>
      </c>
      <c r="BT188" s="57">
        <f t="shared" si="456"/>
        <v>0</v>
      </c>
      <c r="BU188" s="57"/>
      <c r="BV188" s="57">
        <v>3.3E-3</v>
      </c>
      <c r="BW188" s="57">
        <v>30000</v>
      </c>
      <c r="BX188" s="57">
        <v>200000</v>
      </c>
      <c r="BY188" s="77">
        <v>30</v>
      </c>
      <c r="BZ188" s="77">
        <v>85</v>
      </c>
      <c r="CA188" s="77">
        <v>205</v>
      </c>
      <c r="CB188" s="77">
        <v>315</v>
      </c>
      <c r="CC188" s="77">
        <v>425</v>
      </c>
      <c r="CD188" s="77">
        <v>535</v>
      </c>
      <c r="CE188" s="77">
        <v>645</v>
      </c>
      <c r="CF188" s="77">
        <v>755</v>
      </c>
      <c r="CG188" s="77">
        <v>865</v>
      </c>
      <c r="CH188" s="77">
        <v>975</v>
      </c>
      <c r="CI188" s="77">
        <v>1085</v>
      </c>
      <c r="CJ188" s="77">
        <v>1195</v>
      </c>
      <c r="CK188" s="77">
        <v>1315</v>
      </c>
      <c r="CL188" s="77">
        <v>1370</v>
      </c>
      <c r="DM188" s="77">
        <v>402.1</v>
      </c>
      <c r="DN188" s="77">
        <v>402.1</v>
      </c>
      <c r="DO188" s="77">
        <v>28.3</v>
      </c>
      <c r="DP188" s="77">
        <v>28.3</v>
      </c>
      <c r="DQ188" s="77">
        <v>28.3</v>
      </c>
      <c r="DR188" s="77">
        <v>28.3</v>
      </c>
      <c r="DS188" s="77">
        <v>28.3</v>
      </c>
      <c r="DT188" s="77">
        <v>28.3</v>
      </c>
      <c r="DU188" s="77">
        <v>28.3</v>
      </c>
      <c r="DV188" s="77">
        <v>28.3</v>
      </c>
      <c r="DW188" s="77">
        <v>28.3</v>
      </c>
      <c r="DX188" s="77">
        <v>28.3</v>
      </c>
      <c r="DY188" s="77">
        <v>402.1</v>
      </c>
      <c r="DZ188" s="77">
        <v>402.1</v>
      </c>
      <c r="FA188" s="77">
        <f t="shared" si="579"/>
        <v>-148777</v>
      </c>
      <c r="FB188" s="77">
        <f t="shared" si="580"/>
        <v>-57285.485532473729</v>
      </c>
      <c r="FC188" s="77">
        <f t="shared" si="564"/>
        <v>10471</v>
      </c>
      <c r="FD188" s="77">
        <f t="shared" si="565"/>
        <v>10471</v>
      </c>
      <c r="FE188" s="77">
        <f t="shared" si="566"/>
        <v>10471</v>
      </c>
      <c r="FF188" s="77">
        <f t="shared" si="583"/>
        <v>10471</v>
      </c>
      <c r="FG188" s="77">
        <f>IF(ABS(-$BV188*($BS188-CE188)/$BS188*$BX188)&gt;$BA188,$BA188*SIGN(-($BS188-CE188)),-$BV188*($BS188-CE188)/$BS188*$BX188)*DS188</f>
        <v>10471</v>
      </c>
      <c r="FH188" s="77">
        <f t="shared" ref="FH188:FL189" si="591">IF(ABS(-$BV188*($BS188-CF188)/$BS188*$BX188)&gt;$BA188,$BA188*SIGN(-($BS188-CF188)),-$BV188*($BS188-CF188)/$BS188*$BX188)*DT188</f>
        <v>10471</v>
      </c>
      <c r="FI188" s="77">
        <f t="shared" si="591"/>
        <v>10471</v>
      </c>
      <c r="FJ188" s="77">
        <f t="shared" si="591"/>
        <v>10471</v>
      </c>
      <c r="FK188" s="77">
        <f t="shared" si="591"/>
        <v>10471</v>
      </c>
      <c r="FL188" s="77">
        <f t="shared" si="591"/>
        <v>10471</v>
      </c>
      <c r="FM188" s="77">
        <f>IF(ABS(-$BV188*($BS188-CK188)/$BS188*$BX188)&gt;$BB188,$BB188*SIGN(-($BS188-CK188)),-$BV188*($BS188-CK188)/$BS188*$BX188)*DY188</f>
        <v>148777</v>
      </c>
      <c r="FN188" s="77">
        <f>IF(ABS(-$BV188*($BS188-CL188)/$BS188*$BX188)&gt;$BB188,$BB188*SIGN(-($BS188-CL188)),-$BV188*($BS188-CL188)/$BS188*$BX188)*DZ188</f>
        <v>148777</v>
      </c>
      <c r="GO188" s="77">
        <f t="shared" si="527"/>
        <v>99680590</v>
      </c>
      <c r="GP188" s="77">
        <f t="shared" si="528"/>
        <v>35230573.602471344</v>
      </c>
      <c r="GQ188" s="77">
        <f t="shared" si="529"/>
        <v>-5183145</v>
      </c>
      <c r="GR188" s="77">
        <f t="shared" si="530"/>
        <v>-4031335</v>
      </c>
      <c r="GS188" s="77">
        <f t="shared" si="569"/>
        <v>-2879525</v>
      </c>
      <c r="GT188" s="77">
        <f t="shared" si="570"/>
        <v>-1727715</v>
      </c>
      <c r="GU188" s="77">
        <f t="shared" si="571"/>
        <v>-575905</v>
      </c>
      <c r="GV188" s="77">
        <f t="shared" si="585"/>
        <v>575905</v>
      </c>
      <c r="GW188" s="77">
        <f>FI188*(CG188-0.5*$AO188)</f>
        <v>1727715</v>
      </c>
      <c r="GX188" s="77">
        <f t="shared" ref="GX188:HB189" si="592">FJ188*(CH188-0.5*$AO188)</f>
        <v>2879525</v>
      </c>
      <c r="GY188" s="77">
        <f t="shared" si="592"/>
        <v>4031335</v>
      </c>
      <c r="GZ188" s="77">
        <f t="shared" si="592"/>
        <v>5183145</v>
      </c>
      <c r="HA188" s="77">
        <f t="shared" si="592"/>
        <v>91497855</v>
      </c>
      <c r="HB188" s="77">
        <f t="shared" si="592"/>
        <v>99680590</v>
      </c>
      <c r="IC188" s="82">
        <v>196</v>
      </c>
    </row>
    <row r="189" spans="1:237" s="77" customFormat="1">
      <c r="A189" s="77">
        <v>188</v>
      </c>
      <c r="B189" s="69">
        <v>260</v>
      </c>
      <c r="C189" s="69" t="s">
        <v>193</v>
      </c>
      <c r="D189" s="70">
        <v>14</v>
      </c>
      <c r="E189" s="70">
        <v>3</v>
      </c>
      <c r="F189" s="70">
        <v>0.10964912280701754</v>
      </c>
      <c r="G189" s="70">
        <v>1.6666669999999999E-3</v>
      </c>
      <c r="H189" s="70">
        <v>5.4999999999999997E-3</v>
      </c>
      <c r="I189" s="118">
        <f>4.5/AU189</f>
        <v>3.7499999999999999E-3</v>
      </c>
      <c r="J189" s="84">
        <v>0.4</v>
      </c>
      <c r="K189" s="72">
        <v>21.25</v>
      </c>
      <c r="L189" s="71">
        <v>5.3508771929824561E-2</v>
      </c>
      <c r="M189" s="71">
        <v>2.7824561403508769E-2</v>
      </c>
      <c r="N189" s="71">
        <v>1.3377192982456139</v>
      </c>
      <c r="O189" s="71">
        <v>2.7824561403508769E-2</v>
      </c>
      <c r="P189" s="71">
        <v>0</v>
      </c>
      <c r="Q189" s="73" t="s">
        <v>3</v>
      </c>
      <c r="R189" s="74">
        <v>0</v>
      </c>
      <c r="S189" s="75">
        <f t="shared" si="455"/>
        <v>0.45342265631875722</v>
      </c>
      <c r="T189" s="59">
        <f t="shared" si="430"/>
        <v>2.1431715372312841</v>
      </c>
      <c r="U189" s="59">
        <f t="shared" si="431"/>
        <v>1.7019680623561808</v>
      </c>
      <c r="V189" s="59">
        <f t="shared" si="432"/>
        <v>1.3702918453442297</v>
      </c>
      <c r="W189" s="59">
        <f t="shared" si="433"/>
        <v>0.63937572030024215</v>
      </c>
      <c r="X189" s="59">
        <f t="shared" si="434"/>
        <v>0.80512195008360887</v>
      </c>
      <c r="Y189" s="76">
        <v>255000</v>
      </c>
      <c r="Z189" s="57">
        <f t="shared" si="435"/>
        <v>205306.09727132026</v>
      </c>
      <c r="AA189" s="57">
        <f t="shared" si="436"/>
        <v>163040.80867656175</v>
      </c>
      <c r="AB189" s="57">
        <f t="shared" si="576"/>
        <v>0</v>
      </c>
      <c r="AC189" s="57">
        <f t="shared" si="438"/>
        <v>0.25</v>
      </c>
      <c r="AD189" s="57">
        <f t="shared" si="439"/>
        <v>1.5</v>
      </c>
      <c r="AE189" s="57">
        <f t="shared" si="440"/>
        <v>0</v>
      </c>
      <c r="AF189" s="57">
        <f t="shared" si="441"/>
        <v>113643.63750036155</v>
      </c>
      <c r="AG189" s="57">
        <f t="shared" si="582"/>
        <v>49397.171176200194</v>
      </c>
      <c r="AH189" s="57"/>
      <c r="AI189" s="57"/>
      <c r="AJ189" s="77">
        <v>0</v>
      </c>
      <c r="AK189" s="77">
        <v>17.100000000000001</v>
      </c>
      <c r="AL189" s="78">
        <f t="shared" si="443"/>
        <v>2.1892606979374567</v>
      </c>
      <c r="AM189" s="57">
        <f t="shared" si="444"/>
        <v>1</v>
      </c>
      <c r="AN189" s="57">
        <f t="shared" si="445"/>
        <v>0.8</v>
      </c>
      <c r="AO189" s="77">
        <v>1700</v>
      </c>
      <c r="AP189" s="79"/>
      <c r="AQ189" s="77">
        <f t="shared" si="446"/>
        <v>77.825137393593906</v>
      </c>
      <c r="AS189" s="77">
        <f t="shared" si="448"/>
        <v>1622.1748626064061</v>
      </c>
      <c r="AT189" s="77">
        <v>80</v>
      </c>
      <c r="AU189" s="77">
        <v>1200</v>
      </c>
      <c r="AV189" s="77">
        <f t="shared" si="449"/>
        <v>136000</v>
      </c>
      <c r="AX189" s="77">
        <f t="shared" si="450"/>
        <v>136000</v>
      </c>
      <c r="AY189" s="77">
        <v>136000</v>
      </c>
      <c r="AZ189" s="77">
        <v>366</v>
      </c>
      <c r="BA189" s="77">
        <v>366</v>
      </c>
      <c r="BB189" s="77">
        <v>366</v>
      </c>
      <c r="BD189" s="77">
        <v>2.5000000000000001E-3</v>
      </c>
      <c r="BE189" s="77">
        <v>1.2999999999999999E-3</v>
      </c>
      <c r="BH189" s="79"/>
      <c r="BI189" s="79"/>
      <c r="BJ189" s="79"/>
      <c r="BK189" s="57"/>
      <c r="BL189" s="57" t="b">
        <f t="shared" si="515"/>
        <v>0</v>
      </c>
      <c r="BM189" s="80"/>
      <c r="BN189" s="80"/>
      <c r="BO189" s="57"/>
      <c r="BP189" s="57">
        <f t="shared" si="452"/>
        <v>349424.42056277854</v>
      </c>
      <c r="BQ189" s="77">
        <f t="shared" si="453"/>
        <v>2.7939677238464355E-9</v>
      </c>
      <c r="BR189" s="57">
        <f t="shared" si="520"/>
        <v>419309304.67533422</v>
      </c>
      <c r="BS189" s="57">
        <v>155.65027478718781</v>
      </c>
      <c r="BT189" s="57">
        <f t="shared" si="456"/>
        <v>0</v>
      </c>
      <c r="BU189" s="57"/>
      <c r="BV189" s="57">
        <v>3.3E-3</v>
      </c>
      <c r="BW189" s="57">
        <v>30000</v>
      </c>
      <c r="BX189" s="57">
        <v>200000</v>
      </c>
      <c r="BY189" s="77">
        <v>30</v>
      </c>
      <c r="BZ189" s="77">
        <v>100</v>
      </c>
      <c r="CA189" s="77">
        <v>170</v>
      </c>
      <c r="CB189" s="77">
        <v>220</v>
      </c>
      <c r="CC189" s="77">
        <v>360</v>
      </c>
      <c r="CD189" s="77">
        <v>500</v>
      </c>
      <c r="CE189" s="77">
        <v>640</v>
      </c>
      <c r="CF189" s="77">
        <v>780</v>
      </c>
      <c r="CG189" s="77">
        <v>920</v>
      </c>
      <c r="CH189" s="77">
        <v>1060</v>
      </c>
      <c r="CI189" s="77">
        <v>1200</v>
      </c>
      <c r="CJ189" s="77">
        <v>1340</v>
      </c>
      <c r="CK189" s="77">
        <v>1480</v>
      </c>
      <c r="CL189" s="77">
        <v>1530</v>
      </c>
      <c r="CM189" s="77">
        <v>1600</v>
      </c>
      <c r="CN189" s="77">
        <v>1670</v>
      </c>
      <c r="DM189" s="77">
        <v>201.1</v>
      </c>
      <c r="DN189" s="77">
        <v>201.1</v>
      </c>
      <c r="DO189" s="77">
        <v>201.1</v>
      </c>
      <c r="DP189" s="77">
        <v>28.3</v>
      </c>
      <c r="DQ189" s="77">
        <v>28.3</v>
      </c>
      <c r="DR189" s="77">
        <v>28.3</v>
      </c>
      <c r="DS189" s="77">
        <v>28.3</v>
      </c>
      <c r="DT189" s="77">
        <v>28.3</v>
      </c>
      <c r="DU189" s="77">
        <v>28.3</v>
      </c>
      <c r="DV189" s="77">
        <v>28.3</v>
      </c>
      <c r="DW189" s="77">
        <v>28.3</v>
      </c>
      <c r="DX189" s="77">
        <v>28.3</v>
      </c>
      <c r="DY189" s="77">
        <v>28.3</v>
      </c>
      <c r="DZ189" s="77">
        <v>201.1</v>
      </c>
      <c r="EA189" s="77">
        <v>201.1</v>
      </c>
      <c r="EB189" s="77">
        <v>201.1</v>
      </c>
      <c r="FA189" s="77">
        <f t="shared" si="579"/>
        <v>-73602.599999999991</v>
      </c>
      <c r="FB189" s="77">
        <f t="shared" si="580"/>
        <v>-47454.06573488607</v>
      </c>
      <c r="FC189" s="77">
        <f>IF(ABS(-$BV189*($BS189-CA189)/$BS189*$BX189)&gt;$BB189,$BB189*SIGN(-($BS189-CA189)),-$BV189*($BS189-CA189)/$BS189*$BX189)*DO189</f>
        <v>12236.288250693689</v>
      </c>
      <c r="FD189" s="77">
        <f t="shared" ref="FD189:FE191" si="593">IF(ABS(-$BV189*($BS189-CB189)/$BS189*$BX189)&gt;$BA189,$BA189*SIGN(-($BS189-CB189)),-$BV189*($BS189-CB189)/$BS189*$BX189)*DP189</f>
        <v>7721.9533930680946</v>
      </c>
      <c r="FE189" s="77">
        <f t="shared" si="593"/>
        <v>10357.800000000001</v>
      </c>
      <c r="FF189" s="77">
        <f t="shared" si="583"/>
        <v>10357.800000000001</v>
      </c>
      <c r="FG189" s="77">
        <f>IF(ABS(-$BV189*($BS189-CE189)/$BS189*$BX189)&gt;$BA189,$BA189*SIGN(-($BS189-CE189)),-$BV189*($BS189-CE189)/$BS189*$BX189)*DS189</f>
        <v>10357.800000000001</v>
      </c>
      <c r="FH189" s="77">
        <f t="shared" si="591"/>
        <v>10357.800000000001</v>
      </c>
      <c r="FI189" s="77">
        <f t="shared" si="591"/>
        <v>10357.800000000001</v>
      </c>
      <c r="FJ189" s="77">
        <f t="shared" si="591"/>
        <v>10357.800000000001</v>
      </c>
      <c r="FK189" s="77">
        <f t="shared" si="591"/>
        <v>10357.800000000001</v>
      </c>
      <c r="FL189" s="77">
        <f t="shared" si="591"/>
        <v>10357.800000000001</v>
      </c>
      <c r="FM189" s="77">
        <f>IF(ABS(-$BV189*($BS189-CK189)/$BS189*$BX189)&gt;$BA189,$BA189*SIGN(-($BS189-CK189)),-$BV189*($BS189-CK189)/$BS189*$BX189)*DY189</f>
        <v>10357.800000000001</v>
      </c>
      <c r="FN189" s="77">
        <f>IF(ABS(-$BV189*($BS189-CL189)/$BS189*$BX189)&gt;$BB189,$BB189*SIGN(-($BS189-CL189)),-$BV189*($BS189-CL189)/$BS189*$BX189)*DZ189</f>
        <v>73602.599999999991</v>
      </c>
      <c r="FO189" s="77">
        <f>IF(ABS(-$BV189*($BS189-CM189)/$BS189*$BX189)&gt;$BB189,$BB189*SIGN(-($BS189-CM189)),-$BV189*($BS189-CM189)/$BS189*$BX189)*EA189</f>
        <v>73602.599999999991</v>
      </c>
      <c r="FP189" s="77">
        <f>IF(ABS(-$BV189*($BS189-CN189)/$BS189*$BX189)&gt;$BB189,$BB189*SIGN(-($BS189-CN189)),-$BV189*($BS189-CN189)/$BS189*$BX189)*EB189</f>
        <v>73602.599999999991</v>
      </c>
      <c r="GO189" s="77">
        <f t="shared" si="527"/>
        <v>60354131.999999993</v>
      </c>
      <c r="GP189" s="77">
        <f t="shared" si="528"/>
        <v>35590549.301164553</v>
      </c>
      <c r="GQ189" s="77">
        <f t="shared" si="529"/>
        <v>-8320676.0104717091</v>
      </c>
      <c r="GR189" s="77">
        <f t="shared" si="530"/>
        <v>-4864830.6376328999</v>
      </c>
      <c r="GS189" s="77">
        <f t="shared" si="569"/>
        <v>-5075322.0000000009</v>
      </c>
      <c r="GT189" s="77">
        <f t="shared" si="570"/>
        <v>-3625230.0000000005</v>
      </c>
      <c r="GU189" s="77">
        <f t="shared" si="571"/>
        <v>-2175138</v>
      </c>
      <c r="GV189" s="77">
        <f t="shared" si="585"/>
        <v>-725046.00000000012</v>
      </c>
      <c r="GW189" s="77">
        <f>FI189*(CG189-0.5*$AO189)</f>
        <v>725046.00000000012</v>
      </c>
      <c r="GX189" s="77">
        <f t="shared" si="592"/>
        <v>2175138</v>
      </c>
      <c r="GY189" s="77">
        <f t="shared" si="592"/>
        <v>3625230.0000000005</v>
      </c>
      <c r="GZ189" s="77">
        <f t="shared" si="592"/>
        <v>5075322.0000000009</v>
      </c>
      <c r="HA189" s="77">
        <f t="shared" si="592"/>
        <v>6525414.0000000009</v>
      </c>
      <c r="HB189" s="77">
        <f t="shared" si="592"/>
        <v>50049767.999999993</v>
      </c>
      <c r="HC189" s="77">
        <f>FO189*(CM189-0.5*$AO189)</f>
        <v>55201949.999999993</v>
      </c>
      <c r="HD189" s="77">
        <f>FP189*(CN189-0.5*$AO189)</f>
        <v>60354131.999999993</v>
      </c>
      <c r="IC189" s="82">
        <v>197</v>
      </c>
    </row>
    <row r="190" spans="1:237" s="77" customFormat="1">
      <c r="A190" s="77">
        <v>189</v>
      </c>
      <c r="B190" s="69">
        <v>261</v>
      </c>
      <c r="C190" s="69" t="s">
        <v>193</v>
      </c>
      <c r="D190" s="70">
        <v>15</v>
      </c>
      <c r="E190" s="70">
        <v>3</v>
      </c>
      <c r="F190" s="70">
        <v>0.14241486068111456</v>
      </c>
      <c r="G190" s="70">
        <v>6.6666670000000003E-3</v>
      </c>
      <c r="H190" s="70">
        <v>8.3333330000000001E-3</v>
      </c>
      <c r="I190" s="118">
        <f>6.4/AU190</f>
        <v>5.333333333333334E-3</v>
      </c>
      <c r="J190" s="84">
        <v>0.4</v>
      </c>
      <c r="K190" s="72">
        <v>21.25</v>
      </c>
      <c r="L190" s="71">
        <v>2.5042105263157893E-2</v>
      </c>
      <c r="M190" s="71">
        <v>4.8157894736842108E-2</v>
      </c>
      <c r="N190" s="71">
        <v>1.2039473684210527</v>
      </c>
      <c r="O190" s="71">
        <v>4.8157894736842108E-2</v>
      </c>
      <c r="P190" s="71">
        <v>0</v>
      </c>
      <c r="Q190" s="73" t="s">
        <v>3</v>
      </c>
      <c r="R190" s="74">
        <v>0</v>
      </c>
      <c r="S190" s="75">
        <f t="shared" si="455"/>
        <v>0.62077198576740245</v>
      </c>
      <c r="T190" s="59">
        <f t="shared" si="430"/>
        <v>1.4718405294943211</v>
      </c>
      <c r="U190" s="59">
        <f t="shared" si="431"/>
        <v>1.1555367714605567</v>
      </c>
      <c r="V190" s="59">
        <f t="shared" si="432"/>
        <v>0.8561100767939499</v>
      </c>
      <c r="W190" s="59">
        <f t="shared" si="433"/>
        <v>0.58165953419429406</v>
      </c>
      <c r="X190" s="59">
        <f t="shared" si="434"/>
        <v>0.7408765328271274</v>
      </c>
      <c r="Y190" s="76">
        <v>368000</v>
      </c>
      <c r="Z190" s="57">
        <f t="shared" si="435"/>
        <v>272642.56408038287</v>
      </c>
      <c r="AA190" s="57">
        <f t="shared" si="436"/>
        <v>214050.70858350021</v>
      </c>
      <c r="AB190" s="57">
        <f t="shared" si="576"/>
        <v>0</v>
      </c>
      <c r="AC190" s="57">
        <f t="shared" si="438"/>
        <v>0.25</v>
      </c>
      <c r="AD190" s="57">
        <f t="shared" si="439"/>
        <v>1.5</v>
      </c>
      <c r="AE190" s="57">
        <f t="shared" si="440"/>
        <v>0</v>
      </c>
      <c r="AF190" s="57">
        <f t="shared" si="441"/>
        <v>119659.18090217153</v>
      </c>
      <c r="AG190" s="57">
        <f t="shared" si="582"/>
        <v>94391.527681328676</v>
      </c>
      <c r="AH190" s="57"/>
      <c r="AI190" s="57"/>
      <c r="AJ190" s="77">
        <v>0</v>
      </c>
      <c r="AK190" s="77">
        <v>19</v>
      </c>
      <c r="AL190" s="78">
        <f t="shared" si="443"/>
        <v>2.3198724125988379</v>
      </c>
      <c r="AM190" s="57">
        <f t="shared" si="444"/>
        <v>1</v>
      </c>
      <c r="AN190" s="57">
        <f t="shared" si="445"/>
        <v>0.8</v>
      </c>
      <c r="AO190" s="77">
        <v>1700</v>
      </c>
      <c r="AP190" s="79"/>
      <c r="AQ190" s="77">
        <f t="shared" si="446"/>
        <v>88.122819649442391</v>
      </c>
      <c r="AS190" s="77">
        <f t="shared" si="448"/>
        <v>1611.8771803505576</v>
      </c>
      <c r="AT190" s="77">
        <v>80</v>
      </c>
      <c r="AU190" s="77">
        <v>1200</v>
      </c>
      <c r="AV190" s="77">
        <f t="shared" si="449"/>
        <v>136000</v>
      </c>
      <c r="AX190" s="77">
        <f t="shared" si="450"/>
        <v>136000</v>
      </c>
      <c r="AY190" s="77">
        <v>136000</v>
      </c>
      <c r="AZ190" s="77">
        <v>366</v>
      </c>
      <c r="BA190" s="77">
        <v>366</v>
      </c>
      <c r="BB190" s="77">
        <v>366</v>
      </c>
      <c r="BD190" s="77">
        <v>1.2999999999999999E-3</v>
      </c>
      <c r="BE190" s="77">
        <v>2.5000000000000001E-3</v>
      </c>
      <c r="BH190" s="79"/>
      <c r="BI190" s="79"/>
      <c r="BJ190" s="79"/>
      <c r="BK190" s="57"/>
      <c r="BL190" s="57" t="b">
        <f t="shared" si="515"/>
        <v>0</v>
      </c>
      <c r="BM190" s="80"/>
      <c r="BN190" s="80"/>
      <c r="BO190" s="57"/>
      <c r="BP190" s="57">
        <f t="shared" si="452"/>
        <v>315048.50826017355</v>
      </c>
      <c r="BQ190" s="77">
        <f t="shared" si="453"/>
        <v>5.2386894822120667E-10</v>
      </c>
      <c r="BR190" s="57">
        <f t="shared" si="520"/>
        <v>378058209.91220826</v>
      </c>
      <c r="BS190" s="57">
        <v>176.24563929888478</v>
      </c>
      <c r="BT190" s="57">
        <f t="shared" si="456"/>
        <v>0</v>
      </c>
      <c r="BU190" s="57"/>
      <c r="BV190" s="57">
        <v>3.3E-3</v>
      </c>
      <c r="BW190" s="57">
        <v>30000</v>
      </c>
      <c r="BX190" s="57">
        <v>200000</v>
      </c>
      <c r="BY190" s="77">
        <v>30</v>
      </c>
      <c r="BZ190" s="77">
        <v>170</v>
      </c>
      <c r="CA190" s="77">
        <v>310</v>
      </c>
      <c r="CB190" s="77">
        <v>410</v>
      </c>
      <c r="CC190" s="77">
        <v>630</v>
      </c>
      <c r="CD190" s="77">
        <v>850</v>
      </c>
      <c r="CE190" s="77">
        <v>1070</v>
      </c>
      <c r="CF190" s="77">
        <v>1290</v>
      </c>
      <c r="CG190" s="77">
        <v>1390</v>
      </c>
      <c r="CH190" s="77">
        <v>1530</v>
      </c>
      <c r="CI190" s="77">
        <v>1670</v>
      </c>
      <c r="DM190" s="77">
        <v>201.1</v>
      </c>
      <c r="DN190" s="77">
        <v>201.1</v>
      </c>
      <c r="DO190" s="77">
        <v>201.1</v>
      </c>
      <c r="DP190" s="77">
        <v>28.3</v>
      </c>
      <c r="DQ190" s="77">
        <v>28.3</v>
      </c>
      <c r="DR190" s="77">
        <v>28.3</v>
      </c>
      <c r="DS190" s="77">
        <v>28.3</v>
      </c>
      <c r="DT190" s="77">
        <v>28.3</v>
      </c>
      <c r="DU190" s="77">
        <v>201.1</v>
      </c>
      <c r="DV190" s="77">
        <v>201.1</v>
      </c>
      <c r="DW190" s="77">
        <v>201.1</v>
      </c>
      <c r="FA190" s="77">
        <f t="shared" si="579"/>
        <v>-73602.599999999991</v>
      </c>
      <c r="FB190" s="77">
        <f t="shared" si="580"/>
        <v>-4703.4282656945543</v>
      </c>
      <c r="FC190" s="77">
        <f>IF(ABS(-$BV190*($BS190-CA190)/$BS190*$BX190)&gt;$BB190,$BB190*SIGN(-($BS190-CA190)),-$BV190*($BS190-CA190)/$BS190*$BX190)*DO190</f>
        <v>73602.599999999991</v>
      </c>
      <c r="FD190" s="77">
        <f t="shared" si="593"/>
        <v>10357.800000000001</v>
      </c>
      <c r="FE190" s="77">
        <f t="shared" si="593"/>
        <v>10357.800000000001</v>
      </c>
      <c r="FF190" s="77">
        <f t="shared" si="583"/>
        <v>10357.800000000001</v>
      </c>
      <c r="FG190" s="77">
        <f>IF(ABS(-$BV190*($BS190-CE190)/$BS190*$BX190)&gt;$BA190,$BA190*SIGN(-($BS190-CE190)),-$BV190*($BS190-CE190)/$BS190*$BX190)*DS190</f>
        <v>10357.800000000001</v>
      </c>
      <c r="FH190" s="77">
        <f>IF(ABS(-$BV190*($BS190-CF190)/$BS190*$BX190)&gt;$BA190,$BA190*SIGN(-($BS190-CF190)),-$BV190*($BS190-CF190)/$BS190*$BX190)*DT190</f>
        <v>10357.800000000001</v>
      </c>
      <c r="FI190" s="77">
        <f>IF(ABS(-$BV190*($BS190-CG190)/$BS190*$BX190)&gt;$BB190,$BB190*SIGN(-($BS190-CG190)),-$BV190*($BS190-CG190)/$BS190*$BX190)*DU190</f>
        <v>73602.599999999991</v>
      </c>
      <c r="FJ190" s="77">
        <f>IF(ABS(-$BV190*($BS190-CH190)/$BS190*$BX190)&gt;$BB190,$BB190*SIGN(-($BS190-CH190)),-$BV190*($BS190-CH190)/$BS190*$BX190)*DV190</f>
        <v>73602.599999999991</v>
      </c>
      <c r="FK190" s="77">
        <f>IF(ABS(-$BV190*($BS190-CI190)/$BS190*$BX190)&gt;$BB190,$BB190*SIGN(-($BS190-CI190)),-$BV190*($BS190-CI190)/$BS190*$BX190)*DW190</f>
        <v>73602.599999999991</v>
      </c>
      <c r="GO190" s="77">
        <f t="shared" si="527"/>
        <v>60354131.999999993</v>
      </c>
      <c r="GP190" s="77">
        <f t="shared" si="528"/>
        <v>3198331.2206722968</v>
      </c>
      <c r="GQ190" s="77">
        <f t="shared" si="529"/>
        <v>-39745403.999999993</v>
      </c>
      <c r="GR190" s="77">
        <f t="shared" si="530"/>
        <v>-4557432.0000000009</v>
      </c>
      <c r="GS190" s="77">
        <f t="shared" si="569"/>
        <v>-2278716.0000000005</v>
      </c>
      <c r="GT190" s="77">
        <f t="shared" si="570"/>
        <v>0</v>
      </c>
      <c r="GU190" s="77">
        <f t="shared" si="571"/>
        <v>2278716.0000000005</v>
      </c>
      <c r="GV190" s="77">
        <f t="shared" si="585"/>
        <v>4557432.0000000009</v>
      </c>
      <c r="GW190" s="77">
        <f>FI190*(CG190-0.5*$AO190)</f>
        <v>39745403.999999993</v>
      </c>
      <c r="GX190" s="77">
        <f>FJ190*(CH190-0.5*$AO190)</f>
        <v>50049767.999999993</v>
      </c>
      <c r="GY190" s="77">
        <f>FK190*(CI190-0.5*$AO190)</f>
        <v>60354131.999999993</v>
      </c>
      <c r="IC190" s="82">
        <v>198</v>
      </c>
    </row>
    <row r="191" spans="1:237" s="77" customFormat="1">
      <c r="A191" s="77">
        <v>190</v>
      </c>
      <c r="B191" s="69">
        <v>262</v>
      </c>
      <c r="C191" s="69" t="s">
        <v>193</v>
      </c>
      <c r="D191" s="70">
        <v>16</v>
      </c>
      <c r="E191" s="70">
        <v>3</v>
      </c>
      <c r="F191" s="70">
        <v>0.14158322903629536</v>
      </c>
      <c r="G191" s="70">
        <v>5.0000000000000001E-3</v>
      </c>
      <c r="H191" s="70">
        <v>7.333333E-3</v>
      </c>
      <c r="I191" s="118">
        <f>6.1/AU191</f>
        <v>5.0833333333333329E-3</v>
      </c>
      <c r="J191" s="84">
        <v>0.4</v>
      </c>
      <c r="K191" s="72">
        <v>21.25</v>
      </c>
      <c r="L191" s="71">
        <v>4.8670212765957448E-2</v>
      </c>
      <c r="M191" s="71">
        <v>4.8670212765957448E-2</v>
      </c>
      <c r="N191" s="71">
        <v>1.2167553191489362</v>
      </c>
      <c r="O191" s="71">
        <v>4.8670212765957448E-2</v>
      </c>
      <c r="P191" s="71">
        <v>0</v>
      </c>
      <c r="Q191" s="73" t="s">
        <v>3</v>
      </c>
      <c r="R191" s="74">
        <v>0</v>
      </c>
      <c r="S191" s="75">
        <f t="shared" si="455"/>
        <v>0.61389025240157424</v>
      </c>
      <c r="T191" s="59">
        <f t="shared" si="430"/>
        <v>1.6301593608793208</v>
      </c>
      <c r="U191" s="59">
        <f t="shared" si="431"/>
        <v>1.2901280443967988</v>
      </c>
      <c r="V191" s="59">
        <f t="shared" si="432"/>
        <v>0.96888076933029632</v>
      </c>
      <c r="W191" s="59">
        <f t="shared" si="433"/>
        <v>0.59434727216342487</v>
      </c>
      <c r="X191" s="59">
        <f t="shared" si="434"/>
        <v>0.75099582056081726</v>
      </c>
      <c r="Y191" s="76">
        <v>362000</v>
      </c>
      <c r="Z191" s="57">
        <f t="shared" si="435"/>
        <v>271860.48704301583</v>
      </c>
      <c r="AA191" s="57">
        <f t="shared" si="436"/>
        <v>215153.7125231598</v>
      </c>
      <c r="AB191" s="57">
        <f t="shared" si="576"/>
        <v>0</v>
      </c>
      <c r="AC191" s="57">
        <f t="shared" si="438"/>
        <v>0.25</v>
      </c>
      <c r="AD191" s="57">
        <f t="shared" si="439"/>
        <v>1.5</v>
      </c>
      <c r="AE191" s="57">
        <f t="shared" si="440"/>
        <v>0</v>
      </c>
      <c r="AF191" s="57">
        <f t="shared" si="441"/>
        <v>119966.98489318763</v>
      </c>
      <c r="AG191" s="57">
        <f t="shared" si="582"/>
        <v>95186.727629972185</v>
      </c>
      <c r="AH191" s="57"/>
      <c r="AI191" s="57"/>
      <c r="AJ191" s="77">
        <v>0</v>
      </c>
      <c r="AK191" s="77">
        <v>18.8</v>
      </c>
      <c r="AL191" s="78">
        <f t="shared" si="443"/>
        <v>2.306409599539645</v>
      </c>
      <c r="AM191" s="57">
        <f t="shared" si="444"/>
        <v>1</v>
      </c>
      <c r="AN191" s="57">
        <f t="shared" si="445"/>
        <v>0.8</v>
      </c>
      <c r="AO191" s="77">
        <v>1700</v>
      </c>
      <c r="AP191" s="79"/>
      <c r="AQ191" s="77">
        <f t="shared" si="446"/>
        <v>74.543585553753957</v>
      </c>
      <c r="AS191" s="77">
        <f t="shared" si="448"/>
        <v>1625.4564144462461</v>
      </c>
      <c r="AT191" s="77">
        <v>80</v>
      </c>
      <c r="AU191" s="77">
        <v>1200</v>
      </c>
      <c r="AV191" s="77">
        <f t="shared" si="449"/>
        <v>136000</v>
      </c>
      <c r="AX191" s="77">
        <f t="shared" si="450"/>
        <v>136000</v>
      </c>
      <c r="AY191" s="77">
        <v>136000</v>
      </c>
      <c r="AZ191" s="77">
        <v>366</v>
      </c>
      <c r="BA191" s="77">
        <v>366</v>
      </c>
      <c r="BB191" s="77">
        <v>366</v>
      </c>
      <c r="BD191" s="77">
        <v>2.5000000000000001E-3</v>
      </c>
      <c r="BE191" s="77">
        <v>2.5000000000000001E-3</v>
      </c>
      <c r="BH191" s="79"/>
      <c r="BI191" s="79"/>
      <c r="BJ191" s="79"/>
      <c r="BK191" s="57"/>
      <c r="BL191" s="57" t="b">
        <f t="shared" si="515"/>
        <v>0</v>
      </c>
      <c r="BM191" s="80"/>
      <c r="BN191" s="80"/>
      <c r="BO191" s="57"/>
      <c r="BP191" s="57">
        <f t="shared" si="452"/>
        <v>350734.83849756728</v>
      </c>
      <c r="BQ191" s="77">
        <f t="shared" si="453"/>
        <v>2.9685907065868378E-9</v>
      </c>
      <c r="BR191" s="57">
        <f t="shared" si="520"/>
        <v>420881806.19708073</v>
      </c>
      <c r="BS191" s="57">
        <v>149.08717110750791</v>
      </c>
      <c r="BT191" s="57">
        <f t="shared" si="456"/>
        <v>0</v>
      </c>
      <c r="BU191" s="57"/>
      <c r="BV191" s="57">
        <v>3.3E-3</v>
      </c>
      <c r="BW191" s="57">
        <v>30000</v>
      </c>
      <c r="BX191" s="57">
        <v>200000</v>
      </c>
      <c r="BY191" s="77">
        <v>30</v>
      </c>
      <c r="BZ191" s="77">
        <v>100</v>
      </c>
      <c r="CA191" s="77">
        <v>170</v>
      </c>
      <c r="CB191" s="77">
        <v>220</v>
      </c>
      <c r="CC191" s="77">
        <v>360</v>
      </c>
      <c r="CD191" s="77">
        <v>500</v>
      </c>
      <c r="CE191" s="77">
        <v>640</v>
      </c>
      <c r="CF191" s="77">
        <v>780</v>
      </c>
      <c r="CG191" s="77">
        <v>920</v>
      </c>
      <c r="CH191" s="77">
        <v>1060</v>
      </c>
      <c r="CI191" s="77">
        <v>1200</v>
      </c>
      <c r="CJ191" s="77">
        <v>1340</v>
      </c>
      <c r="CK191" s="77">
        <v>1480</v>
      </c>
      <c r="CL191" s="77">
        <v>1530</v>
      </c>
      <c r="CM191" s="77">
        <v>1600</v>
      </c>
      <c r="CN191" s="77">
        <v>1670</v>
      </c>
      <c r="DM191" s="77">
        <v>201.1</v>
      </c>
      <c r="DN191" s="77">
        <v>201.1</v>
      </c>
      <c r="DO191" s="77">
        <v>201.1</v>
      </c>
      <c r="DP191" s="77">
        <v>28.3</v>
      </c>
      <c r="DQ191" s="77">
        <v>28.3</v>
      </c>
      <c r="DR191" s="77">
        <v>28.3</v>
      </c>
      <c r="DS191" s="77">
        <v>28.3</v>
      </c>
      <c r="DT191" s="77">
        <v>28.3</v>
      </c>
      <c r="DU191" s="77">
        <v>28.3</v>
      </c>
      <c r="DV191" s="77">
        <v>28.3</v>
      </c>
      <c r="DW191" s="77">
        <v>28.3</v>
      </c>
      <c r="DX191" s="77">
        <v>28.3</v>
      </c>
      <c r="DY191" s="77">
        <v>28.3</v>
      </c>
      <c r="DZ191" s="77">
        <v>201.1</v>
      </c>
      <c r="EA191" s="77">
        <v>201.1</v>
      </c>
      <c r="EB191" s="77">
        <v>201.1</v>
      </c>
      <c r="FA191" s="77">
        <f t="shared" si="579"/>
        <v>-73602.599999999991</v>
      </c>
      <c r="FB191" s="77">
        <f t="shared" si="580"/>
        <v>-43700.231374817457</v>
      </c>
      <c r="FC191" s="77">
        <f>IF(ABS(-$BV191*($BS191-CA191)/$BS191*$BX191)&gt;$BB191,$BB191*SIGN(-($BS191-CA191)),-$BV191*($BS191-CA191)/$BS191*$BX191)*DO191</f>
        <v>18617.80666281033</v>
      </c>
      <c r="FD191" s="77">
        <f t="shared" si="593"/>
        <v>8884.1300577019665</v>
      </c>
      <c r="FE191" s="77">
        <f t="shared" si="593"/>
        <v>10357.800000000001</v>
      </c>
      <c r="FF191" s="77">
        <f t="shared" si="583"/>
        <v>10357.800000000001</v>
      </c>
      <c r="FG191" s="77">
        <f>IF(ABS(-$BV191*($BS191-CE191)/$BS191*$BX191)&gt;$BA191,$BA191*SIGN(-($BS191-CE191)),-$BV191*($BS191-CE191)/$BS191*$BX191)*DS191</f>
        <v>10357.800000000001</v>
      </c>
      <c r="FH191" s="77">
        <f>IF(ABS(-$BV191*($BS191-CF191)/$BS191*$BX191)&gt;$BA191,$BA191*SIGN(-($BS191-CF191)),-$BV191*($BS191-CF191)/$BS191*$BX191)*DT191</f>
        <v>10357.800000000001</v>
      </c>
      <c r="FI191" s="77">
        <f>IF(ABS(-$BV191*($BS191-CG191)/$BS191*$BX191)&gt;$BA191,$BA191*SIGN(-($BS191-CG191)),-$BV191*($BS191-CG191)/$BS191*$BX191)*DU191</f>
        <v>10357.800000000001</v>
      </c>
      <c r="FJ191" s="77">
        <f>IF(ABS(-$BV191*($BS191-CH191)/$BS191*$BX191)&gt;$BA191,$BA191*SIGN(-($BS191-CH191)),-$BV191*($BS191-CH191)/$BS191*$BX191)*DV191</f>
        <v>10357.800000000001</v>
      </c>
      <c r="FK191" s="77">
        <f>IF(ABS(-$BV191*($BS191-CI191)/$BS191*$BX191)&gt;$BA191,$BA191*SIGN(-($BS191-CI191)),-$BV191*($BS191-CI191)/$BS191*$BX191)*DW191</f>
        <v>10357.800000000001</v>
      </c>
      <c r="FL191" s="77">
        <f>IF(ABS(-$BV191*($BS191-CJ191)/$BS191*$BX191)&gt;$BA191,$BA191*SIGN(-($BS191-CJ191)),-$BV191*($BS191-CJ191)/$BS191*$BX191)*DX191</f>
        <v>10357.800000000001</v>
      </c>
      <c r="FM191" s="77">
        <f>IF(ABS(-$BV191*($BS191-CK191)/$BS191*$BX191)&gt;$BA191,$BA191*SIGN(-($BS191-CK191)),-$BV191*($BS191-CK191)/$BS191*$BX191)*DY191</f>
        <v>10357.800000000001</v>
      </c>
      <c r="FN191" s="77">
        <f>IF(ABS(-$BV191*($BS191-CL191)/$BS191*$BX191)&gt;$BB191,$BB191*SIGN(-($BS191-CL191)),-$BV191*($BS191-CL191)/$BS191*$BX191)*DZ191</f>
        <v>73602.599999999991</v>
      </c>
      <c r="FO191" s="77">
        <f>IF(ABS(-$BV191*($BS191-CM191)/$BS191*$BX191)&gt;$BB191,$BB191*SIGN(-($BS191-CM191)),-$BV191*($BS191-CM191)/$BS191*$BX191)*EA191</f>
        <v>73602.599999999991</v>
      </c>
      <c r="FP191" s="77">
        <f>IF(ABS(-$BV191*($BS191-CN191)/$BS191*$BX191)&gt;$BB191,$BB191*SIGN(-($BS191-CN191)),-$BV191*($BS191-CN191)/$BS191*$BX191)*EB191</f>
        <v>73602.599999999991</v>
      </c>
      <c r="GO191" s="77">
        <f t="shared" si="527"/>
        <v>60354131.999999993</v>
      </c>
      <c r="GP191" s="77">
        <f t="shared" si="528"/>
        <v>32775173.531113092</v>
      </c>
      <c r="GQ191" s="77">
        <f t="shared" si="529"/>
        <v>-12660108.530711025</v>
      </c>
      <c r="GR191" s="77">
        <f t="shared" si="530"/>
        <v>-5597001.936352239</v>
      </c>
      <c r="GS191" s="77">
        <f t="shared" si="569"/>
        <v>-5075322.0000000009</v>
      </c>
      <c r="GT191" s="77">
        <f t="shared" si="570"/>
        <v>-3625230.0000000005</v>
      </c>
      <c r="GU191" s="77">
        <f t="shared" si="571"/>
        <v>-2175138</v>
      </c>
      <c r="GV191" s="77">
        <f t="shared" si="585"/>
        <v>-725046.00000000012</v>
      </c>
      <c r="GW191" s="77">
        <f>FI191*(CG191-0.5*$AO191)</f>
        <v>725046.00000000012</v>
      </c>
      <c r="GX191" s="77">
        <f>FJ191*(CH191-0.5*$AO191)</f>
        <v>2175138</v>
      </c>
      <c r="GY191" s="77">
        <f>FK191*(CI191-0.5*$AO191)</f>
        <v>3625230.0000000005</v>
      </c>
      <c r="GZ191" s="77">
        <f>FL191*(CJ191-0.5*$AO191)</f>
        <v>5075322.0000000009</v>
      </c>
      <c r="HA191" s="77">
        <f>FM191*(CK191-0.5*$AO191)</f>
        <v>6525414.0000000009</v>
      </c>
      <c r="HB191" s="77">
        <f>FN191*(CL191-0.5*$AO191)</f>
        <v>50049767.999999993</v>
      </c>
      <c r="HC191" s="77">
        <f>FO191*(CM191-0.5*$AO191)</f>
        <v>55201949.999999993</v>
      </c>
      <c r="HD191" s="77">
        <f>FP191*(CN191-0.5*$AO191)</f>
        <v>60354131.999999993</v>
      </c>
      <c r="IC191" s="82">
        <v>199</v>
      </c>
    </row>
    <row r="192" spans="1:237" s="77" customFormat="1">
      <c r="A192" s="77">
        <v>191</v>
      </c>
      <c r="B192" s="69">
        <v>264</v>
      </c>
      <c r="C192" s="69" t="s">
        <v>193</v>
      </c>
      <c r="D192" s="70">
        <v>22</v>
      </c>
      <c r="E192" s="70">
        <v>3</v>
      </c>
      <c r="F192" s="70">
        <v>9.9284436493738817E-2</v>
      </c>
      <c r="G192" s="70">
        <v>2.2222219999999998E-3</v>
      </c>
      <c r="H192" s="70">
        <v>5.4444439999999997E-3</v>
      </c>
      <c r="I192" s="118">
        <f>5/AU192</f>
        <v>2.7777777777777779E-3</v>
      </c>
      <c r="J192" s="71">
        <v>0.69230769230769229</v>
      </c>
      <c r="K192" s="72">
        <v>13</v>
      </c>
      <c r="L192" s="71">
        <v>0</v>
      </c>
      <c r="M192" s="71">
        <v>0</v>
      </c>
      <c r="N192" s="71">
        <v>0</v>
      </c>
      <c r="O192" s="71">
        <v>0</v>
      </c>
      <c r="P192" s="71">
        <v>0</v>
      </c>
      <c r="Q192" s="73" t="s">
        <v>3</v>
      </c>
      <c r="R192" s="74">
        <v>0</v>
      </c>
      <c r="S192" s="75">
        <f t="shared" si="455"/>
        <v>0.41176117893012115</v>
      </c>
      <c r="T192" s="59">
        <f t="shared" ref="T192:T254" si="594">BP192/AA192</f>
        <v>1.329002318514094</v>
      </c>
      <c r="U192" s="59">
        <f t="shared" ref="U192:U254" si="595">BP192/Z192</f>
        <v>1.0695801392689361</v>
      </c>
      <c r="V192" s="59">
        <f t="shared" ref="V192:V254" si="596">BP192/Y192</f>
        <v>0.64939350405010599</v>
      </c>
      <c r="W192" s="59">
        <f t="shared" ref="W192:W254" si="597">AA192/Y192</f>
        <v>0.48863233344556373</v>
      </c>
      <c r="X192" s="59">
        <f t="shared" ref="X192:X254" si="598">Z192/Y192</f>
        <v>0.60714805764247826</v>
      </c>
      <c r="Y192" s="76">
        <v>222000</v>
      </c>
      <c r="Z192" s="57">
        <f t="shared" ref="Z192:Z254" si="599">(AC192*1*AK192^0.5+BE192*AZ192)*AX192</f>
        <v>134786.86879663018</v>
      </c>
      <c r="AA192" s="57">
        <f t="shared" ref="AA192:AA254" si="600">IF(AF192&lt;0,AG192,AF192+AG192)</f>
        <v>108476.37802491515</v>
      </c>
      <c r="AB192" s="57">
        <f t="shared" si="576"/>
        <v>0</v>
      </c>
      <c r="AC192" s="57">
        <f t="shared" ref="AC192:AC254" si="601">IF(J192&lt;=1.5,0.25,IF(J192&gt;=2,0.17,0.25-(J192-1.5)/(2-1.5)*(0.25-0.17)))</f>
        <v>0.25</v>
      </c>
      <c r="AD192" s="57">
        <f t="shared" ref="AD192:AD254" si="602">IF(J192&lt;1.5,1.5,IF(J192&gt;2.2,2.2,J192))</f>
        <v>1.5</v>
      </c>
      <c r="AE192" s="57">
        <f t="shared" ref="AE192:AE254" si="603">IF(P192&gt;0.2,0.2*AY192*AK192,P192*AY192*AK192)</f>
        <v>0</v>
      </c>
      <c r="AF192" s="57">
        <f t="shared" ref="AF192:AF254" si="604">(1/(AD192-0.5))*(0.4*AL192*AT192*AS192+0.1*AE192*AV192/AY192)</f>
        <v>108476.37802491515</v>
      </c>
      <c r="AG192" s="57">
        <f t="shared" si="582"/>
        <v>0</v>
      </c>
      <c r="AH192" s="57"/>
      <c r="AI192" s="57"/>
      <c r="AJ192" s="77">
        <v>0</v>
      </c>
      <c r="AK192" s="77">
        <v>17.2</v>
      </c>
      <c r="AL192" s="78">
        <f t="shared" ref="AL192:AL254" si="605">0.395*(AK192/0.76)^0.55</f>
        <v>2.1962929407013485</v>
      </c>
      <c r="AM192" s="57">
        <f t="shared" ref="AM192:AM254" si="606">IF(AK192&lt;=38,1,IF(AK192&gt;=60.8,0.94,(1-(AK192-38)*(1-0.94)/(60.8-38))))</f>
        <v>1</v>
      </c>
      <c r="AN192" s="57">
        <f t="shared" ref="AN192:AN254" si="607">IF(AK192&lt;=38,0.8,IF(AK192&gt;=60.8,0.74,0.8-(AK192-38)*(0.8-0.74)/(60.8-38)))</f>
        <v>0.8</v>
      </c>
      <c r="AO192" s="77">
        <v>1300</v>
      </c>
      <c r="AP192" s="79"/>
      <c r="AQ192" s="77">
        <f t="shared" ref="AQ192:AQ254" si="608">0.5*BS192</f>
        <v>65.233270860090073</v>
      </c>
      <c r="AS192" s="77">
        <f t="shared" ref="AS192:AS254" si="609">AO192-AQ192</f>
        <v>1234.76672913991</v>
      </c>
      <c r="AT192" s="77">
        <v>100</v>
      </c>
      <c r="AU192" s="77">
        <v>1800</v>
      </c>
      <c r="AV192" s="77">
        <f t="shared" ref="AV192:AV254" si="610">IF(Q192="R",AY192,AR192*AT192)</f>
        <v>130000</v>
      </c>
      <c r="AX192" s="77">
        <f t="shared" ref="AX192:AX254" si="611">AO192*AT192</f>
        <v>130000</v>
      </c>
      <c r="AY192" s="77">
        <v>130000</v>
      </c>
      <c r="AZ192" s="77">
        <v>0</v>
      </c>
      <c r="BA192" s="77">
        <v>0</v>
      </c>
      <c r="BB192" s="77">
        <v>366</v>
      </c>
      <c r="BD192" s="77">
        <v>0</v>
      </c>
      <c r="BE192" s="77">
        <v>0</v>
      </c>
      <c r="BH192" s="79"/>
      <c r="BI192" s="79"/>
      <c r="BJ192" s="79"/>
      <c r="BK192" s="57"/>
      <c r="BL192" s="57" t="b">
        <f t="shared" si="515"/>
        <v>0</v>
      </c>
      <c r="BM192" s="80"/>
      <c r="BN192" s="80"/>
      <c r="BO192" s="57"/>
      <c r="BP192" s="57">
        <f t="shared" ref="BP192:BP254" si="612">BR192/AU192</f>
        <v>144165.35789912354</v>
      </c>
      <c r="BQ192" s="77">
        <f t="shared" ref="BQ192:BQ254" si="613">AJ192-AM192*AT192*BS192*AK192+SUM(FA192:GN192)</f>
        <v>1.0186340659856796E-9</v>
      </c>
      <c r="BR192" s="57">
        <f t="shared" si="520"/>
        <v>259497644.21842235</v>
      </c>
      <c r="BS192" s="57">
        <v>130.46654172018015</v>
      </c>
      <c r="BT192" s="57">
        <f t="shared" si="456"/>
        <v>0</v>
      </c>
      <c r="BU192" s="57"/>
      <c r="BV192" s="57">
        <v>3.3E-3</v>
      </c>
      <c r="BW192" s="57">
        <v>30000</v>
      </c>
      <c r="BX192" s="57">
        <v>200000</v>
      </c>
      <c r="BY192" s="77">
        <v>24</v>
      </c>
      <c r="BZ192" s="77">
        <v>134</v>
      </c>
      <c r="CA192" s="77">
        <v>244</v>
      </c>
      <c r="CB192" s="77">
        <v>1056</v>
      </c>
      <c r="CC192" s="77">
        <v>1166</v>
      </c>
      <c r="CD192" s="77">
        <v>1276</v>
      </c>
      <c r="DM192" s="77">
        <v>201.1</v>
      </c>
      <c r="DN192" s="77">
        <v>201.1</v>
      </c>
      <c r="DO192" s="77">
        <v>201.1</v>
      </c>
      <c r="DP192" s="77">
        <v>201.1</v>
      </c>
      <c r="DQ192" s="77">
        <v>201.1</v>
      </c>
      <c r="DR192" s="77">
        <v>201.1</v>
      </c>
      <c r="FA192" s="77">
        <f t="shared" si="579"/>
        <v>-73602.599999999991</v>
      </c>
      <c r="FB192" s="77">
        <f t="shared" si="580"/>
        <v>3594.6517587108642</v>
      </c>
      <c r="FC192" s="77">
        <f>IF(ABS(-$BV192*($BS192-CA192)/$BS192*$BX192)&gt;$BB192,$BB192*SIGN(-($BS192-CA192)),-$BV192*($BS192-CA192)/$BS192*$BX192)*DO192</f>
        <v>73602.599999999991</v>
      </c>
      <c r="FD192" s="77">
        <f>IF(ABS(-$BV192*($BS192-CB192)/$BS192*$BX192)&gt;$BB192,$BB192*SIGN(-($BS192-CB192)),-$BV192*($BS192-CB192)/$BS192*$BX192)*DP192</f>
        <v>73602.599999999991</v>
      </c>
      <c r="FE192" s="77">
        <f>IF(ABS(-$BV192*($BS192-CC192)/$BS192*$BX192)&gt;$BB192,$BB192*SIGN(-($BS192-CC192)),-$BV192*($BS192-CC192)/$BS192*$BX192)*DQ192</f>
        <v>73602.599999999991</v>
      </c>
      <c r="FF192" s="77">
        <f>IF(ABS(-$BV192*($BS192-CD192)/$BS192*$BX192)&gt;$BB192,$BB192*SIGN(-($BS192-CD192)),-$BV192*($BS192-CD192)/$BS192*$BX192)*DR192</f>
        <v>73602.599999999991</v>
      </c>
      <c r="GO192" s="77">
        <f t="shared" si="527"/>
        <v>46075227.599999994</v>
      </c>
      <c r="GP192" s="77">
        <f t="shared" si="528"/>
        <v>-1854840.3074948059</v>
      </c>
      <c r="GQ192" s="77">
        <f t="shared" si="529"/>
        <v>-29882655.599999998</v>
      </c>
      <c r="GR192" s="77">
        <f t="shared" si="530"/>
        <v>29882655.599999998</v>
      </c>
      <c r="GS192" s="77">
        <f t="shared" ref="GS192:GS204" si="614">FE192*(CC192-0.5*$AO192)</f>
        <v>37978941.599999994</v>
      </c>
      <c r="GT192" s="77">
        <f t="shared" ref="GT192:GT204" si="615">FF192*(CD192-0.5*$AO192)</f>
        <v>46075227.599999994</v>
      </c>
      <c r="IC192" s="82">
        <v>200</v>
      </c>
    </row>
    <row r="193" spans="1:237" s="77" customFormat="1">
      <c r="A193" s="77">
        <v>192</v>
      </c>
      <c r="B193" s="69">
        <v>265</v>
      </c>
      <c r="C193" s="69" t="s">
        <v>193</v>
      </c>
      <c r="D193" s="70">
        <v>23</v>
      </c>
      <c r="E193" s="70">
        <v>3</v>
      </c>
      <c r="F193" s="70">
        <v>0.10584869675778766</v>
      </c>
      <c r="G193" s="70">
        <v>3.333333E-3</v>
      </c>
      <c r="H193" s="70">
        <v>7.2222220000000004E-3</v>
      </c>
      <c r="I193" s="118">
        <f>14/AU193</f>
        <v>7.7777777777777776E-3</v>
      </c>
      <c r="J193" s="71">
        <v>0.69230769230769229</v>
      </c>
      <c r="K193" s="72">
        <v>13</v>
      </c>
      <c r="L193" s="71">
        <v>0</v>
      </c>
      <c r="M193" s="71">
        <v>4.4524793388429761E-2</v>
      </c>
      <c r="N193" s="71">
        <v>0</v>
      </c>
      <c r="O193" s="71">
        <v>4.4524793388429761E-2</v>
      </c>
      <c r="P193" s="71">
        <v>0</v>
      </c>
      <c r="Q193" s="73" t="s">
        <v>3</v>
      </c>
      <c r="R193" s="74">
        <v>0</v>
      </c>
      <c r="S193" s="75">
        <f t="shared" ref="S193:S255" si="616">Y193/AY193/SQRT(AK193)</f>
        <v>0.52070673881638463</v>
      </c>
      <c r="T193" s="59">
        <f t="shared" si="594"/>
        <v>1.2649156757472011</v>
      </c>
      <c r="U193" s="59">
        <f t="shared" si="595"/>
        <v>0.96764473764400416</v>
      </c>
      <c r="V193" s="59">
        <f t="shared" si="596"/>
        <v>0.87161794157232075</v>
      </c>
      <c r="W193" s="59">
        <f t="shared" si="597"/>
        <v>0.68907197395387276</v>
      </c>
      <c r="X193" s="59">
        <f t="shared" si="598"/>
        <v>0.90076234351722217</v>
      </c>
      <c r="Y193" s="76">
        <v>333000</v>
      </c>
      <c r="Z193" s="57">
        <f t="shared" si="599"/>
        <v>299953.86039123498</v>
      </c>
      <c r="AA193" s="57">
        <f t="shared" si="600"/>
        <v>229460.96732663963</v>
      </c>
      <c r="AB193" s="57">
        <f t="shared" si="576"/>
        <v>0</v>
      </c>
      <c r="AC193" s="57">
        <f t="shared" si="601"/>
        <v>0.25</v>
      </c>
      <c r="AD193" s="57">
        <f t="shared" si="602"/>
        <v>1.5</v>
      </c>
      <c r="AE193" s="57">
        <f t="shared" si="603"/>
        <v>0</v>
      </c>
      <c r="AF193" s="57">
        <f t="shared" si="604"/>
        <v>126550.04019974846</v>
      </c>
      <c r="AG193" s="57">
        <f t="shared" si="582"/>
        <v>102910.92712689115</v>
      </c>
      <c r="AH193" s="57"/>
      <c r="AI193" s="57"/>
      <c r="AJ193" s="77">
        <v>0</v>
      </c>
      <c r="AK193" s="77">
        <v>24.2</v>
      </c>
      <c r="AL193" s="78">
        <f t="shared" si="605"/>
        <v>2.6500134071690433</v>
      </c>
      <c r="AM193" s="57">
        <f t="shared" si="606"/>
        <v>1</v>
      </c>
      <c r="AN193" s="57">
        <f t="shared" si="607"/>
        <v>0.8</v>
      </c>
      <c r="AO193" s="77">
        <v>1300</v>
      </c>
      <c r="AP193" s="79"/>
      <c r="AQ193" s="77">
        <f t="shared" si="608"/>
        <v>106.13773634697046</v>
      </c>
      <c r="AS193" s="77">
        <f t="shared" si="609"/>
        <v>1193.8622636530295</v>
      </c>
      <c r="AT193" s="77">
        <v>100</v>
      </c>
      <c r="AU193" s="77">
        <v>1800</v>
      </c>
      <c r="AV193" s="77">
        <f t="shared" si="610"/>
        <v>130000</v>
      </c>
      <c r="AX193" s="77">
        <f t="shared" si="611"/>
        <v>130000</v>
      </c>
      <c r="AY193" s="77">
        <v>130000</v>
      </c>
      <c r="AZ193" s="77">
        <v>431</v>
      </c>
      <c r="BA193" s="77">
        <v>431</v>
      </c>
      <c r="BB193" s="77">
        <v>431</v>
      </c>
      <c r="BD193" s="77">
        <v>0</v>
      </c>
      <c r="BE193" s="77">
        <v>2.5000000000000001E-3</v>
      </c>
      <c r="BH193" s="79"/>
      <c r="BI193" s="79"/>
      <c r="BJ193" s="79"/>
      <c r="BK193" s="57"/>
      <c r="BL193" s="57" t="b">
        <f t="shared" si="515"/>
        <v>0</v>
      </c>
      <c r="BM193" s="80"/>
      <c r="BN193" s="80"/>
      <c r="BO193" s="57"/>
      <c r="BP193" s="57">
        <f t="shared" si="612"/>
        <v>290248.77454358281</v>
      </c>
      <c r="BQ193" s="77">
        <f t="shared" si="613"/>
        <v>-4.4819898903369904E-9</v>
      </c>
      <c r="BR193" s="57">
        <f t="shared" si="520"/>
        <v>522447794.17844909</v>
      </c>
      <c r="BS193" s="57">
        <v>212.27547269394091</v>
      </c>
      <c r="BT193" s="57">
        <f t="shared" ref="BT193:BT255" si="617">(AE193 + BD193*MAX(AW193/2,AT193*AP193) * BA193)/(0.85 * AK193  * AT193 * (1.05 - AK193/140))</f>
        <v>0</v>
      </c>
      <c r="BU193" s="57"/>
      <c r="BV193" s="57">
        <v>3.3E-3</v>
      </c>
      <c r="BW193" s="57">
        <v>30000</v>
      </c>
      <c r="BX193" s="57">
        <v>200000</v>
      </c>
      <c r="BY193" s="77">
        <v>33</v>
      </c>
      <c r="BZ193" s="77">
        <v>143</v>
      </c>
      <c r="CA193" s="77">
        <v>253</v>
      </c>
      <c r="CB193" s="77">
        <v>363</v>
      </c>
      <c r="CC193" s="77">
        <v>473</v>
      </c>
      <c r="CD193" s="77">
        <v>827</v>
      </c>
      <c r="CE193" s="77">
        <v>937</v>
      </c>
      <c r="CF193" s="77">
        <v>1047</v>
      </c>
      <c r="CG193" s="77">
        <v>1157</v>
      </c>
      <c r="CH193" s="77">
        <v>1267</v>
      </c>
      <c r="DM193" s="77">
        <v>254.5</v>
      </c>
      <c r="DN193" s="77">
        <v>254.5</v>
      </c>
      <c r="DO193" s="77">
        <v>201.1</v>
      </c>
      <c r="DP193" s="77">
        <v>201.1</v>
      </c>
      <c r="DQ193" s="77">
        <v>201.1</v>
      </c>
      <c r="DR193" s="77">
        <v>201.1</v>
      </c>
      <c r="DS193" s="77">
        <v>201.1</v>
      </c>
      <c r="DT193" s="77">
        <v>201.1</v>
      </c>
      <c r="DU193" s="77">
        <v>254.5</v>
      </c>
      <c r="DV193" s="77">
        <v>254.5</v>
      </c>
      <c r="FA193" s="77">
        <f t="shared" si="579"/>
        <v>-109689.5</v>
      </c>
      <c r="FB193" s="77">
        <f t="shared" si="580"/>
        <v>-54816.512716842924</v>
      </c>
      <c r="FC193" s="77">
        <f t="shared" ref="FC193:FH193" si="618">IF(ABS(-$BV193*($BS193-CA193)/$BS193*$BX193)&gt;$BA193,$BA193*SIGN(-($BS193-CA193)),-$BV193*($BS193-CA193)/$BS193*$BX193)*DO193</f>
        <v>25463.156636175434</v>
      </c>
      <c r="FD193" s="77">
        <f t="shared" si="618"/>
        <v>86674.099999999991</v>
      </c>
      <c r="FE193" s="77">
        <f t="shared" si="618"/>
        <v>86674.099999999991</v>
      </c>
      <c r="FF193" s="77">
        <f t="shared" si="618"/>
        <v>86674.099999999991</v>
      </c>
      <c r="FG193" s="77">
        <f t="shared" si="618"/>
        <v>86674.099999999991</v>
      </c>
      <c r="FH193" s="77">
        <f t="shared" si="618"/>
        <v>86674.099999999991</v>
      </c>
      <c r="FI193" s="77">
        <f>IF(ABS(-$BV193*($BS193-CG193)/$BS193*$BX193)&gt;$BB193,$BB193*SIGN(-($BS193-CG193)),-$BV193*($BS193-CG193)/$BS193*$BX193)*DU193</f>
        <v>109689.5</v>
      </c>
      <c r="FJ193" s="77">
        <f>IF(ABS(-$BV193*($BS193-CH193)/$BS193*$BX193)&gt;$BB193,$BB193*SIGN(-($BS193-CH193)),-$BV193*($BS193-CH193)/$BS193*$BX193)*DV193</f>
        <v>109689.5</v>
      </c>
      <c r="GO193" s="77">
        <f t="shared" si="527"/>
        <v>67678421.5</v>
      </c>
      <c r="GP193" s="77">
        <f t="shared" si="528"/>
        <v>27791971.947439361</v>
      </c>
      <c r="GQ193" s="77">
        <f t="shared" si="529"/>
        <v>-10108873.184561647</v>
      </c>
      <c r="GR193" s="77">
        <f t="shared" si="530"/>
        <v>-24875466.699999999</v>
      </c>
      <c r="GS193" s="77">
        <f t="shared" si="614"/>
        <v>-15341315.699999999</v>
      </c>
      <c r="GT193" s="77">
        <f t="shared" si="615"/>
        <v>15341315.699999999</v>
      </c>
      <c r="GU193" s="77">
        <f t="shared" ref="GU193:GX194" si="619">FG193*(CE193-0.5*$AO193)</f>
        <v>24875466.699999999</v>
      </c>
      <c r="GV193" s="77">
        <f t="shared" si="619"/>
        <v>34409617.699999996</v>
      </c>
      <c r="GW193" s="77">
        <f t="shared" si="619"/>
        <v>55612576.5</v>
      </c>
      <c r="GX193" s="77">
        <f t="shared" si="619"/>
        <v>67678421.5</v>
      </c>
      <c r="IC193" s="82">
        <v>201</v>
      </c>
    </row>
    <row r="194" spans="1:237" s="77" customFormat="1">
      <c r="A194" s="77">
        <v>193</v>
      </c>
      <c r="B194" s="69">
        <v>266</v>
      </c>
      <c r="C194" s="69" t="s">
        <v>193</v>
      </c>
      <c r="D194" s="70">
        <v>24</v>
      </c>
      <c r="E194" s="70">
        <v>3</v>
      </c>
      <c r="F194" s="70">
        <v>0.10395880270357259</v>
      </c>
      <c r="G194" s="70">
        <v>2.2222219999999998E-3</v>
      </c>
      <c r="H194" s="70">
        <v>4.2222220000000003E-3</v>
      </c>
      <c r="I194" s="118">
        <f>4.2/AU194</f>
        <v>2.3333333333333335E-3</v>
      </c>
      <c r="J194" s="71">
        <v>0.69230769230769229</v>
      </c>
      <c r="K194" s="72">
        <v>13</v>
      </c>
      <c r="L194" s="71">
        <v>4.5083682008368209E-2</v>
      </c>
      <c r="M194" s="71">
        <v>0</v>
      </c>
      <c r="N194" s="71">
        <v>0.72133891213389134</v>
      </c>
      <c r="O194" s="71">
        <v>0</v>
      </c>
      <c r="P194" s="71">
        <v>0</v>
      </c>
      <c r="Q194" s="73" t="s">
        <v>3</v>
      </c>
      <c r="R194" s="74">
        <v>0</v>
      </c>
      <c r="S194" s="75">
        <f t="shared" si="616"/>
        <v>0.50822990915873101</v>
      </c>
      <c r="T194" s="59">
        <f t="shared" si="594"/>
        <v>1.5779727448032832</v>
      </c>
      <c r="U194" s="59">
        <f t="shared" si="595"/>
        <v>1.3003949758039646</v>
      </c>
      <c r="V194" s="59">
        <f t="shared" si="596"/>
        <v>0.63966865800779937</v>
      </c>
      <c r="W194" s="59">
        <f t="shared" si="597"/>
        <v>0.40537370503667547</v>
      </c>
      <c r="X194" s="59">
        <f t="shared" si="598"/>
        <v>0.49190336006360408</v>
      </c>
      <c r="Y194" s="76">
        <v>323000</v>
      </c>
      <c r="Z194" s="57">
        <f t="shared" si="599"/>
        <v>158884.78530054411</v>
      </c>
      <c r="AA194" s="57">
        <f t="shared" si="600"/>
        <v>130935.70672684618</v>
      </c>
      <c r="AB194" s="57">
        <f t="shared" si="576"/>
        <v>0</v>
      </c>
      <c r="AC194" s="57">
        <f t="shared" si="601"/>
        <v>0.25</v>
      </c>
      <c r="AD194" s="57">
        <f t="shared" si="602"/>
        <v>1.5</v>
      </c>
      <c r="AE194" s="57">
        <f t="shared" si="603"/>
        <v>0</v>
      </c>
      <c r="AF194" s="57">
        <f t="shared" si="604"/>
        <v>130935.70672684618</v>
      </c>
      <c r="AG194" s="57">
        <f t="shared" si="582"/>
        <v>0</v>
      </c>
      <c r="AH194" s="57"/>
      <c r="AI194" s="57"/>
      <c r="AJ194" s="77">
        <v>0</v>
      </c>
      <c r="AK194" s="77">
        <v>23.9</v>
      </c>
      <c r="AL194" s="78">
        <f t="shared" si="605"/>
        <v>2.6318944326168765</v>
      </c>
      <c r="AM194" s="57">
        <f t="shared" si="606"/>
        <v>1</v>
      </c>
      <c r="AN194" s="57">
        <f t="shared" si="607"/>
        <v>0.8</v>
      </c>
      <c r="AO194" s="77">
        <v>1300</v>
      </c>
      <c r="AP194" s="79"/>
      <c r="AQ194" s="77">
        <f t="shared" si="608"/>
        <v>56.25989112472103</v>
      </c>
      <c r="AS194" s="77">
        <f t="shared" si="609"/>
        <v>1243.740108875279</v>
      </c>
      <c r="AT194" s="77">
        <v>100</v>
      </c>
      <c r="AU194" s="77">
        <v>1800</v>
      </c>
      <c r="AV194" s="77">
        <f t="shared" si="610"/>
        <v>130000</v>
      </c>
      <c r="AX194" s="77">
        <f t="shared" si="611"/>
        <v>130000</v>
      </c>
      <c r="AY194" s="77">
        <v>130000</v>
      </c>
      <c r="AZ194" s="77">
        <v>431</v>
      </c>
      <c r="BA194" s="77">
        <v>431</v>
      </c>
      <c r="BB194" s="77">
        <v>431</v>
      </c>
      <c r="BD194" s="77">
        <v>2.5000000000000001E-3</v>
      </c>
      <c r="BE194" s="77">
        <v>0</v>
      </c>
      <c r="BH194" s="79"/>
      <c r="BI194" s="79"/>
      <c r="BJ194" s="79"/>
      <c r="BK194" s="57"/>
      <c r="BL194" s="57" t="b">
        <f t="shared" si="515"/>
        <v>0</v>
      </c>
      <c r="BM194" s="80"/>
      <c r="BN194" s="80"/>
      <c r="BO194" s="57"/>
      <c r="BP194" s="57">
        <f t="shared" si="612"/>
        <v>206612.97653651919</v>
      </c>
      <c r="BQ194" s="77">
        <f t="shared" si="613"/>
        <v>7.5669959187507629E-10</v>
      </c>
      <c r="BR194" s="57">
        <f t="shared" si="520"/>
        <v>371903357.76573455</v>
      </c>
      <c r="BS194" s="57">
        <v>112.51978224944206</v>
      </c>
      <c r="BT194" s="57">
        <f t="shared" si="617"/>
        <v>0</v>
      </c>
      <c r="BU194" s="57"/>
      <c r="BV194" s="57">
        <v>3.3E-3</v>
      </c>
      <c r="BW194" s="57">
        <v>30000</v>
      </c>
      <c r="BX194" s="57">
        <v>200000</v>
      </c>
      <c r="BY194" s="77">
        <v>24</v>
      </c>
      <c r="BZ194" s="77">
        <v>79</v>
      </c>
      <c r="CA194" s="77">
        <v>134</v>
      </c>
      <c r="CB194" s="77">
        <v>210</v>
      </c>
      <c r="CC194" s="77">
        <v>320</v>
      </c>
      <c r="CD194" s="77">
        <v>430</v>
      </c>
      <c r="CE194" s="77">
        <v>540</v>
      </c>
      <c r="CF194" s="77">
        <v>650</v>
      </c>
      <c r="CG194" s="77">
        <v>760</v>
      </c>
      <c r="CH194" s="77">
        <v>870</v>
      </c>
      <c r="CI194" s="77">
        <v>980</v>
      </c>
      <c r="CJ194" s="77">
        <v>1090</v>
      </c>
      <c r="CK194" s="77">
        <v>1166</v>
      </c>
      <c r="CL194" s="77">
        <v>1221</v>
      </c>
      <c r="CM194" s="77">
        <v>1276</v>
      </c>
      <c r="DM194" s="77">
        <v>201.1</v>
      </c>
      <c r="DN194" s="77">
        <v>201.1</v>
      </c>
      <c r="DO194" s="77">
        <v>201.1</v>
      </c>
      <c r="DP194" s="77">
        <v>28.3</v>
      </c>
      <c r="DQ194" s="77">
        <v>28.3</v>
      </c>
      <c r="DR194" s="77">
        <v>28.3</v>
      </c>
      <c r="DS194" s="77">
        <v>28.3</v>
      </c>
      <c r="DT194" s="77">
        <v>28.3</v>
      </c>
      <c r="DU194" s="77">
        <v>28.3</v>
      </c>
      <c r="DV194" s="77">
        <v>28.3</v>
      </c>
      <c r="DW194" s="77">
        <v>28.3</v>
      </c>
      <c r="DX194" s="77">
        <v>28.3</v>
      </c>
      <c r="DY194" s="77">
        <v>201.1</v>
      </c>
      <c r="DZ194" s="77">
        <v>201.1</v>
      </c>
      <c r="EA194" s="77">
        <v>201.1</v>
      </c>
      <c r="FA194" s="77">
        <f t="shared" si="579"/>
        <v>-86674.099999999991</v>
      </c>
      <c r="FB194" s="77">
        <f t="shared" si="580"/>
        <v>-39539.239499919197</v>
      </c>
      <c r="FC194" s="77">
        <f>IF(ABS(-$BV194*($BS194-CA194)/$BS194*$BX194)&gt;$BB194,$BB194*SIGN(-($BS194-CA194)),-$BV194*($BS194-CA194)/$BS194*$BX194)*DO194</f>
        <v>25337.619076086419</v>
      </c>
      <c r="FD194" s="77">
        <f t="shared" ref="FD194:FL194" si="620">IF(ABS(-$BV194*($BS194-CB194)/$BS194*$BX194)&gt;$BA194,$BA194*SIGN(-($BS194-CB194)),-$BV194*($BS194-CB194)/$BS194*$BX194)*DP194</f>
        <v>12197.300000000001</v>
      </c>
      <c r="FE194" s="77">
        <f t="shared" si="620"/>
        <v>12197.300000000001</v>
      </c>
      <c r="FF194" s="77">
        <f t="shared" si="620"/>
        <v>12197.300000000001</v>
      </c>
      <c r="FG194" s="77">
        <f t="shared" si="620"/>
        <v>12197.300000000001</v>
      </c>
      <c r="FH194" s="77">
        <f t="shared" si="620"/>
        <v>12197.300000000001</v>
      </c>
      <c r="FI194" s="77">
        <f t="shared" si="620"/>
        <v>12197.300000000001</v>
      </c>
      <c r="FJ194" s="77">
        <f t="shared" si="620"/>
        <v>12197.300000000001</v>
      </c>
      <c r="FK194" s="77">
        <f t="shared" si="620"/>
        <v>12197.300000000001</v>
      </c>
      <c r="FL194" s="77">
        <f t="shared" si="620"/>
        <v>12197.300000000001</v>
      </c>
      <c r="FM194" s="77">
        <f>IF(ABS(-$BV194*($BS194-CK194)/$BS194*$BX194)&gt;$BB194,$BB194*SIGN(-($BS194-CK194)),-$BV194*($BS194-CK194)/$BS194*$BX194)*DY194</f>
        <v>86674.099999999991</v>
      </c>
      <c r="FN194" s="77">
        <f>IF(ABS(-$BV194*($BS194-CL194)/$BS194*$BX194)&gt;$BB194,$BB194*SIGN(-($BS194-CL194)),-$BV194*($BS194-CL194)/$BS194*$BX194)*DZ194</f>
        <v>86674.099999999991</v>
      </c>
      <c r="FO194" s="77">
        <f>IF(ABS(-$BV194*($BS194-CM194)/$BS194*$BX194)&gt;$BB194,$BB194*SIGN(-($BS194-CM194)),-$BV194*($BS194-CM194)/$BS194*$BX194)*EA194</f>
        <v>86674.099999999991</v>
      </c>
      <c r="GO194" s="77">
        <f t="shared" si="527"/>
        <v>54257986.599999994</v>
      </c>
      <c r="GP194" s="77">
        <f t="shared" si="528"/>
        <v>22576905.75445386</v>
      </c>
      <c r="GQ194" s="77">
        <f t="shared" si="529"/>
        <v>-13074211.443260591</v>
      </c>
      <c r="GR194" s="77">
        <f t="shared" si="530"/>
        <v>-5366812.0000000009</v>
      </c>
      <c r="GS194" s="77">
        <f t="shared" si="614"/>
        <v>-4025109.0000000005</v>
      </c>
      <c r="GT194" s="77">
        <f t="shared" si="615"/>
        <v>-2683406.0000000005</v>
      </c>
      <c r="GU194" s="77">
        <f t="shared" si="619"/>
        <v>-1341703.0000000002</v>
      </c>
      <c r="GV194" s="77">
        <f t="shared" si="619"/>
        <v>0</v>
      </c>
      <c r="GW194" s="77">
        <f t="shared" si="619"/>
        <v>1341703.0000000002</v>
      </c>
      <c r="GX194" s="77">
        <f t="shared" si="619"/>
        <v>2683406.0000000005</v>
      </c>
      <c r="GY194" s="77">
        <f>FK194*(CI194-0.5*$AO194)</f>
        <v>4025109.0000000005</v>
      </c>
      <c r="GZ194" s="77">
        <f>FL194*(CJ194-0.5*$AO194)</f>
        <v>5366812.0000000009</v>
      </c>
      <c r="HA194" s="77">
        <f>FM194*(CK194-0.5*$AO194)</f>
        <v>44723835.599999994</v>
      </c>
      <c r="HB194" s="77">
        <f>FN194*(CL194-0.5*$AO194)</f>
        <v>49490911.099999994</v>
      </c>
      <c r="HC194" s="77">
        <f>FO194*(CM194-0.5*$AO194)</f>
        <v>54257986.599999994</v>
      </c>
      <c r="IC194" s="82">
        <v>202</v>
      </c>
    </row>
    <row r="195" spans="1:237" s="77" customFormat="1">
      <c r="A195" s="77">
        <v>194</v>
      </c>
      <c r="B195" s="69">
        <v>267</v>
      </c>
      <c r="C195" s="69" t="s">
        <v>193</v>
      </c>
      <c r="D195" s="70">
        <v>25</v>
      </c>
      <c r="E195" s="70">
        <v>3</v>
      </c>
      <c r="F195" s="70">
        <v>0.10520023909145249</v>
      </c>
      <c r="G195" s="70">
        <v>2.8571429999999999E-3</v>
      </c>
      <c r="H195" s="70">
        <v>1.2E-2</v>
      </c>
      <c r="I195" s="118">
        <f>7.1/AU195</f>
        <v>5.0714285714285713E-3</v>
      </c>
      <c r="J195" s="71">
        <v>0.5</v>
      </c>
      <c r="K195" s="72">
        <v>14</v>
      </c>
      <c r="L195" s="71">
        <v>0</v>
      </c>
      <c r="M195" s="71">
        <v>0</v>
      </c>
      <c r="N195" s="71">
        <v>0</v>
      </c>
      <c r="O195" s="71">
        <v>0</v>
      </c>
      <c r="P195" s="71">
        <v>0</v>
      </c>
      <c r="Q195" s="73" t="s">
        <v>3</v>
      </c>
      <c r="R195" s="74">
        <v>0</v>
      </c>
      <c r="S195" s="75">
        <f t="shared" si="616"/>
        <v>0.51429899697265646</v>
      </c>
      <c r="T195" s="59">
        <f t="shared" si="594"/>
        <v>1.6918561010247135</v>
      </c>
      <c r="U195" s="59">
        <f t="shared" si="595"/>
        <v>1.3964639110857255</v>
      </c>
      <c r="V195" s="59">
        <f t="shared" si="596"/>
        <v>0.67881909128046125</v>
      </c>
      <c r="W195" s="59">
        <f t="shared" si="597"/>
        <v>0.40122743941953343</v>
      </c>
      <c r="X195" s="59">
        <f t="shared" si="598"/>
        <v>0.48609855642648986</v>
      </c>
      <c r="Y195" s="76">
        <v>352000</v>
      </c>
      <c r="Z195" s="57">
        <f t="shared" si="599"/>
        <v>171106.69186212443</v>
      </c>
      <c r="AA195" s="57">
        <f t="shared" si="600"/>
        <v>141232.05867567577</v>
      </c>
      <c r="AB195" s="57">
        <f t="shared" si="576"/>
        <v>0</v>
      </c>
      <c r="AC195" s="57">
        <f t="shared" si="601"/>
        <v>0.25</v>
      </c>
      <c r="AD195" s="57">
        <f t="shared" si="602"/>
        <v>1.5</v>
      </c>
      <c r="AE195" s="57">
        <f t="shared" si="603"/>
        <v>0</v>
      </c>
      <c r="AF195" s="57">
        <f t="shared" si="604"/>
        <v>141232.05867567577</v>
      </c>
      <c r="AG195" s="57">
        <f t="shared" si="582"/>
        <v>0</v>
      </c>
      <c r="AH195" s="57"/>
      <c r="AI195" s="57"/>
      <c r="AJ195" s="77">
        <v>0</v>
      </c>
      <c r="AK195" s="77">
        <v>23.9</v>
      </c>
      <c r="AL195" s="78">
        <f t="shared" si="605"/>
        <v>2.6318944326168765</v>
      </c>
      <c r="AM195" s="57">
        <f t="shared" si="606"/>
        <v>1</v>
      </c>
      <c r="AN195" s="57">
        <f t="shared" si="607"/>
        <v>0.8</v>
      </c>
      <c r="AO195" s="77">
        <v>1400</v>
      </c>
      <c r="AP195" s="79"/>
      <c r="AQ195" s="77">
        <f t="shared" si="608"/>
        <v>58.456272738401594</v>
      </c>
      <c r="AS195" s="77">
        <f t="shared" si="609"/>
        <v>1341.5437272615984</v>
      </c>
      <c r="AT195" s="77">
        <v>100</v>
      </c>
      <c r="AU195" s="77">
        <v>1400</v>
      </c>
      <c r="AV195" s="77">
        <f t="shared" si="610"/>
        <v>140000</v>
      </c>
      <c r="AX195" s="77">
        <f t="shared" si="611"/>
        <v>140000</v>
      </c>
      <c r="AY195" s="77">
        <v>140000</v>
      </c>
      <c r="AZ195" s="77">
        <v>0</v>
      </c>
      <c r="BA195" s="77">
        <v>0</v>
      </c>
      <c r="BB195" s="77">
        <v>431</v>
      </c>
      <c r="BD195" s="77">
        <v>0</v>
      </c>
      <c r="BE195" s="77">
        <v>0</v>
      </c>
      <c r="BH195" s="79"/>
      <c r="BI195" s="79"/>
      <c r="BJ195" s="79"/>
      <c r="BK195" s="57"/>
      <c r="BL195" s="57" t="b">
        <f t="shared" si="515"/>
        <v>0</v>
      </c>
      <c r="BM195" s="80"/>
      <c r="BN195" s="80"/>
      <c r="BO195" s="57"/>
      <c r="BP195" s="57">
        <f t="shared" si="612"/>
        <v>238944.32013072236</v>
      </c>
      <c r="BQ195" s="77">
        <f t="shared" si="613"/>
        <v>4.6566128730773926E-10</v>
      </c>
      <c r="BR195" s="57">
        <f t="shared" si="520"/>
        <v>334522048.18301129</v>
      </c>
      <c r="BS195" s="57">
        <v>116.91254547680319</v>
      </c>
      <c r="BT195" s="57">
        <f t="shared" si="617"/>
        <v>0</v>
      </c>
      <c r="BU195" s="57"/>
      <c r="BV195" s="57">
        <v>3.3E-3</v>
      </c>
      <c r="BW195" s="57">
        <v>30000</v>
      </c>
      <c r="BX195" s="57">
        <v>200000</v>
      </c>
      <c r="BY195" s="77">
        <v>24</v>
      </c>
      <c r="BZ195" s="77">
        <v>134</v>
      </c>
      <c r="CA195" s="77">
        <v>244</v>
      </c>
      <c r="CB195" s="77">
        <v>1156</v>
      </c>
      <c r="CC195" s="77">
        <v>1266</v>
      </c>
      <c r="CD195" s="77">
        <v>1376</v>
      </c>
      <c r="DM195" s="77">
        <v>201.1</v>
      </c>
      <c r="DN195" s="77">
        <v>201.1</v>
      </c>
      <c r="DO195" s="77">
        <v>201.1</v>
      </c>
      <c r="DP195" s="77">
        <v>201.1</v>
      </c>
      <c r="DQ195" s="77">
        <v>201.1</v>
      </c>
      <c r="DR195" s="77">
        <v>201.1</v>
      </c>
      <c r="FA195" s="77">
        <f t="shared" si="579"/>
        <v>-86674.099999999991</v>
      </c>
      <c r="FB195" s="77">
        <f t="shared" si="580"/>
        <v>19398.683689560141</v>
      </c>
      <c r="FC195" s="77">
        <f>IF(ABS(-$BV195*($BS195-CA195)/$BS195*$BX195)&gt;$BB195,$BB195*SIGN(-($BS195-CA195)),-$BV195*($BS195-CA195)/$BS195*$BX195)*DO195</f>
        <v>86674.099999999991</v>
      </c>
      <c r="FD195" s="77">
        <f t="shared" ref="FD195:FF196" si="621">IF(ABS(-$BV195*($BS195-CB195)/$BS195*$BX195)&gt;$BB195,$BB195*SIGN(-($BS195-CB195)),-$BV195*($BS195-CB195)/$BS195*$BX195)*DP195</f>
        <v>86674.099999999991</v>
      </c>
      <c r="FE195" s="77">
        <f t="shared" si="621"/>
        <v>86674.099999999991</v>
      </c>
      <c r="FF195" s="77">
        <f t="shared" si="621"/>
        <v>86674.099999999991</v>
      </c>
      <c r="GO195" s="77">
        <f t="shared" si="527"/>
        <v>58591691.599999994</v>
      </c>
      <c r="GP195" s="77">
        <f t="shared" si="528"/>
        <v>-10979654.968291041</v>
      </c>
      <c r="GQ195" s="77">
        <f t="shared" si="529"/>
        <v>-39523389.599999994</v>
      </c>
      <c r="GR195" s="77">
        <f t="shared" si="530"/>
        <v>39523389.599999994</v>
      </c>
      <c r="GS195" s="77">
        <f t="shared" si="614"/>
        <v>49057540.599999994</v>
      </c>
      <c r="GT195" s="77">
        <f t="shared" si="615"/>
        <v>58591691.599999994</v>
      </c>
      <c r="IC195" s="82">
        <v>203</v>
      </c>
    </row>
    <row r="196" spans="1:237" s="77" customFormat="1">
      <c r="A196" s="77">
        <v>195</v>
      </c>
      <c r="B196" s="69">
        <v>268</v>
      </c>
      <c r="C196" s="69" t="s">
        <v>193</v>
      </c>
      <c r="D196" s="70">
        <v>26</v>
      </c>
      <c r="E196" s="70">
        <v>3</v>
      </c>
      <c r="F196" s="70">
        <v>0.10573042776432608</v>
      </c>
      <c r="G196" s="70">
        <v>5.7142859999999998E-3</v>
      </c>
      <c r="H196" s="70">
        <v>9.1428570000000008E-3</v>
      </c>
      <c r="I196" s="118">
        <f>6.7/AU196</f>
        <v>4.7857142857142855E-3</v>
      </c>
      <c r="J196" s="71">
        <v>0.5</v>
      </c>
      <c r="K196" s="72">
        <v>14</v>
      </c>
      <c r="L196" s="71">
        <v>0</v>
      </c>
      <c r="M196" s="71">
        <v>0</v>
      </c>
      <c r="N196" s="71">
        <v>0</v>
      </c>
      <c r="O196" s="71">
        <v>0</v>
      </c>
      <c r="P196" s="71">
        <v>0</v>
      </c>
      <c r="Q196" s="73" t="s">
        <v>3</v>
      </c>
      <c r="R196" s="74">
        <v>0</v>
      </c>
      <c r="S196" s="75">
        <f t="shared" si="616"/>
        <v>0.44482237284957293</v>
      </c>
      <c r="T196" s="59">
        <f t="shared" si="594"/>
        <v>1.9830823621636224</v>
      </c>
      <c r="U196" s="59">
        <f t="shared" si="595"/>
        <v>1.5970983146894209</v>
      </c>
      <c r="V196" s="59">
        <f t="shared" si="596"/>
        <v>0.8976045339504074</v>
      </c>
      <c r="W196" s="59">
        <f t="shared" si="597"/>
        <v>0.45263099056112061</v>
      </c>
      <c r="X196" s="59">
        <f t="shared" si="598"/>
        <v>0.56202209074709319</v>
      </c>
      <c r="Y196" s="76">
        <v>262000</v>
      </c>
      <c r="Z196" s="57">
        <f t="shared" si="599"/>
        <v>147249.78777573843</v>
      </c>
      <c r="AA196" s="57">
        <f t="shared" si="600"/>
        <v>118589.31952701361</v>
      </c>
      <c r="AB196" s="57">
        <f t="shared" si="576"/>
        <v>0</v>
      </c>
      <c r="AC196" s="57">
        <f t="shared" si="601"/>
        <v>0.25</v>
      </c>
      <c r="AD196" s="57">
        <f t="shared" si="602"/>
        <v>1.5</v>
      </c>
      <c r="AE196" s="57">
        <f t="shared" si="603"/>
        <v>0</v>
      </c>
      <c r="AF196" s="57">
        <f t="shared" si="604"/>
        <v>118589.31952701361</v>
      </c>
      <c r="AG196" s="57">
        <f t="shared" si="582"/>
        <v>0</v>
      </c>
      <c r="AH196" s="57"/>
      <c r="AI196" s="57"/>
      <c r="AJ196" s="77">
        <v>0</v>
      </c>
      <c r="AK196" s="77">
        <v>17.7</v>
      </c>
      <c r="AL196" s="78">
        <f t="shared" si="605"/>
        <v>2.2311815826193073</v>
      </c>
      <c r="AM196" s="57">
        <f t="shared" si="606"/>
        <v>1</v>
      </c>
      <c r="AN196" s="57">
        <f t="shared" si="607"/>
        <v>0.8</v>
      </c>
      <c r="AO196" s="77">
        <v>1400</v>
      </c>
      <c r="AP196" s="79"/>
      <c r="AQ196" s="77">
        <f t="shared" si="608"/>
        <v>71.227384059491598</v>
      </c>
      <c r="AS196" s="77">
        <f t="shared" si="609"/>
        <v>1328.7726159405083</v>
      </c>
      <c r="AT196" s="77">
        <v>100</v>
      </c>
      <c r="AU196" s="77">
        <v>1400</v>
      </c>
      <c r="AV196" s="77">
        <f t="shared" si="610"/>
        <v>140000</v>
      </c>
      <c r="AX196" s="77">
        <f t="shared" si="611"/>
        <v>140000</v>
      </c>
      <c r="AY196" s="77">
        <v>140000</v>
      </c>
      <c r="AZ196" s="77">
        <v>0</v>
      </c>
      <c r="BA196" s="77">
        <v>0</v>
      </c>
      <c r="BB196" s="77">
        <v>431</v>
      </c>
      <c r="BD196" s="77">
        <v>0</v>
      </c>
      <c r="BE196" s="77">
        <v>0</v>
      </c>
      <c r="BH196" s="79"/>
      <c r="BI196" s="79"/>
      <c r="BJ196" s="79"/>
      <c r="BK196" s="57"/>
      <c r="BL196" s="57" t="b">
        <f t="shared" si="515"/>
        <v>0</v>
      </c>
      <c r="BM196" s="80"/>
      <c r="BN196" s="80"/>
      <c r="BO196" s="57"/>
      <c r="BP196" s="57">
        <f t="shared" si="612"/>
        <v>235172.38789500674</v>
      </c>
      <c r="BQ196" s="77">
        <f t="shared" si="613"/>
        <v>-2.648448571562767E-9</v>
      </c>
      <c r="BR196" s="57">
        <f t="shared" si="520"/>
        <v>329241343.05300945</v>
      </c>
      <c r="BS196" s="57">
        <v>142.4547681189832</v>
      </c>
      <c r="BT196" s="57">
        <f t="shared" si="617"/>
        <v>0</v>
      </c>
      <c r="BU196" s="57"/>
      <c r="BV196" s="57">
        <v>3.3E-3</v>
      </c>
      <c r="BW196" s="57">
        <v>30000</v>
      </c>
      <c r="BX196" s="57">
        <v>200000</v>
      </c>
      <c r="BY196" s="77">
        <v>24</v>
      </c>
      <c r="BZ196" s="77">
        <v>134</v>
      </c>
      <c r="CA196" s="77">
        <v>244</v>
      </c>
      <c r="CB196" s="77">
        <v>1156</v>
      </c>
      <c r="CC196" s="77">
        <v>1266</v>
      </c>
      <c r="CD196" s="77">
        <v>1376</v>
      </c>
      <c r="DM196" s="77">
        <v>201.1</v>
      </c>
      <c r="DN196" s="77">
        <v>201.1</v>
      </c>
      <c r="DO196" s="77">
        <v>201.1</v>
      </c>
      <c r="DP196" s="77">
        <v>201.1</v>
      </c>
      <c r="DQ196" s="77">
        <v>201.1</v>
      </c>
      <c r="DR196" s="77">
        <v>201.1</v>
      </c>
      <c r="FA196" s="77">
        <f t="shared" si="579"/>
        <v>-86674.099999999991</v>
      </c>
      <c r="FB196" s="77">
        <f t="shared" si="580"/>
        <v>-7877.3604294023362</v>
      </c>
      <c r="FC196" s="77">
        <f>IF(ABS(-$BV196*($BS196-CA196)/$BS196*$BX196)&gt;$BB196,$BB196*SIGN(-($BS196-CA196)),-$BV196*($BS196-CA196)/$BS196*$BX196)*DO196</f>
        <v>86674.099999999991</v>
      </c>
      <c r="FD196" s="77">
        <f t="shared" si="621"/>
        <v>86674.099999999991</v>
      </c>
      <c r="FE196" s="77">
        <f t="shared" si="621"/>
        <v>86674.099999999991</v>
      </c>
      <c r="FF196" s="77">
        <f t="shared" si="621"/>
        <v>86674.099999999991</v>
      </c>
      <c r="GO196" s="77">
        <f t="shared" si="527"/>
        <v>58591691.599999994</v>
      </c>
      <c r="GP196" s="77">
        <f t="shared" si="528"/>
        <v>4458586.0030417219</v>
      </c>
      <c r="GQ196" s="77">
        <f t="shared" si="529"/>
        <v>-39523389.599999994</v>
      </c>
      <c r="GR196" s="77">
        <f t="shared" si="530"/>
        <v>39523389.599999994</v>
      </c>
      <c r="GS196" s="77">
        <f t="shared" si="614"/>
        <v>49057540.599999994</v>
      </c>
      <c r="GT196" s="77">
        <f t="shared" si="615"/>
        <v>58591691.599999994</v>
      </c>
      <c r="IC196" s="82">
        <v>204</v>
      </c>
    </row>
    <row r="197" spans="1:237" s="77" customFormat="1">
      <c r="A197" s="77">
        <v>196</v>
      </c>
      <c r="B197" s="69">
        <v>269</v>
      </c>
      <c r="C197" s="69" t="s">
        <v>193</v>
      </c>
      <c r="D197" s="70">
        <v>27</v>
      </c>
      <c r="E197" s="70">
        <v>3</v>
      </c>
      <c r="F197" s="70">
        <f>Y197/AY197/AK197</f>
        <v>0.14674237895995218</v>
      </c>
      <c r="G197" s="70"/>
      <c r="H197" s="70"/>
      <c r="I197" s="118">
        <f>11.6/AU197</f>
        <v>8.2857142857142851E-3</v>
      </c>
      <c r="J197" s="71">
        <v>0.5</v>
      </c>
      <c r="K197" s="72">
        <v>14</v>
      </c>
      <c r="L197" s="71">
        <v>0</v>
      </c>
      <c r="M197" s="71">
        <v>4.5083682008368209E-2</v>
      </c>
      <c r="N197" s="71">
        <v>0</v>
      </c>
      <c r="O197" s="71">
        <v>4.5083682008368209E-2</v>
      </c>
      <c r="P197" s="71">
        <v>0</v>
      </c>
      <c r="Q197" s="73" t="s">
        <v>3</v>
      </c>
      <c r="R197" s="74">
        <v>0</v>
      </c>
      <c r="S197" s="75">
        <f t="shared" si="616"/>
        <v>0.71738865770901805</v>
      </c>
      <c r="T197" s="59">
        <f t="shared" si="594"/>
        <v>1.3639376875342466</v>
      </c>
      <c r="U197" s="59">
        <f t="shared" si="595"/>
        <v>1.0682021185282609</v>
      </c>
      <c r="V197" s="59">
        <f t="shared" si="596"/>
        <v>0.70043751592967785</v>
      </c>
      <c r="W197" s="59">
        <f t="shared" si="597"/>
        <v>0.51354070081892267</v>
      </c>
      <c r="X197" s="59">
        <f t="shared" si="598"/>
        <v>0.65571627670493782</v>
      </c>
      <c r="Y197" s="76">
        <v>491000</v>
      </c>
      <c r="Z197" s="57">
        <f t="shared" si="599"/>
        <v>321956.69186212448</v>
      </c>
      <c r="AA197" s="57">
        <f t="shared" si="600"/>
        <v>252148.48410209105</v>
      </c>
      <c r="AB197" s="57">
        <f t="shared" si="576"/>
        <v>0</v>
      </c>
      <c r="AC197" s="57">
        <f t="shared" si="601"/>
        <v>0.25</v>
      </c>
      <c r="AD197" s="57">
        <f t="shared" si="602"/>
        <v>1.5</v>
      </c>
      <c r="AE197" s="57">
        <f t="shared" si="603"/>
        <v>0</v>
      </c>
      <c r="AF197" s="57">
        <f t="shared" si="604"/>
        <v>138634.39038455865</v>
      </c>
      <c r="AG197" s="57">
        <f t="shared" si="582"/>
        <v>113514.09371753242</v>
      </c>
      <c r="AH197" s="57"/>
      <c r="AI197" s="57"/>
      <c r="AJ197" s="77">
        <v>0</v>
      </c>
      <c r="AK197" s="77">
        <v>23.9</v>
      </c>
      <c r="AL197" s="78">
        <f t="shared" si="605"/>
        <v>2.6318944326168765</v>
      </c>
      <c r="AM197" s="57">
        <f t="shared" si="606"/>
        <v>1</v>
      </c>
      <c r="AN197" s="57">
        <f t="shared" si="607"/>
        <v>0.8</v>
      </c>
      <c r="AO197" s="77">
        <v>1400</v>
      </c>
      <c r="AP197" s="79"/>
      <c r="AQ197" s="77">
        <f t="shared" si="608"/>
        <v>83.131163369693596</v>
      </c>
      <c r="AS197" s="77">
        <f t="shared" si="609"/>
        <v>1316.8688366303063</v>
      </c>
      <c r="AT197" s="77">
        <v>100</v>
      </c>
      <c r="AU197" s="77">
        <v>1400</v>
      </c>
      <c r="AV197" s="77">
        <f t="shared" si="610"/>
        <v>140000</v>
      </c>
      <c r="AX197" s="77">
        <f t="shared" si="611"/>
        <v>140000</v>
      </c>
      <c r="AY197" s="77">
        <v>140000</v>
      </c>
      <c r="AZ197" s="77">
        <v>431</v>
      </c>
      <c r="BA197" s="77">
        <v>431</v>
      </c>
      <c r="BB197" s="77">
        <v>431</v>
      </c>
      <c r="BD197" s="77">
        <v>0</v>
      </c>
      <c r="BE197" s="77">
        <v>2.5000000000000001E-3</v>
      </c>
      <c r="BH197" s="79"/>
      <c r="BI197" s="79"/>
      <c r="BJ197" s="79"/>
      <c r="BK197" s="57"/>
      <c r="BL197" s="57" t="b">
        <f t="shared" si="515"/>
        <v>0</v>
      </c>
      <c r="BM197" s="80"/>
      <c r="BN197" s="80"/>
      <c r="BO197" s="57"/>
      <c r="BP197" s="57">
        <f t="shared" si="612"/>
        <v>343914.82032147184</v>
      </c>
      <c r="BQ197" s="77">
        <f t="shared" si="613"/>
        <v>4.4819898903369904E-9</v>
      </c>
      <c r="BR197" s="57">
        <f t="shared" si="520"/>
        <v>481480748.45006061</v>
      </c>
      <c r="BS197" s="57">
        <v>166.26232673938719</v>
      </c>
      <c r="BT197" s="57">
        <f t="shared" si="617"/>
        <v>0</v>
      </c>
      <c r="BU197" s="57"/>
      <c r="BV197" s="57">
        <v>3.3E-3</v>
      </c>
      <c r="BW197" s="57">
        <v>30000</v>
      </c>
      <c r="BX197" s="57">
        <v>200000</v>
      </c>
      <c r="BY197" s="77">
        <v>33</v>
      </c>
      <c r="BZ197" s="77">
        <v>133</v>
      </c>
      <c r="CA197" s="77">
        <v>243</v>
      </c>
      <c r="CB197" s="77">
        <v>353</v>
      </c>
      <c r="CC197" s="77">
        <v>1037</v>
      </c>
      <c r="CD197" s="77">
        <v>1147</v>
      </c>
      <c r="CE197" s="77">
        <v>1257</v>
      </c>
      <c r="CF197" s="77">
        <v>1367</v>
      </c>
      <c r="DM197" s="77">
        <v>254.5</v>
      </c>
      <c r="DN197" s="77">
        <v>254.5</v>
      </c>
      <c r="DO197" s="77">
        <v>201.1</v>
      </c>
      <c r="DP197" s="77">
        <v>201.1</v>
      </c>
      <c r="DQ197" s="77">
        <v>201.1</v>
      </c>
      <c r="DR197" s="77">
        <v>201.1</v>
      </c>
      <c r="DS197" s="77">
        <v>254.5</v>
      </c>
      <c r="DT197" s="77">
        <v>254.5</v>
      </c>
      <c r="FA197" s="77">
        <f t="shared" si="579"/>
        <v>-109689.5</v>
      </c>
      <c r="FB197" s="77">
        <f t="shared" si="580"/>
        <v>-33603.962677440999</v>
      </c>
      <c r="FC197" s="77">
        <f>IF(ABS(-$BV197*($BS197-CA197)/$BS197*$BX197)&gt;$BA197,$BA197*SIGN(-($BS197-CA197)),-$BV197*($BS197-CA197)/$BS197*$BX197)*DO197</f>
        <v>61259.123584580928</v>
      </c>
      <c r="FD197" s="77">
        <f>IF(ABS(-$BV197*($BS197-CB197)/$BS197*$BX197)&gt;$BA197,$BA197*SIGN(-($BS197-CB197)),-$BV197*($BS197-CB197)/$BS197*$BX197)*DP197</f>
        <v>86674.099999999991</v>
      </c>
      <c r="FE197" s="77">
        <f>IF(ABS(-$BV197*($BS197-CC197)/$BS197*$BX197)&gt;$BA197,$BA197*SIGN(-($BS197-CC197)),-$BV197*($BS197-CC197)/$BS197*$BX197)*DQ197</f>
        <v>86674.099999999991</v>
      </c>
      <c r="FF197" s="77">
        <f>IF(ABS(-$BV197*($BS197-CD197)/$BS197*$BX197)&gt;$BA197,$BA197*SIGN(-($BS197-CD197)),-$BV197*($BS197-CD197)/$BS197*$BX197)*DR197</f>
        <v>86674.099999999991</v>
      </c>
      <c r="FG197" s="77">
        <f>IF(ABS(-$BV197*($BS197-CE197)/$BS197*$BX197)&gt;$BB197,$BB197*SIGN(-($BS197-CE197)),-$BV197*($BS197-CE197)/$BS197*$BX197)*DS197</f>
        <v>109689.5</v>
      </c>
      <c r="FH197" s="77">
        <f>IF(ABS(-$BV197*($BS197-CF197)/$BS197*$BX197)&gt;$BB197,$BB197*SIGN(-($BS197-CF197)),-$BV197*($BS197-CF197)/$BS197*$BX197)*DT197</f>
        <v>109689.5</v>
      </c>
      <c r="GO197" s="77">
        <f t="shared" si="527"/>
        <v>73162896.5</v>
      </c>
      <c r="GP197" s="77">
        <f t="shared" si="528"/>
        <v>19053446.838109046</v>
      </c>
      <c r="GQ197" s="77">
        <f t="shared" si="529"/>
        <v>-27995419.478153486</v>
      </c>
      <c r="GR197" s="77">
        <f t="shared" si="530"/>
        <v>-30075912.699999996</v>
      </c>
      <c r="GS197" s="77">
        <f t="shared" si="614"/>
        <v>29209171.699999996</v>
      </c>
      <c r="GT197" s="77">
        <f t="shared" si="615"/>
        <v>38743322.699999996</v>
      </c>
      <c r="GU197" s="77">
        <f>FG197*(CE197-0.5*$AO197)</f>
        <v>61097051.5</v>
      </c>
      <c r="GV197" s="77">
        <f>FH197*(CF197-0.5*$AO197)</f>
        <v>73162896.5</v>
      </c>
      <c r="IC197" s="82">
        <v>205</v>
      </c>
    </row>
    <row r="198" spans="1:237" s="77" customFormat="1">
      <c r="A198" s="77">
        <v>197</v>
      </c>
      <c r="B198" s="69">
        <v>270</v>
      </c>
      <c r="C198" s="69" t="s">
        <v>193</v>
      </c>
      <c r="D198" s="70">
        <v>28</v>
      </c>
      <c r="E198" s="70">
        <v>3</v>
      </c>
      <c r="F198" s="70">
        <v>7.9092581238503976E-2</v>
      </c>
      <c r="G198" s="70">
        <v>2.8571429999999999E-3</v>
      </c>
      <c r="H198" s="70">
        <v>6.1428569999999998E-3</v>
      </c>
      <c r="I198" s="118">
        <f>5/AU198</f>
        <v>3.5714285714285713E-3</v>
      </c>
      <c r="J198" s="71">
        <v>0.5</v>
      </c>
      <c r="K198" s="72">
        <v>14</v>
      </c>
      <c r="L198" s="71">
        <v>4.624463519313305E-2</v>
      </c>
      <c r="M198" s="71">
        <v>0</v>
      </c>
      <c r="N198" s="71">
        <v>0.73991416309012881</v>
      </c>
      <c r="O198" s="71">
        <v>0</v>
      </c>
      <c r="P198" s="71">
        <v>0</v>
      </c>
      <c r="Q198" s="73" t="s">
        <v>3</v>
      </c>
      <c r="R198" s="74">
        <v>0</v>
      </c>
      <c r="S198" s="75">
        <f t="shared" si="616"/>
        <v>0.38178047132139414</v>
      </c>
      <c r="T198" s="59">
        <f t="shared" si="594"/>
        <v>2.1006113522733991</v>
      </c>
      <c r="U198" s="59">
        <f t="shared" si="595"/>
        <v>1.7317557423170513</v>
      </c>
      <c r="V198" s="59">
        <f t="shared" si="596"/>
        <v>1.1339996885665793</v>
      </c>
      <c r="W198" s="59">
        <f t="shared" si="597"/>
        <v>0.53984269262341233</v>
      </c>
      <c r="X198" s="59">
        <f t="shared" si="598"/>
        <v>0.65482657909325737</v>
      </c>
      <c r="Y198" s="76">
        <v>258000</v>
      </c>
      <c r="Z198" s="57">
        <f t="shared" si="599"/>
        <v>168945.25740606041</v>
      </c>
      <c r="AA198" s="57">
        <f t="shared" si="600"/>
        <v>139279.41469684039</v>
      </c>
      <c r="AB198" s="57">
        <f t="shared" si="576"/>
        <v>0</v>
      </c>
      <c r="AC198" s="57">
        <f t="shared" si="601"/>
        <v>0.25</v>
      </c>
      <c r="AD198" s="57">
        <f t="shared" si="602"/>
        <v>1.5</v>
      </c>
      <c r="AE198" s="57">
        <f t="shared" si="603"/>
        <v>0</v>
      </c>
      <c r="AF198" s="57">
        <f t="shared" si="604"/>
        <v>139279.41469684039</v>
      </c>
      <c r="AG198" s="57">
        <f t="shared" si="582"/>
        <v>0</v>
      </c>
      <c r="AH198" s="57"/>
      <c r="AI198" s="57"/>
      <c r="AJ198" s="77">
        <v>0</v>
      </c>
      <c r="AK198" s="77">
        <v>23.3</v>
      </c>
      <c r="AL198" s="78">
        <f t="shared" si="605"/>
        <v>2.5953466703942487</v>
      </c>
      <c r="AM198" s="57">
        <f t="shared" si="606"/>
        <v>1</v>
      </c>
      <c r="AN198" s="57">
        <f t="shared" si="607"/>
        <v>0.8</v>
      </c>
      <c r="AO198" s="77">
        <v>1400</v>
      </c>
      <c r="AP198" s="79"/>
      <c r="AQ198" s="77">
        <f t="shared" si="608"/>
        <v>58.373693525853753</v>
      </c>
      <c r="AS198" s="77">
        <f t="shared" si="609"/>
        <v>1341.6263064741463</v>
      </c>
      <c r="AT198" s="77">
        <v>100</v>
      </c>
      <c r="AU198" s="77">
        <v>1400</v>
      </c>
      <c r="AV198" s="77">
        <f t="shared" si="610"/>
        <v>140000</v>
      </c>
      <c r="AX198" s="77">
        <f t="shared" si="611"/>
        <v>140000</v>
      </c>
      <c r="AY198" s="77">
        <v>140000</v>
      </c>
      <c r="AZ198" s="77">
        <v>431</v>
      </c>
      <c r="BA198" s="77">
        <v>431</v>
      </c>
      <c r="BB198" s="77">
        <v>431</v>
      </c>
      <c r="BD198" s="77">
        <v>2.5000000000000001E-3</v>
      </c>
      <c r="BE198" s="77">
        <v>0</v>
      </c>
      <c r="BH198" s="79"/>
      <c r="BI198" s="79"/>
      <c r="BJ198" s="79"/>
      <c r="BK198" s="57"/>
      <c r="BL198" s="57" t="b">
        <f t="shared" si="515"/>
        <v>0</v>
      </c>
      <c r="BM198" s="80"/>
      <c r="BN198" s="80"/>
      <c r="BO198" s="57"/>
      <c r="BP198" s="57">
        <f t="shared" si="612"/>
        <v>292571.91965017747</v>
      </c>
      <c r="BQ198" s="77">
        <f t="shared" si="613"/>
        <v>5.8207660913467407E-10</v>
      </c>
      <c r="BR198" s="57">
        <f t="shared" si="520"/>
        <v>409600687.51024848</v>
      </c>
      <c r="BS198" s="57">
        <v>116.74738705170751</v>
      </c>
      <c r="BT198" s="57">
        <f t="shared" si="617"/>
        <v>0</v>
      </c>
      <c r="BU198" s="57"/>
      <c r="BV198" s="57">
        <v>3.3E-3</v>
      </c>
      <c r="BW198" s="57">
        <v>30000</v>
      </c>
      <c r="BX198" s="57">
        <v>200000</v>
      </c>
      <c r="BY198" s="77">
        <v>24</v>
      </c>
      <c r="BZ198" s="77">
        <v>79</v>
      </c>
      <c r="CA198" s="77">
        <v>134</v>
      </c>
      <c r="CB198" s="77">
        <v>205</v>
      </c>
      <c r="CC198" s="77">
        <v>310</v>
      </c>
      <c r="CD198" s="77">
        <v>420</v>
      </c>
      <c r="CE198" s="77">
        <v>530</v>
      </c>
      <c r="CF198" s="77">
        <v>640</v>
      </c>
      <c r="CG198" s="77">
        <v>750</v>
      </c>
      <c r="CH198" s="77">
        <v>860</v>
      </c>
      <c r="CI198" s="77">
        <v>970</v>
      </c>
      <c r="CJ198" s="77">
        <v>1080</v>
      </c>
      <c r="CK198" s="77">
        <v>1190</v>
      </c>
      <c r="CL198" s="77">
        <v>1266</v>
      </c>
      <c r="CM198" s="77">
        <v>1321</v>
      </c>
      <c r="CN198" s="77">
        <v>1376</v>
      </c>
      <c r="DM198" s="77">
        <v>201.1</v>
      </c>
      <c r="DN198" s="77">
        <v>201.1</v>
      </c>
      <c r="DO198" s="77">
        <v>201.1</v>
      </c>
      <c r="DP198" s="77">
        <v>28.3</v>
      </c>
      <c r="DQ198" s="77">
        <v>28.3</v>
      </c>
      <c r="DR198" s="77">
        <v>28.3</v>
      </c>
      <c r="DS198" s="77">
        <v>28.3</v>
      </c>
      <c r="DT198" s="77">
        <v>28.3</v>
      </c>
      <c r="DU198" s="77">
        <v>28.3</v>
      </c>
      <c r="DV198" s="77">
        <v>28.3</v>
      </c>
      <c r="DW198" s="77">
        <v>28.3</v>
      </c>
      <c r="DX198" s="77">
        <v>28.3</v>
      </c>
      <c r="DY198" s="77">
        <v>28.3</v>
      </c>
      <c r="DZ198" s="77">
        <v>201.1</v>
      </c>
      <c r="EA198" s="77">
        <v>201.1</v>
      </c>
      <c r="EB198" s="77">
        <v>201.1</v>
      </c>
      <c r="FA198" s="77">
        <f t="shared" si="579"/>
        <v>-86674.099999999991</v>
      </c>
      <c r="FB198" s="77">
        <f t="shared" si="580"/>
        <v>-42913.677302310592</v>
      </c>
      <c r="FC198" s="77">
        <f>IF(ABS(-$BV198*($BS198-CA198)/$BS198*$BX198)&gt;$BB198,$BB198*SIGN(-($BS198-CA198)),-$BV198*($BS198-CA198)/$BS198*$BX198)*DO198</f>
        <v>19613.88913278962</v>
      </c>
      <c r="FD198" s="77">
        <f t="shared" ref="FD198:FM198" si="622">IF(ABS(-$BV198*($BS198-CB198)/$BS198*$BX198)&gt;$BA198,$BA198*SIGN(-($BS198-CB198)),-$BV198*($BS198-CB198)/$BS198*$BX198)*DP198</f>
        <v>12197.300000000001</v>
      </c>
      <c r="FE198" s="77">
        <f t="shared" si="622"/>
        <v>12197.300000000001</v>
      </c>
      <c r="FF198" s="77">
        <f t="shared" si="622"/>
        <v>12197.300000000001</v>
      </c>
      <c r="FG198" s="77">
        <f t="shared" si="622"/>
        <v>12197.300000000001</v>
      </c>
      <c r="FH198" s="77">
        <f t="shared" si="622"/>
        <v>12197.300000000001</v>
      </c>
      <c r="FI198" s="77">
        <f t="shared" si="622"/>
        <v>12197.300000000001</v>
      </c>
      <c r="FJ198" s="77">
        <f t="shared" si="622"/>
        <v>12197.300000000001</v>
      </c>
      <c r="FK198" s="77">
        <f t="shared" si="622"/>
        <v>12197.300000000001</v>
      </c>
      <c r="FL198" s="77">
        <f t="shared" si="622"/>
        <v>12197.300000000001</v>
      </c>
      <c r="FM198" s="77">
        <f t="shared" si="622"/>
        <v>12197.300000000001</v>
      </c>
      <c r="FN198" s="77">
        <f>IF(ABS(-$BV198*($BS198-CL198)/$BS198*$BX198)&gt;$BB198,$BB198*SIGN(-($BS198-CL198)),-$BV198*($BS198-CL198)/$BS198*$BX198)*DZ198</f>
        <v>86674.099999999991</v>
      </c>
      <c r="FO198" s="77">
        <f>IF(ABS(-$BV198*($BS198-CM198)/$BS198*$BX198)&gt;$BB198,$BB198*SIGN(-($BS198-CM198)),-$BV198*($BS198-CM198)/$BS198*$BX198)*EA198</f>
        <v>86674.099999999991</v>
      </c>
      <c r="FP198" s="77">
        <f>IF(ABS(-$BV198*($BS198-CN198)/$BS198*$BX198)&gt;$BB198,$BB198*SIGN(-($BS198-CN198)),-$BV198*($BS198-CN198)/$BS198*$BX198)*EB198</f>
        <v>86674.099999999991</v>
      </c>
      <c r="GO198" s="77">
        <f t="shared" si="527"/>
        <v>58591691.599999994</v>
      </c>
      <c r="GP198" s="77">
        <f t="shared" si="528"/>
        <v>26649393.604734879</v>
      </c>
      <c r="GQ198" s="77">
        <f t="shared" si="529"/>
        <v>-11101461.249158924</v>
      </c>
      <c r="GR198" s="77">
        <f t="shared" si="530"/>
        <v>-6037663.5000000009</v>
      </c>
      <c r="GS198" s="77">
        <f t="shared" si="614"/>
        <v>-4756947</v>
      </c>
      <c r="GT198" s="77">
        <f t="shared" si="615"/>
        <v>-3415244.0000000005</v>
      </c>
      <c r="GU198" s="77">
        <f>FG198*(CE198-0.5*$AO198)</f>
        <v>-2073541.0000000002</v>
      </c>
      <c r="GV198" s="77">
        <f>FH198*(CF198-0.5*$AO198)</f>
        <v>-731838.00000000012</v>
      </c>
      <c r="GW198" s="77">
        <f t="shared" ref="GW198:HD198" si="623">FI198*(CG198-0.5*$AO198)</f>
        <v>609865</v>
      </c>
      <c r="GX198" s="77">
        <f t="shared" si="623"/>
        <v>1951568.0000000002</v>
      </c>
      <c r="GY198" s="77">
        <f t="shared" si="623"/>
        <v>3293271.0000000005</v>
      </c>
      <c r="GZ198" s="77">
        <f t="shared" si="623"/>
        <v>4634974</v>
      </c>
      <c r="HA198" s="77">
        <f t="shared" si="623"/>
        <v>5976677.0000000009</v>
      </c>
      <c r="HB198" s="77">
        <f t="shared" si="623"/>
        <v>49057540.599999994</v>
      </c>
      <c r="HC198" s="77">
        <f t="shared" si="623"/>
        <v>53824616.099999994</v>
      </c>
      <c r="HD198" s="77">
        <f t="shared" si="623"/>
        <v>58591691.599999994</v>
      </c>
      <c r="IC198" s="82">
        <v>206</v>
      </c>
    </row>
    <row r="199" spans="1:237" s="77" customFormat="1">
      <c r="A199" s="77">
        <v>198</v>
      </c>
      <c r="B199" s="69">
        <v>272</v>
      </c>
      <c r="C199" s="69" t="s">
        <v>193</v>
      </c>
      <c r="D199" s="70">
        <v>30</v>
      </c>
      <c r="E199" s="70">
        <v>3</v>
      </c>
      <c r="F199" s="70">
        <v>0.16573556797020486</v>
      </c>
      <c r="G199" s="70">
        <v>9.5238100000000006E-3</v>
      </c>
      <c r="H199" s="70">
        <v>1.2571429E-2</v>
      </c>
      <c r="I199" s="118">
        <f>6/AU199</f>
        <v>5.7142857142857143E-3</v>
      </c>
      <c r="J199" s="71">
        <v>0.4</v>
      </c>
      <c r="K199" s="72">
        <v>18.75</v>
      </c>
      <c r="L199" s="71">
        <v>0</v>
      </c>
      <c r="M199" s="71">
        <v>0</v>
      </c>
      <c r="N199" s="71">
        <v>0</v>
      </c>
      <c r="O199" s="71">
        <v>0</v>
      </c>
      <c r="P199" s="71">
        <v>0</v>
      </c>
      <c r="Q199" s="73" t="s">
        <v>3</v>
      </c>
      <c r="R199" s="74">
        <v>0</v>
      </c>
      <c r="S199" s="75">
        <f t="shared" si="616"/>
        <v>0.70120053121648052</v>
      </c>
      <c r="T199" s="59">
        <f t="shared" si="594"/>
        <v>3.2679082649562643</v>
      </c>
      <c r="U199" s="59">
        <f t="shared" si="595"/>
        <v>2.6285820973297325</v>
      </c>
      <c r="V199" s="59">
        <f t="shared" si="596"/>
        <v>0.93717202865260474</v>
      </c>
      <c r="W199" s="59">
        <f t="shared" si="597"/>
        <v>0.28678039671506733</v>
      </c>
      <c r="X199" s="59">
        <f t="shared" si="598"/>
        <v>0.35653138990965472</v>
      </c>
      <c r="Y199" s="76">
        <v>356000</v>
      </c>
      <c r="Z199" s="57">
        <f t="shared" si="599"/>
        <v>126925.17480783707</v>
      </c>
      <c r="AA199" s="57">
        <f t="shared" si="600"/>
        <v>102093.82123056396</v>
      </c>
      <c r="AB199" s="57">
        <f t="shared" si="576"/>
        <v>0</v>
      </c>
      <c r="AC199" s="57">
        <f t="shared" si="601"/>
        <v>0.25</v>
      </c>
      <c r="AD199" s="57">
        <f t="shared" si="602"/>
        <v>1.5</v>
      </c>
      <c r="AE199" s="57">
        <f t="shared" si="603"/>
        <v>0</v>
      </c>
      <c r="AF199" s="57">
        <f t="shared" si="604"/>
        <v>102093.82123056396</v>
      </c>
      <c r="AG199" s="57">
        <f t="shared" si="582"/>
        <v>0</v>
      </c>
      <c r="AH199" s="57"/>
      <c r="AI199" s="57"/>
      <c r="AJ199" s="77">
        <v>0</v>
      </c>
      <c r="AK199" s="77">
        <v>17.899999999999999</v>
      </c>
      <c r="AL199" s="78">
        <f t="shared" si="605"/>
        <v>2.2450126212603032</v>
      </c>
      <c r="AM199" s="57">
        <f t="shared" si="606"/>
        <v>1</v>
      </c>
      <c r="AN199" s="57">
        <f t="shared" si="607"/>
        <v>0.8</v>
      </c>
      <c r="AO199" s="77">
        <v>1500</v>
      </c>
      <c r="AP199" s="79"/>
      <c r="AQ199" s="77">
        <f t="shared" si="608"/>
        <v>78.880188359884713</v>
      </c>
      <c r="AS199" s="77">
        <f t="shared" si="609"/>
        <v>1421.1198116401154</v>
      </c>
      <c r="AT199" s="77">
        <v>80</v>
      </c>
      <c r="AU199" s="77">
        <v>1050</v>
      </c>
      <c r="AV199" s="77">
        <f t="shared" si="610"/>
        <v>120000</v>
      </c>
      <c r="AX199" s="77">
        <f t="shared" si="611"/>
        <v>120000</v>
      </c>
      <c r="AY199" s="77">
        <v>120000</v>
      </c>
      <c r="AZ199" s="77">
        <v>0</v>
      </c>
      <c r="BA199" s="77">
        <v>0</v>
      </c>
      <c r="BB199" s="77">
        <v>431</v>
      </c>
      <c r="BD199" s="77">
        <v>0</v>
      </c>
      <c r="BE199" s="77">
        <v>0</v>
      </c>
      <c r="BH199" s="79"/>
      <c r="BI199" s="79"/>
      <c r="BJ199" s="79"/>
      <c r="BK199" s="57"/>
      <c r="BL199" s="57" t="b">
        <f t="shared" si="515"/>
        <v>0</v>
      </c>
      <c r="BM199" s="80"/>
      <c r="BN199" s="80"/>
      <c r="BO199" s="57"/>
      <c r="BP199" s="57">
        <f t="shared" si="612"/>
        <v>333633.24220032728</v>
      </c>
      <c r="BQ199" s="77">
        <f t="shared" si="613"/>
        <v>1.7171259969472885E-9</v>
      </c>
      <c r="BR199" s="57">
        <f t="shared" si="520"/>
        <v>350314904.31034362</v>
      </c>
      <c r="BS199" s="57">
        <v>157.76037671976943</v>
      </c>
      <c r="BT199" s="57">
        <f t="shared" si="617"/>
        <v>0</v>
      </c>
      <c r="BU199" s="57"/>
      <c r="BV199" s="57">
        <v>3.3E-3</v>
      </c>
      <c r="BW199" s="57">
        <v>30000</v>
      </c>
      <c r="BX199" s="57">
        <v>200000</v>
      </c>
      <c r="BY199" s="77">
        <v>24</v>
      </c>
      <c r="BZ199" s="77">
        <v>134</v>
      </c>
      <c r="CA199" s="77">
        <v>244</v>
      </c>
      <c r="CB199" s="77">
        <v>1256</v>
      </c>
      <c r="CC199" s="77">
        <v>1366</v>
      </c>
      <c r="CD199" s="77">
        <v>1476</v>
      </c>
      <c r="DM199" s="77">
        <v>201.1</v>
      </c>
      <c r="DN199" s="77">
        <v>201.1</v>
      </c>
      <c r="DO199" s="77">
        <v>201.1</v>
      </c>
      <c r="DP199" s="77">
        <v>201.1</v>
      </c>
      <c r="DQ199" s="77">
        <v>201.1</v>
      </c>
      <c r="DR199" s="77">
        <v>201.1</v>
      </c>
      <c r="FA199" s="77">
        <f t="shared" si="579"/>
        <v>-86674.099999999991</v>
      </c>
      <c r="FB199" s="77">
        <f t="shared" si="580"/>
        <v>-19989.935534382679</v>
      </c>
      <c r="FC199" s="77">
        <f>IF(ABS(-$BV199*($BS199-CA199)/$BS199*$BX199)&gt;$BB199,$BB199*SIGN(-($BS199-CA199)),-$BV199*($BS199-CA199)/$BS199*$BX199)*DO199</f>
        <v>72554.594997094217</v>
      </c>
      <c r="FD199" s="77">
        <f>IF(ABS(-$BV199*($BS199-CB199)/$BS199*$BX199)&gt;$BB199,$BB199*SIGN(-($BS199-CB199)),-$BV199*($BS199-CB199)/$BS199*$BX199)*DP199</f>
        <v>86674.099999999991</v>
      </c>
      <c r="FE199" s="77">
        <f>IF(ABS(-$BV199*($BS199-CC199)/$BS199*$BX199)&gt;$BB199,$BB199*SIGN(-($BS199-CC199)),-$BV199*($BS199-CC199)/$BS199*$BX199)*DQ199</f>
        <v>86674.099999999991</v>
      </c>
      <c r="FF199" s="77">
        <f>IF(ABS(-$BV199*($BS199-CD199)/$BS199*$BX199)&gt;$BB199,$BB199*SIGN(-($BS199-CD199)),-$BV199*($BS199-CD199)/$BS199*$BX199)*DR199</f>
        <v>86674.099999999991</v>
      </c>
      <c r="GO199" s="77">
        <f t="shared" si="527"/>
        <v>62925396.599999994</v>
      </c>
      <c r="GP199" s="77">
        <f t="shared" si="528"/>
        <v>12313800.289179731</v>
      </c>
      <c r="GQ199" s="77">
        <f t="shared" si="529"/>
        <v>-36712625.068529673</v>
      </c>
      <c r="GR199" s="77">
        <f t="shared" si="530"/>
        <v>43857094.599999994</v>
      </c>
      <c r="GS199" s="77">
        <f t="shared" si="614"/>
        <v>53391245.599999994</v>
      </c>
      <c r="GT199" s="77">
        <f t="shared" si="615"/>
        <v>62925396.599999994</v>
      </c>
      <c r="IC199" s="82">
        <v>207</v>
      </c>
    </row>
    <row r="200" spans="1:237" s="77" customFormat="1">
      <c r="A200" s="77">
        <v>199</v>
      </c>
      <c r="B200" s="69">
        <v>275</v>
      </c>
      <c r="C200" s="69" t="s">
        <v>194</v>
      </c>
      <c r="D200" s="70" t="s">
        <v>71</v>
      </c>
      <c r="E200" s="87">
        <v>1</v>
      </c>
      <c r="F200" s="70">
        <v>4.3167641325536056E-2</v>
      </c>
      <c r="G200" s="70">
        <v>4.0000000000000001E-3</v>
      </c>
      <c r="H200" s="70">
        <v>1.8333333E-2</v>
      </c>
      <c r="I200" s="70">
        <v>2.7E-2</v>
      </c>
      <c r="J200" s="71">
        <v>2</v>
      </c>
      <c r="K200" s="72">
        <v>7.5</v>
      </c>
      <c r="L200" s="71">
        <v>3.1345029239766078E-2</v>
      </c>
      <c r="M200" s="71">
        <v>2.7426900584795317E-2</v>
      </c>
      <c r="N200" s="71">
        <v>0.14668128654970758</v>
      </c>
      <c r="O200" s="71">
        <v>9.6973684210526323E-2</v>
      </c>
      <c r="P200" s="71">
        <v>9.9999999999999992E-2</v>
      </c>
      <c r="Q200" s="73" t="s">
        <v>3</v>
      </c>
      <c r="R200" s="74">
        <v>0</v>
      </c>
      <c r="S200" s="75">
        <f t="shared" si="616"/>
        <v>0.25244767341028596</v>
      </c>
      <c r="T200" s="59">
        <f t="shared" si="594"/>
        <v>1.0519842982050172</v>
      </c>
      <c r="U200" s="59">
        <f t="shared" si="595"/>
        <v>0.98700627764554016</v>
      </c>
      <c r="V200" s="59">
        <f t="shared" si="596"/>
        <v>1.2917590223752491</v>
      </c>
      <c r="W200" s="59">
        <f t="shared" si="597"/>
        <v>1.2279261435549518</v>
      </c>
      <c r="X200" s="59">
        <f t="shared" si="598"/>
        <v>1.3087647481398834</v>
      </c>
      <c r="Y200" s="76">
        <v>442900</v>
      </c>
      <c r="Z200" s="57">
        <f t="shared" si="599"/>
        <v>579651.90695115435</v>
      </c>
      <c r="AA200" s="57">
        <f t="shared" si="600"/>
        <v>543848.48898048815</v>
      </c>
      <c r="AB200" s="57">
        <f t="shared" si="576"/>
        <v>816843.78564296535</v>
      </c>
      <c r="AC200" s="57">
        <f t="shared" si="601"/>
        <v>0.17</v>
      </c>
      <c r="AD200" s="57">
        <f t="shared" si="602"/>
        <v>2</v>
      </c>
      <c r="AE200" s="57">
        <f t="shared" si="603"/>
        <v>1026000</v>
      </c>
      <c r="AF200" s="57">
        <f t="shared" si="604"/>
        <v>307916.34562270617</v>
      </c>
      <c r="AG200" s="57">
        <f>0.8*AZ200*BK200/BH200*AS200</f>
        <v>235932.14335778196</v>
      </c>
      <c r="AH200" s="57">
        <f t="shared" ref="AH200:AH224" si="624">AM200*AK200*AT200*AP200*(AS200-0.5*AP200)</f>
        <v>1360589581.6323788</v>
      </c>
      <c r="AI200" s="57">
        <f t="shared" ref="AI200:AI224" si="625">BB200*BO200*(AS200-AQ200)</f>
        <v>273097989.65355188</v>
      </c>
      <c r="AJ200" s="77">
        <v>1026000</v>
      </c>
      <c r="AK200" s="77">
        <v>34.200000000000003</v>
      </c>
      <c r="AL200" s="78">
        <f t="shared" si="605"/>
        <v>3.2052652725461677</v>
      </c>
      <c r="AM200" s="57">
        <f t="shared" si="606"/>
        <v>1</v>
      </c>
      <c r="AN200" s="57">
        <f t="shared" si="607"/>
        <v>0.8</v>
      </c>
      <c r="AO200" s="77">
        <v>1500</v>
      </c>
      <c r="AP200" s="79">
        <v>150</v>
      </c>
      <c r="AQ200" s="57">
        <f t="shared" si="608"/>
        <v>98.889296654601537</v>
      </c>
      <c r="AR200" s="78">
        <f t="shared" ref="AR200:AR230" si="626">AO200-2*AP200</f>
        <v>1200</v>
      </c>
      <c r="AS200" s="57">
        <f t="shared" si="609"/>
        <v>1401.1107033453984</v>
      </c>
      <c r="AT200" s="77">
        <v>200</v>
      </c>
      <c r="AU200" s="77">
        <v>2000</v>
      </c>
      <c r="AV200" s="78">
        <f t="shared" si="610"/>
        <v>300000</v>
      </c>
      <c r="AW200" s="77">
        <v>0</v>
      </c>
      <c r="AX200" s="77">
        <f t="shared" si="611"/>
        <v>300000</v>
      </c>
      <c r="AY200" s="77">
        <v>300000</v>
      </c>
      <c r="AZ200" s="77">
        <v>335</v>
      </c>
      <c r="BA200" s="77">
        <v>335</v>
      </c>
      <c r="BB200" s="77">
        <v>395</v>
      </c>
      <c r="BC200" s="77">
        <v>335</v>
      </c>
      <c r="BD200" s="77">
        <v>3.2000000000000002E-3</v>
      </c>
      <c r="BE200" s="77">
        <v>2.8E-3</v>
      </c>
      <c r="BF200" s="77">
        <v>1.2699999999999999E-2</v>
      </c>
      <c r="BG200" s="77">
        <v>9.9000000000000008E-3</v>
      </c>
      <c r="BH200" s="79">
        <v>250</v>
      </c>
      <c r="BI200" s="79">
        <f>PI()*10*10/4</f>
        <v>78.539816339744831</v>
      </c>
      <c r="BJ200" s="79">
        <v>2</v>
      </c>
      <c r="BK200" s="57">
        <f>BI200*BJ200</f>
        <v>157.07963267948966</v>
      </c>
      <c r="BL200" s="57">
        <f t="shared" si="515"/>
        <v>768.00000000000011</v>
      </c>
      <c r="BM200" s="80">
        <f>PI()*13*13/4</f>
        <v>132.73228961416876</v>
      </c>
      <c r="BN200" s="80">
        <v>4</v>
      </c>
      <c r="BO200" s="57">
        <f t="shared" ref="BO200:BO224" si="627">BM200*BN200</f>
        <v>530.92915845667505</v>
      </c>
      <c r="BP200" s="57">
        <f t="shared" si="612"/>
        <v>572120.07100999786</v>
      </c>
      <c r="BQ200" s="77">
        <f t="shared" si="613"/>
        <v>0</v>
      </c>
      <c r="BR200" s="57">
        <f t="shared" si="520"/>
        <v>1144240142.0199957</v>
      </c>
      <c r="BS200" s="57">
        <v>197.77859330920307</v>
      </c>
      <c r="BT200" s="57">
        <f t="shared" si="617"/>
        <v>225.88908650432921</v>
      </c>
      <c r="BU200" s="57"/>
      <c r="BV200" s="57">
        <v>3.3E-3</v>
      </c>
      <c r="BW200" s="57">
        <v>30000</v>
      </c>
      <c r="BX200" s="57">
        <v>200000</v>
      </c>
      <c r="BY200" s="77">
        <f>50</f>
        <v>50</v>
      </c>
      <c r="BZ200" s="77">
        <f>BY200+100</f>
        <v>150</v>
      </c>
      <c r="CA200" s="77">
        <f>BZ200+50</f>
        <v>200</v>
      </c>
      <c r="CB200" s="77">
        <f>CA200+220*1</f>
        <v>420</v>
      </c>
      <c r="CC200" s="77">
        <f>CA200+220*2</f>
        <v>640</v>
      </c>
      <c r="CD200" s="77">
        <f>CA200+220*3</f>
        <v>860</v>
      </c>
      <c r="CE200" s="77">
        <f>CA200+220*4</f>
        <v>1080</v>
      </c>
      <c r="CF200" s="77">
        <f>CA200+220*5</f>
        <v>1300</v>
      </c>
      <c r="CG200" s="77">
        <f>CF200+50</f>
        <v>1350</v>
      </c>
      <c r="CH200" s="77">
        <f>CG200+100</f>
        <v>1450</v>
      </c>
      <c r="DM200" s="77">
        <f>PI()*13*13/4*2</f>
        <v>265.46457922833753</v>
      </c>
      <c r="DN200" s="77">
        <f>PI()*13*13/4*2</f>
        <v>265.46457922833753</v>
      </c>
      <c r="DO200" s="77">
        <f t="shared" ref="DO200:DT200" si="628">PI()*10*10/4*2</f>
        <v>157.07963267948966</v>
      </c>
      <c r="DP200" s="77">
        <f t="shared" si="628"/>
        <v>157.07963267948966</v>
      </c>
      <c r="DQ200" s="77">
        <f t="shared" si="628"/>
        <v>157.07963267948966</v>
      </c>
      <c r="DR200" s="77">
        <f t="shared" si="628"/>
        <v>157.07963267948966</v>
      </c>
      <c r="DS200" s="77">
        <f t="shared" si="628"/>
        <v>157.07963267948966</v>
      </c>
      <c r="DT200" s="77">
        <f t="shared" si="628"/>
        <v>157.07963267948966</v>
      </c>
      <c r="DU200" s="77">
        <f>PI()*13*13/4*2</f>
        <v>265.46457922833753</v>
      </c>
      <c r="DV200" s="77">
        <f>PI()*13*13/4*2</f>
        <v>265.46457922833753</v>
      </c>
      <c r="FA200" s="77">
        <f t="shared" si="579"/>
        <v>-104858.50879519332</v>
      </c>
      <c r="FB200" s="77">
        <f t="shared" si="580"/>
        <v>-42325.743203256541</v>
      </c>
      <c r="FC200" s="77">
        <f t="shared" ref="FC200:FH204" si="629">IF(ABS(-$BV200*($BS200-CA200)/$BS200*$BX200)&gt;$BA200,$BA200*SIGN(-($BS200-CA200)),-$BV200*($BS200-CA200)/$BS200*$BX200)*DO200</f>
        <v>1164.4279048671806</v>
      </c>
      <c r="FD200" s="77">
        <f t="shared" si="629"/>
        <v>52621.676947629036</v>
      </c>
      <c r="FE200" s="77">
        <f t="shared" si="629"/>
        <v>52621.676947629036</v>
      </c>
      <c r="FF200" s="77">
        <f t="shared" si="629"/>
        <v>52621.676947629036</v>
      </c>
      <c r="FG200" s="77">
        <f t="shared" si="629"/>
        <v>52621.676947629036</v>
      </c>
      <c r="FH200" s="77">
        <f t="shared" si="629"/>
        <v>52621.676947629036</v>
      </c>
      <c r="FI200" s="77">
        <f>IF(ABS(-$BV200*($BS200-CG200)/$BS200*$BX200)&gt;$BB200,$BB200*SIGN(-($BS200-CG200)),-$BV200*($BS200-CG200)/$BS200*$BX200)*DU200</f>
        <v>104858.50879519332</v>
      </c>
      <c r="FJ200" s="77">
        <f>IF(ABS(-$BV200*($BS200-CH200)/$BS200*$BX200)&gt;$BB200,$BB200*SIGN(-($BS200-CH200)),-$BV200*($BS200-CH200)/$BS200*$BX200)*DV200</f>
        <v>104858.50879519332</v>
      </c>
      <c r="GO200" s="77">
        <f t="shared" si="527"/>
        <v>73400956.156635329</v>
      </c>
      <c r="GP200" s="77">
        <f t="shared" si="528"/>
        <v>25395445.921953924</v>
      </c>
      <c r="GQ200" s="77">
        <f t="shared" si="529"/>
        <v>-640435.34767694934</v>
      </c>
      <c r="GR200" s="77">
        <f t="shared" si="530"/>
        <v>-17365153.392717581</v>
      </c>
      <c r="GS200" s="77">
        <f t="shared" si="614"/>
        <v>-5788384.4642391941</v>
      </c>
      <c r="GT200" s="77">
        <f t="shared" si="615"/>
        <v>5788384.4642391941</v>
      </c>
      <c r="GU200" s="77">
        <f t="shared" ref="GU200:GX204" si="630">FG200*(CE200-0.5*$AO200)</f>
        <v>17365153.392717581</v>
      </c>
      <c r="GV200" s="77">
        <f t="shared" si="630"/>
        <v>28941922.321195971</v>
      </c>
      <c r="GW200" s="77">
        <f t="shared" si="630"/>
        <v>62915105.277115993</v>
      </c>
      <c r="GX200" s="77">
        <f t="shared" si="630"/>
        <v>73400956.156635329</v>
      </c>
      <c r="IC200" s="82">
        <v>208</v>
      </c>
    </row>
    <row r="201" spans="1:237" s="77" customFormat="1">
      <c r="A201" s="77">
        <v>201</v>
      </c>
      <c r="B201" s="69">
        <v>277</v>
      </c>
      <c r="C201" s="69" t="s">
        <v>196</v>
      </c>
      <c r="D201" s="70" t="s">
        <v>195</v>
      </c>
      <c r="E201" s="70">
        <v>3</v>
      </c>
      <c r="F201" s="70">
        <v>0.14096749889740881</v>
      </c>
      <c r="G201" s="70">
        <v>4.1972720000000002E-3</v>
      </c>
      <c r="H201" s="70">
        <v>6.0860439999999997E-3</v>
      </c>
      <c r="I201" s="70">
        <v>1.6789087093389297E-2</v>
      </c>
      <c r="J201" s="71">
        <v>0.50026246719160106</v>
      </c>
      <c r="K201" s="72">
        <v>18.75</v>
      </c>
      <c r="L201" s="71">
        <v>9.3448275862068969E-2</v>
      </c>
      <c r="M201" s="71">
        <v>8.5413793103448266E-2</v>
      </c>
      <c r="N201" s="71">
        <v>0.32586206896551723</v>
      </c>
      <c r="O201" s="71">
        <v>6.2388092472184804E-2</v>
      </c>
      <c r="P201" s="71">
        <v>0</v>
      </c>
      <c r="Q201" s="73" t="s">
        <v>243</v>
      </c>
      <c r="R201" s="74">
        <v>0.20876112251882273</v>
      </c>
      <c r="S201" s="75">
        <f t="shared" si="616"/>
        <v>0.75913321401209799</v>
      </c>
      <c r="T201" s="59">
        <f t="shared" si="594"/>
        <v>3.0166892328189094</v>
      </c>
      <c r="U201" s="59">
        <f t="shared" si="595"/>
        <v>2.1881965931687053</v>
      </c>
      <c r="V201" s="59">
        <f t="shared" si="596"/>
        <v>1.3289695407537243</v>
      </c>
      <c r="W201" s="59">
        <f t="shared" si="597"/>
        <v>0.44053909375076217</v>
      </c>
      <c r="X201" s="59">
        <f t="shared" si="598"/>
        <v>0.60733553141551</v>
      </c>
      <c r="Y201" s="76">
        <v>1218421</v>
      </c>
      <c r="Z201" s="57">
        <f t="shared" si="599"/>
        <v>739990.36552281713</v>
      </c>
      <c r="AA201" s="57">
        <f t="shared" si="600"/>
        <v>536762.08314689738</v>
      </c>
      <c r="AB201" s="57">
        <f t="shared" si="576"/>
        <v>1641334.8033487352</v>
      </c>
      <c r="AC201" s="57">
        <f t="shared" si="601"/>
        <v>0.25</v>
      </c>
      <c r="AD201" s="57">
        <f t="shared" si="602"/>
        <v>1.5</v>
      </c>
      <c r="AE201" s="57">
        <f t="shared" si="603"/>
        <v>0</v>
      </c>
      <c r="AF201" s="57">
        <f t="shared" si="604"/>
        <v>216144.71373205582</v>
      </c>
      <c r="AG201" s="57">
        <f>0.8*AZ201*BK201/BH201*AS201</f>
        <v>320617.36941484152</v>
      </c>
      <c r="AH201" s="57">
        <f t="shared" si="624"/>
        <v>528678722.33926708</v>
      </c>
      <c r="AI201" s="57">
        <f t="shared" si="625"/>
        <v>1035513345.2520775</v>
      </c>
      <c r="AJ201" s="77">
        <v>0</v>
      </c>
      <c r="AK201" s="77">
        <v>29</v>
      </c>
      <c r="AL201" s="78">
        <f t="shared" si="605"/>
        <v>2.9273086679493456</v>
      </c>
      <c r="AM201" s="57">
        <f t="shared" si="606"/>
        <v>1</v>
      </c>
      <c r="AN201" s="57">
        <f t="shared" si="607"/>
        <v>0.8</v>
      </c>
      <c r="AO201" s="77">
        <v>1905</v>
      </c>
      <c r="AP201" s="79">
        <f t="shared" ref="AP201:AP207" si="631">4*25.4</f>
        <v>101.6</v>
      </c>
      <c r="AQ201" s="57">
        <f t="shared" si="608"/>
        <v>88.136080747454429</v>
      </c>
      <c r="AR201" s="78">
        <f t="shared" si="626"/>
        <v>1701.8</v>
      </c>
      <c r="AS201" s="57">
        <f t="shared" si="609"/>
        <v>1816.8639192525457</v>
      </c>
      <c r="AT201" s="77">
        <v>101.6</v>
      </c>
      <c r="AU201" s="77">
        <v>953</v>
      </c>
      <c r="AV201" s="78">
        <f t="shared" si="610"/>
        <v>172902.87999999998</v>
      </c>
      <c r="AW201" s="77">
        <f t="shared" ref="AW201:AW207" si="632">4*25.4*24*25.4*2</f>
        <v>123870.71999999997</v>
      </c>
      <c r="AX201" s="77">
        <f t="shared" si="611"/>
        <v>193548</v>
      </c>
      <c r="AY201" s="77">
        <v>298044</v>
      </c>
      <c r="AZ201" s="77">
        <v>495.4</v>
      </c>
      <c r="BA201" s="77">
        <f>78.8*6.895</f>
        <v>543.32599999999991</v>
      </c>
      <c r="BB201" s="77">
        <f>76.2*6.895</f>
        <v>525.399</v>
      </c>
      <c r="BC201" s="77">
        <v>499.5</v>
      </c>
      <c r="BD201" s="77">
        <v>5.0000000000000001E-3</v>
      </c>
      <c r="BE201" s="77">
        <v>5.0000000000000001E-3</v>
      </c>
      <c r="BF201" s="77">
        <v>1.7999999999999999E-2</v>
      </c>
      <c r="BG201" s="77">
        <f t="shared" ref="BG201:BG207" si="633">PI()*6*6/4*10/(24*25.4*2*25.4)</f>
        <v>9.1302719100391592E-3</v>
      </c>
      <c r="BH201" s="79">
        <f>2.5*25.4</f>
        <v>63.5</v>
      </c>
      <c r="BI201" s="79">
        <f>PI()*6*6/4</f>
        <v>28.274333882308138</v>
      </c>
      <c r="BJ201" s="79">
        <v>1</v>
      </c>
      <c r="BK201" s="57">
        <f>BI201*BJ201</f>
        <v>28.274333882308138</v>
      </c>
      <c r="BL201" s="57">
        <f t="shared" si="515"/>
        <v>864.51440000000002</v>
      </c>
      <c r="BM201" s="80">
        <f>PI()*3/8*25.4*3/8*25.4/4</f>
        <v>71.255739248085618</v>
      </c>
      <c r="BN201" s="80">
        <v>16</v>
      </c>
      <c r="BO201" s="57">
        <f t="shared" si="627"/>
        <v>1140.0918279693699</v>
      </c>
      <c r="BP201" s="57">
        <f t="shared" si="612"/>
        <v>1619244.3968146935</v>
      </c>
      <c r="BQ201" s="77">
        <f t="shared" si="613"/>
        <v>0</v>
      </c>
      <c r="BR201" s="57">
        <f t="shared" si="520"/>
        <v>1543139910.164403</v>
      </c>
      <c r="BS201" s="57">
        <v>176.27216149490886</v>
      </c>
      <c r="BT201" s="57">
        <f t="shared" si="617"/>
        <v>79.708485137690374</v>
      </c>
      <c r="BU201" s="57"/>
      <c r="BV201" s="57">
        <v>3.3E-3</v>
      </c>
      <c r="BW201" s="57">
        <v>30000</v>
      </c>
      <c r="BX201" s="57">
        <v>200000</v>
      </c>
      <c r="BY201" s="77">
        <f t="shared" ref="BY201:BY207" si="634">1*25.4</f>
        <v>25.4</v>
      </c>
      <c r="BZ201" s="77">
        <f>BY201+2*25.4</f>
        <v>76.199999999999989</v>
      </c>
      <c r="CA201" s="77">
        <f>4*25.4+0.5*25.4</f>
        <v>114.3</v>
      </c>
      <c r="CB201" s="77">
        <f>CA201+6*25.4*1</f>
        <v>266.7</v>
      </c>
      <c r="CC201" s="77">
        <f>CA201+6*25.4*2</f>
        <v>419.09999999999997</v>
      </c>
      <c r="CD201" s="77">
        <f>CA201+6*25.4*3</f>
        <v>571.49999999999989</v>
      </c>
      <c r="CE201" s="77">
        <f>CA201+6*25.4*4</f>
        <v>723.89999999999986</v>
      </c>
      <c r="CF201" s="77">
        <f>CA201+6*25.4*5</f>
        <v>876.29999999999984</v>
      </c>
      <c r="CG201" s="77">
        <f>CA201+6*25.4*6</f>
        <v>1028.6999999999998</v>
      </c>
      <c r="CH201" s="77">
        <f>CA201+6*25.4*7</f>
        <v>1181.0999999999997</v>
      </c>
      <c r="CI201" s="77">
        <f>CA201+6*25.4*8</f>
        <v>1333.4999999999998</v>
      </c>
      <c r="CJ201" s="77">
        <f>CA201+6*25.4*9</f>
        <v>1485.8999999999999</v>
      </c>
      <c r="CK201" s="77">
        <f>CA201+6*25.4*10</f>
        <v>1638.2999999999997</v>
      </c>
      <c r="CL201" s="77">
        <f>CA201+6*25.4*11</f>
        <v>1790.6999999999996</v>
      </c>
      <c r="CM201" s="77">
        <f>CL201+0.5*25.4</f>
        <v>1803.3999999999996</v>
      </c>
      <c r="CN201" s="77">
        <f>CM201+1*25.4</f>
        <v>1828.7999999999997</v>
      </c>
      <c r="CO201" s="77">
        <f>CN201+2*25.4</f>
        <v>1879.5999999999997</v>
      </c>
      <c r="DM201" s="77">
        <f>PI()*3/8*25.4*3/8*25.4/4*8</f>
        <v>570.04591398468494</v>
      </c>
      <c r="DN201" s="77">
        <f>PI()*3/8*25.4*3/8*25.4/4*8</f>
        <v>570.04591398468494</v>
      </c>
      <c r="DO201" s="77">
        <f t="shared" ref="DO201:EA204" si="635">PI()*3/8*25.4*3/8*25.4/4</f>
        <v>71.255739248085618</v>
      </c>
      <c r="DP201" s="77">
        <f t="shared" si="635"/>
        <v>71.255739248085618</v>
      </c>
      <c r="DQ201" s="77">
        <f t="shared" si="635"/>
        <v>71.255739248085618</v>
      </c>
      <c r="DR201" s="77">
        <f t="shared" si="635"/>
        <v>71.255739248085618</v>
      </c>
      <c r="DS201" s="77">
        <f t="shared" si="635"/>
        <v>71.255739248085618</v>
      </c>
      <c r="DT201" s="77">
        <f t="shared" si="635"/>
        <v>71.255739248085618</v>
      </c>
      <c r="DU201" s="77">
        <f t="shared" si="635"/>
        <v>71.255739248085618</v>
      </c>
      <c r="DV201" s="77">
        <f t="shared" si="635"/>
        <v>71.255739248085618</v>
      </c>
      <c r="DW201" s="77">
        <f t="shared" si="635"/>
        <v>71.255739248085618</v>
      </c>
      <c r="DX201" s="77">
        <f t="shared" si="635"/>
        <v>71.255739248085618</v>
      </c>
      <c r="DY201" s="77">
        <f t="shared" si="635"/>
        <v>71.255739248085618</v>
      </c>
      <c r="DZ201" s="77">
        <f t="shared" si="635"/>
        <v>71.255739248085618</v>
      </c>
      <c r="EA201" s="77">
        <f t="shared" si="635"/>
        <v>71.255739248085618</v>
      </c>
      <c r="EB201" s="77">
        <f>PI()*3/8*25.4*3/8*25.4/4*8</f>
        <v>570.04591398468494</v>
      </c>
      <c r="EC201" s="77">
        <f>PI()*3/8*25.4*3/8*25.4/4*8</f>
        <v>570.04591398468494</v>
      </c>
      <c r="FA201" s="77">
        <f t="shared" si="579"/>
        <v>-299501.55316163949</v>
      </c>
      <c r="FB201" s="77">
        <f t="shared" si="580"/>
        <v>-213591.18391015881</v>
      </c>
      <c r="FC201" s="77">
        <f t="shared" si="629"/>
        <v>-16533.953031286521</v>
      </c>
      <c r="FD201" s="77">
        <f t="shared" si="629"/>
        <v>24125.826798646798</v>
      </c>
      <c r="FE201" s="77">
        <f t="shared" si="629"/>
        <v>38715.095782705357</v>
      </c>
      <c r="FF201" s="77">
        <f t="shared" si="629"/>
        <v>38715.095782705357</v>
      </c>
      <c r="FG201" s="77">
        <f t="shared" si="629"/>
        <v>38715.095782705357</v>
      </c>
      <c r="FH201" s="77">
        <f t="shared" si="629"/>
        <v>38715.095782705357</v>
      </c>
      <c r="FI201" s="77">
        <f t="shared" ref="FI201:FO204" si="636">IF(ABS(-$BV201*($BS201-CG201)/$BS201*$BX201)&gt;$BA201,$BA201*SIGN(-($BS201-CG201)),-$BV201*($BS201-CG201)/$BS201*$BX201)*DU201</f>
        <v>38715.095782705357</v>
      </c>
      <c r="FJ201" s="77">
        <f t="shared" si="636"/>
        <v>38715.095782705357</v>
      </c>
      <c r="FK201" s="77">
        <f t="shared" si="636"/>
        <v>38715.095782705357</v>
      </c>
      <c r="FL201" s="77">
        <f t="shared" si="636"/>
        <v>38715.095782705357</v>
      </c>
      <c r="FM201" s="77">
        <f t="shared" si="636"/>
        <v>38715.095782705357</v>
      </c>
      <c r="FN201" s="77">
        <f t="shared" si="636"/>
        <v>38715.095782705357</v>
      </c>
      <c r="FO201" s="77">
        <f t="shared" si="636"/>
        <v>38715.095782705357</v>
      </c>
      <c r="FP201" s="77">
        <f t="shared" ref="FP201:FQ204" si="637">IF(ABS(-$BV201*($BS201-CN201)/$BS201*$BX201)&gt;$BB201,$BB201*SIGN(-($BS201-CN201)),-$BV201*($BS201-CN201)/$BS201*$BX201)*EB201</f>
        <v>299501.55316163949</v>
      </c>
      <c r="FQ201" s="77">
        <f t="shared" si="637"/>
        <v>299501.55316163949</v>
      </c>
      <c r="GO201" s="77">
        <f t="shared" si="527"/>
        <v>277667889.93615597</v>
      </c>
      <c r="GP201" s="77">
        <f t="shared" si="528"/>
        <v>187169954.46047217</v>
      </c>
      <c r="GQ201" s="77">
        <f t="shared" si="529"/>
        <v>13858759.430824362</v>
      </c>
      <c r="GR201" s="77">
        <f t="shared" si="530"/>
        <v>-16545492.018511973</v>
      </c>
      <c r="GS201" s="77">
        <f t="shared" si="614"/>
        <v>-20650632.090495043</v>
      </c>
      <c r="GT201" s="77">
        <f t="shared" si="615"/>
        <v>-14750451.493210746</v>
      </c>
      <c r="GU201" s="77">
        <f t="shared" si="630"/>
        <v>-8850270.8959264494</v>
      </c>
      <c r="GV201" s="77">
        <f t="shared" si="630"/>
        <v>-2950090.2986421543</v>
      </c>
      <c r="GW201" s="77">
        <f t="shared" si="630"/>
        <v>2950090.2986421413</v>
      </c>
      <c r="GX201" s="77">
        <f t="shared" si="630"/>
        <v>8850270.8959264327</v>
      </c>
      <c r="GY201" s="77">
        <f t="shared" ref="GY201:HE204" si="638">FK201*(CI201-0.5*$AO201)</f>
        <v>14750451.493210733</v>
      </c>
      <c r="GZ201" s="77">
        <f t="shared" si="638"/>
        <v>20650632.090495031</v>
      </c>
      <c r="HA201" s="77">
        <f t="shared" si="638"/>
        <v>26550812.687779322</v>
      </c>
      <c r="HB201" s="77">
        <f t="shared" si="638"/>
        <v>32450993.285063613</v>
      </c>
      <c r="HC201" s="77">
        <f t="shared" si="638"/>
        <v>32942675.001503974</v>
      </c>
      <c r="HD201" s="77">
        <f t="shared" si="638"/>
        <v>262453211.0355446</v>
      </c>
      <c r="HE201" s="77">
        <f t="shared" si="638"/>
        <v>277667889.93615586</v>
      </c>
      <c r="IC201" s="82">
        <v>210</v>
      </c>
    </row>
    <row r="202" spans="1:237" s="77" customFormat="1">
      <c r="A202" s="77">
        <v>202</v>
      </c>
      <c r="B202" s="69">
        <v>278</v>
      </c>
      <c r="C202" s="69" t="s">
        <v>196</v>
      </c>
      <c r="D202" s="70" t="s">
        <v>197</v>
      </c>
      <c r="E202" s="70">
        <v>3</v>
      </c>
      <c r="F202" s="70">
        <v>0.20141547840797253</v>
      </c>
      <c r="G202" s="70">
        <v>4.1972720000000002E-3</v>
      </c>
      <c r="H202" s="70">
        <v>6.9254980000000004E-3</v>
      </c>
      <c r="I202" s="70">
        <v>1.049317943336831E-2</v>
      </c>
      <c r="J202" s="71">
        <v>0.50026246719160106</v>
      </c>
      <c r="K202" s="72">
        <v>18.75</v>
      </c>
      <c r="L202" s="71">
        <v>0.16901840490797546</v>
      </c>
      <c r="M202" s="71">
        <v>0.15300613496932516</v>
      </c>
      <c r="N202" s="71">
        <v>1.9082208588957055</v>
      </c>
      <c r="O202" s="71">
        <v>0.11175900929392715</v>
      </c>
      <c r="P202" s="71">
        <v>0</v>
      </c>
      <c r="Q202" s="73" t="s">
        <v>243</v>
      </c>
      <c r="R202" s="74">
        <v>0.20876112251882273</v>
      </c>
      <c r="S202" s="75">
        <f t="shared" si="616"/>
        <v>0.81317991709073401</v>
      </c>
      <c r="T202" s="59">
        <f t="shared" si="594"/>
        <v>8.7688814420161716</v>
      </c>
      <c r="U202" s="59">
        <f t="shared" si="595"/>
        <v>6.0649232964554152</v>
      </c>
      <c r="V202" s="59">
        <f t="shared" si="596"/>
        <v>4.2027581591967627</v>
      </c>
      <c r="W202" s="59">
        <f t="shared" si="597"/>
        <v>0.47928098777333333</v>
      </c>
      <c r="X202" s="59">
        <f t="shared" si="598"/>
        <v>0.69296146938132308</v>
      </c>
      <c r="Y202" s="76">
        <v>978500</v>
      </c>
      <c r="Z202" s="57">
        <f t="shared" si="599"/>
        <v>678062.79778962466</v>
      </c>
      <c r="AA202" s="57">
        <f t="shared" si="600"/>
        <v>468976.44653620664</v>
      </c>
      <c r="AB202" s="57">
        <f t="shared" si="576"/>
        <v>3627185.1425441066</v>
      </c>
      <c r="AC202" s="57">
        <f t="shared" si="601"/>
        <v>0.25</v>
      </c>
      <c r="AD202" s="57">
        <f t="shared" si="602"/>
        <v>1.5</v>
      </c>
      <c r="AE202" s="57">
        <f t="shared" si="603"/>
        <v>0</v>
      </c>
      <c r="AF202" s="57">
        <f t="shared" si="604"/>
        <v>153744.98738680783</v>
      </c>
      <c r="AG202" s="57">
        <f>0.8*AZ202*BK202/BH202*AS202</f>
        <v>315231.45914939878</v>
      </c>
      <c r="AH202" s="57">
        <f t="shared" si="624"/>
        <v>289969792.99561578</v>
      </c>
      <c r="AI202" s="57">
        <f t="shared" si="625"/>
        <v>3166737647.8489175</v>
      </c>
      <c r="AJ202" s="77">
        <v>0</v>
      </c>
      <c r="AK202" s="77">
        <v>16.3</v>
      </c>
      <c r="AL202" s="78">
        <f t="shared" si="605"/>
        <v>2.1323220715555746</v>
      </c>
      <c r="AM202" s="57">
        <f t="shared" si="606"/>
        <v>1</v>
      </c>
      <c r="AN202" s="57">
        <f t="shared" si="607"/>
        <v>0.8</v>
      </c>
      <c r="AO202" s="77">
        <v>1905</v>
      </c>
      <c r="AP202" s="79">
        <f t="shared" si="631"/>
        <v>101.6</v>
      </c>
      <c r="AQ202" s="57">
        <f t="shared" si="608"/>
        <v>130.83313630613276</v>
      </c>
      <c r="AR202" s="78">
        <f t="shared" si="626"/>
        <v>1701.8</v>
      </c>
      <c r="AS202" s="57">
        <f t="shared" si="609"/>
        <v>1774.1668636938673</v>
      </c>
      <c r="AT202" s="77">
        <v>101.6</v>
      </c>
      <c r="AU202" s="77">
        <v>953</v>
      </c>
      <c r="AV202" s="78">
        <f t="shared" si="610"/>
        <v>172902.87999999998</v>
      </c>
      <c r="AW202" s="77">
        <f t="shared" si="632"/>
        <v>123870.71999999997</v>
      </c>
      <c r="AX202" s="77">
        <f t="shared" si="611"/>
        <v>193548</v>
      </c>
      <c r="AY202" s="77">
        <v>298044</v>
      </c>
      <c r="AZ202" s="77">
        <v>498.8</v>
      </c>
      <c r="BA202" s="77">
        <f>80*6.895</f>
        <v>551.59999999999991</v>
      </c>
      <c r="BB202" s="77">
        <f>70.6*6.895</f>
        <v>486.78699999999992</v>
      </c>
      <c r="BC202" s="77">
        <v>485.7</v>
      </c>
      <c r="BD202" s="77">
        <v>5.0000000000000001E-3</v>
      </c>
      <c r="BE202" s="77">
        <v>5.0000000000000001E-3</v>
      </c>
      <c r="BF202" s="77">
        <v>6.4000000000000001E-2</v>
      </c>
      <c r="BG202" s="77">
        <f t="shared" si="633"/>
        <v>9.1302719100391592E-3</v>
      </c>
      <c r="BH202" s="79">
        <f>2.5*25.4</f>
        <v>63.5</v>
      </c>
      <c r="BI202" s="79">
        <f>PI()*6*6/4</f>
        <v>28.274333882308138</v>
      </c>
      <c r="BJ202" s="79">
        <v>1</v>
      </c>
      <c r="BK202" s="57">
        <f>BI202*BJ202</f>
        <v>28.274333882308138</v>
      </c>
      <c r="BL202" s="57">
        <f t="shared" si="515"/>
        <v>864.51440000000002</v>
      </c>
      <c r="BM202" s="80">
        <f>PI()*5/8*25.4*5/8*25.4/4</f>
        <v>197.93260902246001</v>
      </c>
      <c r="BN202" s="80">
        <v>20</v>
      </c>
      <c r="BO202" s="57">
        <f t="shared" si="627"/>
        <v>3958.6521804492004</v>
      </c>
      <c r="BP202" s="57">
        <f t="shared" si="612"/>
        <v>4112398.858774032</v>
      </c>
      <c r="BQ202" s="77">
        <f t="shared" si="613"/>
        <v>6.4028427004814148E-9</v>
      </c>
      <c r="BR202" s="57">
        <f t="shared" si="520"/>
        <v>3919116112.4116526</v>
      </c>
      <c r="BS202" s="57">
        <v>261.66627261226552</v>
      </c>
      <c r="BT202" s="57">
        <f t="shared" si="617"/>
        <v>129.98257557161739</v>
      </c>
      <c r="BU202" s="57"/>
      <c r="BV202" s="57">
        <v>3.3E-3</v>
      </c>
      <c r="BW202" s="57">
        <v>30000</v>
      </c>
      <c r="BX202" s="57">
        <v>200000</v>
      </c>
      <c r="BY202" s="77">
        <f t="shared" si="634"/>
        <v>25.4</v>
      </c>
      <c r="BZ202" s="77">
        <f>BY202+2*25.4</f>
        <v>76.199999999999989</v>
      </c>
      <c r="CA202" s="77">
        <f>4*25.4+0.5*25.4</f>
        <v>114.3</v>
      </c>
      <c r="CB202" s="77">
        <f>CA202+6*25.4*1</f>
        <v>266.7</v>
      </c>
      <c r="CC202" s="77">
        <f>CA202+6*25.4*2</f>
        <v>419.09999999999997</v>
      </c>
      <c r="CD202" s="77">
        <f>CA202+6*25.4*3</f>
        <v>571.49999999999989</v>
      </c>
      <c r="CE202" s="77">
        <f>CA202+6*25.4*4</f>
        <v>723.89999999999986</v>
      </c>
      <c r="CF202" s="77">
        <f>CA202+6*25.4*5</f>
        <v>876.29999999999984</v>
      </c>
      <c r="CG202" s="77">
        <f>CA202+6*25.4*6</f>
        <v>1028.6999999999998</v>
      </c>
      <c r="CH202" s="77">
        <f>CA202+6*25.4*7</f>
        <v>1181.0999999999997</v>
      </c>
      <c r="CI202" s="77">
        <f>CA202+6*25.4*8</f>
        <v>1333.4999999999998</v>
      </c>
      <c r="CJ202" s="77">
        <f>CA202+6*25.4*9</f>
        <v>1485.8999999999999</v>
      </c>
      <c r="CK202" s="77">
        <f>CA202+6*25.4*10</f>
        <v>1638.2999999999997</v>
      </c>
      <c r="CL202" s="77">
        <f>CA202+6*25.4*11</f>
        <v>1790.6999999999996</v>
      </c>
      <c r="CM202" s="77">
        <f>CL202+0.5*25.4</f>
        <v>1803.3999999999996</v>
      </c>
      <c r="CN202" s="77">
        <f>CM202+1*25.4</f>
        <v>1828.7999999999997</v>
      </c>
      <c r="CO202" s="77">
        <f>CN202+2*25.4</f>
        <v>1879.5999999999997</v>
      </c>
      <c r="DM202" s="77">
        <f>PI()*5/8*25.4*5/8*25.4/4*10</f>
        <v>1979.3260902246002</v>
      </c>
      <c r="DN202" s="77">
        <f>PI()*5/8*25.4*5/8*25.4/4*10</f>
        <v>1979.3260902246002</v>
      </c>
      <c r="DO202" s="77">
        <f t="shared" si="635"/>
        <v>71.255739248085618</v>
      </c>
      <c r="DP202" s="77">
        <f t="shared" si="635"/>
        <v>71.255739248085618</v>
      </c>
      <c r="DQ202" s="77">
        <f t="shared" si="635"/>
        <v>71.255739248085618</v>
      </c>
      <c r="DR202" s="77">
        <f t="shared" si="635"/>
        <v>71.255739248085618</v>
      </c>
      <c r="DS202" s="77">
        <f t="shared" si="635"/>
        <v>71.255739248085618</v>
      </c>
      <c r="DT202" s="77">
        <f t="shared" si="635"/>
        <v>71.255739248085618</v>
      </c>
      <c r="DU202" s="77">
        <f t="shared" si="635"/>
        <v>71.255739248085618</v>
      </c>
      <c r="DV202" s="77">
        <f t="shared" si="635"/>
        <v>71.255739248085618</v>
      </c>
      <c r="DW202" s="77">
        <f t="shared" si="635"/>
        <v>71.255739248085618</v>
      </c>
      <c r="DX202" s="77">
        <f t="shared" si="635"/>
        <v>71.255739248085618</v>
      </c>
      <c r="DY202" s="77">
        <f t="shared" si="635"/>
        <v>71.255739248085618</v>
      </c>
      <c r="DZ202" s="77">
        <f t="shared" si="635"/>
        <v>71.255739248085618</v>
      </c>
      <c r="EA202" s="77">
        <f t="shared" si="635"/>
        <v>71.255739248085618</v>
      </c>
      <c r="EB202" s="77">
        <f>PI()*5/8*25.4*5/8*25.4/4*10</f>
        <v>1979.3260902246002</v>
      </c>
      <c r="EC202" s="77">
        <f>PI()*5/8*25.4*5/8*25.4/4*10</f>
        <v>1979.3260902246002</v>
      </c>
      <c r="FA202" s="77">
        <f t="shared" si="579"/>
        <v>-963510.20948216226</v>
      </c>
      <c r="FB202" s="77">
        <f t="shared" si="580"/>
        <v>-925930.69354492007</v>
      </c>
      <c r="FC202" s="77">
        <f t="shared" si="629"/>
        <v>-26485.863499557436</v>
      </c>
      <c r="FD202" s="77">
        <f t="shared" si="629"/>
        <v>904.70237268132155</v>
      </c>
      <c r="FE202" s="77">
        <f t="shared" si="629"/>
        <v>28295.268244920077</v>
      </c>
      <c r="FF202" s="77">
        <f t="shared" si="629"/>
        <v>39304.66576924402</v>
      </c>
      <c r="FG202" s="77">
        <f t="shared" si="629"/>
        <v>39304.66576924402</v>
      </c>
      <c r="FH202" s="77">
        <f t="shared" si="629"/>
        <v>39304.66576924402</v>
      </c>
      <c r="FI202" s="77">
        <f t="shared" si="636"/>
        <v>39304.66576924402</v>
      </c>
      <c r="FJ202" s="77">
        <f t="shared" si="636"/>
        <v>39304.66576924402</v>
      </c>
      <c r="FK202" s="77">
        <f t="shared" si="636"/>
        <v>39304.66576924402</v>
      </c>
      <c r="FL202" s="77">
        <f t="shared" si="636"/>
        <v>39304.66576924402</v>
      </c>
      <c r="FM202" s="77">
        <f t="shared" si="636"/>
        <v>39304.66576924402</v>
      </c>
      <c r="FN202" s="77">
        <f t="shared" si="636"/>
        <v>39304.66576924402</v>
      </c>
      <c r="FO202" s="77">
        <f t="shared" si="636"/>
        <v>39304.66576924402</v>
      </c>
      <c r="FP202" s="77">
        <f t="shared" si="637"/>
        <v>963510.20948216226</v>
      </c>
      <c r="FQ202" s="77">
        <f t="shared" si="637"/>
        <v>963510.20948216226</v>
      </c>
      <c r="GO202" s="77">
        <f t="shared" si="527"/>
        <v>893270315.2109127</v>
      </c>
      <c r="GP202" s="77">
        <f t="shared" si="528"/>
        <v>811393066.75341344</v>
      </c>
      <c r="GQ202" s="77">
        <f t="shared" si="529"/>
        <v>22200450.785329044</v>
      </c>
      <c r="GR202" s="77">
        <f t="shared" si="530"/>
        <v>-620444.88718485029</v>
      </c>
      <c r="GS202" s="77">
        <f t="shared" si="614"/>
        <v>-15092696.081840372</v>
      </c>
      <c r="GT202" s="77">
        <f t="shared" si="615"/>
        <v>-14975077.658081977</v>
      </c>
      <c r="GU202" s="77">
        <f t="shared" si="630"/>
        <v>-8985046.5948491879</v>
      </c>
      <c r="GV202" s="77">
        <f t="shared" si="630"/>
        <v>-2995015.5316164005</v>
      </c>
      <c r="GW202" s="77">
        <f t="shared" si="630"/>
        <v>2995015.5316163874</v>
      </c>
      <c r="GX202" s="77">
        <f t="shared" si="630"/>
        <v>8985046.5948491711</v>
      </c>
      <c r="GY202" s="77">
        <f t="shared" si="638"/>
        <v>14975077.658081964</v>
      </c>
      <c r="GZ202" s="77">
        <f t="shared" si="638"/>
        <v>20965108.721314754</v>
      </c>
      <c r="HA202" s="77">
        <f t="shared" si="638"/>
        <v>26955139.784547538</v>
      </c>
      <c r="HB202" s="77">
        <f t="shared" si="638"/>
        <v>32945170.847780321</v>
      </c>
      <c r="HC202" s="77">
        <f t="shared" si="638"/>
        <v>33444340.103049722</v>
      </c>
      <c r="HD202" s="77">
        <f t="shared" si="638"/>
        <v>844323996.56921852</v>
      </c>
      <c r="HE202" s="77">
        <f t="shared" si="638"/>
        <v>893270315.21091235</v>
      </c>
      <c r="IC202" s="82">
        <v>211</v>
      </c>
    </row>
    <row r="203" spans="1:237" s="77" customFormat="1">
      <c r="A203" s="77">
        <v>203</v>
      </c>
      <c r="B203" s="69">
        <v>279</v>
      </c>
      <c r="C203" s="69" t="s">
        <v>196</v>
      </c>
      <c r="D203" s="70" t="s">
        <v>198</v>
      </c>
      <c r="E203" s="70">
        <v>3</v>
      </c>
      <c r="F203" s="70">
        <v>0.13772015765010087</v>
      </c>
      <c r="G203" s="70">
        <v>4.1972720000000002E-3</v>
      </c>
      <c r="H203" s="70">
        <v>5.5613850000000003E-3</v>
      </c>
      <c r="I203" s="70">
        <v>6.2959076600209865E-3</v>
      </c>
      <c r="J203" s="71">
        <v>0.50026246719160106</v>
      </c>
      <c r="K203" s="72">
        <v>18.75</v>
      </c>
      <c r="L203" s="71">
        <v>0.10074074074074074</v>
      </c>
      <c r="M203" s="71">
        <v>9.4925925925925927E-2</v>
      </c>
      <c r="N203" s="71">
        <v>0.62714814814814812</v>
      </c>
      <c r="O203" s="71">
        <v>6.9335961201275137E-2</v>
      </c>
      <c r="P203" s="71">
        <v>0</v>
      </c>
      <c r="Q203" s="73" t="s">
        <v>243</v>
      </c>
      <c r="R203" s="74">
        <v>0.20876112251882273</v>
      </c>
      <c r="S203" s="75">
        <f t="shared" si="616"/>
        <v>0.71561493082911098</v>
      </c>
      <c r="T203" s="59">
        <f t="shared" si="594"/>
        <v>4.5793403967678081</v>
      </c>
      <c r="U203" s="59">
        <f t="shared" si="595"/>
        <v>3.3054549613570994</v>
      </c>
      <c r="V203" s="59">
        <f t="shared" si="596"/>
        <v>2.2294350666123615</v>
      </c>
      <c r="W203" s="59">
        <f t="shared" si="597"/>
        <v>0.48684633013652845</v>
      </c>
      <c r="X203" s="59">
        <f t="shared" si="598"/>
        <v>0.67447146994162555</v>
      </c>
      <c r="Y203" s="76">
        <v>1108260</v>
      </c>
      <c r="Z203" s="57">
        <f t="shared" si="599"/>
        <v>747489.75127750589</v>
      </c>
      <c r="AA203" s="57">
        <f t="shared" si="600"/>
        <v>539552.31383710902</v>
      </c>
      <c r="AB203" s="57">
        <f t="shared" si="576"/>
        <v>2417681.6367230262</v>
      </c>
      <c r="AC203" s="57">
        <f t="shared" si="601"/>
        <v>0.25</v>
      </c>
      <c r="AD203" s="57">
        <f t="shared" si="602"/>
        <v>1.5</v>
      </c>
      <c r="AE203" s="57">
        <f t="shared" si="603"/>
        <v>0</v>
      </c>
      <c r="AF203" s="57">
        <f t="shared" si="604"/>
        <v>207810.16794622768</v>
      </c>
      <c r="AG203" s="57">
        <f>0.8*AZ203*BK203/BH203*AS203</f>
        <v>331742.14589088137</v>
      </c>
      <c r="AH203" s="57">
        <f t="shared" si="624"/>
        <v>492207631.1799168</v>
      </c>
      <c r="AI203" s="57">
        <f t="shared" si="625"/>
        <v>1811842968.6171269</v>
      </c>
      <c r="AJ203" s="77">
        <v>0</v>
      </c>
      <c r="AK203" s="77">
        <v>27</v>
      </c>
      <c r="AL203" s="78">
        <f t="shared" si="605"/>
        <v>2.8144898718581284</v>
      </c>
      <c r="AM203" s="57">
        <f t="shared" si="606"/>
        <v>1</v>
      </c>
      <c r="AN203" s="57">
        <f t="shared" si="607"/>
        <v>0.8</v>
      </c>
      <c r="AO203" s="77">
        <v>1905</v>
      </c>
      <c r="AP203" s="79">
        <f t="shared" si="631"/>
        <v>101.6</v>
      </c>
      <c r="AQ203" s="57">
        <f t="shared" si="608"/>
        <v>88.173717186158456</v>
      </c>
      <c r="AR203" s="78">
        <f t="shared" si="626"/>
        <v>1701.8</v>
      </c>
      <c r="AS203" s="57">
        <f t="shared" si="609"/>
        <v>1816.8262828138415</v>
      </c>
      <c r="AT203" s="77">
        <v>101.6</v>
      </c>
      <c r="AU203" s="77">
        <v>953</v>
      </c>
      <c r="AV203" s="78">
        <f t="shared" si="610"/>
        <v>172902.87999999998</v>
      </c>
      <c r="AW203" s="77">
        <f t="shared" si="632"/>
        <v>123870.71999999997</v>
      </c>
      <c r="AX203" s="77">
        <f t="shared" si="611"/>
        <v>193548</v>
      </c>
      <c r="AY203" s="77">
        <v>298044</v>
      </c>
      <c r="AZ203" s="77">
        <v>512.6</v>
      </c>
      <c r="BA203" s="77">
        <f>79*6.895</f>
        <v>544.70499999999993</v>
      </c>
      <c r="BB203" s="77">
        <f>60*6.895</f>
        <v>413.7</v>
      </c>
      <c r="BC203" s="77">
        <v>482.3</v>
      </c>
      <c r="BD203" s="77">
        <v>5.0000000000000001E-3</v>
      </c>
      <c r="BE203" s="77">
        <v>5.0000000000000001E-3</v>
      </c>
      <c r="BF203" s="77">
        <v>4.1000000000000002E-2</v>
      </c>
      <c r="BG203" s="77">
        <f t="shared" si="633"/>
        <v>9.1302719100391592E-3</v>
      </c>
      <c r="BH203" s="79">
        <f>2.5*25.4</f>
        <v>63.5</v>
      </c>
      <c r="BI203" s="79">
        <f>PI()*6*6/4</f>
        <v>28.274333882308138</v>
      </c>
      <c r="BJ203" s="79">
        <v>1</v>
      </c>
      <c r="BK203" s="57">
        <f>BI203*BJ203</f>
        <v>28.274333882308138</v>
      </c>
      <c r="BL203" s="57">
        <f t="shared" si="515"/>
        <v>864.51440000000002</v>
      </c>
      <c r="BM203" s="80">
        <f>PI()*4/8*25.4*4/8*25.4/4</f>
        <v>126.67686977437442</v>
      </c>
      <c r="BN203" s="80">
        <v>20</v>
      </c>
      <c r="BO203" s="57">
        <f t="shared" si="627"/>
        <v>2533.5373954874885</v>
      </c>
      <c r="BP203" s="57">
        <f t="shared" si="612"/>
        <v>2470793.7069238159</v>
      </c>
      <c r="BQ203" s="77">
        <f t="shared" si="613"/>
        <v>5.8207660913467407E-10</v>
      </c>
      <c r="BR203" s="57">
        <f t="shared" si="520"/>
        <v>2354666402.6983967</v>
      </c>
      <c r="BS203" s="57">
        <v>176.34743437231691</v>
      </c>
      <c r="BT203" s="57">
        <f t="shared" si="617"/>
        <v>84.399606971677542</v>
      </c>
      <c r="BU203" s="57"/>
      <c r="BV203" s="57">
        <v>3.3E-3</v>
      </c>
      <c r="BW203" s="57">
        <v>30000</v>
      </c>
      <c r="BX203" s="57">
        <v>200000</v>
      </c>
      <c r="BY203" s="77">
        <f t="shared" si="634"/>
        <v>25.4</v>
      </c>
      <c r="BZ203" s="77">
        <f>BY203+2*25.4</f>
        <v>76.199999999999989</v>
      </c>
      <c r="CA203" s="77">
        <f>4*25.4+0.5*25.4</f>
        <v>114.3</v>
      </c>
      <c r="CB203" s="77">
        <f>CA203+6*25.4*1</f>
        <v>266.7</v>
      </c>
      <c r="CC203" s="77">
        <f>CA203+6*25.4*2</f>
        <v>419.09999999999997</v>
      </c>
      <c r="CD203" s="77">
        <f>CA203+6*25.4*3</f>
        <v>571.49999999999989</v>
      </c>
      <c r="CE203" s="77">
        <f>CA203+6*25.4*4</f>
        <v>723.89999999999986</v>
      </c>
      <c r="CF203" s="77">
        <f>CA203+6*25.4*5</f>
        <v>876.29999999999984</v>
      </c>
      <c r="CG203" s="77">
        <f>CA203+6*25.4*6</f>
        <v>1028.6999999999998</v>
      </c>
      <c r="CH203" s="77">
        <f>CA203+6*25.4*7</f>
        <v>1181.0999999999997</v>
      </c>
      <c r="CI203" s="77">
        <f>CA203+6*25.4*8</f>
        <v>1333.4999999999998</v>
      </c>
      <c r="CJ203" s="77">
        <f>CA203+6*25.4*9</f>
        <v>1485.8999999999999</v>
      </c>
      <c r="CK203" s="77">
        <f>CA203+6*25.4*10</f>
        <v>1638.2999999999997</v>
      </c>
      <c r="CL203" s="77">
        <f>CA203+6*25.4*11</f>
        <v>1790.6999999999996</v>
      </c>
      <c r="CM203" s="77">
        <f>CL203+0.5*25.4</f>
        <v>1803.3999999999996</v>
      </c>
      <c r="CN203" s="77">
        <f>CM203+1*25.4</f>
        <v>1828.7999999999997</v>
      </c>
      <c r="CO203" s="77">
        <f>CN203+2*25.4</f>
        <v>1879.5999999999997</v>
      </c>
      <c r="DM203" s="77">
        <f t="shared" ref="DM203:DN207" si="639">PI()*4/8*25.4*4/8*25.4/4*10</f>
        <v>1266.7686977437443</v>
      </c>
      <c r="DN203" s="77">
        <f t="shared" si="639"/>
        <v>1266.7686977437443</v>
      </c>
      <c r="DO203" s="77">
        <f t="shared" si="635"/>
        <v>71.255739248085618</v>
      </c>
      <c r="DP203" s="77">
        <f t="shared" si="635"/>
        <v>71.255739248085618</v>
      </c>
      <c r="DQ203" s="77">
        <f t="shared" si="635"/>
        <v>71.255739248085618</v>
      </c>
      <c r="DR203" s="77">
        <f t="shared" si="635"/>
        <v>71.255739248085618</v>
      </c>
      <c r="DS203" s="77">
        <f t="shared" si="635"/>
        <v>71.255739248085618</v>
      </c>
      <c r="DT203" s="77">
        <f t="shared" si="635"/>
        <v>71.255739248085618</v>
      </c>
      <c r="DU203" s="77">
        <f t="shared" si="635"/>
        <v>71.255739248085618</v>
      </c>
      <c r="DV203" s="77">
        <f t="shared" si="635"/>
        <v>71.255739248085618</v>
      </c>
      <c r="DW203" s="77">
        <f t="shared" si="635"/>
        <v>71.255739248085618</v>
      </c>
      <c r="DX203" s="77">
        <f t="shared" si="635"/>
        <v>71.255739248085618</v>
      </c>
      <c r="DY203" s="77">
        <f t="shared" si="635"/>
        <v>71.255739248085618</v>
      </c>
      <c r="DZ203" s="77">
        <f t="shared" si="635"/>
        <v>71.255739248085618</v>
      </c>
      <c r="EA203" s="77">
        <f t="shared" si="635"/>
        <v>71.255739248085618</v>
      </c>
      <c r="EB203" s="77">
        <f>PI()*4/8*25.4*4/8*25.4/4*10</f>
        <v>1266.7686977437443</v>
      </c>
      <c r="EC203" s="77">
        <f>PI()*4/8*25.4*4/8*25.4/4*10</f>
        <v>1266.7686977437443</v>
      </c>
      <c r="FA203" s="77">
        <f t="shared" si="579"/>
        <v>-524062.21025658702</v>
      </c>
      <c r="FB203" s="77">
        <f t="shared" si="580"/>
        <v>-474801.34549546923</v>
      </c>
      <c r="FC203" s="77">
        <f t="shared" si="629"/>
        <v>-16546.969574311956</v>
      </c>
      <c r="FD203" s="77">
        <f t="shared" si="629"/>
        <v>24095.454864920779</v>
      </c>
      <c r="FE203" s="77">
        <f t="shared" si="629"/>
        <v>38813.357447128474</v>
      </c>
      <c r="FF203" s="77">
        <f t="shared" si="629"/>
        <v>38813.357447128474</v>
      </c>
      <c r="FG203" s="77">
        <f t="shared" si="629"/>
        <v>38813.357447128474</v>
      </c>
      <c r="FH203" s="77">
        <f t="shared" si="629"/>
        <v>38813.357447128474</v>
      </c>
      <c r="FI203" s="77">
        <f t="shared" si="636"/>
        <v>38813.357447128474</v>
      </c>
      <c r="FJ203" s="77">
        <f t="shared" si="636"/>
        <v>38813.357447128474</v>
      </c>
      <c r="FK203" s="77">
        <f t="shared" si="636"/>
        <v>38813.357447128474</v>
      </c>
      <c r="FL203" s="77">
        <f t="shared" si="636"/>
        <v>38813.357447128474</v>
      </c>
      <c r="FM203" s="77">
        <f t="shared" si="636"/>
        <v>38813.357447128474</v>
      </c>
      <c r="FN203" s="77">
        <f t="shared" si="636"/>
        <v>38813.357447128474</v>
      </c>
      <c r="FO203" s="77">
        <f t="shared" si="636"/>
        <v>38813.357447128474</v>
      </c>
      <c r="FP203" s="77">
        <f t="shared" si="637"/>
        <v>524062.21025658702</v>
      </c>
      <c r="FQ203" s="77">
        <f t="shared" si="637"/>
        <v>524062.21025658702</v>
      </c>
      <c r="GO203" s="77">
        <f t="shared" si="527"/>
        <v>485858075.12888181</v>
      </c>
      <c r="GP203" s="77">
        <f t="shared" si="528"/>
        <v>416068419.05767965</v>
      </c>
      <c r="GQ203" s="77">
        <f t="shared" si="529"/>
        <v>13869669.897188282</v>
      </c>
      <c r="GR203" s="77">
        <f t="shared" si="530"/>
        <v>-16524662.946362669</v>
      </c>
      <c r="GS203" s="77">
        <f t="shared" si="614"/>
        <v>-20703044.862298332</v>
      </c>
      <c r="GT203" s="77">
        <f t="shared" si="615"/>
        <v>-14787889.187355952</v>
      </c>
      <c r="GU203" s="77">
        <f t="shared" si="630"/>
        <v>-8872733.5124135744</v>
      </c>
      <c r="GV203" s="77">
        <f t="shared" si="630"/>
        <v>-2957577.837471196</v>
      </c>
      <c r="GW203" s="77">
        <f t="shared" si="630"/>
        <v>2957577.8374711825</v>
      </c>
      <c r="GX203" s="77">
        <f t="shared" si="630"/>
        <v>8872733.5124135576</v>
      </c>
      <c r="GY203" s="77">
        <f t="shared" si="638"/>
        <v>14787889.187355939</v>
      </c>
      <c r="GZ203" s="77">
        <f t="shared" si="638"/>
        <v>20703044.862298321</v>
      </c>
      <c r="HA203" s="77">
        <f t="shared" si="638"/>
        <v>26618200.537240695</v>
      </c>
      <c r="HB203" s="77">
        <f t="shared" si="638"/>
        <v>32533356.212183069</v>
      </c>
      <c r="HC203" s="77">
        <f t="shared" si="638"/>
        <v>33026285.851761606</v>
      </c>
      <c r="HD203" s="77">
        <f t="shared" si="638"/>
        <v>459235714.84784704</v>
      </c>
      <c r="HE203" s="77">
        <f t="shared" si="638"/>
        <v>485858075.12888163</v>
      </c>
      <c r="IC203" s="82">
        <v>212</v>
      </c>
    </row>
    <row r="204" spans="1:237" s="82" customFormat="1">
      <c r="A204" s="77">
        <v>204</v>
      </c>
      <c r="B204" s="89">
        <v>280</v>
      </c>
      <c r="C204" s="89" t="s">
        <v>196</v>
      </c>
      <c r="D204" s="85" t="s">
        <v>199</v>
      </c>
      <c r="E204" s="85">
        <v>3</v>
      </c>
      <c r="F204" s="85">
        <v>0.17968099376354885</v>
      </c>
      <c r="G204" s="85">
        <v>7.3452259999999998E-3</v>
      </c>
      <c r="H204" s="85">
        <v>5.351522E-3</v>
      </c>
      <c r="I204" s="85">
        <v>5.246589716684155E-3</v>
      </c>
      <c r="J204" s="90">
        <v>0.50026246719160106</v>
      </c>
      <c r="K204" s="91">
        <v>18.75</v>
      </c>
      <c r="L204" s="90">
        <v>0.14078947368421055</v>
      </c>
      <c r="M204" s="90">
        <v>0</v>
      </c>
      <c r="N204" s="90">
        <v>1.1372105263157894</v>
      </c>
      <c r="O204" s="90">
        <v>0</v>
      </c>
      <c r="P204" s="90">
        <v>0</v>
      </c>
      <c r="Q204" s="92" t="s">
        <v>243</v>
      </c>
      <c r="R204" s="93">
        <v>0.20876112251882273</v>
      </c>
      <c r="S204" s="75">
        <f t="shared" si="616"/>
        <v>0.78321129389027144</v>
      </c>
      <c r="T204" s="94">
        <f t="shared" si="594"/>
        <v>17.767168767987304</v>
      </c>
      <c r="U204" s="94">
        <f t="shared" si="595"/>
        <v>14.142328916214082</v>
      </c>
      <c r="V204" s="94">
        <f t="shared" si="596"/>
        <v>2.931502747621368</v>
      </c>
      <c r="W204" s="94">
        <f t="shared" si="597"/>
        <v>0.16499549173548228</v>
      </c>
      <c r="X204" s="94">
        <f t="shared" si="598"/>
        <v>0.20728571404250262</v>
      </c>
      <c r="Y204" s="95">
        <v>1017504</v>
      </c>
      <c r="Z204" s="96">
        <f t="shared" si="599"/>
        <v>210914.04318110258</v>
      </c>
      <c r="AA204" s="96">
        <f t="shared" si="600"/>
        <v>167883.57282282016</v>
      </c>
      <c r="AB204" s="96">
        <f t="shared" si="576"/>
        <v>2678723.1901535331</v>
      </c>
      <c r="AC204" s="96">
        <f t="shared" si="601"/>
        <v>0.25</v>
      </c>
      <c r="AD204" s="96">
        <f t="shared" si="602"/>
        <v>1.5</v>
      </c>
      <c r="AE204" s="96">
        <f t="shared" si="603"/>
        <v>0</v>
      </c>
      <c r="AF204" s="96">
        <f t="shared" si="604"/>
        <v>167883.57282282016</v>
      </c>
      <c r="AG204" s="96">
        <f>0.8*AZ204*BE204*AT204*AS204</f>
        <v>0</v>
      </c>
      <c r="AH204" s="96">
        <f t="shared" si="624"/>
        <v>339282648.63555914</v>
      </c>
      <c r="AI204" s="96">
        <f t="shared" si="625"/>
        <v>2213540551.5807581</v>
      </c>
      <c r="AJ204" s="82">
        <v>0</v>
      </c>
      <c r="AK204" s="82">
        <v>19</v>
      </c>
      <c r="AL204" s="97">
        <f t="shared" si="605"/>
        <v>2.3198724125988379</v>
      </c>
      <c r="AM204" s="96">
        <f t="shared" si="606"/>
        <v>1</v>
      </c>
      <c r="AN204" s="96">
        <f t="shared" si="607"/>
        <v>0.8</v>
      </c>
      <c r="AO204" s="82">
        <v>1905</v>
      </c>
      <c r="AP204" s="98">
        <f t="shared" si="631"/>
        <v>101.6</v>
      </c>
      <c r="AQ204" s="96">
        <f t="shared" si="608"/>
        <v>124.30145669923995</v>
      </c>
      <c r="AR204" s="97">
        <f t="shared" si="626"/>
        <v>1701.8</v>
      </c>
      <c r="AS204" s="96">
        <f t="shared" si="609"/>
        <v>1780.6985433007601</v>
      </c>
      <c r="AT204" s="82">
        <v>101.6</v>
      </c>
      <c r="AU204" s="82">
        <v>953</v>
      </c>
      <c r="AV204" s="97">
        <f t="shared" si="610"/>
        <v>172902.87999999998</v>
      </c>
      <c r="AW204" s="82">
        <f t="shared" si="632"/>
        <v>123870.71999999997</v>
      </c>
      <c r="AX204" s="82">
        <f t="shared" si="611"/>
        <v>193548</v>
      </c>
      <c r="AY204" s="82">
        <v>298044</v>
      </c>
      <c r="AZ204" s="82">
        <v>0</v>
      </c>
      <c r="BA204" s="82">
        <f>77.6*6.895</f>
        <v>535.05199999999991</v>
      </c>
      <c r="BB204" s="82">
        <f>76.5*6.895</f>
        <v>527.46749999999997</v>
      </c>
      <c r="BC204" s="82">
        <v>490.6</v>
      </c>
      <c r="BD204" s="82">
        <v>5.0000000000000001E-3</v>
      </c>
      <c r="BE204" s="82">
        <v>0</v>
      </c>
      <c r="BF204" s="82">
        <v>4.1000000000000002E-2</v>
      </c>
      <c r="BG204" s="82">
        <f t="shared" si="633"/>
        <v>9.1302719100391592E-3</v>
      </c>
      <c r="BH204" s="98"/>
      <c r="BI204" s="98"/>
      <c r="BJ204" s="98"/>
      <c r="BK204" s="96"/>
      <c r="BL204" s="96">
        <f t="shared" si="515"/>
        <v>864.51440000000002</v>
      </c>
      <c r="BM204" s="99">
        <f>PI()*4/8*25.4*4/8*25.4/4</f>
        <v>126.67686977437442</v>
      </c>
      <c r="BN204" s="99">
        <v>20</v>
      </c>
      <c r="BO204" s="96">
        <f t="shared" si="627"/>
        <v>2533.5373954874885</v>
      </c>
      <c r="BP204" s="96">
        <f t="shared" si="612"/>
        <v>2982815.7717157323</v>
      </c>
      <c r="BQ204" s="82">
        <f t="shared" si="613"/>
        <v>3.2596290111541748E-9</v>
      </c>
      <c r="BR204" s="96">
        <f t="shared" si="520"/>
        <v>2842623430.4450927</v>
      </c>
      <c r="BS204" s="96">
        <v>248.6029133984799</v>
      </c>
      <c r="BT204" s="57">
        <f t="shared" si="617"/>
        <v>110.44765356037149</v>
      </c>
      <c r="BU204" s="96"/>
      <c r="BV204" s="96">
        <v>3.3E-3</v>
      </c>
      <c r="BW204" s="96">
        <v>30000</v>
      </c>
      <c r="BX204" s="96">
        <v>200000</v>
      </c>
      <c r="BY204" s="82">
        <f t="shared" si="634"/>
        <v>25.4</v>
      </c>
      <c r="BZ204" s="82">
        <f>BY204+2*25.4</f>
        <v>76.199999999999989</v>
      </c>
      <c r="CA204" s="82">
        <f>4*25.4+0.5*25.4</f>
        <v>114.3</v>
      </c>
      <c r="CB204" s="82">
        <f>CA204+6*25.4*1</f>
        <v>266.7</v>
      </c>
      <c r="CC204" s="82">
        <f>CA204+6*25.4*2</f>
        <v>419.09999999999997</v>
      </c>
      <c r="CD204" s="82">
        <f>CA204+6*25.4*3</f>
        <v>571.49999999999989</v>
      </c>
      <c r="CE204" s="82">
        <f>CA204+6*25.4*4</f>
        <v>723.89999999999986</v>
      </c>
      <c r="CF204" s="82">
        <f>CA204+6*25.4*5</f>
        <v>876.29999999999984</v>
      </c>
      <c r="CG204" s="82">
        <f>CA204+6*25.4*6</f>
        <v>1028.6999999999998</v>
      </c>
      <c r="CH204" s="82">
        <f>CA204+6*25.4*7</f>
        <v>1181.0999999999997</v>
      </c>
      <c r="CI204" s="82">
        <f>CA204+6*25.4*8</f>
        <v>1333.4999999999998</v>
      </c>
      <c r="CJ204" s="82">
        <f>CA204+6*25.4*9</f>
        <v>1485.8999999999999</v>
      </c>
      <c r="CK204" s="82">
        <f>CA204+6*25.4*10</f>
        <v>1638.2999999999997</v>
      </c>
      <c r="CL204" s="82">
        <f>CA204+6*25.4*11</f>
        <v>1790.6999999999996</v>
      </c>
      <c r="CM204" s="82">
        <f>CL204+0.5*25.4</f>
        <v>1803.3999999999996</v>
      </c>
      <c r="CN204" s="82">
        <f>CM204+1*25.4</f>
        <v>1828.7999999999997</v>
      </c>
      <c r="CO204" s="82">
        <f>CN204+2*25.4</f>
        <v>1879.5999999999997</v>
      </c>
      <c r="DM204" s="82">
        <f t="shared" si="639"/>
        <v>1266.7686977437443</v>
      </c>
      <c r="DN204" s="82">
        <f t="shared" si="639"/>
        <v>1266.7686977437443</v>
      </c>
      <c r="DO204" s="82">
        <f t="shared" si="635"/>
        <v>71.255739248085618</v>
      </c>
      <c r="DP204" s="82">
        <f t="shared" si="635"/>
        <v>71.255739248085618</v>
      </c>
      <c r="DQ204" s="82">
        <f t="shared" si="635"/>
        <v>71.255739248085618</v>
      </c>
      <c r="DR204" s="82">
        <f t="shared" si="635"/>
        <v>71.255739248085618</v>
      </c>
      <c r="DS204" s="82">
        <f t="shared" si="635"/>
        <v>71.255739248085618</v>
      </c>
      <c r="DT204" s="82">
        <f t="shared" si="635"/>
        <v>71.255739248085618</v>
      </c>
      <c r="DU204" s="82">
        <f t="shared" si="635"/>
        <v>71.255739248085618</v>
      </c>
      <c r="DV204" s="82">
        <f t="shared" si="635"/>
        <v>71.255739248085618</v>
      </c>
      <c r="DW204" s="82">
        <f t="shared" si="635"/>
        <v>71.255739248085618</v>
      </c>
      <c r="DX204" s="82">
        <f t="shared" si="635"/>
        <v>71.255739248085618</v>
      </c>
      <c r="DY204" s="82">
        <f t="shared" si="635"/>
        <v>71.255739248085618</v>
      </c>
      <c r="DZ204" s="82">
        <f t="shared" si="635"/>
        <v>71.255739248085618</v>
      </c>
      <c r="EA204" s="82">
        <f t="shared" si="635"/>
        <v>71.255739248085618</v>
      </c>
      <c r="EB204" s="82">
        <f>PI()*4/8*25.4*4/8*25.4/4*10</f>
        <v>1266.7686977437443</v>
      </c>
      <c r="EC204" s="82">
        <f>PI()*4/8*25.4*4/8*25.4/4*10</f>
        <v>1266.7686977437443</v>
      </c>
      <c r="FA204" s="82">
        <f t="shared" si="579"/>
        <v>-668179.3180771484</v>
      </c>
      <c r="FB204" s="82">
        <f t="shared" si="580"/>
        <v>-579801.91515436396</v>
      </c>
      <c r="FC204" s="82">
        <f t="shared" si="629"/>
        <v>-25406.39263928121</v>
      </c>
      <c r="FD204" s="82">
        <f t="shared" si="629"/>
        <v>3423.4677133258569</v>
      </c>
      <c r="FE204" s="82">
        <f t="shared" si="629"/>
        <v>32253.328065932914</v>
      </c>
      <c r="FF204" s="82">
        <f t="shared" si="629"/>
        <v>38125.525796166701</v>
      </c>
      <c r="FG204" s="82">
        <f t="shared" si="629"/>
        <v>38125.525796166701</v>
      </c>
      <c r="FH204" s="82">
        <f t="shared" si="629"/>
        <v>38125.525796166701</v>
      </c>
      <c r="FI204" s="82">
        <f t="shared" si="636"/>
        <v>38125.525796166701</v>
      </c>
      <c r="FJ204" s="82">
        <f t="shared" si="636"/>
        <v>38125.525796166701</v>
      </c>
      <c r="FK204" s="82">
        <f t="shared" si="636"/>
        <v>38125.525796166701</v>
      </c>
      <c r="FL204" s="82">
        <f t="shared" si="636"/>
        <v>38125.525796166701</v>
      </c>
      <c r="FM204" s="82">
        <f t="shared" si="636"/>
        <v>38125.525796166701</v>
      </c>
      <c r="FN204" s="82">
        <f t="shared" si="636"/>
        <v>38125.525796166701</v>
      </c>
      <c r="FO204" s="82">
        <f t="shared" si="636"/>
        <v>38125.525796166701</v>
      </c>
      <c r="FP204" s="82">
        <f t="shared" si="637"/>
        <v>668179.3180771484</v>
      </c>
      <c r="FQ204" s="82">
        <f t="shared" si="637"/>
        <v>668179.3180771484</v>
      </c>
      <c r="GO204" s="82">
        <f t="shared" si="527"/>
        <v>619469045.78932428</v>
      </c>
      <c r="GP204" s="82">
        <f t="shared" si="528"/>
        <v>508080418.24976909</v>
      </c>
      <c r="GQ204" s="82">
        <f t="shared" si="529"/>
        <v>21295638.31024551</v>
      </c>
      <c r="GR204" s="82">
        <f t="shared" si="530"/>
        <v>-2347814.1577988723</v>
      </c>
      <c r="GS204" s="82">
        <f t="shared" si="614"/>
        <v>-17203925.190368619</v>
      </c>
      <c r="GT204" s="82">
        <f t="shared" si="615"/>
        <v>-14525825.328339517</v>
      </c>
      <c r="GU204" s="82">
        <f t="shared" si="630"/>
        <v>-8715495.1970037129</v>
      </c>
      <c r="GV204" s="82">
        <f t="shared" si="630"/>
        <v>-2905165.0656679086</v>
      </c>
      <c r="GW204" s="82">
        <f t="shared" si="630"/>
        <v>2905165.0656678956</v>
      </c>
      <c r="GX204" s="82">
        <f t="shared" si="630"/>
        <v>8715495.1970036961</v>
      </c>
      <c r="GY204" s="82">
        <f t="shared" si="638"/>
        <v>14525825.328339504</v>
      </c>
      <c r="GZ204" s="82">
        <f t="shared" si="638"/>
        <v>20336155.459675312</v>
      </c>
      <c r="HA204" s="82">
        <f t="shared" si="638"/>
        <v>26146485.591011114</v>
      </c>
      <c r="HB204" s="82">
        <f t="shared" si="638"/>
        <v>31956815.722346913</v>
      </c>
      <c r="HC204" s="82">
        <f t="shared" si="638"/>
        <v>32441009.899958231</v>
      </c>
      <c r="HD204" s="82">
        <f t="shared" si="638"/>
        <v>585525536.431005</v>
      </c>
      <c r="HE204" s="82">
        <f t="shared" si="638"/>
        <v>619469045.78932405</v>
      </c>
      <c r="IC204" s="82">
        <v>213</v>
      </c>
    </row>
    <row r="205" spans="1:237" s="77" customFormat="1">
      <c r="A205" s="77">
        <v>205</v>
      </c>
      <c r="B205" s="69">
        <v>281</v>
      </c>
      <c r="C205" s="69" t="s">
        <v>196</v>
      </c>
      <c r="D205" s="70" t="s">
        <v>200</v>
      </c>
      <c r="E205" s="70">
        <v>3</v>
      </c>
      <c r="F205" s="70">
        <v>8.1128496435746073E-2</v>
      </c>
      <c r="G205" s="70">
        <v>1.049318E-3</v>
      </c>
      <c r="H205" s="70">
        <v>5.351522E-3</v>
      </c>
      <c r="I205" s="70">
        <v>1.3641133263378805E-2</v>
      </c>
      <c r="J205" s="71">
        <v>0.50026246719160106</v>
      </c>
      <c r="K205" s="72">
        <v>18.75</v>
      </c>
      <c r="L205" s="71">
        <v>0</v>
      </c>
      <c r="M205" s="71">
        <v>8.5588235294117646E-2</v>
      </c>
      <c r="N205" s="71">
        <v>0.74622837370242223</v>
      </c>
      <c r="O205" s="71">
        <v>6.2515508842856352E-2</v>
      </c>
      <c r="P205" s="71">
        <v>0</v>
      </c>
      <c r="Q205" s="73" t="s">
        <v>243</v>
      </c>
      <c r="R205" s="74">
        <v>0.20876112251882273</v>
      </c>
      <c r="S205" s="75">
        <f t="shared" si="616"/>
        <v>0.43613641419907662</v>
      </c>
      <c r="T205" s="59">
        <f t="shared" si="594"/>
        <v>4.6473522729851666</v>
      </c>
      <c r="U205" s="59">
        <f t="shared" si="595"/>
        <v>3.4408900963681353</v>
      </c>
      <c r="V205" s="59">
        <f t="shared" si="596"/>
        <v>3.6381721228215094</v>
      </c>
      <c r="W205" s="59">
        <f t="shared" si="597"/>
        <v>0.78284836378124978</v>
      </c>
      <c r="X205" s="59">
        <f t="shared" si="598"/>
        <v>1.057334591029689</v>
      </c>
      <c r="Y205" s="76">
        <v>698798</v>
      </c>
      <c r="Z205" s="57">
        <f t="shared" si="599"/>
        <v>738863.29754236457</v>
      </c>
      <c r="AA205" s="57">
        <f t="shared" si="600"/>
        <v>547052.87091360975</v>
      </c>
      <c r="AB205" s="57">
        <f t="shared" si="576"/>
        <v>3091559.504051093</v>
      </c>
      <c r="AC205" s="57">
        <f t="shared" si="601"/>
        <v>0.25</v>
      </c>
      <c r="AD205" s="57">
        <f t="shared" si="602"/>
        <v>1.5</v>
      </c>
      <c r="AE205" s="57">
        <f t="shared" si="603"/>
        <v>0</v>
      </c>
      <c r="AF205" s="57">
        <f t="shared" si="604"/>
        <v>220224.71055962952</v>
      </c>
      <c r="AG205" s="57">
        <f t="shared" ref="AG205:AG225" si="640">0.8*AZ205*BK205/BH205*AS205</f>
        <v>326828.1603539802</v>
      </c>
      <c r="AH205" s="57">
        <f t="shared" si="624"/>
        <v>538136966.78189361</v>
      </c>
      <c r="AI205" s="57">
        <f t="shared" si="625"/>
        <v>2408119240.5787978</v>
      </c>
      <c r="AJ205" s="77">
        <v>0</v>
      </c>
      <c r="AK205" s="77">
        <v>28.9</v>
      </c>
      <c r="AL205" s="78">
        <f t="shared" si="605"/>
        <v>2.92175256102876</v>
      </c>
      <c r="AM205" s="57">
        <f t="shared" si="606"/>
        <v>1</v>
      </c>
      <c r="AN205" s="57">
        <f t="shared" si="607"/>
        <v>0.8</v>
      </c>
      <c r="AO205" s="77">
        <v>1905</v>
      </c>
      <c r="AP205" s="79">
        <f t="shared" si="631"/>
        <v>101.6</v>
      </c>
      <c r="AQ205" s="57">
        <f t="shared" si="608"/>
        <v>50.320314143882371</v>
      </c>
      <c r="AR205" s="78">
        <f t="shared" si="626"/>
        <v>1701.8</v>
      </c>
      <c r="AS205" s="57">
        <f t="shared" si="609"/>
        <v>1854.6796858561177</v>
      </c>
      <c r="AT205" s="77">
        <v>101.6</v>
      </c>
      <c r="AU205" s="77">
        <v>953</v>
      </c>
      <c r="AV205" s="78">
        <f t="shared" si="610"/>
        <v>172902.87999999998</v>
      </c>
      <c r="AW205" s="77">
        <f t="shared" si="632"/>
        <v>123870.71999999997</v>
      </c>
      <c r="AX205" s="77">
        <f t="shared" si="611"/>
        <v>193548</v>
      </c>
      <c r="AY205" s="77">
        <v>298044</v>
      </c>
      <c r="AZ205" s="77">
        <v>494.7</v>
      </c>
      <c r="BA205" s="77">
        <v>0</v>
      </c>
      <c r="BB205" s="77">
        <f>76.4*6.895</f>
        <v>526.77800000000002</v>
      </c>
      <c r="BC205" s="77">
        <v>473.3</v>
      </c>
      <c r="BD205" s="77">
        <v>0</v>
      </c>
      <c r="BE205" s="77">
        <v>5.0000000000000001E-3</v>
      </c>
      <c r="BF205" s="77">
        <v>4.1000000000000002E-2</v>
      </c>
      <c r="BG205" s="77">
        <f t="shared" si="633"/>
        <v>9.1302719100391592E-3</v>
      </c>
      <c r="BH205" s="79">
        <f>2.5*25.4</f>
        <v>63.5</v>
      </c>
      <c r="BI205" s="79">
        <f>PI()*6*6/4</f>
        <v>28.274333882308138</v>
      </c>
      <c r="BJ205" s="79">
        <v>1</v>
      </c>
      <c r="BK205" s="57">
        <f t="shared" ref="BK205:BK225" si="641">BI205*BJ205</f>
        <v>28.274333882308138</v>
      </c>
      <c r="BL205" s="57">
        <f t="shared" si="515"/>
        <v>0</v>
      </c>
      <c r="BM205" s="80">
        <f>PI()*4/8*25.4*4/8*25.4/4</f>
        <v>126.67686977437442</v>
      </c>
      <c r="BN205" s="80">
        <v>20</v>
      </c>
      <c r="BO205" s="57">
        <f t="shared" si="627"/>
        <v>2533.5373954874885</v>
      </c>
      <c r="BP205" s="57">
        <f t="shared" si="612"/>
        <v>2542347.403083425</v>
      </c>
      <c r="BQ205" s="77">
        <f t="shared" si="613"/>
        <v>2.6251655071973801E-8</v>
      </c>
      <c r="BR205" s="57">
        <f t="shared" si="520"/>
        <v>2422857075.138504</v>
      </c>
      <c r="BS205" s="57">
        <v>100.64062828776474</v>
      </c>
      <c r="BT205" s="57">
        <f t="shared" si="617"/>
        <v>0</v>
      </c>
      <c r="BU205" s="57"/>
      <c r="BV205" s="57">
        <v>3.3E-3</v>
      </c>
      <c r="BW205" s="57">
        <v>30000</v>
      </c>
      <c r="BX205" s="57">
        <v>200000</v>
      </c>
      <c r="BY205" s="77">
        <f t="shared" si="634"/>
        <v>25.4</v>
      </c>
      <c r="BZ205" s="77">
        <f>BY205+25.4</f>
        <v>50.8</v>
      </c>
      <c r="CA205" s="77">
        <v>1828.7999999999997</v>
      </c>
      <c r="CB205" s="77">
        <v>1879.5999999999997</v>
      </c>
      <c r="DM205" s="77">
        <f t="shared" si="639"/>
        <v>1266.7686977437443</v>
      </c>
      <c r="DN205" s="77">
        <f t="shared" si="639"/>
        <v>1266.7686977437443</v>
      </c>
      <c r="DO205" s="77">
        <f>PI()*4/8*25.4*4/8*25.4/4*10</f>
        <v>1266.7686977437443</v>
      </c>
      <c r="DP205" s="77">
        <f>PI()*4/8*25.4*4/8*25.4/4*10</f>
        <v>1266.7686977437443</v>
      </c>
      <c r="FA205" s="77">
        <f t="shared" si="579"/>
        <v>-625058.02140909561</v>
      </c>
      <c r="FB205" s="77">
        <f t="shared" si="580"/>
        <v>-414048.7023073202</v>
      </c>
      <c r="FC205" s="77">
        <f>IF(ABS(-$BV205*($BS205-CA205)/$BS205*$BX205)&gt;$BB205,$BB205*SIGN(-($BS205-CA205)),-$BV205*($BS205-CA205)/$BS205*$BX205)*DO205</f>
        <v>667305.88106005418</v>
      </c>
      <c r="FD205" s="77">
        <f>IF(ABS(-$BV205*($BS205-CB205)/$BS205*$BX205)&gt;$BB205,$BB205*SIGN(-($BS205-CB205)),-$BV205*($BS205-CB205)/$BS205*$BX205)*DP205</f>
        <v>667305.88106005418</v>
      </c>
      <c r="GO205" s="77">
        <f t="shared" si="527"/>
        <v>579491291.64837253</v>
      </c>
      <c r="GP205" s="77">
        <f t="shared" si="528"/>
        <v>373347714.87051064</v>
      </c>
      <c r="GQ205" s="77">
        <f t="shared" si="529"/>
        <v>584760143.57292533</v>
      </c>
      <c r="GR205" s="77">
        <f t="shared" si="530"/>
        <v>618659282.33077598</v>
      </c>
      <c r="IC205" s="82">
        <v>214</v>
      </c>
    </row>
    <row r="206" spans="1:237" s="77" customFormat="1">
      <c r="A206" s="77">
        <v>206</v>
      </c>
      <c r="B206" s="69">
        <v>282</v>
      </c>
      <c r="C206" s="69" t="s">
        <v>196</v>
      </c>
      <c r="D206" s="70" t="s">
        <v>201</v>
      </c>
      <c r="E206" s="70">
        <v>3</v>
      </c>
      <c r="F206" s="70">
        <v>0.13870071229194222</v>
      </c>
      <c r="G206" s="70">
        <v>1.049318E-3</v>
      </c>
      <c r="H206" s="70">
        <v>6.0860439999999997E-3</v>
      </c>
      <c r="I206" s="70">
        <v>1.049317943336831E-2</v>
      </c>
      <c r="J206" s="71">
        <v>0.50026246719160106</v>
      </c>
      <c r="K206" s="72">
        <v>18.75</v>
      </c>
      <c r="L206" s="71">
        <v>5.849056603773585E-2</v>
      </c>
      <c r="M206" s="71">
        <v>0.11700471698113209</v>
      </c>
      <c r="N206" s="71">
        <v>1.0211320754716982</v>
      </c>
      <c r="O206" s="71">
        <v>8.5462790463592939E-2</v>
      </c>
      <c r="P206" s="71">
        <v>0</v>
      </c>
      <c r="Q206" s="73" t="s">
        <v>243</v>
      </c>
      <c r="R206" s="74">
        <v>0.20876112251882273</v>
      </c>
      <c r="S206" s="75">
        <f t="shared" si="616"/>
        <v>0.6386260383935134</v>
      </c>
      <c r="T206" s="59">
        <f t="shared" si="594"/>
        <v>6.136641338741593</v>
      </c>
      <c r="U206" s="59">
        <f t="shared" si="595"/>
        <v>4.3263285683730279</v>
      </c>
      <c r="V206" s="59">
        <f t="shared" si="596"/>
        <v>3.4698415073626436</v>
      </c>
      <c r="W206" s="59">
        <f t="shared" si="597"/>
        <v>0.5654300643997201</v>
      </c>
      <c r="X206" s="59">
        <f t="shared" si="598"/>
        <v>0.80202912296777373</v>
      </c>
      <c r="Y206" s="76">
        <v>876385</v>
      </c>
      <c r="Z206" s="57">
        <f t="shared" si="599"/>
        <v>702886.29293211235</v>
      </c>
      <c r="AA206" s="57">
        <f t="shared" si="600"/>
        <v>495534.42698894872</v>
      </c>
      <c r="AB206" s="57">
        <f t="shared" ref="AB206:AB224" si="642">(AH206+AI206)/AU206</f>
        <v>2753965.9957886161</v>
      </c>
      <c r="AC206" s="57">
        <f t="shared" si="601"/>
        <v>0.25</v>
      </c>
      <c r="AD206" s="57">
        <f t="shared" si="602"/>
        <v>1.5</v>
      </c>
      <c r="AE206" s="57">
        <f t="shared" si="603"/>
        <v>0</v>
      </c>
      <c r="AF206" s="57">
        <f t="shared" si="604"/>
        <v>179231.24793594057</v>
      </c>
      <c r="AG206" s="57">
        <f t="shared" si="640"/>
        <v>316303.17905300815</v>
      </c>
      <c r="AH206" s="57">
        <f t="shared" si="624"/>
        <v>380578859.10231256</v>
      </c>
      <c r="AI206" s="57">
        <f t="shared" si="625"/>
        <v>2243950734.8842387</v>
      </c>
      <c r="AJ206" s="77">
        <v>0</v>
      </c>
      <c r="AK206" s="77">
        <v>21.2</v>
      </c>
      <c r="AL206" s="78">
        <f t="shared" si="605"/>
        <v>2.4639639157395901</v>
      </c>
      <c r="AM206" s="57">
        <f t="shared" si="606"/>
        <v>1</v>
      </c>
      <c r="AN206" s="57">
        <f t="shared" si="607"/>
        <v>0.8</v>
      </c>
      <c r="AO206" s="77">
        <v>1905</v>
      </c>
      <c r="AP206" s="79">
        <f t="shared" si="631"/>
        <v>101.6</v>
      </c>
      <c r="AQ206" s="57">
        <f t="shared" si="608"/>
        <v>115.11270222462448</v>
      </c>
      <c r="AR206" s="78">
        <f t="shared" si="626"/>
        <v>1701.8</v>
      </c>
      <c r="AS206" s="57">
        <f t="shared" si="609"/>
        <v>1789.8872977753756</v>
      </c>
      <c r="AT206" s="77">
        <v>101.6</v>
      </c>
      <c r="AU206" s="77">
        <v>953</v>
      </c>
      <c r="AV206" s="78">
        <f t="shared" si="610"/>
        <v>172902.87999999998</v>
      </c>
      <c r="AW206" s="77">
        <f t="shared" si="632"/>
        <v>123870.71999999997</v>
      </c>
      <c r="AX206" s="77">
        <f t="shared" si="611"/>
        <v>193548</v>
      </c>
      <c r="AY206" s="77">
        <v>298044</v>
      </c>
      <c r="AZ206" s="77">
        <v>496.1</v>
      </c>
      <c r="BA206" s="77">
        <f>72*6.895</f>
        <v>496.43999999999994</v>
      </c>
      <c r="BB206" s="77">
        <f>76.7*6.895</f>
        <v>528.84649999999999</v>
      </c>
      <c r="BC206" s="77">
        <v>496.1</v>
      </c>
      <c r="BD206" s="77">
        <v>2.5000000000000001E-3</v>
      </c>
      <c r="BE206" s="77">
        <v>5.0000000000000001E-3</v>
      </c>
      <c r="BF206" s="77">
        <v>4.1000000000000002E-2</v>
      </c>
      <c r="BG206" s="77">
        <f t="shared" si="633"/>
        <v>9.1302719100391592E-3</v>
      </c>
      <c r="BH206" s="79">
        <f>2.5*25.4</f>
        <v>63.5</v>
      </c>
      <c r="BI206" s="79">
        <f>PI()*6*6/4</f>
        <v>28.274333882308138</v>
      </c>
      <c r="BJ206" s="79">
        <v>1</v>
      </c>
      <c r="BK206" s="57">
        <f t="shared" si="641"/>
        <v>28.274333882308138</v>
      </c>
      <c r="BL206" s="57">
        <f t="shared" ref="BL206:BL269" si="643">IF(BF206=0,FALSE,BD206*AR206*AT206)</f>
        <v>432.25720000000001</v>
      </c>
      <c r="BM206" s="80">
        <f>PI()*4/8*25.4*4/8*25.4/4</f>
        <v>126.67686977437442</v>
      </c>
      <c r="BN206" s="80">
        <v>20</v>
      </c>
      <c r="BO206" s="57">
        <f t="shared" si="627"/>
        <v>2533.5373954874885</v>
      </c>
      <c r="BP206" s="57">
        <f t="shared" si="612"/>
        <v>3040917.0494300104</v>
      </c>
      <c r="BQ206" s="77">
        <f t="shared" si="613"/>
        <v>1.1059455573558807E-9</v>
      </c>
      <c r="BR206" s="57">
        <f t="shared" si="520"/>
        <v>2897993948.1068001</v>
      </c>
      <c r="BS206" s="57">
        <v>230.22540444924897</v>
      </c>
      <c r="BT206" s="57">
        <f t="shared" si="617"/>
        <v>46.724465485267196</v>
      </c>
      <c r="BU206" s="57"/>
      <c r="BV206" s="57">
        <v>3.3E-3</v>
      </c>
      <c r="BW206" s="57">
        <v>30000</v>
      </c>
      <c r="BX206" s="57">
        <v>200000</v>
      </c>
      <c r="BY206" s="77">
        <f t="shared" si="634"/>
        <v>25.4</v>
      </c>
      <c r="BZ206" s="77">
        <f>BY206+25.4</f>
        <v>50.8</v>
      </c>
      <c r="CA206" s="77">
        <f>4*25.4+2*25.4</f>
        <v>152.39999999999998</v>
      </c>
      <c r="CB206" s="77">
        <f>CA206+4.2*25.4*1</f>
        <v>259.08</v>
      </c>
      <c r="CC206" s="77">
        <f>CA206+4.2*25.4*2</f>
        <v>365.76</v>
      </c>
      <c r="CD206" s="77">
        <f>CA206+4.2*25.4*3</f>
        <v>472.43999999999994</v>
      </c>
      <c r="CE206" s="77">
        <f>CA206+4.2*25.4*4</f>
        <v>579.11999999999989</v>
      </c>
      <c r="CF206" s="77">
        <f>CA206+4.2*25.4*5</f>
        <v>685.8</v>
      </c>
      <c r="CG206" s="77">
        <f>CA206+4.2*25.4*6</f>
        <v>792.4799999999999</v>
      </c>
      <c r="CH206" s="77">
        <f>CA206+4.2*25.4*7</f>
        <v>899.16</v>
      </c>
      <c r="CI206" s="77">
        <f>CA206+4.2*25.4*8</f>
        <v>1005.8399999999999</v>
      </c>
      <c r="CJ206" s="77">
        <f>CA206+4.2*25.4*9</f>
        <v>1112.52</v>
      </c>
      <c r="CK206" s="77">
        <f>CA206+4.2*25.4*10</f>
        <v>1219.1999999999998</v>
      </c>
      <c r="CL206" s="77">
        <f>CA206+4.2*25.4*11</f>
        <v>1325.88</v>
      </c>
      <c r="CM206" s="77">
        <f>CA206+4.2*25.4*12</f>
        <v>1432.56</v>
      </c>
      <c r="CN206" s="77">
        <f>CA206+4.2*25.4*13</f>
        <v>1539.2399999999998</v>
      </c>
      <c r="CO206" s="77">
        <f>CA206+4.2*25.4*14</f>
        <v>1645.92</v>
      </c>
      <c r="CP206" s="77">
        <f>CA206+4.2*25.4*15</f>
        <v>1752.6</v>
      </c>
      <c r="CQ206" s="77">
        <f>CP206+2*25.4+1*25.4</f>
        <v>1828.8</v>
      </c>
      <c r="CR206" s="77">
        <f>CQ206+2*25.4</f>
        <v>1879.6</v>
      </c>
      <c r="DM206" s="77">
        <f t="shared" si="639"/>
        <v>1266.7686977437443</v>
      </c>
      <c r="DN206" s="77">
        <f t="shared" si="639"/>
        <v>1266.7686977437443</v>
      </c>
      <c r="DO206" s="77">
        <f t="shared" ref="DO206:ED206" si="644">PI()*3/8*25.4*3/8*25.4/4</f>
        <v>71.255739248085618</v>
      </c>
      <c r="DP206" s="77">
        <f t="shared" si="644"/>
        <v>71.255739248085618</v>
      </c>
      <c r="DQ206" s="77">
        <f t="shared" si="644"/>
        <v>71.255739248085618</v>
      </c>
      <c r="DR206" s="77">
        <f t="shared" si="644"/>
        <v>71.255739248085618</v>
      </c>
      <c r="DS206" s="77">
        <f t="shared" si="644"/>
        <v>71.255739248085618</v>
      </c>
      <c r="DT206" s="77">
        <f t="shared" si="644"/>
        <v>71.255739248085618</v>
      </c>
      <c r="DU206" s="77">
        <f t="shared" si="644"/>
        <v>71.255739248085618</v>
      </c>
      <c r="DV206" s="77">
        <f t="shared" si="644"/>
        <v>71.255739248085618</v>
      </c>
      <c r="DW206" s="77">
        <f t="shared" si="644"/>
        <v>71.255739248085618</v>
      </c>
      <c r="DX206" s="77">
        <f t="shared" si="644"/>
        <v>71.255739248085618</v>
      </c>
      <c r="DY206" s="77">
        <f t="shared" si="644"/>
        <v>71.255739248085618</v>
      </c>
      <c r="DZ206" s="77">
        <f t="shared" si="644"/>
        <v>71.255739248085618</v>
      </c>
      <c r="EA206" s="77">
        <f t="shared" si="644"/>
        <v>71.255739248085618</v>
      </c>
      <c r="EB206" s="77">
        <f t="shared" si="644"/>
        <v>71.255739248085618</v>
      </c>
      <c r="EC206" s="77">
        <f t="shared" si="644"/>
        <v>71.255739248085618</v>
      </c>
      <c r="ED206" s="77">
        <f t="shared" si="644"/>
        <v>71.255739248085618</v>
      </c>
      <c r="EE206" s="77">
        <f>PI()*4/8*25.4*4/8*25.4/4*10</f>
        <v>1266.7686977437443</v>
      </c>
      <c r="EF206" s="77">
        <f>PI()*4/8*25.4*4/8*25.4/4*10</f>
        <v>1266.7686977437443</v>
      </c>
      <c r="FA206" s="77">
        <f t="shared" ref="FA206:FA224" si="645">IF(ABS(-$BV206*($BS206-BY206)/$BS206*$BX206)&gt;$BB206,$BB206*SIGN(-($BS206-BY206)),-$BV206*($BS206-BY206)/$BS206*$BX206)*DM206</f>
        <v>-669926.19211133709</v>
      </c>
      <c r="FB206" s="77">
        <f t="shared" ref="FB206:FB224" si="646">IF(ABS(-$BV206*($BS206-BZ206)/$BS206*$BX206)&gt;$BB206,$BB206*SIGN(-($BS206-BZ206)),-$BV206*($BS206-BZ206)/$BS206*$BX206)*DN206</f>
        <v>-651586.305502787</v>
      </c>
      <c r="FC206" s="77">
        <f t="shared" ref="FC206:FR206" si="647">IF(ABS(-$BV206*($BS206-CA206)/$BS206*$BX206)&gt;$BA206,$BA206*SIGN(-($BS206-CA206)),-$BV206*($BS206-CA206)/$BS206*$BX206)*DO206</f>
        <v>-15897.613246122293</v>
      </c>
      <c r="FD206" s="77">
        <f t="shared" si="647"/>
        <v>5894.209014207664</v>
      </c>
      <c r="FE206" s="77">
        <f t="shared" si="647"/>
        <v>27686.031274537621</v>
      </c>
      <c r="FF206" s="77">
        <f t="shared" si="647"/>
        <v>35374.199192319618</v>
      </c>
      <c r="FG206" s="77">
        <f t="shared" si="647"/>
        <v>35374.199192319618</v>
      </c>
      <c r="FH206" s="77">
        <f t="shared" si="647"/>
        <v>35374.199192319618</v>
      </c>
      <c r="FI206" s="77">
        <f t="shared" si="647"/>
        <v>35374.199192319618</v>
      </c>
      <c r="FJ206" s="77">
        <f t="shared" si="647"/>
        <v>35374.199192319618</v>
      </c>
      <c r="FK206" s="77">
        <f t="shared" si="647"/>
        <v>35374.199192319618</v>
      </c>
      <c r="FL206" s="77">
        <f t="shared" si="647"/>
        <v>35374.199192319618</v>
      </c>
      <c r="FM206" s="77">
        <f t="shared" si="647"/>
        <v>35374.199192319618</v>
      </c>
      <c r="FN206" s="77">
        <f t="shared" si="647"/>
        <v>35374.199192319618</v>
      </c>
      <c r="FO206" s="77">
        <f t="shared" si="647"/>
        <v>35374.199192319618</v>
      </c>
      <c r="FP206" s="77">
        <f t="shared" si="647"/>
        <v>35374.199192319618</v>
      </c>
      <c r="FQ206" s="77">
        <f t="shared" si="647"/>
        <v>35374.199192319618</v>
      </c>
      <c r="FR206" s="77">
        <f t="shared" si="647"/>
        <v>35374.199192319618</v>
      </c>
      <c r="FS206" s="77">
        <f>IF(ABS(-$BV206*($BS206-CQ206)/$BS206*$BX206)&gt;$BB206,$BB206*SIGN(-($BS206-CQ206)),-$BV206*($BS206-CQ206)/$BS206*$BX206)*EE206</f>
        <v>669926.19211133709</v>
      </c>
      <c r="FT206" s="77">
        <f>IF(ABS(-$BV206*($BS206-CR206)/$BS206*$BX206)&gt;$BB206,$BB206*SIGN(-($BS206-CR206)),-$BV206*($BS206-CR206)/$BS206*$BX206)*EF206</f>
        <v>669926.19211133709</v>
      </c>
      <c r="GO206" s="77">
        <f t="shared" si="527"/>
        <v>621088572.70642066</v>
      </c>
      <c r="GP206" s="77">
        <f t="shared" si="528"/>
        <v>587535371.67186308</v>
      </c>
      <c r="GQ206" s="77">
        <f t="shared" si="529"/>
        <v>12719680.358222447</v>
      </c>
      <c r="GR206" s="77">
        <f t="shared" si="530"/>
        <v>-4087162.414631879</v>
      </c>
      <c r="GS206" s="77">
        <f t="shared" ref="GS206:HH206" si="648">FE206*(CC206-0.5*$AO206)</f>
        <v>-16244501.990022205</v>
      </c>
      <c r="GT206" s="77">
        <f t="shared" si="648"/>
        <v>-16981738.064264957</v>
      </c>
      <c r="GU206" s="77">
        <f t="shared" si="648"/>
        <v>-13208018.494428303</v>
      </c>
      <c r="GV206" s="77">
        <f t="shared" si="648"/>
        <v>-9434298.9245916437</v>
      </c>
      <c r="GW206" s="77">
        <f t="shared" si="648"/>
        <v>-5660579.354754989</v>
      </c>
      <c r="GX206" s="77">
        <f t="shared" si="648"/>
        <v>-1886859.7849183297</v>
      </c>
      <c r="GY206" s="77">
        <f t="shared" si="648"/>
        <v>1886859.7849183255</v>
      </c>
      <c r="GZ206" s="77">
        <f t="shared" si="648"/>
        <v>5660579.3547549844</v>
      </c>
      <c r="HA206" s="77">
        <f t="shared" si="648"/>
        <v>9434298.9245916363</v>
      </c>
      <c r="HB206" s="77">
        <f t="shared" si="648"/>
        <v>13208018.494428303</v>
      </c>
      <c r="HC206" s="77">
        <f t="shared" si="648"/>
        <v>16981738.064264953</v>
      </c>
      <c r="HD206" s="77">
        <f t="shared" si="648"/>
        <v>20755457.634101607</v>
      </c>
      <c r="HE206" s="77">
        <f t="shared" si="648"/>
        <v>24529177.203938272</v>
      </c>
      <c r="HF206" s="77">
        <f t="shared" si="648"/>
        <v>28302896.773774922</v>
      </c>
      <c r="HG206" s="77">
        <f t="shared" si="648"/>
        <v>587056322.1471647</v>
      </c>
      <c r="HH206" s="77">
        <f t="shared" si="648"/>
        <v>621088572.70642054</v>
      </c>
      <c r="IC206" s="82">
        <v>215</v>
      </c>
    </row>
    <row r="207" spans="1:237" s="77" customFormat="1">
      <c r="A207" s="77">
        <v>207</v>
      </c>
      <c r="B207" s="69">
        <v>284</v>
      </c>
      <c r="C207" s="69" t="s">
        <v>196</v>
      </c>
      <c r="D207" s="70" t="s">
        <v>202</v>
      </c>
      <c r="E207" s="70">
        <v>3</v>
      </c>
      <c r="F207" s="70">
        <v>0.12698191066150161</v>
      </c>
      <c r="G207" s="70">
        <v>2.0997375328083989E-3</v>
      </c>
      <c r="H207" s="70">
        <v>5.6167979002624668E-3</v>
      </c>
      <c r="I207" s="70">
        <v>9.9737532808398949E-3</v>
      </c>
      <c r="J207" s="71">
        <v>1</v>
      </c>
      <c r="K207" s="72">
        <v>18.75</v>
      </c>
      <c r="L207" s="71">
        <v>0.11260683760683762</v>
      </c>
      <c r="M207" s="71">
        <v>0.10585470085470086</v>
      </c>
      <c r="N207" s="71">
        <v>0.85504273504273509</v>
      </c>
      <c r="O207" s="71">
        <v>7.7318576140741849E-2</v>
      </c>
      <c r="P207" s="71">
        <v>0</v>
      </c>
      <c r="Q207" s="73" t="s">
        <v>243</v>
      </c>
      <c r="R207" s="74">
        <v>0.20876112251882273</v>
      </c>
      <c r="S207" s="75">
        <f t="shared" si="616"/>
        <v>0.61425653587466733</v>
      </c>
      <c r="T207" s="59">
        <f t="shared" si="594"/>
        <v>2.761025062147104</v>
      </c>
      <c r="U207" s="59">
        <f t="shared" si="595"/>
        <v>1.9666594740196295</v>
      </c>
      <c r="V207" s="59">
        <f t="shared" si="596"/>
        <v>1.5844370506042365</v>
      </c>
      <c r="W207" s="59">
        <f t="shared" si="597"/>
        <v>0.57385826457225386</v>
      </c>
      <c r="X207" s="59">
        <f t="shared" si="598"/>
        <v>0.80564890441649584</v>
      </c>
      <c r="Y207" s="76">
        <v>885601</v>
      </c>
      <c r="Z207" s="57">
        <f t="shared" si="599"/>
        <v>713483.47540015308</v>
      </c>
      <c r="AA207" s="57">
        <f t="shared" si="600"/>
        <v>508209.45296345255</v>
      </c>
      <c r="AB207" s="57">
        <f t="shared" si="642"/>
        <v>1325138.032875197</v>
      </c>
      <c r="AC207" s="57">
        <f t="shared" si="601"/>
        <v>0.25</v>
      </c>
      <c r="AD207" s="57">
        <f t="shared" si="602"/>
        <v>1.5</v>
      </c>
      <c r="AE207" s="57">
        <f t="shared" si="603"/>
        <v>0</v>
      </c>
      <c r="AF207" s="57">
        <f t="shared" si="604"/>
        <v>190401.99079162921</v>
      </c>
      <c r="AG207" s="57">
        <f t="shared" si="640"/>
        <v>317807.46217182337</v>
      </c>
      <c r="AH207" s="57">
        <f t="shared" si="624"/>
        <v>422742849.11810857</v>
      </c>
      <c r="AI207" s="57">
        <f t="shared" si="625"/>
        <v>2101645103.5091417</v>
      </c>
      <c r="AJ207" s="77">
        <v>0</v>
      </c>
      <c r="AK207" s="77">
        <v>23.4</v>
      </c>
      <c r="AL207" s="78">
        <f t="shared" si="605"/>
        <v>2.6014671214277079</v>
      </c>
      <c r="AM207" s="57">
        <f t="shared" si="606"/>
        <v>1</v>
      </c>
      <c r="AN207" s="57">
        <f t="shared" si="607"/>
        <v>0.8</v>
      </c>
      <c r="AO207" s="77">
        <v>1905</v>
      </c>
      <c r="AP207" s="79">
        <f t="shared" si="631"/>
        <v>101.6</v>
      </c>
      <c r="AQ207" s="57">
        <f t="shared" si="608"/>
        <v>104.05917030309389</v>
      </c>
      <c r="AR207" s="78">
        <f t="shared" si="626"/>
        <v>1701.8</v>
      </c>
      <c r="AS207" s="57">
        <f t="shared" si="609"/>
        <v>1800.9408296969061</v>
      </c>
      <c r="AT207" s="77">
        <v>101.6</v>
      </c>
      <c r="AU207" s="77">
        <v>1905</v>
      </c>
      <c r="AV207" s="78">
        <f t="shared" si="610"/>
        <v>172902.87999999998</v>
      </c>
      <c r="AW207" s="77">
        <f t="shared" si="632"/>
        <v>123870.71999999997</v>
      </c>
      <c r="AX207" s="77">
        <f t="shared" si="611"/>
        <v>193548</v>
      </c>
      <c r="AY207" s="77">
        <v>298044</v>
      </c>
      <c r="AZ207" s="77">
        <v>495.4</v>
      </c>
      <c r="BA207" s="77">
        <f>76.5*6.895</f>
        <v>527.46749999999997</v>
      </c>
      <c r="BB207" s="77">
        <f>70.9*6.895</f>
        <v>488.85550000000001</v>
      </c>
      <c r="BC207" s="77">
        <v>477.5</v>
      </c>
      <c r="BD207" s="77">
        <v>5.0000000000000001E-3</v>
      </c>
      <c r="BE207" s="77">
        <v>5.0000000000000001E-3</v>
      </c>
      <c r="BF207" s="77">
        <v>4.1000000000000002E-2</v>
      </c>
      <c r="BG207" s="77">
        <f t="shared" si="633"/>
        <v>9.1302719100391592E-3</v>
      </c>
      <c r="BH207" s="79">
        <f>2.5*25.4</f>
        <v>63.5</v>
      </c>
      <c r="BI207" s="79">
        <f>PI()*6*6/4</f>
        <v>28.274333882308138</v>
      </c>
      <c r="BJ207" s="79">
        <v>1</v>
      </c>
      <c r="BK207" s="57">
        <f t="shared" si="641"/>
        <v>28.274333882308138</v>
      </c>
      <c r="BL207" s="57">
        <f t="shared" si="643"/>
        <v>864.51440000000002</v>
      </c>
      <c r="BM207" s="80">
        <f>PI()*4/8*25.4*4/8*25.4/4</f>
        <v>126.67686977437442</v>
      </c>
      <c r="BN207" s="80">
        <v>20</v>
      </c>
      <c r="BO207" s="57">
        <f t="shared" si="627"/>
        <v>2533.5373954874885</v>
      </c>
      <c r="BP207" s="57">
        <f t="shared" si="612"/>
        <v>1403179.0364521623</v>
      </c>
      <c r="BQ207" s="77">
        <f t="shared" si="613"/>
        <v>0</v>
      </c>
      <c r="BR207" s="57">
        <f t="shared" si="520"/>
        <v>2673056064.4413691</v>
      </c>
      <c r="BS207" s="57">
        <v>208.11834060618779</v>
      </c>
      <c r="BT207" s="57">
        <f t="shared" si="617"/>
        <v>91.555713218820017</v>
      </c>
      <c r="BU207" s="57"/>
      <c r="BV207" s="57">
        <v>3.3E-3</v>
      </c>
      <c r="BW207" s="57">
        <v>30000</v>
      </c>
      <c r="BX207" s="57">
        <v>200000</v>
      </c>
      <c r="BY207" s="77">
        <f t="shared" si="634"/>
        <v>25.4</v>
      </c>
      <c r="BZ207" s="77">
        <f>BY207+2*25.4</f>
        <v>76.199999999999989</v>
      </c>
      <c r="CA207" s="77">
        <f>4*25.4+0.5*25.4</f>
        <v>114.3</v>
      </c>
      <c r="CB207" s="77">
        <f>CA207+6*25.4*1</f>
        <v>266.7</v>
      </c>
      <c r="CC207" s="77">
        <f>CA207+6*25.4*2</f>
        <v>419.09999999999997</v>
      </c>
      <c r="CD207" s="77">
        <f>CA207+6*25.4*3</f>
        <v>571.49999999999989</v>
      </c>
      <c r="CE207" s="77">
        <f>CA207+6*25.4*4</f>
        <v>723.89999999999986</v>
      </c>
      <c r="CF207" s="77">
        <f>CA207+6*25.4*5</f>
        <v>876.29999999999984</v>
      </c>
      <c r="CG207" s="77">
        <f>CA207+6*25.4*6</f>
        <v>1028.6999999999998</v>
      </c>
      <c r="CH207" s="77">
        <f>CA207+6*25.4*7</f>
        <v>1181.0999999999997</v>
      </c>
      <c r="CI207" s="77">
        <f>CA207+6*25.4*8</f>
        <v>1333.4999999999998</v>
      </c>
      <c r="CJ207" s="77">
        <f>CA207+6*25.4*9</f>
        <v>1485.8999999999999</v>
      </c>
      <c r="CK207" s="77">
        <f>CA207+6*25.4*10</f>
        <v>1638.2999999999997</v>
      </c>
      <c r="CL207" s="77">
        <f>CA207+6*25.4*11</f>
        <v>1790.6999999999996</v>
      </c>
      <c r="CM207" s="77">
        <f>CL207+0.5*25.4</f>
        <v>1803.3999999999996</v>
      </c>
      <c r="CN207" s="77">
        <f>CM207+1*25.4</f>
        <v>1828.7999999999997</v>
      </c>
      <c r="CO207" s="77">
        <f>CN207+2*25.4</f>
        <v>1879.5999999999997</v>
      </c>
      <c r="DM207" s="77">
        <f t="shared" si="639"/>
        <v>1266.7686977437443</v>
      </c>
      <c r="DN207" s="77">
        <f t="shared" si="639"/>
        <v>1266.7686977437443</v>
      </c>
      <c r="DO207" s="77">
        <f t="shared" ref="DO207:EA207" si="649">PI()*3/8*25.4*3/8*25.4/4</f>
        <v>71.255739248085618</v>
      </c>
      <c r="DP207" s="77">
        <f t="shared" si="649"/>
        <v>71.255739248085618</v>
      </c>
      <c r="DQ207" s="77">
        <f t="shared" si="649"/>
        <v>71.255739248085618</v>
      </c>
      <c r="DR207" s="77">
        <f t="shared" si="649"/>
        <v>71.255739248085618</v>
      </c>
      <c r="DS207" s="77">
        <f t="shared" si="649"/>
        <v>71.255739248085618</v>
      </c>
      <c r="DT207" s="77">
        <f t="shared" si="649"/>
        <v>71.255739248085618</v>
      </c>
      <c r="DU207" s="77">
        <f t="shared" si="649"/>
        <v>71.255739248085618</v>
      </c>
      <c r="DV207" s="77">
        <f t="shared" si="649"/>
        <v>71.255739248085618</v>
      </c>
      <c r="DW207" s="77">
        <f t="shared" si="649"/>
        <v>71.255739248085618</v>
      </c>
      <c r="DX207" s="77">
        <f t="shared" si="649"/>
        <v>71.255739248085618</v>
      </c>
      <c r="DY207" s="77">
        <f t="shared" si="649"/>
        <v>71.255739248085618</v>
      </c>
      <c r="DZ207" s="77">
        <f t="shared" si="649"/>
        <v>71.255739248085618</v>
      </c>
      <c r="EA207" s="77">
        <f t="shared" si="649"/>
        <v>71.255739248085618</v>
      </c>
      <c r="EB207" s="77">
        <f>PI()*4/8*25.4*4/8*25.4/4*10</f>
        <v>1266.7686977437443</v>
      </c>
      <c r="EC207" s="77">
        <f>PI()*4/8*25.4*4/8*25.4/4*10</f>
        <v>1266.7686977437443</v>
      </c>
      <c r="FA207" s="77">
        <f t="shared" si="645"/>
        <v>-619266.84511986701</v>
      </c>
      <c r="FB207" s="77">
        <f t="shared" si="646"/>
        <v>-529951.44913212641</v>
      </c>
      <c r="FC207" s="77">
        <f t="shared" ref="FC207:FO207" si="650">IF(ABS(-$BV207*($BS207-CA207)/$BS207*$BX207)&gt;$BA207,$BA207*SIGN(-($BS207-CA207)),-$BV207*($BS207-CA207)/$BS207*$BX207)*DO207</f>
        <v>-21200.259568654921</v>
      </c>
      <c r="FD207" s="77">
        <f t="shared" si="650"/>
        <v>13237.778211453868</v>
      </c>
      <c r="FE207" s="77">
        <f t="shared" si="650"/>
        <v>37585.086641839596</v>
      </c>
      <c r="FF207" s="77">
        <f t="shared" si="650"/>
        <v>37585.086641839596</v>
      </c>
      <c r="FG207" s="77">
        <f t="shared" si="650"/>
        <v>37585.086641839596</v>
      </c>
      <c r="FH207" s="77">
        <f t="shared" si="650"/>
        <v>37585.086641839596</v>
      </c>
      <c r="FI207" s="77">
        <f t="shared" si="650"/>
        <v>37585.086641839596</v>
      </c>
      <c r="FJ207" s="77">
        <f t="shared" si="650"/>
        <v>37585.086641839596</v>
      </c>
      <c r="FK207" s="77">
        <f t="shared" si="650"/>
        <v>37585.086641839596</v>
      </c>
      <c r="FL207" s="77">
        <f t="shared" si="650"/>
        <v>37585.086641839596</v>
      </c>
      <c r="FM207" s="77">
        <f t="shared" si="650"/>
        <v>37585.086641839596</v>
      </c>
      <c r="FN207" s="77">
        <f t="shared" si="650"/>
        <v>37585.086641839596</v>
      </c>
      <c r="FO207" s="77">
        <f t="shared" si="650"/>
        <v>37585.086641839596</v>
      </c>
      <c r="FP207" s="77">
        <f>IF(ABS(-$BV207*($BS207-CN207)/$BS207*$BX207)&gt;$BB207,$BB207*SIGN(-($BS207-CN207)),-$BV207*($BS207-CN207)/$BS207*$BX207)*EB207</f>
        <v>619266.84511986701</v>
      </c>
      <c r="FQ207" s="77">
        <f>IF(ABS(-$BV207*($BS207-CO207)/$BS207*$BX207)&gt;$BB207,$BB207*SIGN(-($BS207-CO207)),-$BV207*($BS207-CO207)/$BS207*$BX207)*EC207</f>
        <v>619266.84511986701</v>
      </c>
      <c r="GO207" s="77">
        <f t="shared" si="527"/>
        <v>574122292.11062872</v>
      </c>
      <c r="GP207" s="77">
        <f t="shared" si="528"/>
        <v>464396454.87448233</v>
      </c>
      <c r="GQ207" s="77">
        <f t="shared" si="529"/>
        <v>17770057.570446555</v>
      </c>
      <c r="GR207" s="77">
        <f t="shared" si="530"/>
        <v>-9078468.2974150628</v>
      </c>
      <c r="GS207" s="77">
        <f t="shared" ref="GS207:HE207" si="651">FE207*(CC207-0.5*$AO207)</f>
        <v>-20047885.214757245</v>
      </c>
      <c r="GT207" s="77">
        <f t="shared" si="651"/>
        <v>-14319918.01054089</v>
      </c>
      <c r="GU207" s="77">
        <f t="shared" si="651"/>
        <v>-8591950.806324536</v>
      </c>
      <c r="GV207" s="77">
        <f t="shared" si="651"/>
        <v>-2863983.6021081833</v>
      </c>
      <c r="GW207" s="77">
        <f t="shared" si="651"/>
        <v>2863983.6021081703</v>
      </c>
      <c r="GX207" s="77">
        <f t="shared" si="651"/>
        <v>8591950.8063245192</v>
      </c>
      <c r="GY207" s="77">
        <f t="shared" si="651"/>
        <v>14319918.010540878</v>
      </c>
      <c r="GZ207" s="77">
        <f t="shared" si="651"/>
        <v>20047885.214757234</v>
      </c>
      <c r="HA207" s="77">
        <f t="shared" si="651"/>
        <v>25775852.418973584</v>
      </c>
      <c r="HB207" s="77">
        <f t="shared" si="651"/>
        <v>31503819.623189934</v>
      </c>
      <c r="HC207" s="77">
        <f t="shared" si="651"/>
        <v>31981150.223541297</v>
      </c>
      <c r="HD207" s="77">
        <f t="shared" si="651"/>
        <v>542663536.37853932</v>
      </c>
      <c r="HE207" s="77">
        <f t="shared" si="651"/>
        <v>574122292.11062849</v>
      </c>
      <c r="IC207" s="82">
        <v>216</v>
      </c>
    </row>
    <row r="208" spans="1:237" s="77" customFormat="1">
      <c r="A208" s="77">
        <v>208</v>
      </c>
      <c r="B208" s="69">
        <v>286</v>
      </c>
      <c r="C208" s="69" t="s">
        <v>239</v>
      </c>
      <c r="D208" s="70" t="s">
        <v>203</v>
      </c>
      <c r="E208" s="70">
        <v>4</v>
      </c>
      <c r="F208" s="70">
        <f>P208/AJ208*Y208</f>
        <v>0.25529516068892893</v>
      </c>
      <c r="G208" s="70">
        <v>-3.2154340836012861E-3</v>
      </c>
      <c r="H208" s="70">
        <v>6.5380493033226151E-3</v>
      </c>
      <c r="I208" s="70">
        <v>5.3590568060021436E-3</v>
      </c>
      <c r="J208" s="71">
        <v>0.55968806238752244</v>
      </c>
      <c r="K208" s="72">
        <v>24.880597014925375</v>
      </c>
      <c r="L208" s="71">
        <v>0.16067213114754098</v>
      </c>
      <c r="M208" s="71">
        <v>0.17937158469945352</v>
      </c>
      <c r="N208" s="71">
        <v>0.50311475409836071</v>
      </c>
      <c r="O208" s="71">
        <v>0.19546164498366478</v>
      </c>
      <c r="P208" s="71">
        <v>9.7851728895718276E-2</v>
      </c>
      <c r="Q208" s="73" t="s">
        <v>3</v>
      </c>
      <c r="R208" s="74">
        <v>0</v>
      </c>
      <c r="S208" s="75">
        <f t="shared" si="616"/>
        <v>1.0921143845782388</v>
      </c>
      <c r="T208" s="59">
        <f t="shared" si="594"/>
        <v>0.73819951840989984</v>
      </c>
      <c r="U208" s="59">
        <f t="shared" si="595"/>
        <v>0.6242365582393643</v>
      </c>
      <c r="V208" s="59">
        <f t="shared" si="596"/>
        <v>0.53290543482283481</v>
      </c>
      <c r="W208" s="59">
        <f t="shared" si="597"/>
        <v>0.72189891964536423</v>
      </c>
      <c r="X208" s="59">
        <f t="shared" si="598"/>
        <v>0.85369148568593056</v>
      </c>
      <c r="Y208" s="76">
        <v>521800</v>
      </c>
      <c r="Z208" s="57">
        <f t="shared" si="599"/>
        <v>445456.21723091858</v>
      </c>
      <c r="AA208" s="57">
        <f t="shared" si="600"/>
        <v>376686.85627095104</v>
      </c>
      <c r="AB208" s="57">
        <f t="shared" si="642"/>
        <v>387163.45400394045</v>
      </c>
      <c r="AC208" s="57">
        <f t="shared" si="601"/>
        <v>0.25</v>
      </c>
      <c r="AD208" s="57">
        <f t="shared" si="602"/>
        <v>1.5</v>
      </c>
      <c r="AE208" s="57">
        <f t="shared" si="603"/>
        <v>200000</v>
      </c>
      <c r="AF208" s="57">
        <f t="shared" si="604"/>
        <v>113880.67099445373</v>
      </c>
      <c r="AG208" s="57">
        <f t="shared" si="640"/>
        <v>262806.18527649733</v>
      </c>
      <c r="AH208" s="57">
        <f t="shared" si="624"/>
        <v>252588947.91961041</v>
      </c>
      <c r="AI208" s="57">
        <f t="shared" si="625"/>
        <v>108634554.66606599</v>
      </c>
      <c r="AJ208" s="77">
        <v>200000</v>
      </c>
      <c r="AK208" s="77">
        <v>18.3</v>
      </c>
      <c r="AL208" s="78">
        <f t="shared" si="605"/>
        <v>2.2724677009632233</v>
      </c>
      <c r="AM208" s="57">
        <f t="shared" si="606"/>
        <v>1</v>
      </c>
      <c r="AN208" s="57">
        <f t="shared" si="607"/>
        <v>0.8</v>
      </c>
      <c r="AO208" s="77">
        <v>1667</v>
      </c>
      <c r="AP208" s="79">
        <v>140</v>
      </c>
      <c r="AQ208" s="57">
        <f t="shared" si="608"/>
        <v>125.49949363480972</v>
      </c>
      <c r="AR208" s="78">
        <f t="shared" si="626"/>
        <v>1387</v>
      </c>
      <c r="AS208" s="57">
        <f t="shared" si="609"/>
        <v>1541.5005063651902</v>
      </c>
      <c r="AT208" s="77">
        <v>67</v>
      </c>
      <c r="AU208" s="77">
        <v>933</v>
      </c>
      <c r="AV208" s="78">
        <f t="shared" si="610"/>
        <v>111689</v>
      </c>
      <c r="AW208" s="77">
        <v>0</v>
      </c>
      <c r="AX208" s="77">
        <f t="shared" si="611"/>
        <v>111689</v>
      </c>
      <c r="AY208" s="77">
        <v>111689</v>
      </c>
      <c r="AZ208" s="77">
        <f>BA208</f>
        <v>289</v>
      </c>
      <c r="BA208" s="77">
        <v>289</v>
      </c>
      <c r="BB208" s="77">
        <v>289</v>
      </c>
      <c r="BC208" s="77">
        <v>289</v>
      </c>
      <c r="BD208" s="77">
        <v>9.9000000000000008E-3</v>
      </c>
      <c r="BE208" s="77">
        <v>1.01E-2</v>
      </c>
      <c r="BF208" s="77">
        <v>3.1E-2</v>
      </c>
      <c r="BG208" s="77">
        <f>PI()*6.5*6.5/4*2/(67*90)</f>
        <v>1.1005994163695586E-2</v>
      </c>
      <c r="BH208" s="79">
        <v>90</v>
      </c>
      <c r="BI208" s="79">
        <f>PI()*6.5*6.5/4</f>
        <v>33.183072403542191</v>
      </c>
      <c r="BJ208" s="79">
        <v>2</v>
      </c>
      <c r="BK208" s="57">
        <f t="shared" si="641"/>
        <v>66.366144807084382</v>
      </c>
      <c r="BL208" s="57">
        <f t="shared" si="643"/>
        <v>919.99710000000005</v>
      </c>
      <c r="BM208" s="80">
        <f>PI()*6.5*6.5/4</f>
        <v>33.183072403542191</v>
      </c>
      <c r="BN208" s="80">
        <f>4*2</f>
        <v>8</v>
      </c>
      <c r="BO208" s="57">
        <f t="shared" si="627"/>
        <v>265.46457922833753</v>
      </c>
      <c r="BP208" s="57">
        <f t="shared" si="612"/>
        <v>278070.0558905552</v>
      </c>
      <c r="BQ208" s="77">
        <f t="shared" si="613"/>
        <v>-3.2014213502407074E-9</v>
      </c>
      <c r="BR208" s="57">
        <f t="shared" si="520"/>
        <v>259439362.14588803</v>
      </c>
      <c r="BS208" s="57">
        <v>250.99898726961945</v>
      </c>
      <c r="BT208" s="57">
        <f t="shared" si="617"/>
        <v>236.76570255191137</v>
      </c>
      <c r="BU208" s="57"/>
      <c r="BV208" s="57">
        <v>3.3E-3</v>
      </c>
      <c r="BW208" s="57">
        <v>30000</v>
      </c>
      <c r="BX208" s="57">
        <v>200000</v>
      </c>
      <c r="BY208" s="77">
        <f>20</f>
        <v>20</v>
      </c>
      <c r="BZ208" s="77">
        <f>BY208+40*1</f>
        <v>60</v>
      </c>
      <c r="CA208" s="77">
        <f>BY208+40*2</f>
        <v>100</v>
      </c>
      <c r="CB208" s="77">
        <f>BY208+40*3</f>
        <v>140</v>
      </c>
      <c r="CC208" s="77">
        <f>CB208+45</f>
        <v>185</v>
      </c>
      <c r="CD208" s="77">
        <f>CC208+90*1</f>
        <v>275</v>
      </c>
      <c r="CE208" s="77">
        <f>CC208+90*2</f>
        <v>365</v>
      </c>
      <c r="CF208" s="77">
        <f>CC208+90*3</f>
        <v>455</v>
      </c>
      <c r="CG208" s="77">
        <f>CC208+90*4</f>
        <v>545</v>
      </c>
      <c r="CH208" s="77">
        <f>CC208+90*5</f>
        <v>635</v>
      </c>
      <c r="CI208" s="77">
        <f>CC208+90*6</f>
        <v>725</v>
      </c>
      <c r="CJ208" s="77">
        <f>CC208+90*7</f>
        <v>815</v>
      </c>
      <c r="CK208" s="77">
        <f>CJ208+45</f>
        <v>860</v>
      </c>
      <c r="CL208" s="77">
        <f>CK208+40*1</f>
        <v>900</v>
      </c>
      <c r="CM208" s="77">
        <f>CK208+40*2</f>
        <v>940</v>
      </c>
      <c r="CN208" s="77">
        <f>CK208+40*3</f>
        <v>980</v>
      </c>
      <c r="DM208" s="77">
        <f t="shared" ref="DM208:EB209" si="652">PI()*6.5*6.5/4*2</f>
        <v>66.366144807084382</v>
      </c>
      <c r="DN208" s="77">
        <f t="shared" si="652"/>
        <v>66.366144807084382</v>
      </c>
      <c r="DO208" s="77">
        <f t="shared" si="652"/>
        <v>66.366144807084382</v>
      </c>
      <c r="DP208" s="77">
        <f t="shared" si="652"/>
        <v>66.366144807084382</v>
      </c>
      <c r="DQ208" s="77">
        <f t="shared" si="652"/>
        <v>66.366144807084382</v>
      </c>
      <c r="DR208" s="77">
        <f t="shared" si="652"/>
        <v>66.366144807084382</v>
      </c>
      <c r="DS208" s="77">
        <f t="shared" si="652"/>
        <v>66.366144807084382</v>
      </c>
      <c r="DT208" s="77">
        <f t="shared" si="652"/>
        <v>66.366144807084382</v>
      </c>
      <c r="DU208" s="77">
        <f t="shared" si="652"/>
        <v>66.366144807084382</v>
      </c>
      <c r="DV208" s="77">
        <f t="shared" si="652"/>
        <v>66.366144807084382</v>
      </c>
      <c r="DW208" s="77">
        <f t="shared" si="652"/>
        <v>66.366144807084382</v>
      </c>
      <c r="DX208" s="77">
        <f t="shared" si="652"/>
        <v>66.366144807084382</v>
      </c>
      <c r="DY208" s="77">
        <f t="shared" si="652"/>
        <v>66.366144807084382</v>
      </c>
      <c r="DZ208" s="77">
        <f t="shared" si="652"/>
        <v>66.366144807084382</v>
      </c>
      <c r="EA208" s="77">
        <f t="shared" si="652"/>
        <v>66.366144807084382</v>
      </c>
      <c r="EB208" s="77">
        <f t="shared" si="652"/>
        <v>66.366144807084382</v>
      </c>
      <c r="FA208" s="77">
        <f t="shared" si="645"/>
        <v>-19179.815849247385</v>
      </c>
      <c r="FB208" s="77">
        <f t="shared" si="646"/>
        <v>-19179.815849247385</v>
      </c>
      <c r="FC208" s="77">
        <f t="shared" ref="FC208:FD211" si="653">IF(ABS(-$BV208*($BS208-CA208)/$BS208*$BX208)&gt;$BB208,$BB208*SIGN(-($BS208-CA208)),-$BV208*($BS208-CA208)/$BS208*$BX208)*DO208</f>
        <v>-19179.815849247385</v>
      </c>
      <c r="FD208" s="77">
        <f t="shared" si="653"/>
        <v>-19179.815849247385</v>
      </c>
      <c r="FE208" s="77">
        <f t="shared" ref="FE208:FL209" si="654">IF(ABS(-$BV208*($BS208-CC208)/$BS208*$BX208)&gt;$BA208,$BA208*SIGN(-($BS208-CC208)),-$BV208*($BS208-CC208)/$BS208*$BX208)*DQ208</f>
        <v>-11517.436544172006</v>
      </c>
      <c r="FF208" s="77">
        <f t="shared" si="654"/>
        <v>4188.3997399649252</v>
      </c>
      <c r="FG208" s="77">
        <f t="shared" si="654"/>
        <v>19179.815849247385</v>
      </c>
      <c r="FH208" s="77">
        <f t="shared" si="654"/>
        <v>19179.815849247385</v>
      </c>
      <c r="FI208" s="77">
        <f t="shared" si="654"/>
        <v>19179.815849247385</v>
      </c>
      <c r="FJ208" s="77">
        <f t="shared" si="654"/>
        <v>19179.815849247385</v>
      </c>
      <c r="FK208" s="77">
        <f t="shared" si="654"/>
        <v>19179.815849247385</v>
      </c>
      <c r="FL208" s="77">
        <f t="shared" si="654"/>
        <v>19179.815849247385</v>
      </c>
      <c r="FM208" s="77">
        <f t="shared" ref="FM208:FP209" si="655">IF(ABS(-$BV208*($BS208-CK208)/$BS208*$BX208)&gt;$BB208,$BB208*SIGN(-($BS208-CK208)),-$BV208*($BS208-CK208)/$BS208*$BX208)*DY208</f>
        <v>19179.815849247385</v>
      </c>
      <c r="FN208" s="77">
        <f t="shared" si="655"/>
        <v>19179.815849247385</v>
      </c>
      <c r="FO208" s="77">
        <f t="shared" si="655"/>
        <v>19179.815849247385</v>
      </c>
      <c r="FP208" s="77">
        <f t="shared" si="655"/>
        <v>19179.815849247385</v>
      </c>
      <c r="GO208" s="77">
        <f t="shared" si="527"/>
        <v>15602780.193362748</v>
      </c>
      <c r="GP208" s="77">
        <f t="shared" si="528"/>
        <v>14835587.559392853</v>
      </c>
      <c r="GQ208" s="77">
        <f t="shared" si="529"/>
        <v>14068394.925422957</v>
      </c>
      <c r="GR208" s="77">
        <f t="shared" si="530"/>
        <v>13301202.291453062</v>
      </c>
      <c r="GS208" s="77">
        <f t="shared" ref="GS208:HD209" si="656">FE208*(CC208-0.5*$AO208)</f>
        <v>7469057.598895546</v>
      </c>
      <c r="GT208" s="77">
        <f t="shared" si="656"/>
        <v>-2339221.2547704107</v>
      </c>
      <c r="GU208" s="77">
        <f t="shared" si="656"/>
        <v>-8985743.7253724001</v>
      </c>
      <c r="GV208" s="77">
        <f t="shared" si="656"/>
        <v>-7259560.2989401352</v>
      </c>
      <c r="GW208" s="77">
        <f t="shared" si="656"/>
        <v>-5533376.8725078702</v>
      </c>
      <c r="GX208" s="77">
        <f t="shared" si="656"/>
        <v>-3807193.4460756057</v>
      </c>
      <c r="GY208" s="77">
        <f t="shared" si="656"/>
        <v>-2081010.0196433412</v>
      </c>
      <c r="GZ208" s="77">
        <f t="shared" si="656"/>
        <v>-354826.59321107663</v>
      </c>
      <c r="HA208" s="77">
        <f t="shared" si="656"/>
        <v>508265.12000505568</v>
      </c>
      <c r="HB208" s="77">
        <f t="shared" si="656"/>
        <v>1275457.7539749511</v>
      </c>
      <c r="HC208" s="77">
        <f t="shared" si="656"/>
        <v>2042650.3879448464</v>
      </c>
      <c r="HD208" s="77">
        <f t="shared" si="656"/>
        <v>2809843.021914742</v>
      </c>
      <c r="IC208" s="82">
        <v>217</v>
      </c>
    </row>
    <row r="209" spans="1:237" s="77" customFormat="1">
      <c r="A209" s="77">
        <v>209</v>
      </c>
      <c r="B209" s="69">
        <v>287</v>
      </c>
      <c r="C209" s="69" t="s">
        <v>239</v>
      </c>
      <c r="D209" s="70" t="s">
        <v>204</v>
      </c>
      <c r="E209" s="70">
        <v>4</v>
      </c>
      <c r="F209" s="70">
        <f>P209/AJ209*Y209</f>
        <v>0.28729267603782882</v>
      </c>
      <c r="G209" s="70">
        <v>4.2872454448017148E-3</v>
      </c>
      <c r="H209" s="70">
        <v>7.931404072883173E-3</v>
      </c>
      <c r="I209" s="70">
        <v>8.5744908896034297E-3</v>
      </c>
      <c r="J209" s="71">
        <v>0.55968806238752244</v>
      </c>
      <c r="K209" s="72">
        <v>24.880597014925375</v>
      </c>
      <c r="L209" s="71">
        <v>0.15742622950819671</v>
      </c>
      <c r="M209" s="71">
        <v>0.17937158469945352</v>
      </c>
      <c r="N209" s="71">
        <v>0.79985245901639335</v>
      </c>
      <c r="O209" s="71">
        <v>0.19546164498366478</v>
      </c>
      <c r="P209" s="71">
        <v>0.19570345779143655</v>
      </c>
      <c r="Q209" s="73" t="s">
        <v>3</v>
      </c>
      <c r="R209" s="74">
        <v>0</v>
      </c>
      <c r="S209" s="75">
        <f t="shared" si="616"/>
        <v>1.2289949532854385</v>
      </c>
      <c r="T209" s="59">
        <f t="shared" si="594"/>
        <v>1.0165318756059829</v>
      </c>
      <c r="U209" s="59">
        <f t="shared" si="595"/>
        <v>0.87346889386263049</v>
      </c>
      <c r="V209" s="59">
        <f t="shared" si="596"/>
        <v>0.6626228701105622</v>
      </c>
      <c r="W209" s="59">
        <f t="shared" si="597"/>
        <v>0.65184662282779293</v>
      </c>
      <c r="X209" s="59">
        <f t="shared" si="598"/>
        <v>0.75861072416709563</v>
      </c>
      <c r="Y209" s="76">
        <v>587200</v>
      </c>
      <c r="Z209" s="57">
        <f t="shared" si="599"/>
        <v>445456.21723091858</v>
      </c>
      <c r="AA209" s="57">
        <f t="shared" si="600"/>
        <v>382764.33692448004</v>
      </c>
      <c r="AB209" s="57">
        <f t="shared" si="642"/>
        <v>366198.21884881979</v>
      </c>
      <c r="AC209" s="57">
        <f t="shared" si="601"/>
        <v>0.25</v>
      </c>
      <c r="AD209" s="57">
        <f t="shared" si="602"/>
        <v>1.5</v>
      </c>
      <c r="AE209" s="57">
        <f t="shared" si="603"/>
        <v>400000</v>
      </c>
      <c r="AF209" s="57">
        <f t="shared" si="604"/>
        <v>130216.23695321988</v>
      </c>
      <c r="AG209" s="57">
        <f t="shared" si="640"/>
        <v>252548.09997126018</v>
      </c>
      <c r="AH209" s="57">
        <f t="shared" si="624"/>
        <v>242260660.29459625</v>
      </c>
      <c r="AI209" s="57">
        <f t="shared" si="625"/>
        <v>99402277.891352579</v>
      </c>
      <c r="AJ209" s="77">
        <v>400000</v>
      </c>
      <c r="AK209" s="77">
        <v>18.3</v>
      </c>
      <c r="AL209" s="78">
        <f t="shared" si="605"/>
        <v>2.2724677009632233</v>
      </c>
      <c r="AM209" s="57">
        <f t="shared" si="606"/>
        <v>1</v>
      </c>
      <c r="AN209" s="57">
        <f t="shared" si="607"/>
        <v>0.8</v>
      </c>
      <c r="AO209" s="77">
        <v>1667</v>
      </c>
      <c r="AP209" s="79">
        <v>140</v>
      </c>
      <c r="AQ209" s="57">
        <f t="shared" si="608"/>
        <v>185.66871558719166</v>
      </c>
      <c r="AR209" s="78">
        <f t="shared" si="626"/>
        <v>1387</v>
      </c>
      <c r="AS209" s="57">
        <f t="shared" si="609"/>
        <v>1481.3312844128084</v>
      </c>
      <c r="AT209" s="77">
        <v>67</v>
      </c>
      <c r="AU209" s="77">
        <v>933</v>
      </c>
      <c r="AV209" s="78">
        <f t="shared" si="610"/>
        <v>111689</v>
      </c>
      <c r="AW209" s="77">
        <v>0</v>
      </c>
      <c r="AX209" s="77">
        <f t="shared" si="611"/>
        <v>111689</v>
      </c>
      <c r="AY209" s="77">
        <v>111689</v>
      </c>
      <c r="AZ209" s="77">
        <f>BA209</f>
        <v>289</v>
      </c>
      <c r="BA209" s="77">
        <v>289</v>
      </c>
      <c r="BB209" s="77">
        <v>289</v>
      </c>
      <c r="BC209" s="77">
        <v>289</v>
      </c>
      <c r="BD209" s="77">
        <v>9.9000000000000008E-3</v>
      </c>
      <c r="BE209" s="77">
        <v>1.01E-2</v>
      </c>
      <c r="BF209" s="77">
        <v>5.0299999999999997E-2</v>
      </c>
      <c r="BG209" s="77">
        <f>PI()*6.5*6.5/4*2/(67*90)</f>
        <v>1.1005994163695586E-2</v>
      </c>
      <c r="BH209" s="79">
        <v>90</v>
      </c>
      <c r="BI209" s="79">
        <f>PI()*6.5*6.5/4</f>
        <v>33.183072403542191</v>
      </c>
      <c r="BJ209" s="79">
        <v>2</v>
      </c>
      <c r="BK209" s="57">
        <f t="shared" si="641"/>
        <v>66.366144807084382</v>
      </c>
      <c r="BL209" s="57">
        <f t="shared" si="643"/>
        <v>919.99710000000005</v>
      </c>
      <c r="BM209" s="80">
        <f>PI()*6.5*6.5/4</f>
        <v>33.183072403542191</v>
      </c>
      <c r="BN209" s="80">
        <f>4*2</f>
        <v>8</v>
      </c>
      <c r="BO209" s="57">
        <f t="shared" si="627"/>
        <v>265.46457922833753</v>
      </c>
      <c r="BP209" s="57">
        <f t="shared" si="612"/>
        <v>389092.1493289221</v>
      </c>
      <c r="BQ209" s="77">
        <f t="shared" si="613"/>
        <v>-1.178705133497715E-9</v>
      </c>
      <c r="BR209" s="57">
        <f t="shared" si="520"/>
        <v>363022975.32388431</v>
      </c>
      <c r="BS209" s="57">
        <v>371.33743117438331</v>
      </c>
      <c r="BT209" s="57">
        <f t="shared" si="617"/>
        <v>445.51963545270883</v>
      </c>
      <c r="BU209" s="57"/>
      <c r="BV209" s="57">
        <v>3.3E-3</v>
      </c>
      <c r="BW209" s="57">
        <v>30000</v>
      </c>
      <c r="BX209" s="57">
        <v>200000</v>
      </c>
      <c r="BY209" s="77">
        <f>20</f>
        <v>20</v>
      </c>
      <c r="BZ209" s="77">
        <f>BY209+40*1</f>
        <v>60</v>
      </c>
      <c r="CA209" s="77">
        <f>BY209+40*2</f>
        <v>100</v>
      </c>
      <c r="CB209" s="77">
        <f>BY209+40*3</f>
        <v>140</v>
      </c>
      <c r="CC209" s="77">
        <f>CB209+45</f>
        <v>185</v>
      </c>
      <c r="CD209" s="77">
        <f>CC209+90*1</f>
        <v>275</v>
      </c>
      <c r="CE209" s="77">
        <f>CC209+90*2</f>
        <v>365</v>
      </c>
      <c r="CF209" s="77">
        <f>CC209+90*3</f>
        <v>455</v>
      </c>
      <c r="CG209" s="77">
        <f>CC209+90*4</f>
        <v>545</v>
      </c>
      <c r="CH209" s="77">
        <f>CC209+90*5</f>
        <v>635</v>
      </c>
      <c r="CI209" s="77">
        <f>CC209+90*6</f>
        <v>725</v>
      </c>
      <c r="CJ209" s="77">
        <f>CC209+90*7</f>
        <v>815</v>
      </c>
      <c r="CK209" s="77">
        <f>CJ209+45</f>
        <v>860</v>
      </c>
      <c r="CL209" s="77">
        <f>CK209+40*1</f>
        <v>900</v>
      </c>
      <c r="CM209" s="77">
        <f>CK209+40*2</f>
        <v>940</v>
      </c>
      <c r="CN209" s="77">
        <f>CK209+40*3</f>
        <v>980</v>
      </c>
      <c r="DM209" s="77">
        <f t="shared" si="652"/>
        <v>66.366144807084382</v>
      </c>
      <c r="DN209" s="77">
        <f t="shared" si="652"/>
        <v>66.366144807084382</v>
      </c>
      <c r="DO209" s="77">
        <f t="shared" si="652"/>
        <v>66.366144807084382</v>
      </c>
      <c r="DP209" s="77">
        <f t="shared" si="652"/>
        <v>66.366144807084382</v>
      </c>
      <c r="DQ209" s="77">
        <f t="shared" si="652"/>
        <v>66.366144807084382</v>
      </c>
      <c r="DR209" s="77">
        <f t="shared" si="652"/>
        <v>66.366144807084382</v>
      </c>
      <c r="DS209" s="77">
        <f t="shared" si="652"/>
        <v>66.366144807084382</v>
      </c>
      <c r="DT209" s="77">
        <f t="shared" si="652"/>
        <v>66.366144807084382</v>
      </c>
      <c r="DU209" s="77">
        <f t="shared" si="652"/>
        <v>66.366144807084382</v>
      </c>
      <c r="DV209" s="77">
        <f t="shared" si="652"/>
        <v>66.366144807084382</v>
      </c>
      <c r="DW209" s="77">
        <f t="shared" si="652"/>
        <v>66.366144807084382</v>
      </c>
      <c r="DX209" s="77">
        <f t="shared" si="652"/>
        <v>66.366144807084382</v>
      </c>
      <c r="DY209" s="77">
        <f t="shared" si="652"/>
        <v>66.366144807084382</v>
      </c>
      <c r="DZ209" s="77">
        <f t="shared" si="652"/>
        <v>66.366144807084382</v>
      </c>
      <c r="EA209" s="77">
        <f t="shared" si="652"/>
        <v>66.366144807084382</v>
      </c>
      <c r="EB209" s="77">
        <f t="shared" si="652"/>
        <v>66.366144807084382</v>
      </c>
      <c r="FA209" s="77">
        <f t="shared" si="645"/>
        <v>-19179.815849247385</v>
      </c>
      <c r="FB209" s="77">
        <f t="shared" si="646"/>
        <v>-19179.815849247385</v>
      </c>
      <c r="FC209" s="77">
        <f t="shared" si="653"/>
        <v>-19179.815849247385</v>
      </c>
      <c r="FD209" s="77">
        <f t="shared" si="653"/>
        <v>-19179.815849247385</v>
      </c>
      <c r="FE209" s="77">
        <f t="shared" si="654"/>
        <v>-19179.815849247385</v>
      </c>
      <c r="FF209" s="77">
        <f t="shared" si="654"/>
        <v>-11363.624091736287</v>
      </c>
      <c r="FG209" s="77">
        <f t="shared" si="654"/>
        <v>-747.5410616106642</v>
      </c>
      <c r="FH209" s="77">
        <f t="shared" si="654"/>
        <v>9868.5419685149573</v>
      </c>
      <c r="FI209" s="77">
        <f t="shared" si="654"/>
        <v>19179.815849247385</v>
      </c>
      <c r="FJ209" s="77">
        <f t="shared" si="654"/>
        <v>19179.815849247385</v>
      </c>
      <c r="FK209" s="77">
        <f t="shared" si="654"/>
        <v>19179.815849247385</v>
      </c>
      <c r="FL209" s="77">
        <f t="shared" si="654"/>
        <v>19179.815849247385</v>
      </c>
      <c r="FM209" s="77">
        <f t="shared" si="655"/>
        <v>19179.815849247385</v>
      </c>
      <c r="FN209" s="77">
        <f t="shared" si="655"/>
        <v>19179.815849247385</v>
      </c>
      <c r="FO209" s="77">
        <f t="shared" si="655"/>
        <v>19179.815849247385</v>
      </c>
      <c r="FP209" s="77">
        <f t="shared" si="655"/>
        <v>19179.815849247385</v>
      </c>
      <c r="GO209" s="77">
        <f t="shared" si="527"/>
        <v>15602780.193362748</v>
      </c>
      <c r="GP209" s="77">
        <f t="shared" si="528"/>
        <v>14835587.559392853</v>
      </c>
      <c r="GQ209" s="77">
        <f t="shared" si="529"/>
        <v>14068394.925422957</v>
      </c>
      <c r="GR209" s="77">
        <f t="shared" si="530"/>
        <v>13301202.291453062</v>
      </c>
      <c r="GS209" s="77">
        <f t="shared" si="656"/>
        <v>12438110.578236928</v>
      </c>
      <c r="GT209" s="77">
        <f t="shared" si="656"/>
        <v>6346584.0552347163</v>
      </c>
      <c r="GU209" s="77">
        <f t="shared" si="656"/>
        <v>350222.98736459616</v>
      </c>
      <c r="GV209" s="77">
        <f t="shared" si="656"/>
        <v>-3735243.1350829112</v>
      </c>
      <c r="GW209" s="77">
        <f t="shared" si="656"/>
        <v>-5533376.8725078702</v>
      </c>
      <c r="GX209" s="77">
        <f t="shared" si="656"/>
        <v>-3807193.4460756057</v>
      </c>
      <c r="GY209" s="77">
        <f t="shared" si="656"/>
        <v>-2081010.0196433412</v>
      </c>
      <c r="GZ209" s="77">
        <f t="shared" si="656"/>
        <v>-354826.59321107663</v>
      </c>
      <c r="HA209" s="77">
        <f t="shared" si="656"/>
        <v>508265.12000505568</v>
      </c>
      <c r="HB209" s="77">
        <f t="shared" si="656"/>
        <v>1275457.7539749511</v>
      </c>
      <c r="HC209" s="77">
        <f t="shared" si="656"/>
        <v>2042650.3879448464</v>
      </c>
      <c r="HD209" s="77">
        <f t="shared" si="656"/>
        <v>2809843.021914742</v>
      </c>
      <c r="IC209" s="82">
        <v>218</v>
      </c>
    </row>
    <row r="210" spans="1:237" s="77" customFormat="1">
      <c r="A210" s="77">
        <v>210</v>
      </c>
      <c r="B210" s="69">
        <v>297</v>
      </c>
      <c r="C210" s="69" t="s">
        <v>239</v>
      </c>
      <c r="D210" s="70" t="s">
        <v>205</v>
      </c>
      <c r="E210" s="70">
        <v>1</v>
      </c>
      <c r="F210" s="70">
        <v>5.5565485056101684E-2</v>
      </c>
      <c r="G210" s="70">
        <v>9.7872340425531907E-3</v>
      </c>
      <c r="H210" s="70">
        <v>-1.4893617021276596E-2</v>
      </c>
      <c r="I210" s="70">
        <v>1.9574468085106381E-2</v>
      </c>
      <c r="J210" s="71">
        <v>2.6111111111111112</v>
      </c>
      <c r="K210" s="72">
        <v>12</v>
      </c>
      <c r="L210" s="71">
        <v>8.028590425531916E-2</v>
      </c>
      <c r="M210" s="71">
        <v>9.6343085106382981E-2</v>
      </c>
      <c r="N210" s="71">
        <v>0.65137101063829794</v>
      </c>
      <c r="O210" s="71">
        <v>0.16057180851063832</v>
      </c>
      <c r="P210" s="71">
        <v>0.19700551615445233</v>
      </c>
      <c r="Q210" s="73" t="s">
        <v>3</v>
      </c>
      <c r="R210" s="74">
        <v>0</v>
      </c>
      <c r="S210" s="75">
        <f t="shared" si="616"/>
        <v>0.33935912059511641</v>
      </c>
      <c r="T210" s="59">
        <f t="shared" si="594"/>
        <v>0.71425001810842315</v>
      </c>
      <c r="U210" s="59">
        <f t="shared" si="595"/>
        <v>0.57589842753883591</v>
      </c>
      <c r="V210" s="59">
        <f t="shared" si="596"/>
        <v>1.0937422615284345</v>
      </c>
      <c r="W210" s="59">
        <f t="shared" si="597"/>
        <v>1.5313156931028657</v>
      </c>
      <c r="X210" s="59">
        <f t="shared" si="598"/>
        <v>1.8991929986728042</v>
      </c>
      <c r="Y210" s="76">
        <v>139900</v>
      </c>
      <c r="Z210" s="57">
        <f t="shared" si="599"/>
        <v>265697.10051432531</v>
      </c>
      <c r="AA210" s="57">
        <f t="shared" si="600"/>
        <v>214231.06546509091</v>
      </c>
      <c r="AB210" s="57">
        <f t="shared" si="642"/>
        <v>228841.7793658076</v>
      </c>
      <c r="AC210" s="57">
        <f t="shared" si="601"/>
        <v>0.17</v>
      </c>
      <c r="AD210" s="57">
        <f t="shared" si="602"/>
        <v>2.2000000000000002</v>
      </c>
      <c r="AE210" s="57">
        <f t="shared" si="603"/>
        <v>496010.63829787233</v>
      </c>
      <c r="AF210" s="57">
        <f t="shared" si="604"/>
        <v>76348.776484693648</v>
      </c>
      <c r="AG210" s="57">
        <f t="shared" si="640"/>
        <v>137882.28898039725</v>
      </c>
      <c r="AH210" s="57">
        <f t="shared" si="624"/>
        <v>355051058.98248881</v>
      </c>
      <c r="AI210" s="57">
        <f t="shared" si="625"/>
        <v>182727122.52715909</v>
      </c>
      <c r="AJ210" s="77">
        <v>400000</v>
      </c>
      <c r="AK210" s="77">
        <v>37.299999999999997</v>
      </c>
      <c r="AL210" s="78">
        <f t="shared" si="605"/>
        <v>3.3619362763344038</v>
      </c>
      <c r="AM210" s="57">
        <f t="shared" si="606"/>
        <v>1</v>
      </c>
      <c r="AN210" s="57">
        <f t="shared" si="607"/>
        <v>0.8</v>
      </c>
      <c r="AO210" s="77">
        <v>900</v>
      </c>
      <c r="AP210" s="79">
        <v>180</v>
      </c>
      <c r="AQ210" s="57">
        <f t="shared" si="608"/>
        <v>104.90406318639891</v>
      </c>
      <c r="AR210" s="78">
        <f t="shared" si="626"/>
        <v>540</v>
      </c>
      <c r="AS210" s="57">
        <f t="shared" si="609"/>
        <v>795.09593681360104</v>
      </c>
      <c r="AT210" s="77">
        <v>75</v>
      </c>
      <c r="AU210" s="77">
        <v>2350</v>
      </c>
      <c r="AV210" s="78">
        <f t="shared" si="610"/>
        <v>67500</v>
      </c>
      <c r="AW210" s="77">
        <v>0</v>
      </c>
      <c r="AX210" s="77">
        <f t="shared" si="611"/>
        <v>67500</v>
      </c>
      <c r="AY210" s="77">
        <v>67500</v>
      </c>
      <c r="AZ210" s="77">
        <v>345</v>
      </c>
      <c r="BA210" s="77">
        <v>345</v>
      </c>
      <c r="BB210" s="77">
        <v>526.70000000000005</v>
      </c>
      <c r="BC210" s="77">
        <v>345</v>
      </c>
      <c r="BD210" s="77">
        <v>7.0000000000000001E-3</v>
      </c>
      <c r="BE210" s="77">
        <v>8.3999999999999995E-3</v>
      </c>
      <c r="BF210" s="77">
        <v>3.7199999999999997E-2</v>
      </c>
      <c r="BG210" s="77">
        <v>1.4E-2</v>
      </c>
      <c r="BH210" s="79">
        <v>90</v>
      </c>
      <c r="BI210" s="79">
        <f t="shared" ref="BI210:BI225" si="657">PI()*6*6/4</f>
        <v>28.274333882308138</v>
      </c>
      <c r="BJ210" s="79">
        <v>2</v>
      </c>
      <c r="BK210" s="57">
        <f t="shared" si="641"/>
        <v>56.548667764616276</v>
      </c>
      <c r="BL210" s="57">
        <f t="shared" si="643"/>
        <v>283.5</v>
      </c>
      <c r="BM210" s="80">
        <f>PI()*8*8/4</f>
        <v>50.26548245743669</v>
      </c>
      <c r="BN210" s="80">
        <v>10</v>
      </c>
      <c r="BO210" s="57">
        <f t="shared" si="627"/>
        <v>502.6548245743669</v>
      </c>
      <c r="BP210" s="57">
        <f t="shared" si="612"/>
        <v>153014.54238782797</v>
      </c>
      <c r="BQ210" s="77">
        <f t="shared" si="613"/>
        <v>0</v>
      </c>
      <c r="BR210" s="57">
        <f t="shared" si="520"/>
        <v>359584174.61139572</v>
      </c>
      <c r="BS210" s="57">
        <v>209.80812637279783</v>
      </c>
      <c r="BT210" s="57">
        <f t="shared" si="617"/>
        <v>283.70718864172869</v>
      </c>
      <c r="BU210" s="57"/>
      <c r="BV210" s="57">
        <v>3.3E-3</v>
      </c>
      <c r="BW210" s="57">
        <v>30000</v>
      </c>
      <c r="BX210" s="57">
        <v>200000</v>
      </c>
      <c r="BY210" s="77">
        <f>20</f>
        <v>20</v>
      </c>
      <c r="BZ210" s="77">
        <f>BY210+160/4*1</f>
        <v>60</v>
      </c>
      <c r="CA210" s="77">
        <f>BY210+160/4*2</f>
        <v>100</v>
      </c>
      <c r="CB210" s="77">
        <f>BY210+160/4*3</f>
        <v>140</v>
      </c>
      <c r="CC210" s="77">
        <f>BY210+160/4*4</f>
        <v>180</v>
      </c>
      <c r="CD210" s="77">
        <f>CC210+90*1</f>
        <v>270</v>
      </c>
      <c r="CE210" s="77">
        <f>CC210+90*2</f>
        <v>360</v>
      </c>
      <c r="CF210" s="77">
        <f>CC210+90*3</f>
        <v>450</v>
      </c>
      <c r="CG210" s="77">
        <f>CC210+90*4</f>
        <v>540</v>
      </c>
      <c r="CH210" s="77">
        <f>CC210+90*5</f>
        <v>630</v>
      </c>
      <c r="CI210" s="77">
        <f>CC210+90*6</f>
        <v>720</v>
      </c>
      <c r="CJ210" s="77">
        <f>CI210+160/4*1</f>
        <v>760</v>
      </c>
      <c r="CK210" s="77">
        <f>CI210+160/4*2</f>
        <v>800</v>
      </c>
      <c r="CL210" s="77">
        <f>CI210+160/4*3</f>
        <v>840</v>
      </c>
      <c r="CM210" s="77">
        <f>CI210+160/4*4</f>
        <v>880</v>
      </c>
      <c r="DM210" s="77">
        <f t="shared" ref="DM210:DQ211" si="658">PI()*8*8/4*2</f>
        <v>100.53096491487338</v>
      </c>
      <c r="DN210" s="77">
        <f t="shared" si="658"/>
        <v>100.53096491487338</v>
      </c>
      <c r="DO210" s="77">
        <f t="shared" si="658"/>
        <v>100.53096491487338</v>
      </c>
      <c r="DP210" s="77">
        <f t="shared" si="658"/>
        <v>100.53096491487338</v>
      </c>
      <c r="DQ210" s="77">
        <f t="shared" si="658"/>
        <v>100.53096491487338</v>
      </c>
      <c r="DR210" s="77">
        <f t="shared" ref="DR210:DV211" si="659">PI()*6*6/4*2</f>
        <v>56.548667764616276</v>
      </c>
      <c r="DS210" s="77">
        <f t="shared" si="659"/>
        <v>56.548667764616276</v>
      </c>
      <c r="DT210" s="77">
        <f t="shared" si="659"/>
        <v>56.548667764616276</v>
      </c>
      <c r="DU210" s="77">
        <f t="shared" si="659"/>
        <v>56.548667764616276</v>
      </c>
      <c r="DV210" s="77">
        <f t="shared" si="659"/>
        <v>56.548667764616276</v>
      </c>
      <c r="DW210" s="77">
        <f t="shared" ref="DW210:EA211" si="660">PI()*8*8/4*2</f>
        <v>100.53096491487338</v>
      </c>
      <c r="DX210" s="77">
        <f t="shared" si="660"/>
        <v>100.53096491487338</v>
      </c>
      <c r="DY210" s="77">
        <f t="shared" si="660"/>
        <v>100.53096491487338</v>
      </c>
      <c r="DZ210" s="77">
        <f t="shared" si="660"/>
        <v>100.53096491487338</v>
      </c>
      <c r="EA210" s="77">
        <f t="shared" si="660"/>
        <v>100.53096491487338</v>
      </c>
      <c r="FA210" s="77">
        <f t="shared" si="645"/>
        <v>-52949.659220663816</v>
      </c>
      <c r="FB210" s="77">
        <f t="shared" si="646"/>
        <v>-47375.832382808592</v>
      </c>
      <c r="FC210" s="77">
        <f t="shared" si="653"/>
        <v>-34726.096075470028</v>
      </c>
      <c r="FD210" s="77">
        <f t="shared" si="653"/>
        <v>-22076.359768131479</v>
      </c>
      <c r="FE210" s="77">
        <f>IF(ABS(-$BV210*($BS210-CC210)/$BS210*$BX210)&gt;$BB210,$BB210*SIGN(-($BS210-CC210)),-$BV210*($BS210-CC210)/$BS210*$BX210)*DQ210</f>
        <v>-9426.6234607929182</v>
      </c>
      <c r="FF210" s="77">
        <f t="shared" ref="FF210:FJ211" si="661">IF(ABS(-$BV210*($BS210-CD210)/$BS210*$BX210)&gt;$BA210,$BA210*SIGN(-($BS210-CD210)),-$BV210*($BS210-CD210)/$BS210*$BX210)*DR210</f>
        <v>10707.346817279345</v>
      </c>
      <c r="FG210" s="77">
        <f t="shared" si="661"/>
        <v>19509.290378792615</v>
      </c>
      <c r="FH210" s="77">
        <f t="shared" si="661"/>
        <v>19509.290378792615</v>
      </c>
      <c r="FI210" s="77">
        <f t="shared" si="661"/>
        <v>19509.290378792615</v>
      </c>
      <c r="FJ210" s="77">
        <f t="shared" si="661"/>
        <v>19509.290378792615</v>
      </c>
      <c r="FK210" s="77">
        <f t="shared" ref="FK210:FO211" si="662">IF(ABS(-$BV210*($BS210-CI210)/$BS210*$BX210)&gt;$BB210,$BB210*SIGN(-($BS210-CI210)),-$BV210*($BS210-CI210)/$BS210*$BX210)*DW210</f>
        <v>52949.659220663816</v>
      </c>
      <c r="FL210" s="77">
        <f t="shared" si="662"/>
        <v>52949.659220663816</v>
      </c>
      <c r="FM210" s="77">
        <f t="shared" si="662"/>
        <v>52949.659220663816</v>
      </c>
      <c r="FN210" s="77">
        <f t="shared" si="662"/>
        <v>52949.659220663816</v>
      </c>
      <c r="FO210" s="77">
        <f t="shared" si="662"/>
        <v>52949.659220663816</v>
      </c>
      <c r="GO210" s="77">
        <f t="shared" si="527"/>
        <v>22768353.46488544</v>
      </c>
      <c r="GP210" s="77">
        <f t="shared" si="528"/>
        <v>18476574.629295349</v>
      </c>
      <c r="GQ210" s="77">
        <f t="shared" si="529"/>
        <v>12154133.626414509</v>
      </c>
      <c r="GR210" s="77">
        <f t="shared" si="530"/>
        <v>6843671.528120758</v>
      </c>
      <c r="GS210" s="77">
        <f t="shared" ref="GS210:HC211" si="663">FE210*(CC210-0.5*$AO210)</f>
        <v>2545188.3344140877</v>
      </c>
      <c r="GT210" s="77">
        <f t="shared" si="663"/>
        <v>-1927322.4271102822</v>
      </c>
      <c r="GU210" s="77">
        <f t="shared" si="663"/>
        <v>-1755836.1340913353</v>
      </c>
      <c r="GV210" s="77">
        <f t="shared" si="663"/>
        <v>0</v>
      </c>
      <c r="GW210" s="77">
        <f t="shared" si="663"/>
        <v>1755836.1340913353</v>
      </c>
      <c r="GX210" s="77">
        <f t="shared" si="663"/>
        <v>3511672.2681826707</v>
      </c>
      <c r="GY210" s="77">
        <f t="shared" si="663"/>
        <v>14296407.989579231</v>
      </c>
      <c r="GZ210" s="77">
        <f t="shared" si="663"/>
        <v>16414394.358405784</v>
      </c>
      <c r="HA210" s="77">
        <f t="shared" si="663"/>
        <v>18532380.727232337</v>
      </c>
      <c r="HB210" s="77">
        <f t="shared" si="663"/>
        <v>20650367.096058886</v>
      </c>
      <c r="HC210" s="77">
        <f t="shared" si="663"/>
        <v>22768353.46488544</v>
      </c>
      <c r="IC210" s="82">
        <v>219</v>
      </c>
    </row>
    <row r="211" spans="1:237" s="77" customFormat="1">
      <c r="A211" s="77">
        <v>211</v>
      </c>
      <c r="B211" s="69">
        <v>298</v>
      </c>
      <c r="C211" s="69" t="s">
        <v>239</v>
      </c>
      <c r="D211" s="70" t="s">
        <v>206</v>
      </c>
      <c r="E211" s="70">
        <v>1</v>
      </c>
      <c r="F211" s="70">
        <v>6.1364313375037234E-2</v>
      </c>
      <c r="G211" s="70">
        <v>8.5106382978723406E-3</v>
      </c>
      <c r="H211" s="70">
        <v>1.4893617021276596E-2</v>
      </c>
      <c r="I211" s="70">
        <v>0.02</v>
      </c>
      <c r="J211" s="71">
        <v>2.6111111111111112</v>
      </c>
      <c r="K211" s="72">
        <v>12</v>
      </c>
      <c r="L211" s="71">
        <v>8.028590425531916E-2</v>
      </c>
      <c r="M211" s="71">
        <v>9.6343085106382981E-2</v>
      </c>
      <c r="N211" s="71">
        <v>0.65137101063829794</v>
      </c>
      <c r="O211" s="71">
        <v>0.16057180851063832</v>
      </c>
      <c r="P211" s="71">
        <v>0</v>
      </c>
      <c r="Q211" s="73" t="s">
        <v>3</v>
      </c>
      <c r="R211" s="74">
        <v>0</v>
      </c>
      <c r="S211" s="75">
        <f t="shared" si="616"/>
        <v>0.37477472574657239</v>
      </c>
      <c r="T211" s="59">
        <f t="shared" si="594"/>
        <v>0.5256419252097031</v>
      </c>
      <c r="U211" s="59">
        <f t="shared" si="595"/>
        <v>0.38796535002180416</v>
      </c>
      <c r="V211" s="59">
        <f t="shared" si="596"/>
        <v>0.66719267702795271</v>
      </c>
      <c r="W211" s="59">
        <f t="shared" si="597"/>
        <v>1.2692912133326855</v>
      </c>
      <c r="X211" s="59">
        <f t="shared" si="598"/>
        <v>1.7197223334260539</v>
      </c>
      <c r="Y211" s="76">
        <v>154500</v>
      </c>
      <c r="Z211" s="57">
        <f t="shared" si="599"/>
        <v>265697.10051432531</v>
      </c>
      <c r="AA211" s="57">
        <f t="shared" si="600"/>
        <v>196105.49245989992</v>
      </c>
      <c r="AB211" s="57">
        <f t="shared" si="642"/>
        <v>249715.2816136952</v>
      </c>
      <c r="AC211" s="57">
        <f t="shared" si="601"/>
        <v>0.17</v>
      </c>
      <c r="AD211" s="57">
        <f t="shared" si="602"/>
        <v>2.2000000000000002</v>
      </c>
      <c r="AE211" s="57">
        <f t="shared" si="603"/>
        <v>0</v>
      </c>
      <c r="AF211" s="57">
        <f t="shared" si="604"/>
        <v>49988.798425780988</v>
      </c>
      <c r="AG211" s="57">
        <f t="shared" si="640"/>
        <v>146116.69403411893</v>
      </c>
      <c r="AH211" s="57">
        <f t="shared" si="624"/>
        <v>378961405.83432776</v>
      </c>
      <c r="AI211" s="57">
        <f t="shared" si="625"/>
        <v>207869505.957856</v>
      </c>
      <c r="AJ211" s="77">
        <v>0</v>
      </c>
      <c r="AK211" s="77">
        <v>37.299999999999997</v>
      </c>
      <c r="AL211" s="78">
        <f t="shared" si="605"/>
        <v>3.3619362763344038</v>
      </c>
      <c r="AM211" s="57">
        <f t="shared" si="606"/>
        <v>1</v>
      </c>
      <c r="AN211" s="57">
        <f t="shared" si="607"/>
        <v>0.8</v>
      </c>
      <c r="AO211" s="77">
        <v>900</v>
      </c>
      <c r="AP211" s="79">
        <v>180</v>
      </c>
      <c r="AQ211" s="57">
        <f t="shared" si="608"/>
        <v>57.42050276173623</v>
      </c>
      <c r="AR211" s="78">
        <f t="shared" si="626"/>
        <v>540</v>
      </c>
      <c r="AS211" s="57">
        <f t="shared" si="609"/>
        <v>842.5794972382638</v>
      </c>
      <c r="AT211" s="77">
        <v>75</v>
      </c>
      <c r="AU211" s="77">
        <v>2350</v>
      </c>
      <c r="AV211" s="78">
        <f t="shared" si="610"/>
        <v>67500</v>
      </c>
      <c r="AW211" s="77">
        <v>0</v>
      </c>
      <c r="AX211" s="77">
        <f t="shared" si="611"/>
        <v>67500</v>
      </c>
      <c r="AY211" s="77">
        <v>67500</v>
      </c>
      <c r="AZ211" s="77">
        <v>345</v>
      </c>
      <c r="BA211" s="77">
        <v>345</v>
      </c>
      <c r="BB211" s="77">
        <v>526.70000000000005</v>
      </c>
      <c r="BC211" s="77">
        <v>345</v>
      </c>
      <c r="BD211" s="77">
        <v>7.0000000000000001E-3</v>
      </c>
      <c r="BE211" s="77">
        <v>8.3999999999999995E-3</v>
      </c>
      <c r="BF211" s="77">
        <v>3.7199999999999997E-2</v>
      </c>
      <c r="BG211" s="77">
        <v>1.4E-2</v>
      </c>
      <c r="BH211" s="79">
        <v>90</v>
      </c>
      <c r="BI211" s="79">
        <f t="shared" si="657"/>
        <v>28.274333882308138</v>
      </c>
      <c r="BJ211" s="79">
        <v>2</v>
      </c>
      <c r="BK211" s="57">
        <f t="shared" si="641"/>
        <v>56.548667764616276</v>
      </c>
      <c r="BL211" s="57">
        <f t="shared" si="643"/>
        <v>283.5</v>
      </c>
      <c r="BM211" s="80">
        <f>PI()*8*8/4</f>
        <v>50.26548245743669</v>
      </c>
      <c r="BN211" s="80">
        <v>10</v>
      </c>
      <c r="BO211" s="57">
        <f t="shared" si="627"/>
        <v>502.6548245743669</v>
      </c>
      <c r="BP211" s="57">
        <f t="shared" si="612"/>
        <v>103081.2686008187</v>
      </c>
      <c r="BQ211" s="77">
        <f t="shared" si="613"/>
        <v>2.7939677238464355E-9</v>
      </c>
      <c r="BR211" s="57">
        <f t="shared" ref="BR211:BR274" si="664">-AM211*AT211*BS211*AK211*(BS211/2-0.5*AO211)+SUM(GO211:IB211)</f>
        <v>242240981.21192396</v>
      </c>
      <c r="BS211" s="57">
        <v>114.84100552347246</v>
      </c>
      <c r="BT211" s="57">
        <f t="shared" si="617"/>
        <v>17.497793655820658</v>
      </c>
      <c r="BU211" s="57"/>
      <c r="BV211" s="57">
        <v>3.3E-3</v>
      </c>
      <c r="BW211" s="57">
        <v>30000</v>
      </c>
      <c r="BX211" s="57">
        <v>200000</v>
      </c>
      <c r="BY211" s="77">
        <f>20</f>
        <v>20</v>
      </c>
      <c r="BZ211" s="77">
        <f>BY211+160/4*1</f>
        <v>60</v>
      </c>
      <c r="CA211" s="77">
        <f>BY211+160/4*2</f>
        <v>100</v>
      </c>
      <c r="CB211" s="77">
        <f>BY211+160/4*3</f>
        <v>140</v>
      </c>
      <c r="CC211" s="77">
        <f>BY211+160/4*4</f>
        <v>180</v>
      </c>
      <c r="CD211" s="77">
        <f>CC211+90*1</f>
        <v>270</v>
      </c>
      <c r="CE211" s="77">
        <f>CC211+90*2</f>
        <v>360</v>
      </c>
      <c r="CF211" s="77">
        <f>CC211+90*3</f>
        <v>450</v>
      </c>
      <c r="CG211" s="77">
        <f>CC211+90*4</f>
        <v>540</v>
      </c>
      <c r="CH211" s="77">
        <f>CC211+90*5</f>
        <v>630</v>
      </c>
      <c r="CI211" s="77">
        <f>CC211+90*6</f>
        <v>720</v>
      </c>
      <c r="CJ211" s="77">
        <f>CI211+160/4*1</f>
        <v>760</v>
      </c>
      <c r="CK211" s="77">
        <f>CI211+160/4*2</f>
        <v>800</v>
      </c>
      <c r="CL211" s="77">
        <f>CI211+160/4*3</f>
        <v>840</v>
      </c>
      <c r="CM211" s="77">
        <f>CI211+160/4*4</f>
        <v>880</v>
      </c>
      <c r="DM211" s="77">
        <f t="shared" si="658"/>
        <v>100.53096491487338</v>
      </c>
      <c r="DN211" s="77">
        <f t="shared" si="658"/>
        <v>100.53096491487338</v>
      </c>
      <c r="DO211" s="77">
        <f t="shared" si="658"/>
        <v>100.53096491487338</v>
      </c>
      <c r="DP211" s="77">
        <f t="shared" si="658"/>
        <v>100.53096491487338</v>
      </c>
      <c r="DQ211" s="77">
        <f t="shared" si="658"/>
        <v>100.53096491487338</v>
      </c>
      <c r="DR211" s="77">
        <f t="shared" si="659"/>
        <v>56.548667764616276</v>
      </c>
      <c r="DS211" s="77">
        <f t="shared" si="659"/>
        <v>56.548667764616276</v>
      </c>
      <c r="DT211" s="77">
        <f t="shared" si="659"/>
        <v>56.548667764616276</v>
      </c>
      <c r="DU211" s="77">
        <f t="shared" si="659"/>
        <v>56.548667764616276</v>
      </c>
      <c r="DV211" s="77">
        <f t="shared" si="659"/>
        <v>56.548667764616276</v>
      </c>
      <c r="DW211" s="77">
        <f t="shared" si="660"/>
        <v>100.53096491487338</v>
      </c>
      <c r="DX211" s="77">
        <f t="shared" si="660"/>
        <v>100.53096491487338</v>
      </c>
      <c r="DY211" s="77">
        <f t="shared" si="660"/>
        <v>100.53096491487338</v>
      </c>
      <c r="DZ211" s="77">
        <f t="shared" si="660"/>
        <v>100.53096491487338</v>
      </c>
      <c r="EA211" s="77">
        <f t="shared" si="660"/>
        <v>100.53096491487338</v>
      </c>
      <c r="FA211" s="77">
        <f t="shared" si="645"/>
        <v>-52949.659220663816</v>
      </c>
      <c r="FB211" s="77">
        <f t="shared" si="646"/>
        <v>-31684.890399995889</v>
      </c>
      <c r="FC211" s="77">
        <f t="shared" si="653"/>
        <v>-8574.5261041155281</v>
      </c>
      <c r="FD211" s="77">
        <f t="shared" si="653"/>
        <v>14535.838191764831</v>
      </c>
      <c r="FE211" s="77">
        <f>IF(ABS(-$BV211*($BS211-CC211)/$BS211*$BX211)&gt;$BB211,$BB211*SIGN(-($BS211-CC211)),-$BV211*($BS211-CC211)/$BS211*$BX211)*DQ211</f>
        <v>37646.202487645191</v>
      </c>
      <c r="FF211" s="77">
        <f t="shared" si="661"/>
        <v>19509.290378792615</v>
      </c>
      <c r="FG211" s="77">
        <f t="shared" si="661"/>
        <v>19509.290378792615</v>
      </c>
      <c r="FH211" s="77">
        <f t="shared" si="661"/>
        <v>19509.290378792615</v>
      </c>
      <c r="FI211" s="77">
        <f t="shared" si="661"/>
        <v>19509.290378792615</v>
      </c>
      <c r="FJ211" s="77">
        <f t="shared" si="661"/>
        <v>19509.290378792615</v>
      </c>
      <c r="FK211" s="77">
        <f t="shared" si="662"/>
        <v>52949.659220663816</v>
      </c>
      <c r="FL211" s="77">
        <f t="shared" si="662"/>
        <v>52949.659220663816</v>
      </c>
      <c r="FM211" s="77">
        <f t="shared" si="662"/>
        <v>52949.659220663816</v>
      </c>
      <c r="FN211" s="77">
        <f t="shared" si="662"/>
        <v>52949.659220663816</v>
      </c>
      <c r="FO211" s="77">
        <f t="shared" si="662"/>
        <v>52949.659220663816</v>
      </c>
      <c r="GO211" s="77">
        <f t="shared" si="527"/>
        <v>22768353.46488544</v>
      </c>
      <c r="GP211" s="77">
        <f t="shared" si="528"/>
        <v>12357107.255998397</v>
      </c>
      <c r="GQ211" s="77">
        <f t="shared" si="529"/>
        <v>3001084.136440435</v>
      </c>
      <c r="GR211" s="77">
        <f t="shared" si="530"/>
        <v>-4506109.8394470979</v>
      </c>
      <c r="GS211" s="77">
        <f t="shared" si="663"/>
        <v>-10164474.671664201</v>
      </c>
      <c r="GT211" s="77">
        <f t="shared" si="663"/>
        <v>-3511672.2681826707</v>
      </c>
      <c r="GU211" s="77">
        <f t="shared" si="663"/>
        <v>-1755836.1340913353</v>
      </c>
      <c r="GV211" s="77">
        <f t="shared" si="663"/>
        <v>0</v>
      </c>
      <c r="GW211" s="77">
        <f t="shared" si="663"/>
        <v>1755836.1340913353</v>
      </c>
      <c r="GX211" s="77">
        <f t="shared" si="663"/>
        <v>3511672.2681826707</v>
      </c>
      <c r="GY211" s="77">
        <f t="shared" si="663"/>
        <v>14296407.989579231</v>
      </c>
      <c r="GZ211" s="77">
        <f t="shared" si="663"/>
        <v>16414394.358405784</v>
      </c>
      <c r="HA211" s="77">
        <f t="shared" si="663"/>
        <v>18532380.727232337</v>
      </c>
      <c r="HB211" s="77">
        <f t="shared" si="663"/>
        <v>20650367.096058886</v>
      </c>
      <c r="HC211" s="77">
        <f t="shared" si="663"/>
        <v>22768353.46488544</v>
      </c>
      <c r="IC211" s="82">
        <v>220</v>
      </c>
    </row>
    <row r="212" spans="1:237" s="77" customFormat="1">
      <c r="A212" s="77">
        <v>212</v>
      </c>
      <c r="B212" s="69">
        <v>301</v>
      </c>
      <c r="C212" s="69" t="s">
        <v>239</v>
      </c>
      <c r="D212" s="70" t="s">
        <v>207</v>
      </c>
      <c r="E212" s="70">
        <v>1</v>
      </c>
      <c r="F212" s="70">
        <v>7.7157360406091377E-2</v>
      </c>
      <c r="G212" s="70">
        <v>3.5000000000000001E-3</v>
      </c>
      <c r="H212" s="70">
        <v>7.45E-3</v>
      </c>
      <c r="I212" s="70">
        <v>1.0500000000000001E-2</v>
      </c>
      <c r="J212" s="71">
        <v>2.2000000000000002</v>
      </c>
      <c r="K212" s="72">
        <v>8</v>
      </c>
      <c r="L212" s="71">
        <v>8.6551332909681936E-2</v>
      </c>
      <c r="M212" s="71">
        <v>9.2531243183441761E-2</v>
      </c>
      <c r="N212" s="71">
        <v>0.32252992515864848</v>
      </c>
      <c r="O212" s="71">
        <v>0.14458006747412774</v>
      </c>
      <c r="P212" s="71">
        <v>0.10814668423364074</v>
      </c>
      <c r="Q212" s="73" t="s">
        <v>3</v>
      </c>
      <c r="R212" s="74">
        <v>0</v>
      </c>
      <c r="S212" s="75">
        <f t="shared" si="616"/>
        <v>0.34246049088509301</v>
      </c>
      <c r="T212" s="59">
        <f t="shared" si="594"/>
        <v>0.63969802027663569</v>
      </c>
      <c r="U212" s="59">
        <f t="shared" si="595"/>
        <v>0.49028681131074969</v>
      </c>
      <c r="V212" s="59">
        <f t="shared" si="596"/>
        <v>0.70099162353007349</v>
      </c>
      <c r="W212" s="59">
        <f t="shared" si="597"/>
        <v>1.0958164654424467</v>
      </c>
      <c r="X212" s="59">
        <f t="shared" si="598"/>
        <v>1.4297582707885172</v>
      </c>
      <c r="Y212" s="76">
        <v>190000</v>
      </c>
      <c r="Z212" s="57">
        <f t="shared" si="599"/>
        <v>271654.07144981826</v>
      </c>
      <c r="AA212" s="57">
        <f t="shared" si="600"/>
        <v>208205.12843406489</v>
      </c>
      <c r="AB212" s="57">
        <f t="shared" si="642"/>
        <v>248081.27381228365</v>
      </c>
      <c r="AC212" s="57">
        <f t="shared" si="601"/>
        <v>0.17</v>
      </c>
      <c r="AD212" s="57">
        <f t="shared" si="602"/>
        <v>2.2000000000000002</v>
      </c>
      <c r="AE212" s="57">
        <f t="shared" si="603"/>
        <v>266311.20992534031</v>
      </c>
      <c r="AF212" s="57">
        <f t="shared" si="604"/>
        <v>79036.918282050203</v>
      </c>
      <c r="AG212" s="57">
        <f t="shared" si="640"/>
        <v>129168.21015201468</v>
      </c>
      <c r="AH212" s="57">
        <f t="shared" si="624"/>
        <v>399158108.98936826</v>
      </c>
      <c r="AI212" s="57">
        <f t="shared" si="625"/>
        <v>146620693.39765581</v>
      </c>
      <c r="AJ212" s="77">
        <v>246250</v>
      </c>
      <c r="AK212" s="77">
        <v>19.7</v>
      </c>
      <c r="AL212" s="78">
        <f t="shared" si="605"/>
        <v>2.3664974686745248</v>
      </c>
      <c r="AM212" s="57">
        <f t="shared" si="606"/>
        <v>1</v>
      </c>
      <c r="AN212" s="57">
        <f t="shared" si="607"/>
        <v>0.8</v>
      </c>
      <c r="AO212" s="77">
        <v>1000</v>
      </c>
      <c r="AP212" s="79">
        <v>200</v>
      </c>
      <c r="AQ212" s="57">
        <f t="shared" si="608"/>
        <v>89.526682255089796</v>
      </c>
      <c r="AR212" s="78">
        <f t="shared" si="626"/>
        <v>600</v>
      </c>
      <c r="AS212" s="57">
        <f t="shared" si="609"/>
        <v>910.47331774491022</v>
      </c>
      <c r="AT212" s="77">
        <v>125</v>
      </c>
      <c r="AU212" s="77">
        <v>2200</v>
      </c>
      <c r="AV212" s="78">
        <f t="shared" si="610"/>
        <v>125000</v>
      </c>
      <c r="AW212" s="77">
        <v>0</v>
      </c>
      <c r="AX212" s="77">
        <f t="shared" si="611"/>
        <v>125000</v>
      </c>
      <c r="AY212" s="77">
        <v>125000</v>
      </c>
      <c r="AZ212" s="77">
        <v>392</v>
      </c>
      <c r="BA212" s="77">
        <v>392</v>
      </c>
      <c r="BB212" s="77">
        <v>379</v>
      </c>
      <c r="BC212" s="77">
        <v>392</v>
      </c>
      <c r="BD212" s="77">
        <f t="shared" ref="BD212:BE224" si="665">PI()*6*6/4*2/(125*125)</f>
        <v>3.6191147369354416E-3</v>
      </c>
      <c r="BE212" s="77">
        <f t="shared" si="665"/>
        <v>3.6191147369354416E-3</v>
      </c>
      <c r="BF212" s="77">
        <v>1.67E-2</v>
      </c>
      <c r="BG212" s="77">
        <f t="shared" ref="BG212:BG222" si="666">PI()*6*6/4*2/(125*80)</f>
        <v>5.6548667764616273E-3</v>
      </c>
      <c r="BH212" s="79">
        <v>125</v>
      </c>
      <c r="BI212" s="79">
        <f t="shared" si="657"/>
        <v>28.274333882308138</v>
      </c>
      <c r="BJ212" s="79">
        <v>2</v>
      </c>
      <c r="BK212" s="57">
        <f t="shared" si="641"/>
        <v>56.548667764616276</v>
      </c>
      <c r="BL212" s="57">
        <f t="shared" si="643"/>
        <v>271.43360527015813</v>
      </c>
      <c r="BM212" s="80">
        <f t="shared" ref="BM212:BM218" si="667">PI()*10*10/4</f>
        <v>78.539816339744831</v>
      </c>
      <c r="BN212" s="80">
        <v>6</v>
      </c>
      <c r="BO212" s="57">
        <f t="shared" si="627"/>
        <v>471.23889803846896</v>
      </c>
      <c r="BP212" s="57">
        <f t="shared" si="612"/>
        <v>133188.40847071397</v>
      </c>
      <c r="BQ212" s="77">
        <f t="shared" si="613"/>
        <v>2.3283064365386963E-10</v>
      </c>
      <c r="BR212" s="57">
        <f t="shared" si="664"/>
        <v>293014498.63557076</v>
      </c>
      <c r="BS212" s="57">
        <v>179.05336451017959</v>
      </c>
      <c r="BT212" s="57">
        <f t="shared" si="617"/>
        <v>158.55969878053179</v>
      </c>
      <c r="BU212" s="57"/>
      <c r="BV212" s="57">
        <v>3.3E-3</v>
      </c>
      <c r="BW212" s="57">
        <v>30000</v>
      </c>
      <c r="BX212" s="57">
        <v>200000</v>
      </c>
      <c r="BY212" s="77">
        <f>20</f>
        <v>20</v>
      </c>
      <c r="BZ212" s="77">
        <f t="shared" ref="BZ212:BZ220" si="668">BY212+90*1</f>
        <v>110</v>
      </c>
      <c r="CA212" s="77">
        <f t="shared" ref="CA212:CA220" si="669">BY212+90*2</f>
        <v>200</v>
      </c>
      <c r="CB212" s="77">
        <f t="shared" ref="CB212:CB220" si="670">CA212+50</f>
        <v>250</v>
      </c>
      <c r="CC212" s="77">
        <f t="shared" ref="CC212:CC224" si="671">CB212+125*1</f>
        <v>375</v>
      </c>
      <c r="CD212" s="77">
        <f t="shared" ref="CD212:CD224" si="672">CB212+125*2</f>
        <v>500</v>
      </c>
      <c r="CE212" s="77">
        <f t="shared" ref="CE212:CE224" si="673">CB212+125*3</f>
        <v>625</v>
      </c>
      <c r="CF212" s="77">
        <f t="shared" ref="CF212:CF220" si="674">CB212+125*4</f>
        <v>750</v>
      </c>
      <c r="CG212" s="77">
        <f t="shared" ref="CG212:CG220" si="675">CF212+50</f>
        <v>800</v>
      </c>
      <c r="CH212" s="77">
        <f t="shared" ref="CH212:CI220" si="676">CG212+90</f>
        <v>890</v>
      </c>
      <c r="CI212" s="77">
        <f t="shared" si="676"/>
        <v>980</v>
      </c>
      <c r="DM212" s="77">
        <f t="shared" ref="DM212:DO218" si="677">PI()*10*10/4*2</f>
        <v>157.07963267948966</v>
      </c>
      <c r="DN212" s="77">
        <f t="shared" si="677"/>
        <v>157.07963267948966</v>
      </c>
      <c r="DO212" s="77">
        <f t="shared" si="677"/>
        <v>157.07963267948966</v>
      </c>
      <c r="DP212" s="77">
        <f t="shared" ref="DP212:DT220" si="678">PI()*6*6/4*2</f>
        <v>56.548667764616276</v>
      </c>
      <c r="DQ212" s="77">
        <f t="shared" si="678"/>
        <v>56.548667764616276</v>
      </c>
      <c r="DR212" s="77">
        <f t="shared" si="678"/>
        <v>56.548667764616276</v>
      </c>
      <c r="DS212" s="77">
        <f t="shared" si="678"/>
        <v>56.548667764616276</v>
      </c>
      <c r="DT212" s="77">
        <f t="shared" si="678"/>
        <v>56.548667764616276</v>
      </c>
      <c r="DU212" s="77">
        <f t="shared" ref="DU212:DW218" si="679">PI()*10*10/4*2</f>
        <v>157.07963267948966</v>
      </c>
      <c r="DV212" s="77">
        <f t="shared" si="679"/>
        <v>157.07963267948966</v>
      </c>
      <c r="DW212" s="77">
        <f t="shared" si="679"/>
        <v>157.07963267948966</v>
      </c>
      <c r="FA212" s="77">
        <f t="shared" si="645"/>
        <v>-59533.18078552658</v>
      </c>
      <c r="FB212" s="77">
        <f t="shared" si="646"/>
        <v>-39982.152399435436</v>
      </c>
      <c r="FC212" s="77">
        <f t="shared" ref="FC212:FC224" si="680">IF(ABS(-$BV212*($BS212-CA212)/$BS212*$BX212)&gt;$BB212,$BB212*SIGN(-($BS212-CA212)),-$BV212*($BS212-CA212)/$BS212*$BX212)*DO212</f>
        <v>12128.17910249634</v>
      </c>
      <c r="FD212" s="77">
        <f t="shared" ref="FD212:FD220" si="681">IF(ABS(-$BV212*($BS212-CB212)/$BS212*$BX212)&gt;$BA212,$BA212*SIGN(-($BS212-CB212)),-$BV212*($BS212-CB212)/$BS212*$BX212)*DP212</f>
        <v>14788.21077728504</v>
      </c>
      <c r="FE212" s="77">
        <f t="shared" ref="FE212:FE220" si="682">IF(ABS(-$BV212*($BS212-CC212)/$BS212*$BX212)&gt;$BA212,$BA212*SIGN(-($BS212-CC212)),-$BV212*($BS212-CC212)/$BS212*$BX212)*DQ212</f>
        <v>22167.07776372958</v>
      </c>
      <c r="FF212" s="77">
        <f t="shared" ref="FF212:FF220" si="683">IF(ABS(-$BV212*($BS212-CD212)/$BS212*$BX212)&gt;$BA212,$BA212*SIGN(-($BS212-CD212)),-$BV212*($BS212-CD212)/$BS212*$BX212)*DR212</f>
        <v>22167.07776372958</v>
      </c>
      <c r="FG212" s="77">
        <f t="shared" ref="FG212:FG220" si="684">IF(ABS(-$BV212*($BS212-CE212)/$BS212*$BX212)&gt;$BA212,$BA212*SIGN(-($BS212-CE212)),-$BV212*($BS212-CE212)/$BS212*$BX212)*DS212</f>
        <v>22167.07776372958</v>
      </c>
      <c r="FH212" s="77">
        <f t="shared" ref="FH212:FH220" si="685">IF(ABS(-$BV212*($BS212-CF212)/$BS212*$BX212)&gt;$BA212,$BA212*SIGN(-($BS212-CF212)),-$BV212*($BS212-CF212)/$BS212*$BX212)*DT212</f>
        <v>22167.07776372958</v>
      </c>
      <c r="FI212" s="77">
        <f t="shared" ref="FI212:FI220" si="686">IF(ABS(-$BV212*($BS212-CG212)/$BS212*$BX212)&gt;$BB212,$BB212*SIGN(-($BS212-CG212)),-$BV212*($BS212-CG212)/$BS212*$BX212)*DU212</f>
        <v>59533.18078552658</v>
      </c>
      <c r="FJ212" s="77">
        <f t="shared" ref="FJ212:FJ220" si="687">IF(ABS(-$BV212*($BS212-CH212)/$BS212*$BX212)&gt;$BB212,$BB212*SIGN(-($BS212-CH212)),-$BV212*($BS212-CH212)/$BS212*$BX212)*DV212</f>
        <v>59533.18078552658</v>
      </c>
      <c r="FK212" s="77">
        <f t="shared" ref="FK212:FK220" si="688">IF(ABS(-$BV212*($BS212-CI212)/$BS212*$BX212)&gt;$BB212,$BB212*SIGN(-($BS212-CI212)),-$BV212*($BS212-CI212)/$BS212*$BX212)*DW212</f>
        <v>59533.18078552658</v>
      </c>
      <c r="GO212" s="77">
        <f t="shared" si="527"/>
        <v>28575926.77705276</v>
      </c>
      <c r="GP212" s="77">
        <f t="shared" si="528"/>
        <v>15593039.435779819</v>
      </c>
      <c r="GQ212" s="77">
        <f t="shared" si="529"/>
        <v>-3638453.7307489021</v>
      </c>
      <c r="GR212" s="77">
        <f t="shared" si="530"/>
        <v>-3697052.6943212599</v>
      </c>
      <c r="GS212" s="77">
        <f t="shared" ref="GS212:GS220" si="689">FE212*(CC212-0.5*$AO212)</f>
        <v>-2770884.7204661975</v>
      </c>
      <c r="GT212" s="77">
        <f t="shared" ref="GT212:GT220" si="690">FF212*(CD212-0.5*$AO212)</f>
        <v>0</v>
      </c>
      <c r="GU212" s="77">
        <f t="shared" ref="GU212:GU220" si="691">FG212*(CE212-0.5*$AO212)</f>
        <v>2770884.7204661975</v>
      </c>
      <c r="GV212" s="77">
        <f t="shared" ref="GV212:GV220" si="692">FH212*(CF212-0.5*$AO212)</f>
        <v>5541769.4409323949</v>
      </c>
      <c r="GW212" s="77">
        <f t="shared" ref="GW212:GW220" si="693">FI212*(CG212-0.5*$AO212)</f>
        <v>17859954.235657975</v>
      </c>
      <c r="GX212" s="77">
        <f t="shared" ref="GX212:GX220" si="694">FJ212*(CH212-0.5*$AO212)</f>
        <v>23217940.506355368</v>
      </c>
      <c r="GY212" s="77">
        <f t="shared" ref="GY212:GY220" si="695">FK212*(CI212-0.5*$AO212)</f>
        <v>28575926.77705276</v>
      </c>
      <c r="IC212" s="82">
        <v>221</v>
      </c>
    </row>
    <row r="213" spans="1:237" s="77" customFormat="1">
      <c r="A213" s="77">
        <v>213</v>
      </c>
      <c r="B213" s="69">
        <v>302</v>
      </c>
      <c r="C213" s="69" t="s">
        <v>239</v>
      </c>
      <c r="D213" s="70" t="s">
        <v>208</v>
      </c>
      <c r="E213" s="70">
        <v>1</v>
      </c>
      <c r="F213" s="70">
        <v>9.9492385786802029E-2</v>
      </c>
      <c r="G213" s="70">
        <v>4.0000000000000001E-3</v>
      </c>
      <c r="H213" s="70">
        <v>9.9499999999999988E-3</v>
      </c>
      <c r="I213" s="70">
        <v>1.0999999999999999E-2</v>
      </c>
      <c r="J213" s="71">
        <v>2.2000000000000002</v>
      </c>
      <c r="K213" s="72">
        <v>8</v>
      </c>
      <c r="L213" s="71">
        <v>8.6551332909681936E-2</v>
      </c>
      <c r="M213" s="71">
        <v>9.2531243183441761E-2</v>
      </c>
      <c r="N213" s="71">
        <v>0.32252992515864848</v>
      </c>
      <c r="O213" s="71">
        <v>0.14458006747412774</v>
      </c>
      <c r="P213" s="71">
        <v>0.21629336846728148</v>
      </c>
      <c r="Q213" s="73" t="s">
        <v>3</v>
      </c>
      <c r="R213" s="74">
        <v>0</v>
      </c>
      <c r="S213" s="75">
        <f t="shared" si="616"/>
        <v>0.44159379087814621</v>
      </c>
      <c r="T213" s="59">
        <f t="shared" si="594"/>
        <v>0.77448693119810086</v>
      </c>
      <c r="U213" s="59">
        <f t="shared" si="595"/>
        <v>0.60993156945751303</v>
      </c>
      <c r="V213" s="59">
        <f t="shared" si="596"/>
        <v>0.67628732305677974</v>
      </c>
      <c r="W213" s="59">
        <f t="shared" si="597"/>
        <v>0.87320688808859537</v>
      </c>
      <c r="X213" s="59">
        <f t="shared" si="598"/>
        <v>1.1087921283666051</v>
      </c>
      <c r="Y213" s="76">
        <v>245000</v>
      </c>
      <c r="Z213" s="57">
        <f t="shared" si="599"/>
        <v>271654.07144981826</v>
      </c>
      <c r="AA213" s="57">
        <f t="shared" si="600"/>
        <v>213935.68758170586</v>
      </c>
      <c r="AB213" s="57">
        <f t="shared" si="642"/>
        <v>234247.11933974214</v>
      </c>
      <c r="AC213" s="57">
        <f t="shared" si="601"/>
        <v>0.17</v>
      </c>
      <c r="AD213" s="57">
        <f t="shared" si="602"/>
        <v>2.2000000000000002</v>
      </c>
      <c r="AE213" s="57">
        <f t="shared" si="603"/>
        <v>492500</v>
      </c>
      <c r="AF213" s="57">
        <f t="shared" si="604"/>
        <v>89849.055122025064</v>
      </c>
      <c r="AG213" s="57">
        <f t="shared" si="640"/>
        <v>124086.6324596808</v>
      </c>
      <c r="AH213" s="57">
        <f t="shared" si="624"/>
        <v>381517385.77256167</v>
      </c>
      <c r="AI213" s="57">
        <f t="shared" si="625"/>
        <v>133826276.77487104</v>
      </c>
      <c r="AJ213" s="77">
        <v>492500</v>
      </c>
      <c r="AK213" s="77">
        <v>19.7</v>
      </c>
      <c r="AL213" s="78">
        <f t="shared" si="605"/>
        <v>2.3664974686745248</v>
      </c>
      <c r="AM213" s="57">
        <f t="shared" si="606"/>
        <v>1</v>
      </c>
      <c r="AN213" s="57">
        <f t="shared" si="607"/>
        <v>0.8</v>
      </c>
      <c r="AO213" s="77">
        <v>1000</v>
      </c>
      <c r="AP213" s="79">
        <v>200</v>
      </c>
      <c r="AQ213" s="57">
        <f t="shared" si="608"/>
        <v>125.34540959885958</v>
      </c>
      <c r="AR213" s="78">
        <f t="shared" si="626"/>
        <v>600</v>
      </c>
      <c r="AS213" s="57">
        <f t="shared" si="609"/>
        <v>874.65459040114047</v>
      </c>
      <c r="AT213" s="77">
        <v>125</v>
      </c>
      <c r="AU213" s="77">
        <v>2200</v>
      </c>
      <c r="AV213" s="78">
        <f t="shared" si="610"/>
        <v>125000</v>
      </c>
      <c r="AW213" s="77">
        <v>0</v>
      </c>
      <c r="AX213" s="77">
        <f t="shared" si="611"/>
        <v>125000</v>
      </c>
      <c r="AY213" s="77">
        <v>125000</v>
      </c>
      <c r="AZ213" s="77">
        <v>392</v>
      </c>
      <c r="BA213" s="77">
        <v>392</v>
      </c>
      <c r="BB213" s="77">
        <v>379</v>
      </c>
      <c r="BC213" s="77">
        <v>392</v>
      </c>
      <c r="BD213" s="77">
        <f t="shared" si="665"/>
        <v>3.6191147369354416E-3</v>
      </c>
      <c r="BE213" s="77">
        <f t="shared" si="665"/>
        <v>3.6191147369354416E-3</v>
      </c>
      <c r="BF213" s="77">
        <v>1.67E-2</v>
      </c>
      <c r="BG213" s="77">
        <f t="shared" si="666"/>
        <v>5.6548667764616273E-3</v>
      </c>
      <c r="BH213" s="79">
        <v>125</v>
      </c>
      <c r="BI213" s="79">
        <f t="shared" si="657"/>
        <v>28.274333882308138</v>
      </c>
      <c r="BJ213" s="79">
        <v>2</v>
      </c>
      <c r="BK213" s="57">
        <f t="shared" si="641"/>
        <v>56.548667764616276</v>
      </c>
      <c r="BL213" s="57">
        <f t="shared" si="643"/>
        <v>271.43360527015813</v>
      </c>
      <c r="BM213" s="80">
        <f t="shared" si="667"/>
        <v>78.539816339744831</v>
      </c>
      <c r="BN213" s="80">
        <v>6</v>
      </c>
      <c r="BO213" s="57">
        <f t="shared" si="627"/>
        <v>471.23889803846896</v>
      </c>
      <c r="BP213" s="57">
        <f t="shared" si="612"/>
        <v>165690.39414891103</v>
      </c>
      <c r="BQ213" s="77">
        <f t="shared" si="613"/>
        <v>1.0186340659856796E-9</v>
      </c>
      <c r="BR213" s="57">
        <f t="shared" si="664"/>
        <v>364518867.12760425</v>
      </c>
      <c r="BS213" s="57">
        <v>250.69081919771915</v>
      </c>
      <c r="BT213" s="57">
        <f t="shared" si="617"/>
        <v>277.40322918384311</v>
      </c>
      <c r="BU213" s="57"/>
      <c r="BV213" s="57">
        <v>3.3E-3</v>
      </c>
      <c r="BW213" s="57">
        <v>30000</v>
      </c>
      <c r="BX213" s="57">
        <v>200000</v>
      </c>
      <c r="BY213" s="77">
        <f>20</f>
        <v>20</v>
      </c>
      <c r="BZ213" s="77">
        <f t="shared" si="668"/>
        <v>110</v>
      </c>
      <c r="CA213" s="77">
        <f t="shared" si="669"/>
        <v>200</v>
      </c>
      <c r="CB213" s="77">
        <f t="shared" si="670"/>
        <v>250</v>
      </c>
      <c r="CC213" s="77">
        <f t="shared" si="671"/>
        <v>375</v>
      </c>
      <c r="CD213" s="77">
        <f t="shared" si="672"/>
        <v>500</v>
      </c>
      <c r="CE213" s="77">
        <f t="shared" si="673"/>
        <v>625</v>
      </c>
      <c r="CF213" s="77">
        <f t="shared" si="674"/>
        <v>750</v>
      </c>
      <c r="CG213" s="77">
        <f t="shared" si="675"/>
        <v>800</v>
      </c>
      <c r="CH213" s="77">
        <f t="shared" si="676"/>
        <v>890</v>
      </c>
      <c r="CI213" s="77">
        <f t="shared" si="676"/>
        <v>980</v>
      </c>
      <c r="DM213" s="77">
        <f t="shared" si="677"/>
        <v>157.07963267948966</v>
      </c>
      <c r="DN213" s="77">
        <f t="shared" si="677"/>
        <v>157.07963267948966</v>
      </c>
      <c r="DO213" s="77">
        <f t="shared" si="677"/>
        <v>157.07963267948966</v>
      </c>
      <c r="DP213" s="77">
        <f t="shared" si="678"/>
        <v>56.548667764616276</v>
      </c>
      <c r="DQ213" s="77">
        <f t="shared" si="678"/>
        <v>56.548667764616276</v>
      </c>
      <c r="DR213" s="77">
        <f t="shared" si="678"/>
        <v>56.548667764616276</v>
      </c>
      <c r="DS213" s="77">
        <f t="shared" si="678"/>
        <v>56.548667764616276</v>
      </c>
      <c r="DT213" s="77">
        <f t="shared" si="678"/>
        <v>56.548667764616276</v>
      </c>
      <c r="DU213" s="77">
        <f t="shared" si="679"/>
        <v>157.07963267948966</v>
      </c>
      <c r="DV213" s="77">
        <f t="shared" si="679"/>
        <v>157.07963267948966</v>
      </c>
      <c r="DW213" s="77">
        <f t="shared" si="679"/>
        <v>157.07963267948966</v>
      </c>
      <c r="FA213" s="77">
        <f t="shared" si="645"/>
        <v>-59533.18078552658</v>
      </c>
      <c r="FB213" s="77">
        <f t="shared" si="646"/>
        <v>-58182.334316463428</v>
      </c>
      <c r="FC213" s="77">
        <f t="shared" si="680"/>
        <v>-20963.060746645446</v>
      </c>
      <c r="FD213" s="77">
        <f t="shared" si="681"/>
        <v>-102.84715482876499</v>
      </c>
      <c r="FE213" s="77">
        <f t="shared" si="682"/>
        <v>18506.78963008022</v>
      </c>
      <c r="FF213" s="77">
        <f t="shared" si="683"/>
        <v>22167.07776372958</v>
      </c>
      <c r="FG213" s="77">
        <f t="shared" si="684"/>
        <v>22167.07776372958</v>
      </c>
      <c r="FH213" s="77">
        <f t="shared" si="685"/>
        <v>22167.07776372958</v>
      </c>
      <c r="FI213" s="77">
        <f t="shared" si="686"/>
        <v>59533.18078552658</v>
      </c>
      <c r="FJ213" s="77">
        <f t="shared" si="687"/>
        <v>59533.18078552658</v>
      </c>
      <c r="FK213" s="77">
        <f t="shared" si="688"/>
        <v>59533.18078552658</v>
      </c>
      <c r="GO213" s="77">
        <f t="shared" si="527"/>
        <v>28575926.77705276</v>
      </c>
      <c r="GP213" s="77">
        <f t="shared" si="528"/>
        <v>22691110.383420736</v>
      </c>
      <c r="GQ213" s="77">
        <f t="shared" si="529"/>
        <v>6288918.2239936339</v>
      </c>
      <c r="GR213" s="77">
        <f t="shared" si="530"/>
        <v>25711.788707191245</v>
      </c>
      <c r="GS213" s="77">
        <f t="shared" si="689"/>
        <v>-2313348.7037600274</v>
      </c>
      <c r="GT213" s="77">
        <f t="shared" si="690"/>
        <v>0</v>
      </c>
      <c r="GU213" s="77">
        <f t="shared" si="691"/>
        <v>2770884.7204661975</v>
      </c>
      <c r="GV213" s="77">
        <f t="shared" si="692"/>
        <v>5541769.4409323949</v>
      </c>
      <c r="GW213" s="77">
        <f t="shared" si="693"/>
        <v>17859954.235657975</v>
      </c>
      <c r="GX213" s="77">
        <f t="shared" si="694"/>
        <v>23217940.506355368</v>
      </c>
      <c r="GY213" s="77">
        <f t="shared" si="695"/>
        <v>28575926.77705276</v>
      </c>
      <c r="IC213" s="82">
        <v>222</v>
      </c>
    </row>
    <row r="214" spans="1:237" s="77" customFormat="1">
      <c r="A214" s="77">
        <v>214</v>
      </c>
      <c r="B214" s="69">
        <v>303</v>
      </c>
      <c r="C214" s="69" t="s">
        <v>239</v>
      </c>
      <c r="D214" s="70" t="s">
        <v>209</v>
      </c>
      <c r="E214" s="70">
        <v>1</v>
      </c>
      <c r="F214" s="70">
        <v>9.1370558375634528E-2</v>
      </c>
      <c r="G214" s="70">
        <v>5.0000000000000001E-3</v>
      </c>
      <c r="H214" s="70">
        <v>7.6E-3</v>
      </c>
      <c r="I214" s="70">
        <v>1.0999999999999999E-2</v>
      </c>
      <c r="J214" s="71">
        <v>2.2000000000000002</v>
      </c>
      <c r="K214" s="72">
        <v>8</v>
      </c>
      <c r="L214" s="71">
        <v>8.6551332909681936E-2</v>
      </c>
      <c r="M214" s="71">
        <v>9.2531243183441761E-2</v>
      </c>
      <c r="N214" s="71">
        <v>0.32252992515864848</v>
      </c>
      <c r="O214" s="71">
        <v>0.14458006747412774</v>
      </c>
      <c r="P214" s="71">
        <v>0.32444005270092224</v>
      </c>
      <c r="Q214" s="73" t="s">
        <v>3</v>
      </c>
      <c r="R214" s="74">
        <v>0</v>
      </c>
      <c r="S214" s="75">
        <f t="shared" si="616"/>
        <v>0.40554531815339961</v>
      </c>
      <c r="T214" s="59">
        <f t="shared" si="594"/>
        <v>0.92197032587064787</v>
      </c>
      <c r="U214" s="59">
        <f t="shared" si="595"/>
        <v>0.6970958891481287</v>
      </c>
      <c r="V214" s="59">
        <f t="shared" si="596"/>
        <v>0.84163971768009038</v>
      </c>
      <c r="W214" s="59">
        <f t="shared" si="597"/>
        <v>0.91287072269414038</v>
      </c>
      <c r="X214" s="59">
        <f t="shared" si="598"/>
        <v>1.2073514286658589</v>
      </c>
      <c r="Y214" s="76">
        <v>225000</v>
      </c>
      <c r="Z214" s="57">
        <f t="shared" si="599"/>
        <v>271654.07144981826</v>
      </c>
      <c r="AA214" s="57">
        <f t="shared" si="600"/>
        <v>205395.91260618158</v>
      </c>
      <c r="AB214" s="57">
        <f t="shared" si="642"/>
        <v>218650.31275877214</v>
      </c>
      <c r="AC214" s="57">
        <f t="shared" si="601"/>
        <v>0.17</v>
      </c>
      <c r="AD214" s="57">
        <f t="shared" si="602"/>
        <v>2.2000000000000002</v>
      </c>
      <c r="AE214" s="57">
        <f t="shared" si="603"/>
        <v>492500</v>
      </c>
      <c r="AF214" s="57">
        <f t="shared" si="604"/>
        <v>87038.317259019255</v>
      </c>
      <c r="AG214" s="57">
        <f t="shared" si="640"/>
        <v>118357.59534716232</v>
      </c>
      <c r="AH214" s="57">
        <f t="shared" si="624"/>
        <v>361629003.83298856</v>
      </c>
      <c r="AI214" s="57">
        <f t="shared" si="625"/>
        <v>119401684.23631011</v>
      </c>
      <c r="AJ214" s="77">
        <v>738750</v>
      </c>
      <c r="AK214" s="77">
        <v>19.7</v>
      </c>
      <c r="AL214" s="78">
        <f t="shared" si="605"/>
        <v>2.3664974686745248</v>
      </c>
      <c r="AM214" s="57">
        <f t="shared" si="606"/>
        <v>1</v>
      </c>
      <c r="AN214" s="57">
        <f t="shared" si="607"/>
        <v>0.8</v>
      </c>
      <c r="AO214" s="77">
        <v>1000</v>
      </c>
      <c r="AP214" s="79">
        <v>200</v>
      </c>
      <c r="AQ214" s="57">
        <f t="shared" si="608"/>
        <v>165.72791099900806</v>
      </c>
      <c r="AR214" s="78">
        <f t="shared" si="626"/>
        <v>600</v>
      </c>
      <c r="AS214" s="57">
        <f t="shared" si="609"/>
        <v>834.27208900099197</v>
      </c>
      <c r="AT214" s="77">
        <v>125</v>
      </c>
      <c r="AU214" s="77">
        <v>2200</v>
      </c>
      <c r="AV214" s="78">
        <f t="shared" si="610"/>
        <v>125000</v>
      </c>
      <c r="AW214" s="77">
        <v>0</v>
      </c>
      <c r="AX214" s="77">
        <f t="shared" si="611"/>
        <v>125000</v>
      </c>
      <c r="AY214" s="77">
        <v>125000</v>
      </c>
      <c r="AZ214" s="77">
        <v>392</v>
      </c>
      <c r="BA214" s="77">
        <v>392</v>
      </c>
      <c r="BB214" s="77">
        <v>379</v>
      </c>
      <c r="BC214" s="77">
        <v>392</v>
      </c>
      <c r="BD214" s="77">
        <f t="shared" si="665"/>
        <v>3.6191147369354416E-3</v>
      </c>
      <c r="BE214" s="77">
        <f t="shared" si="665"/>
        <v>3.6191147369354416E-3</v>
      </c>
      <c r="BF214" s="77">
        <v>1.67E-2</v>
      </c>
      <c r="BG214" s="77">
        <f t="shared" si="666"/>
        <v>5.6548667764616273E-3</v>
      </c>
      <c r="BH214" s="79">
        <v>125</v>
      </c>
      <c r="BI214" s="79">
        <f t="shared" si="657"/>
        <v>28.274333882308138</v>
      </c>
      <c r="BJ214" s="79">
        <v>2</v>
      </c>
      <c r="BK214" s="57">
        <f t="shared" si="641"/>
        <v>56.548667764616276</v>
      </c>
      <c r="BL214" s="57">
        <f t="shared" si="643"/>
        <v>271.43360527015813</v>
      </c>
      <c r="BM214" s="80">
        <f t="shared" si="667"/>
        <v>78.539816339744831</v>
      </c>
      <c r="BN214" s="80">
        <v>6</v>
      </c>
      <c r="BO214" s="57">
        <f t="shared" si="627"/>
        <v>471.23889803846896</v>
      </c>
      <c r="BP214" s="57">
        <f t="shared" si="612"/>
        <v>189368.93647802033</v>
      </c>
      <c r="BQ214" s="77">
        <f t="shared" si="613"/>
        <v>2.3283064365386963E-10</v>
      </c>
      <c r="BR214" s="57">
        <f t="shared" si="664"/>
        <v>416611660.25164473</v>
      </c>
      <c r="BS214" s="57">
        <v>331.45582199801612</v>
      </c>
      <c r="BT214" s="57">
        <f t="shared" si="617"/>
        <v>277.40322918384311</v>
      </c>
      <c r="BU214" s="57"/>
      <c r="BV214" s="57">
        <v>3.3E-3</v>
      </c>
      <c r="BW214" s="57">
        <v>30000</v>
      </c>
      <c r="BX214" s="57">
        <v>200000</v>
      </c>
      <c r="BY214" s="77">
        <f>20</f>
        <v>20</v>
      </c>
      <c r="BZ214" s="77">
        <f t="shared" si="668"/>
        <v>110</v>
      </c>
      <c r="CA214" s="77">
        <f t="shared" si="669"/>
        <v>200</v>
      </c>
      <c r="CB214" s="77">
        <f t="shared" si="670"/>
        <v>250</v>
      </c>
      <c r="CC214" s="77">
        <f t="shared" si="671"/>
        <v>375</v>
      </c>
      <c r="CD214" s="77">
        <f t="shared" si="672"/>
        <v>500</v>
      </c>
      <c r="CE214" s="77">
        <f t="shared" si="673"/>
        <v>625</v>
      </c>
      <c r="CF214" s="77">
        <f t="shared" si="674"/>
        <v>750</v>
      </c>
      <c r="CG214" s="77">
        <f t="shared" si="675"/>
        <v>800</v>
      </c>
      <c r="CH214" s="77">
        <f t="shared" si="676"/>
        <v>890</v>
      </c>
      <c r="CI214" s="77">
        <f t="shared" si="676"/>
        <v>980</v>
      </c>
      <c r="DM214" s="77">
        <f t="shared" si="677"/>
        <v>157.07963267948966</v>
      </c>
      <c r="DN214" s="77">
        <f t="shared" si="677"/>
        <v>157.07963267948966</v>
      </c>
      <c r="DO214" s="77">
        <f t="shared" si="677"/>
        <v>157.07963267948966</v>
      </c>
      <c r="DP214" s="77">
        <f t="shared" si="678"/>
        <v>56.548667764616276</v>
      </c>
      <c r="DQ214" s="77">
        <f t="shared" si="678"/>
        <v>56.548667764616276</v>
      </c>
      <c r="DR214" s="77">
        <f t="shared" si="678"/>
        <v>56.548667764616276</v>
      </c>
      <c r="DS214" s="77">
        <f t="shared" si="678"/>
        <v>56.548667764616276</v>
      </c>
      <c r="DT214" s="77">
        <f t="shared" si="678"/>
        <v>56.548667764616276</v>
      </c>
      <c r="DU214" s="77">
        <f t="shared" si="679"/>
        <v>157.07963267948966</v>
      </c>
      <c r="DV214" s="77">
        <f t="shared" si="679"/>
        <v>157.07963267948966</v>
      </c>
      <c r="DW214" s="77">
        <f t="shared" si="679"/>
        <v>157.07963267948966</v>
      </c>
      <c r="FA214" s="77">
        <f t="shared" si="645"/>
        <v>-59533.18078552658</v>
      </c>
      <c r="FB214" s="77">
        <f t="shared" si="646"/>
        <v>-59533.18078552658</v>
      </c>
      <c r="FC214" s="77">
        <f t="shared" si="680"/>
        <v>-41116.674890931754</v>
      </c>
      <c r="FD214" s="77">
        <f t="shared" si="681"/>
        <v>-9171.9735197576047</v>
      </c>
      <c r="FE214" s="77">
        <f t="shared" si="682"/>
        <v>4903.1000826869667</v>
      </c>
      <c r="FF214" s="77">
        <f t="shared" si="683"/>
        <v>18978.173685131536</v>
      </c>
      <c r="FG214" s="77">
        <f t="shared" si="684"/>
        <v>22167.07776372958</v>
      </c>
      <c r="FH214" s="77">
        <f t="shared" si="685"/>
        <v>22167.07776372958</v>
      </c>
      <c r="FI214" s="77">
        <f t="shared" si="686"/>
        <v>59533.18078552658</v>
      </c>
      <c r="FJ214" s="77">
        <f t="shared" si="687"/>
        <v>59533.18078552658</v>
      </c>
      <c r="FK214" s="77">
        <f t="shared" si="688"/>
        <v>59533.18078552658</v>
      </c>
      <c r="GO214" s="77">
        <f t="shared" si="527"/>
        <v>28575926.77705276</v>
      </c>
      <c r="GP214" s="77">
        <f t="shared" si="528"/>
        <v>23217940.506355368</v>
      </c>
      <c r="GQ214" s="77">
        <f t="shared" si="529"/>
        <v>12335002.467279525</v>
      </c>
      <c r="GR214" s="77">
        <f t="shared" si="530"/>
        <v>2292993.3799394011</v>
      </c>
      <c r="GS214" s="77">
        <f t="shared" si="689"/>
        <v>-612887.51033587079</v>
      </c>
      <c r="GT214" s="77">
        <f t="shared" si="690"/>
        <v>0</v>
      </c>
      <c r="GU214" s="77">
        <f t="shared" si="691"/>
        <v>2770884.7204661975</v>
      </c>
      <c r="GV214" s="77">
        <f t="shared" si="692"/>
        <v>5541769.4409323949</v>
      </c>
      <c r="GW214" s="77">
        <f t="shared" si="693"/>
        <v>17859954.235657975</v>
      </c>
      <c r="GX214" s="77">
        <f t="shared" si="694"/>
        <v>23217940.506355368</v>
      </c>
      <c r="GY214" s="77">
        <f t="shared" si="695"/>
        <v>28575926.77705276</v>
      </c>
      <c r="IC214" s="82">
        <v>223</v>
      </c>
    </row>
    <row r="215" spans="1:237" s="77" customFormat="1">
      <c r="A215" s="77">
        <v>215</v>
      </c>
      <c r="B215" s="69">
        <v>304</v>
      </c>
      <c r="C215" s="69" t="s">
        <v>239</v>
      </c>
      <c r="D215" s="70" t="s">
        <v>210</v>
      </c>
      <c r="E215" s="70">
        <v>1</v>
      </c>
      <c r="F215" s="70">
        <v>8.1218274111675134E-2</v>
      </c>
      <c r="G215" s="70">
        <v>2.5000000000000001E-3</v>
      </c>
      <c r="H215" s="70">
        <v>4.0000000000000001E-3</v>
      </c>
      <c r="I215" s="70">
        <v>6.4999999999999997E-3</v>
      </c>
      <c r="J215" s="71">
        <v>2.2000000000000002</v>
      </c>
      <c r="K215" s="72">
        <v>8</v>
      </c>
      <c r="L215" s="71">
        <v>8.6551332909681936E-2</v>
      </c>
      <c r="M215" s="71">
        <v>9.2531243183441761E-2</v>
      </c>
      <c r="N215" s="71">
        <v>0.32252992515864848</v>
      </c>
      <c r="O215" s="71">
        <v>0.14458006747412774</v>
      </c>
      <c r="P215" s="71">
        <v>0.43258673693456295</v>
      </c>
      <c r="Q215" s="73" t="s">
        <v>3</v>
      </c>
      <c r="R215" s="74">
        <v>0</v>
      </c>
      <c r="S215" s="75">
        <f t="shared" si="616"/>
        <v>0.36048472724746633</v>
      </c>
      <c r="T215" s="59">
        <f t="shared" si="594"/>
        <v>1.0369072244973228</v>
      </c>
      <c r="U215" s="59">
        <f t="shared" si="595"/>
        <v>0.75039707863487848</v>
      </c>
      <c r="V215" s="59">
        <f t="shared" si="596"/>
        <v>1.019242108076071</v>
      </c>
      <c r="W215" s="59">
        <f t="shared" si="597"/>
        <v>0.98296364804496794</v>
      </c>
      <c r="X215" s="59">
        <f t="shared" si="598"/>
        <v>1.3582703572490913</v>
      </c>
      <c r="Y215" s="76">
        <v>200000</v>
      </c>
      <c r="Z215" s="57">
        <f t="shared" si="599"/>
        <v>271654.07144981826</v>
      </c>
      <c r="AA215" s="57">
        <f t="shared" si="600"/>
        <v>196592.7296089936</v>
      </c>
      <c r="AB215" s="57">
        <f t="shared" si="642"/>
        <v>202572.4251215049</v>
      </c>
      <c r="AC215" s="57">
        <f t="shared" si="601"/>
        <v>0.17</v>
      </c>
      <c r="AD215" s="57">
        <f t="shared" si="602"/>
        <v>2.2000000000000002</v>
      </c>
      <c r="AE215" s="57">
        <f t="shared" si="603"/>
        <v>492500</v>
      </c>
      <c r="AF215" s="57">
        <f t="shared" si="604"/>
        <v>84140.882626832594</v>
      </c>
      <c r="AG215" s="57">
        <f t="shared" si="640"/>
        <v>112451.84698216101</v>
      </c>
      <c r="AH215" s="57">
        <f t="shared" si="624"/>
        <v>341127167.86730689</v>
      </c>
      <c r="AI215" s="57">
        <f t="shared" si="625"/>
        <v>104532167.4000039</v>
      </c>
      <c r="AJ215" s="77">
        <v>985000</v>
      </c>
      <c r="AK215" s="77">
        <v>19.7</v>
      </c>
      <c r="AL215" s="78">
        <f t="shared" si="605"/>
        <v>2.3664974686745248</v>
      </c>
      <c r="AM215" s="57">
        <f t="shared" si="606"/>
        <v>1</v>
      </c>
      <c r="AN215" s="57">
        <f t="shared" si="607"/>
        <v>0.8</v>
      </c>
      <c r="AO215" s="77">
        <v>1000</v>
      </c>
      <c r="AP215" s="79">
        <v>200</v>
      </c>
      <c r="AQ215" s="57">
        <f t="shared" si="608"/>
        <v>207.35600433034128</v>
      </c>
      <c r="AR215" s="78">
        <f t="shared" si="626"/>
        <v>600</v>
      </c>
      <c r="AS215" s="57">
        <f t="shared" si="609"/>
        <v>792.64399566965869</v>
      </c>
      <c r="AT215" s="77">
        <v>125</v>
      </c>
      <c r="AU215" s="77">
        <v>2200</v>
      </c>
      <c r="AV215" s="78">
        <f t="shared" si="610"/>
        <v>125000</v>
      </c>
      <c r="AW215" s="77">
        <v>0</v>
      </c>
      <c r="AX215" s="77">
        <f t="shared" si="611"/>
        <v>125000</v>
      </c>
      <c r="AY215" s="77">
        <v>125000</v>
      </c>
      <c r="AZ215" s="77">
        <v>392</v>
      </c>
      <c r="BA215" s="77">
        <v>392</v>
      </c>
      <c r="BB215" s="77">
        <v>379</v>
      </c>
      <c r="BC215" s="77">
        <v>392</v>
      </c>
      <c r="BD215" s="77">
        <f t="shared" si="665"/>
        <v>3.6191147369354416E-3</v>
      </c>
      <c r="BE215" s="77">
        <f t="shared" si="665"/>
        <v>3.6191147369354416E-3</v>
      </c>
      <c r="BF215" s="77">
        <v>1.67E-2</v>
      </c>
      <c r="BG215" s="77">
        <f t="shared" si="666"/>
        <v>5.6548667764616273E-3</v>
      </c>
      <c r="BH215" s="79">
        <v>125</v>
      </c>
      <c r="BI215" s="79">
        <f t="shared" si="657"/>
        <v>28.274333882308138</v>
      </c>
      <c r="BJ215" s="79">
        <v>2</v>
      </c>
      <c r="BK215" s="57">
        <f t="shared" si="641"/>
        <v>56.548667764616276</v>
      </c>
      <c r="BL215" s="57">
        <f t="shared" si="643"/>
        <v>271.43360527015813</v>
      </c>
      <c r="BM215" s="80">
        <f t="shared" si="667"/>
        <v>78.539816339744831</v>
      </c>
      <c r="BN215" s="80">
        <v>6</v>
      </c>
      <c r="BO215" s="57">
        <f t="shared" si="627"/>
        <v>471.23889803846896</v>
      </c>
      <c r="BP215" s="57">
        <f t="shared" si="612"/>
        <v>203848.42161521417</v>
      </c>
      <c r="BQ215" s="77">
        <f t="shared" si="613"/>
        <v>2.2409949451684952E-9</v>
      </c>
      <c r="BR215" s="57">
        <f t="shared" si="664"/>
        <v>448466527.55347121</v>
      </c>
      <c r="BS215" s="57">
        <v>414.71200866068256</v>
      </c>
      <c r="BT215" s="57">
        <f t="shared" si="617"/>
        <v>277.40322918384311</v>
      </c>
      <c r="BU215" s="57"/>
      <c r="BV215" s="57">
        <v>3.3E-3</v>
      </c>
      <c r="BW215" s="57">
        <v>30000</v>
      </c>
      <c r="BX215" s="57">
        <v>200000</v>
      </c>
      <c r="BY215" s="77">
        <f>20</f>
        <v>20</v>
      </c>
      <c r="BZ215" s="77">
        <f t="shared" si="668"/>
        <v>110</v>
      </c>
      <c r="CA215" s="77">
        <f t="shared" si="669"/>
        <v>200</v>
      </c>
      <c r="CB215" s="77">
        <f t="shared" si="670"/>
        <v>250</v>
      </c>
      <c r="CC215" s="77">
        <f t="shared" si="671"/>
        <v>375</v>
      </c>
      <c r="CD215" s="77">
        <f t="shared" si="672"/>
        <v>500</v>
      </c>
      <c r="CE215" s="77">
        <f t="shared" si="673"/>
        <v>625</v>
      </c>
      <c r="CF215" s="77">
        <f t="shared" si="674"/>
        <v>750</v>
      </c>
      <c r="CG215" s="77">
        <f t="shared" si="675"/>
        <v>800</v>
      </c>
      <c r="CH215" s="77">
        <f t="shared" si="676"/>
        <v>890</v>
      </c>
      <c r="CI215" s="77">
        <f t="shared" si="676"/>
        <v>980</v>
      </c>
      <c r="DM215" s="77">
        <f t="shared" si="677"/>
        <v>157.07963267948966</v>
      </c>
      <c r="DN215" s="77">
        <f t="shared" si="677"/>
        <v>157.07963267948966</v>
      </c>
      <c r="DO215" s="77">
        <f t="shared" si="677"/>
        <v>157.07963267948966</v>
      </c>
      <c r="DP215" s="77">
        <f t="shared" si="678"/>
        <v>56.548667764616276</v>
      </c>
      <c r="DQ215" s="77">
        <f t="shared" si="678"/>
        <v>56.548667764616276</v>
      </c>
      <c r="DR215" s="77">
        <f t="shared" si="678"/>
        <v>56.548667764616276</v>
      </c>
      <c r="DS215" s="77">
        <f t="shared" si="678"/>
        <v>56.548667764616276</v>
      </c>
      <c r="DT215" s="77">
        <f t="shared" si="678"/>
        <v>56.548667764616276</v>
      </c>
      <c r="DU215" s="77">
        <f t="shared" si="679"/>
        <v>157.07963267948966</v>
      </c>
      <c r="DV215" s="77">
        <f t="shared" si="679"/>
        <v>157.07963267948966</v>
      </c>
      <c r="DW215" s="77">
        <f t="shared" si="679"/>
        <v>157.07963267948966</v>
      </c>
      <c r="FA215" s="77">
        <f t="shared" si="645"/>
        <v>-59533.18078552658</v>
      </c>
      <c r="FB215" s="77">
        <f t="shared" si="646"/>
        <v>-59533.18078552658</v>
      </c>
      <c r="FC215" s="77">
        <f t="shared" si="680"/>
        <v>-53675.183292625377</v>
      </c>
      <c r="FD215" s="77">
        <f t="shared" si="681"/>
        <v>-14823.302300519732</v>
      </c>
      <c r="FE215" s="77">
        <f t="shared" si="682"/>
        <v>-3573.8930884562246</v>
      </c>
      <c r="FF215" s="77">
        <f t="shared" si="683"/>
        <v>7675.51612360728</v>
      </c>
      <c r="FG215" s="77">
        <f t="shared" si="684"/>
        <v>18924.925335670789</v>
      </c>
      <c r="FH215" s="77">
        <f t="shared" si="685"/>
        <v>22167.07776372958</v>
      </c>
      <c r="FI215" s="77">
        <f t="shared" si="686"/>
        <v>59533.18078552658</v>
      </c>
      <c r="FJ215" s="77">
        <f t="shared" si="687"/>
        <v>59533.18078552658</v>
      </c>
      <c r="FK215" s="77">
        <f t="shared" si="688"/>
        <v>59533.18078552658</v>
      </c>
      <c r="GO215" s="77">
        <f t="shared" ref="GO215:GO278" si="696">FA215*(BY215-0.5*$AO215)</f>
        <v>28575926.77705276</v>
      </c>
      <c r="GP215" s="77">
        <f t="shared" ref="GP215:GP278" si="697">FB215*(BZ215-0.5*$AO215)</f>
        <v>23217940.506355368</v>
      </c>
      <c r="GQ215" s="77">
        <f t="shared" ref="GQ215:GQ278" si="698">FC215*(CA215-0.5*$AO215)</f>
        <v>16102554.987787614</v>
      </c>
      <c r="GR215" s="77">
        <f t="shared" ref="GR215:GR278" si="699">FD215*(CB215-0.5*$AO215)</f>
        <v>3705825.5751299332</v>
      </c>
      <c r="GS215" s="77">
        <f t="shared" si="689"/>
        <v>446736.63605702808</v>
      </c>
      <c r="GT215" s="77">
        <f t="shared" si="690"/>
        <v>0</v>
      </c>
      <c r="GU215" s="77">
        <f t="shared" si="691"/>
        <v>2365615.6669588485</v>
      </c>
      <c r="GV215" s="77">
        <f t="shared" si="692"/>
        <v>5541769.4409323949</v>
      </c>
      <c r="GW215" s="77">
        <f t="shared" si="693"/>
        <v>17859954.235657975</v>
      </c>
      <c r="GX215" s="77">
        <f t="shared" si="694"/>
        <v>23217940.506355368</v>
      </c>
      <c r="GY215" s="77">
        <f t="shared" si="695"/>
        <v>28575926.77705276</v>
      </c>
      <c r="IC215" s="82">
        <v>224</v>
      </c>
    </row>
    <row r="216" spans="1:237" s="77" customFormat="1">
      <c r="A216" s="77">
        <v>216</v>
      </c>
      <c r="B216" s="69">
        <v>305</v>
      </c>
      <c r="C216" s="69" t="s">
        <v>239</v>
      </c>
      <c r="D216" s="70" t="s">
        <v>211</v>
      </c>
      <c r="E216" s="70">
        <v>3</v>
      </c>
      <c r="F216" s="70">
        <v>0.11458885941644562</v>
      </c>
      <c r="G216" s="70">
        <v>3.0000000000000001E-3</v>
      </c>
      <c r="H216" s="70">
        <v>6.0000000000000001E-3</v>
      </c>
      <c r="I216" s="70">
        <v>8.9999999999999993E-3</v>
      </c>
      <c r="J216" s="71">
        <v>1.2</v>
      </c>
      <c r="K216" s="72">
        <v>8</v>
      </c>
      <c r="L216" s="71">
        <v>5.8169239975013512E-2</v>
      </c>
      <c r="M216" s="71">
        <v>6.2188205646014433E-2</v>
      </c>
      <c r="N216" s="71">
        <v>0.21676524190857221</v>
      </c>
      <c r="O216" s="71">
        <v>9.7169071321897546E-2</v>
      </c>
      <c r="P216" s="71">
        <v>0.41728158205430932</v>
      </c>
      <c r="Q216" s="73" t="s">
        <v>3</v>
      </c>
      <c r="R216" s="74">
        <v>0</v>
      </c>
      <c r="S216" s="75">
        <f t="shared" si="616"/>
        <v>0.70357932934321288</v>
      </c>
      <c r="T216" s="59">
        <f t="shared" si="594"/>
        <v>1.5310371143300079</v>
      </c>
      <c r="U216" s="59">
        <f t="shared" si="595"/>
        <v>1.4751883162740067</v>
      </c>
      <c r="V216" s="59">
        <f t="shared" si="596"/>
        <v>1.0086262458922095</v>
      </c>
      <c r="W216" s="59">
        <f t="shared" si="597"/>
        <v>0.65878628052304999</v>
      </c>
      <c r="X216" s="59">
        <f t="shared" si="598"/>
        <v>0.68372711115267792</v>
      </c>
      <c r="Y216" s="76">
        <v>540000</v>
      </c>
      <c r="Z216" s="57">
        <f t="shared" si="599"/>
        <v>369212.64002244605</v>
      </c>
      <c r="AA216" s="57">
        <f t="shared" si="600"/>
        <v>355744.59148244699</v>
      </c>
      <c r="AB216" s="57">
        <f t="shared" si="642"/>
        <v>683432.61629673664</v>
      </c>
      <c r="AC216" s="57">
        <f t="shared" si="601"/>
        <v>0.25</v>
      </c>
      <c r="AD216" s="57">
        <f t="shared" si="602"/>
        <v>1.5</v>
      </c>
      <c r="AE216" s="57">
        <f t="shared" si="603"/>
        <v>942500.00000000012</v>
      </c>
      <c r="AF216" s="57">
        <f t="shared" si="604"/>
        <v>236441.05336230824</v>
      </c>
      <c r="AG216" s="57">
        <f t="shared" si="640"/>
        <v>119303.53812013872</v>
      </c>
      <c r="AH216" s="57">
        <f t="shared" si="624"/>
        <v>698335756.82542038</v>
      </c>
      <c r="AI216" s="57">
        <f t="shared" si="625"/>
        <v>121783382.73066369</v>
      </c>
      <c r="AJ216" s="77">
        <v>1413750</v>
      </c>
      <c r="AK216" s="77">
        <v>37.700000000000003</v>
      </c>
      <c r="AL216" s="78">
        <f t="shared" si="605"/>
        <v>3.3817177924254431</v>
      </c>
      <c r="AM216" s="57">
        <f t="shared" si="606"/>
        <v>1</v>
      </c>
      <c r="AN216" s="57">
        <f t="shared" si="607"/>
        <v>0.8</v>
      </c>
      <c r="AO216" s="77">
        <v>1000</v>
      </c>
      <c r="AP216" s="79">
        <v>200</v>
      </c>
      <c r="AQ216" s="57">
        <f t="shared" si="608"/>
        <v>159.06020495976625</v>
      </c>
      <c r="AR216" s="78">
        <f t="shared" si="626"/>
        <v>600</v>
      </c>
      <c r="AS216" s="57">
        <f t="shared" si="609"/>
        <v>840.93979504023378</v>
      </c>
      <c r="AT216" s="77">
        <v>125</v>
      </c>
      <c r="AU216" s="77">
        <v>1200</v>
      </c>
      <c r="AV216" s="78">
        <f t="shared" si="610"/>
        <v>125000</v>
      </c>
      <c r="AW216" s="77">
        <v>0</v>
      </c>
      <c r="AX216" s="77">
        <f t="shared" si="611"/>
        <v>125000</v>
      </c>
      <c r="AY216" s="77">
        <v>125000</v>
      </c>
      <c r="AZ216" s="77">
        <v>392</v>
      </c>
      <c r="BA216" s="77">
        <v>392</v>
      </c>
      <c r="BB216" s="77">
        <v>379</v>
      </c>
      <c r="BC216" s="77">
        <v>392</v>
      </c>
      <c r="BD216" s="77">
        <f t="shared" si="665"/>
        <v>3.6191147369354416E-3</v>
      </c>
      <c r="BE216" s="77">
        <f t="shared" si="665"/>
        <v>3.6191147369354416E-3</v>
      </c>
      <c r="BF216" s="77">
        <v>1.67E-2</v>
      </c>
      <c r="BG216" s="77">
        <f t="shared" si="666"/>
        <v>5.6548667764616273E-3</v>
      </c>
      <c r="BH216" s="79">
        <v>125</v>
      </c>
      <c r="BI216" s="79">
        <f t="shared" si="657"/>
        <v>28.274333882308138</v>
      </c>
      <c r="BJ216" s="79">
        <v>2</v>
      </c>
      <c r="BK216" s="57">
        <f t="shared" si="641"/>
        <v>56.548667764616276</v>
      </c>
      <c r="BL216" s="57">
        <f t="shared" si="643"/>
        <v>271.43360527015813</v>
      </c>
      <c r="BM216" s="80">
        <f t="shared" si="667"/>
        <v>78.539816339744831</v>
      </c>
      <c r="BN216" s="80">
        <v>6</v>
      </c>
      <c r="BO216" s="57">
        <f t="shared" si="627"/>
        <v>471.23889803846896</v>
      </c>
      <c r="BP216" s="57">
        <f t="shared" si="612"/>
        <v>544658.17278179317</v>
      </c>
      <c r="BQ216" s="77">
        <f t="shared" si="613"/>
        <v>0</v>
      </c>
      <c r="BR216" s="57">
        <f t="shared" si="664"/>
        <v>653589807.33815181</v>
      </c>
      <c r="BS216" s="57">
        <v>318.12040991953251</v>
      </c>
      <c r="BT216" s="57">
        <f t="shared" si="617"/>
        <v>312.72451618816677</v>
      </c>
      <c r="BU216" s="57"/>
      <c r="BV216" s="57">
        <v>3.3E-3</v>
      </c>
      <c r="BW216" s="57">
        <v>30000</v>
      </c>
      <c r="BX216" s="57">
        <v>200000</v>
      </c>
      <c r="BY216" s="77">
        <f>20</f>
        <v>20</v>
      </c>
      <c r="BZ216" s="77">
        <f t="shared" si="668"/>
        <v>110</v>
      </c>
      <c r="CA216" s="77">
        <f t="shared" si="669"/>
        <v>200</v>
      </c>
      <c r="CB216" s="77">
        <f t="shared" si="670"/>
        <v>250</v>
      </c>
      <c r="CC216" s="77">
        <f t="shared" si="671"/>
        <v>375</v>
      </c>
      <c r="CD216" s="77">
        <f t="shared" si="672"/>
        <v>500</v>
      </c>
      <c r="CE216" s="77">
        <f t="shared" si="673"/>
        <v>625</v>
      </c>
      <c r="CF216" s="77">
        <f t="shared" si="674"/>
        <v>750</v>
      </c>
      <c r="CG216" s="77">
        <f t="shared" si="675"/>
        <v>800</v>
      </c>
      <c r="CH216" s="77">
        <f t="shared" si="676"/>
        <v>890</v>
      </c>
      <c r="CI216" s="77">
        <f t="shared" si="676"/>
        <v>980</v>
      </c>
      <c r="DM216" s="77">
        <f t="shared" si="677"/>
        <v>157.07963267948966</v>
      </c>
      <c r="DN216" s="77">
        <f t="shared" si="677"/>
        <v>157.07963267948966</v>
      </c>
      <c r="DO216" s="77">
        <f t="shared" si="677"/>
        <v>157.07963267948966</v>
      </c>
      <c r="DP216" s="77">
        <f t="shared" si="678"/>
        <v>56.548667764616276</v>
      </c>
      <c r="DQ216" s="77">
        <f t="shared" si="678"/>
        <v>56.548667764616276</v>
      </c>
      <c r="DR216" s="77">
        <f t="shared" si="678"/>
        <v>56.548667764616276</v>
      </c>
      <c r="DS216" s="77">
        <f t="shared" si="678"/>
        <v>56.548667764616276</v>
      </c>
      <c r="DT216" s="77">
        <f t="shared" si="678"/>
        <v>56.548667764616276</v>
      </c>
      <c r="DU216" s="77">
        <f t="shared" si="679"/>
        <v>157.07963267948966</v>
      </c>
      <c r="DV216" s="77">
        <f t="shared" si="679"/>
        <v>157.07963267948966</v>
      </c>
      <c r="DW216" s="77">
        <f t="shared" si="679"/>
        <v>157.07963267948966</v>
      </c>
      <c r="FA216" s="77">
        <f t="shared" si="645"/>
        <v>-59533.18078552658</v>
      </c>
      <c r="FB216" s="77">
        <f t="shared" si="646"/>
        <v>-59533.18078552658</v>
      </c>
      <c r="FC216" s="77">
        <f t="shared" si="680"/>
        <v>-38494.370733681462</v>
      </c>
      <c r="FD216" s="77">
        <f t="shared" si="681"/>
        <v>-7991.9366489949725</v>
      </c>
      <c r="FE216" s="77">
        <f t="shared" si="682"/>
        <v>6673.1553888309127</v>
      </c>
      <c r="FF216" s="77">
        <f t="shared" si="683"/>
        <v>21338.247426656799</v>
      </c>
      <c r="FG216" s="77">
        <f t="shared" si="684"/>
        <v>22167.07776372958</v>
      </c>
      <c r="FH216" s="77">
        <f t="shared" si="685"/>
        <v>22167.07776372958</v>
      </c>
      <c r="FI216" s="77">
        <f t="shared" si="686"/>
        <v>59533.18078552658</v>
      </c>
      <c r="FJ216" s="77">
        <f t="shared" si="687"/>
        <v>59533.18078552658</v>
      </c>
      <c r="FK216" s="77">
        <f t="shared" si="688"/>
        <v>59533.18078552658</v>
      </c>
      <c r="GO216" s="77">
        <f t="shared" si="696"/>
        <v>28575926.77705276</v>
      </c>
      <c r="GP216" s="77">
        <f t="shared" si="697"/>
        <v>23217940.506355368</v>
      </c>
      <c r="GQ216" s="77">
        <f t="shared" si="698"/>
        <v>11548311.220104439</v>
      </c>
      <c r="GR216" s="77">
        <f t="shared" si="699"/>
        <v>1997984.1622487432</v>
      </c>
      <c r="GS216" s="77">
        <f t="shared" si="689"/>
        <v>-834144.42360386404</v>
      </c>
      <c r="GT216" s="77">
        <f t="shared" si="690"/>
        <v>0</v>
      </c>
      <c r="GU216" s="77">
        <f t="shared" si="691"/>
        <v>2770884.7204661975</v>
      </c>
      <c r="GV216" s="77">
        <f t="shared" si="692"/>
        <v>5541769.4409323949</v>
      </c>
      <c r="GW216" s="77">
        <f t="shared" si="693"/>
        <v>17859954.235657975</v>
      </c>
      <c r="GX216" s="77">
        <f t="shared" si="694"/>
        <v>23217940.506355368</v>
      </c>
      <c r="GY216" s="77">
        <f t="shared" si="695"/>
        <v>28575926.77705276</v>
      </c>
      <c r="IC216" s="82">
        <v>225</v>
      </c>
    </row>
    <row r="217" spans="1:237" s="77" customFormat="1">
      <c r="A217" s="77">
        <v>217</v>
      </c>
      <c r="B217" s="69">
        <v>306</v>
      </c>
      <c r="C217" s="69" t="s">
        <v>239</v>
      </c>
      <c r="D217" s="70" t="s">
        <v>212</v>
      </c>
      <c r="E217" s="70">
        <v>1</v>
      </c>
      <c r="F217" s="70">
        <v>7.8514588859416437E-2</v>
      </c>
      <c r="G217" s="70">
        <v>4.0000000000000001E-3</v>
      </c>
      <c r="H217" s="70">
        <v>6.3333333333333332E-3</v>
      </c>
      <c r="I217" s="70">
        <v>7.3333333333333332E-3</v>
      </c>
      <c r="J217" s="71">
        <v>1.7</v>
      </c>
      <c r="K217" s="72">
        <v>8</v>
      </c>
      <c r="L217" s="71">
        <v>5.8169239975013512E-2</v>
      </c>
      <c r="M217" s="71">
        <v>6.2188205646014433E-2</v>
      </c>
      <c r="N217" s="71">
        <v>0.21676524190857221</v>
      </c>
      <c r="O217" s="71">
        <v>9.7169071321897546E-2</v>
      </c>
      <c r="P217" s="71">
        <v>0.41728158205430932</v>
      </c>
      <c r="Q217" s="73" t="s">
        <v>3</v>
      </c>
      <c r="R217" s="74">
        <v>0</v>
      </c>
      <c r="S217" s="75">
        <f t="shared" si="616"/>
        <v>0.48208213306849768</v>
      </c>
      <c r="T217" s="59">
        <f t="shared" si="594"/>
        <v>1.2153610925563492</v>
      </c>
      <c r="U217" s="59">
        <f t="shared" si="595"/>
        <v>1.1155136890007076</v>
      </c>
      <c r="V217" s="59">
        <f t="shared" si="596"/>
        <v>1.0390934933833893</v>
      </c>
      <c r="W217" s="59">
        <f t="shared" si="597"/>
        <v>0.85496688987944758</v>
      </c>
      <c r="X217" s="59">
        <f t="shared" si="598"/>
        <v>0.93149326953954592</v>
      </c>
      <c r="Y217" s="76">
        <v>370000</v>
      </c>
      <c r="Z217" s="57">
        <f t="shared" si="599"/>
        <v>344652.509729632</v>
      </c>
      <c r="AA217" s="57">
        <f t="shared" si="600"/>
        <v>316337.74925539561</v>
      </c>
      <c r="AB217" s="57">
        <f t="shared" si="642"/>
        <v>482423.02326828474</v>
      </c>
      <c r="AC217" s="57">
        <f t="shared" si="601"/>
        <v>0.21800000000000003</v>
      </c>
      <c r="AD217" s="57">
        <f t="shared" si="602"/>
        <v>1.7</v>
      </c>
      <c r="AE217" s="57">
        <f t="shared" si="603"/>
        <v>942500.00000000012</v>
      </c>
      <c r="AF217" s="57">
        <f t="shared" si="604"/>
        <v>197034.21113525689</v>
      </c>
      <c r="AG217" s="57">
        <f t="shared" si="640"/>
        <v>119303.53812013872</v>
      </c>
      <c r="AH217" s="57">
        <f t="shared" si="624"/>
        <v>698335756.82542038</v>
      </c>
      <c r="AI217" s="57">
        <f t="shared" si="625"/>
        <v>121783382.73066369</v>
      </c>
      <c r="AJ217" s="77">
        <v>1413750</v>
      </c>
      <c r="AK217" s="77">
        <v>37.700000000000003</v>
      </c>
      <c r="AL217" s="78">
        <f t="shared" si="605"/>
        <v>3.3817177924254431</v>
      </c>
      <c r="AM217" s="57">
        <f t="shared" si="606"/>
        <v>1</v>
      </c>
      <c r="AN217" s="57">
        <f t="shared" si="607"/>
        <v>0.8</v>
      </c>
      <c r="AO217" s="77">
        <v>1000</v>
      </c>
      <c r="AP217" s="79">
        <v>200</v>
      </c>
      <c r="AQ217" s="57">
        <f t="shared" si="608"/>
        <v>159.06020495976625</v>
      </c>
      <c r="AR217" s="78">
        <f t="shared" si="626"/>
        <v>600</v>
      </c>
      <c r="AS217" s="57">
        <f t="shared" si="609"/>
        <v>840.93979504023378</v>
      </c>
      <c r="AT217" s="77">
        <v>125</v>
      </c>
      <c r="AU217" s="77">
        <v>1700</v>
      </c>
      <c r="AV217" s="78">
        <f t="shared" si="610"/>
        <v>125000</v>
      </c>
      <c r="AW217" s="77">
        <v>0</v>
      </c>
      <c r="AX217" s="77">
        <f t="shared" si="611"/>
        <v>125000</v>
      </c>
      <c r="AY217" s="77">
        <v>125000</v>
      </c>
      <c r="AZ217" s="77">
        <v>392</v>
      </c>
      <c r="BA217" s="77">
        <v>392</v>
      </c>
      <c r="BB217" s="77">
        <v>379</v>
      </c>
      <c r="BC217" s="77">
        <v>392</v>
      </c>
      <c r="BD217" s="77">
        <f t="shared" si="665"/>
        <v>3.6191147369354416E-3</v>
      </c>
      <c r="BE217" s="77">
        <f t="shared" si="665"/>
        <v>3.6191147369354416E-3</v>
      </c>
      <c r="BF217" s="77">
        <v>1.67E-2</v>
      </c>
      <c r="BG217" s="77">
        <f t="shared" si="666"/>
        <v>5.6548667764616273E-3</v>
      </c>
      <c r="BH217" s="79">
        <v>125</v>
      </c>
      <c r="BI217" s="79">
        <f t="shared" si="657"/>
        <v>28.274333882308138</v>
      </c>
      <c r="BJ217" s="79">
        <v>2</v>
      </c>
      <c r="BK217" s="57">
        <f t="shared" si="641"/>
        <v>56.548667764616276</v>
      </c>
      <c r="BL217" s="57">
        <f t="shared" si="643"/>
        <v>271.43360527015813</v>
      </c>
      <c r="BM217" s="80">
        <f t="shared" si="667"/>
        <v>78.539816339744831</v>
      </c>
      <c r="BN217" s="80">
        <v>6</v>
      </c>
      <c r="BO217" s="57">
        <f t="shared" si="627"/>
        <v>471.23889803846896</v>
      </c>
      <c r="BP217" s="57">
        <f t="shared" si="612"/>
        <v>384464.59255185403</v>
      </c>
      <c r="BQ217" s="77">
        <f t="shared" si="613"/>
        <v>0</v>
      </c>
      <c r="BR217" s="57">
        <f t="shared" si="664"/>
        <v>653589807.33815181</v>
      </c>
      <c r="BS217" s="57">
        <v>318.12040991953251</v>
      </c>
      <c r="BT217" s="57">
        <f t="shared" si="617"/>
        <v>312.72451618816677</v>
      </c>
      <c r="BU217" s="57"/>
      <c r="BV217" s="57">
        <v>3.3E-3</v>
      </c>
      <c r="BW217" s="57">
        <v>30000</v>
      </c>
      <c r="BX217" s="57">
        <v>200000</v>
      </c>
      <c r="BY217" s="77">
        <f>20</f>
        <v>20</v>
      </c>
      <c r="BZ217" s="77">
        <f t="shared" si="668"/>
        <v>110</v>
      </c>
      <c r="CA217" s="77">
        <f t="shared" si="669"/>
        <v>200</v>
      </c>
      <c r="CB217" s="77">
        <f t="shared" si="670"/>
        <v>250</v>
      </c>
      <c r="CC217" s="77">
        <f t="shared" si="671"/>
        <v>375</v>
      </c>
      <c r="CD217" s="77">
        <f t="shared" si="672"/>
        <v>500</v>
      </c>
      <c r="CE217" s="77">
        <f t="shared" si="673"/>
        <v>625</v>
      </c>
      <c r="CF217" s="77">
        <f t="shared" si="674"/>
        <v>750</v>
      </c>
      <c r="CG217" s="77">
        <f t="shared" si="675"/>
        <v>800</v>
      </c>
      <c r="CH217" s="77">
        <f t="shared" si="676"/>
        <v>890</v>
      </c>
      <c r="CI217" s="77">
        <f t="shared" si="676"/>
        <v>980</v>
      </c>
      <c r="DM217" s="77">
        <f t="shared" si="677"/>
        <v>157.07963267948966</v>
      </c>
      <c r="DN217" s="77">
        <f t="shared" si="677"/>
        <v>157.07963267948966</v>
      </c>
      <c r="DO217" s="77">
        <f t="shared" si="677"/>
        <v>157.07963267948966</v>
      </c>
      <c r="DP217" s="77">
        <f t="shared" si="678"/>
        <v>56.548667764616276</v>
      </c>
      <c r="DQ217" s="77">
        <f t="shared" si="678"/>
        <v>56.548667764616276</v>
      </c>
      <c r="DR217" s="77">
        <f t="shared" si="678"/>
        <v>56.548667764616276</v>
      </c>
      <c r="DS217" s="77">
        <f t="shared" si="678"/>
        <v>56.548667764616276</v>
      </c>
      <c r="DT217" s="77">
        <f t="shared" si="678"/>
        <v>56.548667764616276</v>
      </c>
      <c r="DU217" s="77">
        <f t="shared" si="679"/>
        <v>157.07963267948966</v>
      </c>
      <c r="DV217" s="77">
        <f t="shared" si="679"/>
        <v>157.07963267948966</v>
      </c>
      <c r="DW217" s="77">
        <f t="shared" si="679"/>
        <v>157.07963267948966</v>
      </c>
      <c r="FA217" s="77">
        <f t="shared" si="645"/>
        <v>-59533.18078552658</v>
      </c>
      <c r="FB217" s="77">
        <f t="shared" si="646"/>
        <v>-59533.18078552658</v>
      </c>
      <c r="FC217" s="77">
        <f t="shared" si="680"/>
        <v>-38494.370733681462</v>
      </c>
      <c r="FD217" s="77">
        <f t="shared" si="681"/>
        <v>-7991.9366489949725</v>
      </c>
      <c r="FE217" s="77">
        <f t="shared" si="682"/>
        <v>6673.1553888309127</v>
      </c>
      <c r="FF217" s="77">
        <f t="shared" si="683"/>
        <v>21338.247426656799</v>
      </c>
      <c r="FG217" s="77">
        <f t="shared" si="684"/>
        <v>22167.07776372958</v>
      </c>
      <c r="FH217" s="77">
        <f t="shared" si="685"/>
        <v>22167.07776372958</v>
      </c>
      <c r="FI217" s="77">
        <f t="shared" si="686"/>
        <v>59533.18078552658</v>
      </c>
      <c r="FJ217" s="77">
        <f t="shared" si="687"/>
        <v>59533.18078552658</v>
      </c>
      <c r="FK217" s="77">
        <f t="shared" si="688"/>
        <v>59533.18078552658</v>
      </c>
      <c r="GO217" s="77">
        <f t="shared" si="696"/>
        <v>28575926.77705276</v>
      </c>
      <c r="GP217" s="77">
        <f t="shared" si="697"/>
        <v>23217940.506355368</v>
      </c>
      <c r="GQ217" s="77">
        <f t="shared" si="698"/>
        <v>11548311.220104439</v>
      </c>
      <c r="GR217" s="77">
        <f t="shared" si="699"/>
        <v>1997984.1622487432</v>
      </c>
      <c r="GS217" s="77">
        <f t="shared" si="689"/>
        <v>-834144.42360386404</v>
      </c>
      <c r="GT217" s="77">
        <f t="shared" si="690"/>
        <v>0</v>
      </c>
      <c r="GU217" s="77">
        <f t="shared" si="691"/>
        <v>2770884.7204661975</v>
      </c>
      <c r="GV217" s="77">
        <f t="shared" si="692"/>
        <v>5541769.4409323949</v>
      </c>
      <c r="GW217" s="77">
        <f t="shared" si="693"/>
        <v>17859954.235657975</v>
      </c>
      <c r="GX217" s="77">
        <f t="shared" si="694"/>
        <v>23217940.506355368</v>
      </c>
      <c r="GY217" s="77">
        <f t="shared" si="695"/>
        <v>28575926.77705276</v>
      </c>
      <c r="IC217" s="82">
        <v>226</v>
      </c>
    </row>
    <row r="218" spans="1:237" s="77" customFormat="1">
      <c r="A218" s="77">
        <v>218</v>
      </c>
      <c r="B218" s="69">
        <v>307</v>
      </c>
      <c r="C218" s="69" t="s">
        <v>239</v>
      </c>
      <c r="D218" s="70" t="s">
        <v>213</v>
      </c>
      <c r="E218" s="70">
        <v>1</v>
      </c>
      <c r="F218" s="70">
        <v>4.6684350132625993E-2</v>
      </c>
      <c r="G218" s="70">
        <v>3.0000000000000001E-3</v>
      </c>
      <c r="H218" s="70">
        <v>5.0999999999999995E-3</v>
      </c>
      <c r="I218" s="70">
        <v>5.4999999999999997E-3</v>
      </c>
      <c r="J218" s="71">
        <v>2.2000000000000002</v>
      </c>
      <c r="K218" s="72">
        <v>8</v>
      </c>
      <c r="L218" s="71">
        <v>5.8169239975013512E-2</v>
      </c>
      <c r="M218" s="71">
        <v>6.2188205646014433E-2</v>
      </c>
      <c r="N218" s="71">
        <v>0.21676524190857221</v>
      </c>
      <c r="O218" s="71">
        <v>9.7169071321897546E-2</v>
      </c>
      <c r="P218" s="71">
        <v>0.41728158205430932</v>
      </c>
      <c r="Q218" s="73" t="s">
        <v>3</v>
      </c>
      <c r="R218" s="74">
        <v>0</v>
      </c>
      <c r="S218" s="75">
        <f t="shared" si="616"/>
        <v>0.28664343047316077</v>
      </c>
      <c r="T218" s="59">
        <f t="shared" si="594"/>
        <v>1.1497747125955537</v>
      </c>
      <c r="U218" s="59">
        <f t="shared" si="595"/>
        <v>0.96515396646056517</v>
      </c>
      <c r="V218" s="59">
        <f t="shared" si="596"/>
        <v>1.3503921639218013</v>
      </c>
      <c r="W218" s="59">
        <f t="shared" si="597"/>
        <v>1.1744841394827381</v>
      </c>
      <c r="X218" s="59">
        <f t="shared" si="598"/>
        <v>1.3991468831382319</v>
      </c>
      <c r="Y218" s="76">
        <v>220000</v>
      </c>
      <c r="Z218" s="57">
        <f t="shared" si="599"/>
        <v>307812.31429041101</v>
      </c>
      <c r="AA218" s="57">
        <f t="shared" si="600"/>
        <v>258386.51068620238</v>
      </c>
      <c r="AB218" s="57">
        <f t="shared" si="642"/>
        <v>372781.42707094731</v>
      </c>
      <c r="AC218" s="57">
        <f t="shared" si="601"/>
        <v>0.17</v>
      </c>
      <c r="AD218" s="57">
        <f t="shared" si="602"/>
        <v>2.2000000000000002</v>
      </c>
      <c r="AE218" s="57">
        <f t="shared" si="603"/>
        <v>942500.00000000012</v>
      </c>
      <c r="AF218" s="57">
        <f t="shared" si="604"/>
        <v>139082.97256606366</v>
      </c>
      <c r="AG218" s="57">
        <f t="shared" si="640"/>
        <v>119303.53812013872</v>
      </c>
      <c r="AH218" s="57">
        <f t="shared" si="624"/>
        <v>698335756.82542038</v>
      </c>
      <c r="AI218" s="57">
        <f t="shared" si="625"/>
        <v>121783382.73066369</v>
      </c>
      <c r="AJ218" s="77">
        <v>1413750</v>
      </c>
      <c r="AK218" s="77">
        <v>37.700000000000003</v>
      </c>
      <c r="AL218" s="78">
        <f t="shared" si="605"/>
        <v>3.3817177924254431</v>
      </c>
      <c r="AM218" s="57">
        <f t="shared" si="606"/>
        <v>1</v>
      </c>
      <c r="AN218" s="57">
        <f t="shared" si="607"/>
        <v>0.8</v>
      </c>
      <c r="AO218" s="77">
        <v>1000</v>
      </c>
      <c r="AP218" s="79">
        <v>200</v>
      </c>
      <c r="AQ218" s="57">
        <f t="shared" si="608"/>
        <v>159.06020495976625</v>
      </c>
      <c r="AR218" s="78">
        <f t="shared" si="626"/>
        <v>600</v>
      </c>
      <c r="AS218" s="57">
        <f t="shared" si="609"/>
        <v>840.93979504023378</v>
      </c>
      <c r="AT218" s="77">
        <v>125</v>
      </c>
      <c r="AU218" s="77">
        <v>2200</v>
      </c>
      <c r="AV218" s="78">
        <f t="shared" si="610"/>
        <v>125000</v>
      </c>
      <c r="AW218" s="77">
        <v>0</v>
      </c>
      <c r="AX218" s="77">
        <f t="shared" si="611"/>
        <v>125000</v>
      </c>
      <c r="AY218" s="77">
        <v>125000</v>
      </c>
      <c r="AZ218" s="77">
        <v>392</v>
      </c>
      <c r="BA218" s="77">
        <v>392</v>
      </c>
      <c r="BB218" s="77">
        <v>379</v>
      </c>
      <c r="BC218" s="77">
        <v>392</v>
      </c>
      <c r="BD218" s="77">
        <f t="shared" si="665"/>
        <v>3.6191147369354416E-3</v>
      </c>
      <c r="BE218" s="77">
        <f t="shared" si="665"/>
        <v>3.6191147369354416E-3</v>
      </c>
      <c r="BF218" s="77">
        <v>1.67E-2</v>
      </c>
      <c r="BG218" s="77">
        <f t="shared" si="666"/>
        <v>5.6548667764616273E-3</v>
      </c>
      <c r="BH218" s="79">
        <v>125</v>
      </c>
      <c r="BI218" s="79">
        <f t="shared" si="657"/>
        <v>28.274333882308138</v>
      </c>
      <c r="BJ218" s="79">
        <v>2</v>
      </c>
      <c r="BK218" s="57">
        <f t="shared" si="641"/>
        <v>56.548667764616276</v>
      </c>
      <c r="BL218" s="57">
        <f t="shared" si="643"/>
        <v>271.43360527015813</v>
      </c>
      <c r="BM218" s="80">
        <f t="shared" si="667"/>
        <v>78.539816339744831</v>
      </c>
      <c r="BN218" s="80">
        <v>6</v>
      </c>
      <c r="BO218" s="57">
        <f t="shared" si="627"/>
        <v>471.23889803846896</v>
      </c>
      <c r="BP218" s="57">
        <f t="shared" si="612"/>
        <v>297086.2760627963</v>
      </c>
      <c r="BQ218" s="77">
        <f t="shared" si="613"/>
        <v>0</v>
      </c>
      <c r="BR218" s="57">
        <f t="shared" si="664"/>
        <v>653589807.33815181</v>
      </c>
      <c r="BS218" s="57">
        <v>318.12040991953251</v>
      </c>
      <c r="BT218" s="57">
        <f t="shared" si="617"/>
        <v>312.72451618816677</v>
      </c>
      <c r="BU218" s="57"/>
      <c r="BV218" s="57">
        <v>3.3E-3</v>
      </c>
      <c r="BW218" s="57">
        <v>30000</v>
      </c>
      <c r="BX218" s="57">
        <v>200000</v>
      </c>
      <c r="BY218" s="77">
        <f>20</f>
        <v>20</v>
      </c>
      <c r="BZ218" s="77">
        <f t="shared" si="668"/>
        <v>110</v>
      </c>
      <c r="CA218" s="77">
        <f t="shared" si="669"/>
        <v>200</v>
      </c>
      <c r="CB218" s="77">
        <f t="shared" si="670"/>
        <v>250</v>
      </c>
      <c r="CC218" s="77">
        <f t="shared" si="671"/>
        <v>375</v>
      </c>
      <c r="CD218" s="77">
        <f t="shared" si="672"/>
        <v>500</v>
      </c>
      <c r="CE218" s="77">
        <f t="shared" si="673"/>
        <v>625</v>
      </c>
      <c r="CF218" s="77">
        <f t="shared" si="674"/>
        <v>750</v>
      </c>
      <c r="CG218" s="77">
        <f t="shared" si="675"/>
        <v>800</v>
      </c>
      <c r="CH218" s="77">
        <f t="shared" si="676"/>
        <v>890</v>
      </c>
      <c r="CI218" s="77">
        <f t="shared" si="676"/>
        <v>980</v>
      </c>
      <c r="DM218" s="77">
        <f t="shared" si="677"/>
        <v>157.07963267948966</v>
      </c>
      <c r="DN218" s="77">
        <f t="shared" si="677"/>
        <v>157.07963267948966</v>
      </c>
      <c r="DO218" s="77">
        <f t="shared" si="677"/>
        <v>157.07963267948966</v>
      </c>
      <c r="DP218" s="77">
        <f t="shared" si="678"/>
        <v>56.548667764616276</v>
      </c>
      <c r="DQ218" s="77">
        <f t="shared" si="678"/>
        <v>56.548667764616276</v>
      </c>
      <c r="DR218" s="77">
        <f t="shared" si="678"/>
        <v>56.548667764616276</v>
      </c>
      <c r="DS218" s="77">
        <f t="shared" si="678"/>
        <v>56.548667764616276</v>
      </c>
      <c r="DT218" s="77">
        <f t="shared" si="678"/>
        <v>56.548667764616276</v>
      </c>
      <c r="DU218" s="77">
        <f t="shared" si="679"/>
        <v>157.07963267948966</v>
      </c>
      <c r="DV218" s="77">
        <f t="shared" si="679"/>
        <v>157.07963267948966</v>
      </c>
      <c r="DW218" s="77">
        <f t="shared" si="679"/>
        <v>157.07963267948966</v>
      </c>
      <c r="FA218" s="77">
        <f t="shared" si="645"/>
        <v>-59533.18078552658</v>
      </c>
      <c r="FB218" s="77">
        <f t="shared" si="646"/>
        <v>-59533.18078552658</v>
      </c>
      <c r="FC218" s="77">
        <f t="shared" si="680"/>
        <v>-38494.370733681462</v>
      </c>
      <c r="FD218" s="77">
        <f t="shared" si="681"/>
        <v>-7991.9366489949725</v>
      </c>
      <c r="FE218" s="77">
        <f t="shared" si="682"/>
        <v>6673.1553888309127</v>
      </c>
      <c r="FF218" s="77">
        <f t="shared" si="683"/>
        <v>21338.247426656799</v>
      </c>
      <c r="FG218" s="77">
        <f t="shared" si="684"/>
        <v>22167.07776372958</v>
      </c>
      <c r="FH218" s="77">
        <f t="shared" si="685"/>
        <v>22167.07776372958</v>
      </c>
      <c r="FI218" s="77">
        <f t="shared" si="686"/>
        <v>59533.18078552658</v>
      </c>
      <c r="FJ218" s="77">
        <f t="shared" si="687"/>
        <v>59533.18078552658</v>
      </c>
      <c r="FK218" s="77">
        <f t="shared" si="688"/>
        <v>59533.18078552658</v>
      </c>
      <c r="GO218" s="77">
        <f t="shared" si="696"/>
        <v>28575926.77705276</v>
      </c>
      <c r="GP218" s="77">
        <f t="shared" si="697"/>
        <v>23217940.506355368</v>
      </c>
      <c r="GQ218" s="77">
        <f t="shared" si="698"/>
        <v>11548311.220104439</v>
      </c>
      <c r="GR218" s="77">
        <f t="shared" si="699"/>
        <v>1997984.1622487432</v>
      </c>
      <c r="GS218" s="77">
        <f t="shared" si="689"/>
        <v>-834144.42360386404</v>
      </c>
      <c r="GT218" s="77">
        <f t="shared" si="690"/>
        <v>0</v>
      </c>
      <c r="GU218" s="77">
        <f t="shared" si="691"/>
        <v>2770884.7204661975</v>
      </c>
      <c r="GV218" s="77">
        <f t="shared" si="692"/>
        <v>5541769.4409323949</v>
      </c>
      <c r="GW218" s="77">
        <f t="shared" si="693"/>
        <v>17859954.235657975</v>
      </c>
      <c r="GX218" s="77">
        <f t="shared" si="694"/>
        <v>23217940.506355368</v>
      </c>
      <c r="GY218" s="77">
        <f t="shared" si="695"/>
        <v>28575926.77705276</v>
      </c>
      <c r="IC218" s="82">
        <v>227</v>
      </c>
    </row>
    <row r="219" spans="1:237" s="77" customFormat="1">
      <c r="A219" s="77">
        <v>219</v>
      </c>
      <c r="B219" s="69">
        <v>311</v>
      </c>
      <c r="C219" s="69" t="s">
        <v>239</v>
      </c>
      <c r="D219" s="70" t="s">
        <v>214</v>
      </c>
      <c r="E219" s="70">
        <v>1</v>
      </c>
      <c r="F219" s="70">
        <v>5.305039787798408E-2</v>
      </c>
      <c r="G219" s="70">
        <v>2.5000000000000001E-3</v>
      </c>
      <c r="H219" s="70">
        <v>5.0000000000000001E-3</v>
      </c>
      <c r="I219" s="70">
        <v>6.4999999999999997E-3</v>
      </c>
      <c r="J219" s="71">
        <v>2.2000000000000002</v>
      </c>
      <c r="K219" s="72">
        <v>8</v>
      </c>
      <c r="L219" s="71">
        <v>5.8169239975013512E-2</v>
      </c>
      <c r="M219" s="71">
        <v>6.2188205646014433E-2</v>
      </c>
      <c r="N219" s="71">
        <v>0.15458011113809469</v>
      </c>
      <c r="O219" s="71">
        <v>9.7169071321897546E-2</v>
      </c>
      <c r="P219" s="71">
        <v>0.41728158205430932</v>
      </c>
      <c r="Q219" s="73" t="s">
        <v>3</v>
      </c>
      <c r="R219" s="74">
        <v>0</v>
      </c>
      <c r="S219" s="75">
        <f t="shared" si="616"/>
        <v>0.32573117099222815</v>
      </c>
      <c r="T219" s="59">
        <f t="shared" si="594"/>
        <v>1.0479932134376329</v>
      </c>
      <c r="U219" s="59">
        <f t="shared" si="595"/>
        <v>0.88058950380528522</v>
      </c>
      <c r="V219" s="59">
        <f t="shared" si="596"/>
        <v>1.0842251724245981</v>
      </c>
      <c r="W219" s="59">
        <f t="shared" si="597"/>
        <v>1.0345727038328016</v>
      </c>
      <c r="X219" s="59">
        <f t="shared" si="598"/>
        <v>1.231249257161644</v>
      </c>
      <c r="Y219" s="76">
        <v>250000</v>
      </c>
      <c r="Z219" s="57">
        <f t="shared" si="599"/>
        <v>307812.31429041101</v>
      </c>
      <c r="AA219" s="57">
        <f t="shared" si="600"/>
        <v>258643.17595820039</v>
      </c>
      <c r="AB219" s="57">
        <f t="shared" si="642"/>
        <v>350043.70136524615</v>
      </c>
      <c r="AC219" s="57">
        <f t="shared" si="601"/>
        <v>0.17</v>
      </c>
      <c r="AD219" s="57">
        <f t="shared" si="602"/>
        <v>2.2000000000000002</v>
      </c>
      <c r="AE219" s="57">
        <f t="shared" si="603"/>
        <v>942500.00000000012</v>
      </c>
      <c r="AF219" s="57">
        <f t="shared" si="604"/>
        <v>139188.75447244855</v>
      </c>
      <c r="AG219" s="57">
        <f t="shared" si="640"/>
        <v>119454.42148575184</v>
      </c>
      <c r="AH219" s="57">
        <f t="shared" si="624"/>
        <v>699338141.2342248</v>
      </c>
      <c r="AI219" s="57">
        <f t="shared" si="625"/>
        <v>70758001.769316733</v>
      </c>
      <c r="AJ219" s="77">
        <v>1413750</v>
      </c>
      <c r="AK219" s="77">
        <v>37.700000000000003</v>
      </c>
      <c r="AL219" s="78">
        <f t="shared" si="605"/>
        <v>3.3817177924254431</v>
      </c>
      <c r="AM219" s="57">
        <f t="shared" si="606"/>
        <v>1</v>
      </c>
      <c r="AN219" s="57">
        <f t="shared" si="607"/>
        <v>0.8</v>
      </c>
      <c r="AO219" s="77">
        <v>1000</v>
      </c>
      <c r="AP219" s="79">
        <v>200</v>
      </c>
      <c r="AQ219" s="57">
        <f t="shared" si="608"/>
        <v>157.99666712549094</v>
      </c>
      <c r="AR219" s="78">
        <f t="shared" si="626"/>
        <v>600</v>
      </c>
      <c r="AS219" s="57">
        <f t="shared" si="609"/>
        <v>842.00333287450906</v>
      </c>
      <c r="AT219" s="77">
        <v>125</v>
      </c>
      <c r="AU219" s="77">
        <v>2200</v>
      </c>
      <c r="AV219" s="78">
        <f t="shared" si="610"/>
        <v>125000</v>
      </c>
      <c r="AW219" s="77">
        <v>0</v>
      </c>
      <c r="AX219" s="77">
        <f t="shared" si="611"/>
        <v>125000</v>
      </c>
      <c r="AY219" s="77">
        <v>125000</v>
      </c>
      <c r="AZ219" s="77">
        <v>392</v>
      </c>
      <c r="BA219" s="77">
        <v>392</v>
      </c>
      <c r="BB219" s="77">
        <v>343</v>
      </c>
      <c r="BC219" s="77">
        <v>392</v>
      </c>
      <c r="BD219" s="77">
        <f t="shared" si="665"/>
        <v>3.6191147369354416E-3</v>
      </c>
      <c r="BE219" s="77">
        <f t="shared" si="665"/>
        <v>3.6191147369354416E-3</v>
      </c>
      <c r="BF219" s="77">
        <v>1.2200000000000001E-2</v>
      </c>
      <c r="BG219" s="77">
        <f t="shared" si="666"/>
        <v>5.6548667764616273E-3</v>
      </c>
      <c r="BH219" s="79">
        <v>125</v>
      </c>
      <c r="BI219" s="79">
        <f t="shared" si="657"/>
        <v>28.274333882308138</v>
      </c>
      <c r="BJ219" s="79">
        <v>2</v>
      </c>
      <c r="BK219" s="57">
        <f t="shared" si="641"/>
        <v>56.548667764616276</v>
      </c>
      <c r="BL219" s="57">
        <f t="shared" si="643"/>
        <v>271.43360527015813</v>
      </c>
      <c r="BM219" s="80">
        <f>PI()*8*8/4</f>
        <v>50.26548245743669</v>
      </c>
      <c r="BN219" s="80">
        <v>6</v>
      </c>
      <c r="BO219" s="57">
        <f t="shared" si="627"/>
        <v>301.59289474462014</v>
      </c>
      <c r="BP219" s="57">
        <f t="shared" si="612"/>
        <v>271056.29310614953</v>
      </c>
      <c r="BQ219" s="77">
        <f t="shared" si="613"/>
        <v>-1.3096723705530167E-10</v>
      </c>
      <c r="BR219" s="57">
        <f t="shared" si="664"/>
        <v>596323844.833529</v>
      </c>
      <c r="BS219" s="57">
        <v>315.99333425098189</v>
      </c>
      <c r="BT219" s="57">
        <f t="shared" si="617"/>
        <v>312.72451618816677</v>
      </c>
      <c r="BU219" s="57"/>
      <c r="BV219" s="57">
        <v>3.3E-3</v>
      </c>
      <c r="BW219" s="57">
        <v>30000</v>
      </c>
      <c r="BX219" s="57">
        <v>200000</v>
      </c>
      <c r="BY219" s="77">
        <f>20</f>
        <v>20</v>
      </c>
      <c r="BZ219" s="77">
        <f t="shared" si="668"/>
        <v>110</v>
      </c>
      <c r="CA219" s="77">
        <f t="shared" si="669"/>
        <v>200</v>
      </c>
      <c r="CB219" s="77">
        <f t="shared" si="670"/>
        <v>250</v>
      </c>
      <c r="CC219" s="77">
        <f t="shared" si="671"/>
        <v>375</v>
      </c>
      <c r="CD219" s="77">
        <f t="shared" si="672"/>
        <v>500</v>
      </c>
      <c r="CE219" s="77">
        <f t="shared" si="673"/>
        <v>625</v>
      </c>
      <c r="CF219" s="77">
        <f t="shared" si="674"/>
        <v>750</v>
      </c>
      <c r="CG219" s="77">
        <f t="shared" si="675"/>
        <v>800</v>
      </c>
      <c r="CH219" s="77">
        <f t="shared" si="676"/>
        <v>890</v>
      </c>
      <c r="CI219" s="77">
        <f t="shared" si="676"/>
        <v>980</v>
      </c>
      <c r="DM219" s="77">
        <f>PI()*8*8/4*2</f>
        <v>100.53096491487338</v>
      </c>
      <c r="DN219" s="77">
        <f>PI()*8*8/4*2</f>
        <v>100.53096491487338</v>
      </c>
      <c r="DO219" s="77">
        <f>PI()*8*8/4*2</f>
        <v>100.53096491487338</v>
      </c>
      <c r="DP219" s="77">
        <f t="shared" si="678"/>
        <v>56.548667764616276</v>
      </c>
      <c r="DQ219" s="77">
        <f t="shared" si="678"/>
        <v>56.548667764616276</v>
      </c>
      <c r="DR219" s="77">
        <f t="shared" si="678"/>
        <v>56.548667764616276</v>
      </c>
      <c r="DS219" s="77">
        <f t="shared" si="678"/>
        <v>56.548667764616276</v>
      </c>
      <c r="DT219" s="77">
        <f t="shared" si="678"/>
        <v>56.548667764616276</v>
      </c>
      <c r="DU219" s="77">
        <f>PI()*8*8/4*2</f>
        <v>100.53096491487338</v>
      </c>
      <c r="DV219" s="77">
        <f>PI()*8*8/4*2</f>
        <v>100.53096491487338</v>
      </c>
      <c r="DW219" s="77">
        <f>PI()*8*8/4*2</f>
        <v>100.53096491487338</v>
      </c>
      <c r="FA219" s="77">
        <f t="shared" si="645"/>
        <v>-34482.120965801572</v>
      </c>
      <c r="FB219" s="77">
        <f t="shared" si="646"/>
        <v>-34482.120965801572</v>
      </c>
      <c r="FC219" s="77">
        <f t="shared" si="680"/>
        <v>-24355.603629317851</v>
      </c>
      <c r="FD219" s="77">
        <f t="shared" si="681"/>
        <v>-7794.5036207024277</v>
      </c>
      <c r="FE219" s="77">
        <f t="shared" si="682"/>
        <v>6969.3049312697294</v>
      </c>
      <c r="FF219" s="77">
        <f t="shared" si="683"/>
        <v>21733.113483241883</v>
      </c>
      <c r="FG219" s="77">
        <f t="shared" si="684"/>
        <v>22167.07776372958</v>
      </c>
      <c r="FH219" s="77">
        <f t="shared" si="685"/>
        <v>22167.07776372958</v>
      </c>
      <c r="FI219" s="77">
        <f t="shared" si="686"/>
        <v>34482.120965801572</v>
      </c>
      <c r="FJ219" s="77">
        <f t="shared" si="687"/>
        <v>34482.120965801572</v>
      </c>
      <c r="FK219" s="77">
        <f t="shared" si="688"/>
        <v>34482.120965801572</v>
      </c>
      <c r="GO219" s="77">
        <f t="shared" si="696"/>
        <v>16551418.063584754</v>
      </c>
      <c r="GP219" s="77">
        <f t="shared" si="697"/>
        <v>13448027.176662613</v>
      </c>
      <c r="GQ219" s="77">
        <f t="shared" si="698"/>
        <v>7306681.0887953555</v>
      </c>
      <c r="GR219" s="77">
        <f t="shared" si="699"/>
        <v>1948625.905175607</v>
      </c>
      <c r="GS219" s="77">
        <f t="shared" si="689"/>
        <v>-871163.11640871619</v>
      </c>
      <c r="GT219" s="77">
        <f t="shared" si="690"/>
        <v>0</v>
      </c>
      <c r="GU219" s="77">
        <f t="shared" si="691"/>
        <v>2770884.7204661975</v>
      </c>
      <c r="GV219" s="77">
        <f t="shared" si="692"/>
        <v>5541769.4409323949</v>
      </c>
      <c r="GW219" s="77">
        <f t="shared" si="693"/>
        <v>10344636.289740471</v>
      </c>
      <c r="GX219" s="77">
        <f t="shared" si="694"/>
        <v>13448027.176662613</v>
      </c>
      <c r="GY219" s="77">
        <f t="shared" si="695"/>
        <v>16551418.063584754</v>
      </c>
      <c r="IC219" s="82">
        <v>228</v>
      </c>
    </row>
    <row r="220" spans="1:237" s="77" customFormat="1">
      <c r="A220" s="77">
        <v>220</v>
      </c>
      <c r="B220" s="69">
        <v>312</v>
      </c>
      <c r="C220" s="69" t="s">
        <v>239</v>
      </c>
      <c r="D220" s="70" t="s">
        <v>215</v>
      </c>
      <c r="E220" s="70">
        <v>1</v>
      </c>
      <c r="F220" s="70">
        <v>5.0928381962864713E-2</v>
      </c>
      <c r="G220" s="70">
        <v>2E-3</v>
      </c>
      <c r="H220" s="70">
        <v>3.5999999999999999E-3</v>
      </c>
      <c r="I220" s="70">
        <v>4.0000000000000001E-3</v>
      </c>
      <c r="J220" s="71">
        <v>2.2000000000000002</v>
      </c>
      <c r="K220" s="72">
        <v>8</v>
      </c>
      <c r="L220" s="71">
        <v>5.8169239975013512E-2</v>
      </c>
      <c r="M220" s="71">
        <v>6.2188205646014433E-2</v>
      </c>
      <c r="N220" s="71">
        <v>0.21676524190857221</v>
      </c>
      <c r="O220" s="71">
        <v>9.7169071321897546E-2</v>
      </c>
      <c r="P220" s="71">
        <v>0.41728158205430932</v>
      </c>
      <c r="Q220" s="73" t="s">
        <v>3</v>
      </c>
      <c r="R220" s="74">
        <v>0</v>
      </c>
      <c r="S220" s="75">
        <f t="shared" si="616"/>
        <v>0.312701924152539</v>
      </c>
      <c r="T220" s="59">
        <f t="shared" si="594"/>
        <v>1.1327895533151005</v>
      </c>
      <c r="U220" s="59">
        <f t="shared" si="595"/>
        <v>0.95124923038673737</v>
      </c>
      <c r="V220" s="59">
        <f t="shared" si="596"/>
        <v>1.2200259461346417</v>
      </c>
      <c r="W220" s="59">
        <f t="shared" si="597"/>
        <v>1.07701023774826</v>
      </c>
      <c r="X220" s="59">
        <f t="shared" si="598"/>
        <v>1.2825513095433791</v>
      </c>
      <c r="Y220" s="76">
        <v>240000</v>
      </c>
      <c r="Z220" s="57">
        <f t="shared" si="599"/>
        <v>307812.31429041101</v>
      </c>
      <c r="AA220" s="57">
        <f t="shared" si="600"/>
        <v>258482.4570595824</v>
      </c>
      <c r="AB220" s="57">
        <f t="shared" si="642"/>
        <v>369068.12903697457</v>
      </c>
      <c r="AC220" s="57">
        <f t="shared" si="601"/>
        <v>0.17</v>
      </c>
      <c r="AD220" s="57">
        <f t="shared" si="602"/>
        <v>2.2000000000000002</v>
      </c>
      <c r="AE220" s="57">
        <f t="shared" si="603"/>
        <v>942500.00000000012</v>
      </c>
      <c r="AF220" s="57">
        <f t="shared" si="604"/>
        <v>139122.51585997266</v>
      </c>
      <c r="AG220" s="57">
        <f t="shared" si="640"/>
        <v>119359.94119960973</v>
      </c>
      <c r="AH220" s="57">
        <f t="shared" si="624"/>
        <v>698710467.23329437</v>
      </c>
      <c r="AI220" s="57">
        <f t="shared" si="625"/>
        <v>113239416.64804973</v>
      </c>
      <c r="AJ220" s="77">
        <v>1413750</v>
      </c>
      <c r="AK220" s="77">
        <v>37.700000000000003</v>
      </c>
      <c r="AL220" s="78">
        <f t="shared" si="605"/>
        <v>3.3817177924254431</v>
      </c>
      <c r="AM220" s="57">
        <f t="shared" si="606"/>
        <v>1</v>
      </c>
      <c r="AN220" s="57">
        <f t="shared" si="607"/>
        <v>0.8</v>
      </c>
      <c r="AO220" s="77">
        <v>1000</v>
      </c>
      <c r="AP220" s="79">
        <v>200</v>
      </c>
      <c r="AQ220" s="57">
        <f t="shared" si="608"/>
        <v>158.66263423523137</v>
      </c>
      <c r="AR220" s="78">
        <f t="shared" si="626"/>
        <v>600</v>
      </c>
      <c r="AS220" s="57">
        <f t="shared" si="609"/>
        <v>841.33736576476861</v>
      </c>
      <c r="AT220" s="77">
        <v>125</v>
      </c>
      <c r="AU220" s="77">
        <v>2200</v>
      </c>
      <c r="AV220" s="78">
        <f t="shared" si="610"/>
        <v>125000</v>
      </c>
      <c r="AW220" s="77">
        <v>0</v>
      </c>
      <c r="AX220" s="77">
        <f t="shared" si="611"/>
        <v>125000</v>
      </c>
      <c r="AY220" s="77">
        <v>125000</v>
      </c>
      <c r="AZ220" s="77">
        <v>392</v>
      </c>
      <c r="BA220" s="77">
        <v>392</v>
      </c>
      <c r="BB220" s="77">
        <v>352</v>
      </c>
      <c r="BC220" s="77">
        <v>392</v>
      </c>
      <c r="BD220" s="77">
        <f t="shared" si="665"/>
        <v>3.6191147369354416E-3</v>
      </c>
      <c r="BE220" s="77">
        <f t="shared" si="665"/>
        <v>3.6191147369354416E-3</v>
      </c>
      <c r="BF220" s="77">
        <v>1.67E-2</v>
      </c>
      <c r="BG220" s="77">
        <f t="shared" si="666"/>
        <v>5.6548667764616273E-3</v>
      </c>
      <c r="BH220" s="79">
        <v>125</v>
      </c>
      <c r="BI220" s="79">
        <f t="shared" si="657"/>
        <v>28.274333882308138</v>
      </c>
      <c r="BJ220" s="79">
        <v>2</v>
      </c>
      <c r="BK220" s="57">
        <f t="shared" si="641"/>
        <v>56.548667764616276</v>
      </c>
      <c r="BL220" s="57">
        <f t="shared" si="643"/>
        <v>271.43360527015813</v>
      </c>
      <c r="BM220" s="80">
        <f>PI()*10*10/4</f>
        <v>78.539816339744831</v>
      </c>
      <c r="BN220" s="80">
        <v>6</v>
      </c>
      <c r="BO220" s="57">
        <f t="shared" si="627"/>
        <v>471.23889803846896</v>
      </c>
      <c r="BP220" s="57">
        <f t="shared" si="612"/>
        <v>292806.22707231401</v>
      </c>
      <c r="BQ220" s="77">
        <f t="shared" si="613"/>
        <v>5.2386894822120667E-10</v>
      </c>
      <c r="BR220" s="57">
        <f t="shared" si="664"/>
        <v>644173699.55909085</v>
      </c>
      <c r="BS220" s="57">
        <v>317.32526847046273</v>
      </c>
      <c r="BT220" s="57">
        <f t="shared" si="617"/>
        <v>312.72451618816677</v>
      </c>
      <c r="BU220" s="57"/>
      <c r="BV220" s="57">
        <v>3.3E-3</v>
      </c>
      <c r="BW220" s="57">
        <v>30000</v>
      </c>
      <c r="BX220" s="57">
        <v>200000</v>
      </c>
      <c r="BY220" s="77">
        <f>20</f>
        <v>20</v>
      </c>
      <c r="BZ220" s="77">
        <f t="shared" si="668"/>
        <v>110</v>
      </c>
      <c r="CA220" s="77">
        <f t="shared" si="669"/>
        <v>200</v>
      </c>
      <c r="CB220" s="77">
        <f t="shared" si="670"/>
        <v>250</v>
      </c>
      <c r="CC220" s="77">
        <f t="shared" si="671"/>
        <v>375</v>
      </c>
      <c r="CD220" s="77">
        <f t="shared" si="672"/>
        <v>500</v>
      </c>
      <c r="CE220" s="77">
        <f t="shared" si="673"/>
        <v>625</v>
      </c>
      <c r="CF220" s="77">
        <f t="shared" si="674"/>
        <v>750</v>
      </c>
      <c r="CG220" s="77">
        <f t="shared" si="675"/>
        <v>800</v>
      </c>
      <c r="CH220" s="77">
        <f t="shared" si="676"/>
        <v>890</v>
      </c>
      <c r="CI220" s="77">
        <f t="shared" si="676"/>
        <v>980</v>
      </c>
      <c r="DM220" s="77">
        <f t="shared" ref="DM220:DO224" si="700">PI()*10*10/4*2</f>
        <v>157.07963267948966</v>
      </c>
      <c r="DN220" s="77">
        <f t="shared" si="700"/>
        <v>157.07963267948966</v>
      </c>
      <c r="DO220" s="77">
        <f t="shared" si="700"/>
        <v>157.07963267948966</v>
      </c>
      <c r="DP220" s="77">
        <f t="shared" si="678"/>
        <v>56.548667764616276</v>
      </c>
      <c r="DQ220" s="77">
        <f t="shared" si="678"/>
        <v>56.548667764616276</v>
      </c>
      <c r="DR220" s="77">
        <f t="shared" si="678"/>
        <v>56.548667764616276</v>
      </c>
      <c r="DS220" s="77">
        <f t="shared" si="678"/>
        <v>56.548667764616276</v>
      </c>
      <c r="DT220" s="77">
        <f t="shared" si="678"/>
        <v>56.548667764616276</v>
      </c>
      <c r="DU220" s="77">
        <f>PI()*10*10/4*2</f>
        <v>157.07963267948966</v>
      </c>
      <c r="DV220" s="77">
        <f>PI()*10*10/4*2</f>
        <v>157.07963267948966</v>
      </c>
      <c r="DW220" s="77">
        <f>PI()*10*10/4*2</f>
        <v>157.07963267948966</v>
      </c>
      <c r="FA220" s="77">
        <f t="shared" si="645"/>
        <v>-55292.03070318036</v>
      </c>
      <c r="FB220" s="77">
        <f t="shared" si="646"/>
        <v>-55292.03070318036</v>
      </c>
      <c r="FC220" s="77">
        <f t="shared" si="680"/>
        <v>-38331.049740754068</v>
      </c>
      <c r="FD220" s="77">
        <f t="shared" si="681"/>
        <v>-7918.4422021776445</v>
      </c>
      <c r="FE220" s="77">
        <f t="shared" si="682"/>
        <v>6783.3970590569052</v>
      </c>
      <c r="FF220" s="77">
        <f t="shared" si="683"/>
        <v>21485.236320291453</v>
      </c>
      <c r="FG220" s="77">
        <f t="shared" si="684"/>
        <v>22167.07776372958</v>
      </c>
      <c r="FH220" s="77">
        <f t="shared" si="685"/>
        <v>22167.07776372958</v>
      </c>
      <c r="FI220" s="77">
        <f t="shared" si="686"/>
        <v>55292.03070318036</v>
      </c>
      <c r="FJ220" s="77">
        <f t="shared" si="687"/>
        <v>55292.03070318036</v>
      </c>
      <c r="FK220" s="77">
        <f t="shared" si="688"/>
        <v>55292.03070318036</v>
      </c>
      <c r="GO220" s="77">
        <f t="shared" si="696"/>
        <v>26540174.737526573</v>
      </c>
      <c r="GP220" s="77">
        <f t="shared" si="697"/>
        <v>21563891.97424034</v>
      </c>
      <c r="GQ220" s="77">
        <f t="shared" si="698"/>
        <v>11499314.92222622</v>
      </c>
      <c r="GR220" s="77">
        <f t="shared" si="699"/>
        <v>1979610.5505444112</v>
      </c>
      <c r="GS220" s="77">
        <f t="shared" si="689"/>
        <v>-847924.63238211314</v>
      </c>
      <c r="GT220" s="77">
        <f t="shared" si="690"/>
        <v>0</v>
      </c>
      <c r="GU220" s="77">
        <f t="shared" si="691"/>
        <v>2770884.7204661975</v>
      </c>
      <c r="GV220" s="77">
        <f t="shared" si="692"/>
        <v>5541769.4409323949</v>
      </c>
      <c r="GW220" s="77">
        <f t="shared" si="693"/>
        <v>16587609.210954107</v>
      </c>
      <c r="GX220" s="77">
        <f t="shared" si="694"/>
        <v>21563891.97424034</v>
      </c>
      <c r="GY220" s="77">
        <f t="shared" si="695"/>
        <v>26540174.737526573</v>
      </c>
      <c r="IC220" s="82">
        <v>229</v>
      </c>
    </row>
    <row r="221" spans="1:237" s="77" customFormat="1">
      <c r="A221" s="77">
        <v>221</v>
      </c>
      <c r="B221" s="69">
        <v>315</v>
      </c>
      <c r="C221" s="69" t="s">
        <v>239</v>
      </c>
      <c r="D221" s="70" t="s">
        <v>216</v>
      </c>
      <c r="E221" s="70">
        <v>1</v>
      </c>
      <c r="F221" s="70">
        <v>5.5172413793103448E-2</v>
      </c>
      <c r="G221" s="70">
        <v>2.5000000000000001E-3</v>
      </c>
      <c r="H221" s="70">
        <v>4.0000000000000001E-3</v>
      </c>
      <c r="I221" s="70">
        <v>5.4999999999999997E-3</v>
      </c>
      <c r="J221" s="71">
        <v>2.2000000000000002</v>
      </c>
      <c r="K221" s="72">
        <v>8</v>
      </c>
      <c r="L221" s="71">
        <v>6.980308797001622E-2</v>
      </c>
      <c r="M221" s="71">
        <v>6.2188205646014433E-2</v>
      </c>
      <c r="N221" s="71">
        <v>0.17341219352685777</v>
      </c>
      <c r="O221" s="71">
        <v>9.7169071321897546E-2</v>
      </c>
      <c r="P221" s="71">
        <v>0.41728158205430932</v>
      </c>
      <c r="Q221" s="73" t="s">
        <v>3</v>
      </c>
      <c r="R221" s="74">
        <v>0</v>
      </c>
      <c r="S221" s="75">
        <f t="shared" si="616"/>
        <v>0.33876041783191729</v>
      </c>
      <c r="T221" s="59">
        <f t="shared" si="594"/>
        <v>1.1245300348959826</v>
      </c>
      <c r="U221" s="59">
        <f t="shared" si="595"/>
        <v>0.94315376565193665</v>
      </c>
      <c r="V221" s="59">
        <f t="shared" si="596"/>
        <v>1.1165936282193791</v>
      </c>
      <c r="W221" s="59">
        <f t="shared" si="597"/>
        <v>0.99294246802635422</v>
      </c>
      <c r="X221" s="59">
        <f t="shared" si="598"/>
        <v>1.1838935165015809</v>
      </c>
      <c r="Y221" s="76">
        <v>260000</v>
      </c>
      <c r="Z221" s="57">
        <f t="shared" si="599"/>
        <v>307812.31429041101</v>
      </c>
      <c r="AA221" s="57">
        <f t="shared" si="600"/>
        <v>258165.04168685208</v>
      </c>
      <c r="AB221" s="57">
        <f t="shared" si="642"/>
        <v>438109.54235987487</v>
      </c>
      <c r="AC221" s="57">
        <f t="shared" si="601"/>
        <v>0.17</v>
      </c>
      <c r="AD221" s="57">
        <f t="shared" si="602"/>
        <v>2.2000000000000002</v>
      </c>
      <c r="AE221" s="57">
        <f t="shared" si="603"/>
        <v>942500.00000000012</v>
      </c>
      <c r="AF221" s="57">
        <f t="shared" si="604"/>
        <v>138991.69643519461</v>
      </c>
      <c r="AG221" s="57">
        <f t="shared" si="640"/>
        <v>119173.34525165748</v>
      </c>
      <c r="AH221" s="57">
        <f t="shared" si="624"/>
        <v>842385410.58565176</v>
      </c>
      <c r="AI221" s="57">
        <f t="shared" si="625"/>
        <v>121455582.60607296</v>
      </c>
      <c r="AJ221" s="77">
        <v>1413750</v>
      </c>
      <c r="AK221" s="77">
        <v>37.700000000000003</v>
      </c>
      <c r="AL221" s="78">
        <f t="shared" si="605"/>
        <v>3.3817177924254431</v>
      </c>
      <c r="AM221" s="57">
        <f t="shared" si="606"/>
        <v>1</v>
      </c>
      <c r="AN221" s="57">
        <f t="shared" si="607"/>
        <v>0.8</v>
      </c>
      <c r="AO221" s="77">
        <v>1000</v>
      </c>
      <c r="AP221" s="79">
        <v>250</v>
      </c>
      <c r="AQ221" s="57">
        <f t="shared" si="608"/>
        <v>159.97790082915509</v>
      </c>
      <c r="AR221" s="78">
        <f t="shared" si="626"/>
        <v>500</v>
      </c>
      <c r="AS221" s="57">
        <f t="shared" si="609"/>
        <v>840.02209917084497</v>
      </c>
      <c r="AT221" s="77">
        <v>125</v>
      </c>
      <c r="AU221" s="77">
        <v>2200</v>
      </c>
      <c r="AV221" s="78">
        <f t="shared" si="610"/>
        <v>125000</v>
      </c>
      <c r="AW221" s="77">
        <v>0</v>
      </c>
      <c r="AX221" s="77">
        <f t="shared" si="611"/>
        <v>125000</v>
      </c>
      <c r="AY221" s="77">
        <v>125000</v>
      </c>
      <c r="AZ221" s="77">
        <v>392</v>
      </c>
      <c r="BA221" s="77">
        <v>392</v>
      </c>
      <c r="BB221" s="77">
        <v>379</v>
      </c>
      <c r="BC221" s="77">
        <v>392</v>
      </c>
      <c r="BD221" s="77">
        <f t="shared" si="665"/>
        <v>3.6191147369354416E-3</v>
      </c>
      <c r="BE221" s="77">
        <f t="shared" si="665"/>
        <v>3.6191147369354416E-3</v>
      </c>
      <c r="BF221" s="77">
        <v>1.34E-2</v>
      </c>
      <c r="BG221" s="77">
        <f t="shared" si="666"/>
        <v>5.6548667764616273E-3</v>
      </c>
      <c r="BH221" s="79">
        <v>125</v>
      </c>
      <c r="BI221" s="79">
        <f t="shared" si="657"/>
        <v>28.274333882308138</v>
      </c>
      <c r="BJ221" s="79">
        <v>2</v>
      </c>
      <c r="BK221" s="57">
        <f t="shared" si="641"/>
        <v>56.548667764616276</v>
      </c>
      <c r="BL221" s="57">
        <f t="shared" si="643"/>
        <v>226.1946710584651</v>
      </c>
      <c r="BM221" s="80">
        <f>PI()*10*10/4</f>
        <v>78.539816339744831</v>
      </c>
      <c r="BN221" s="80">
        <v>6</v>
      </c>
      <c r="BO221" s="57">
        <f t="shared" si="627"/>
        <v>471.23889803846896</v>
      </c>
      <c r="BP221" s="57">
        <f t="shared" si="612"/>
        <v>290314.34333703859</v>
      </c>
      <c r="BQ221" s="77">
        <f t="shared" si="613"/>
        <v>5.9662852436304092E-10</v>
      </c>
      <c r="BR221" s="57">
        <f t="shared" si="664"/>
        <v>638691555.3414849</v>
      </c>
      <c r="BS221" s="57">
        <v>319.95580165831018</v>
      </c>
      <c r="BT221" s="57">
        <f t="shared" si="617"/>
        <v>315.55986190815395</v>
      </c>
      <c r="BU221" s="57"/>
      <c r="BV221" s="57">
        <v>3.3E-3</v>
      </c>
      <c r="BW221" s="57">
        <v>30000</v>
      </c>
      <c r="BX221" s="57">
        <v>200000</v>
      </c>
      <c r="BY221" s="77">
        <f>20</f>
        <v>20</v>
      </c>
      <c r="BZ221" s="77">
        <f>BY221+230/2</f>
        <v>135</v>
      </c>
      <c r="CA221" s="77">
        <f>BY221+230/2*2</f>
        <v>250</v>
      </c>
      <c r="CB221" s="77">
        <f>CA221+125/2</f>
        <v>312.5</v>
      </c>
      <c r="CC221" s="77">
        <f t="shared" si="671"/>
        <v>437.5</v>
      </c>
      <c r="CD221" s="77">
        <f t="shared" si="672"/>
        <v>562.5</v>
      </c>
      <c r="CE221" s="77">
        <f t="shared" si="673"/>
        <v>687.5</v>
      </c>
      <c r="CF221" s="77">
        <f>CE221+125/2</f>
        <v>750</v>
      </c>
      <c r="CG221" s="77">
        <f>CF221+230/2*1</f>
        <v>865</v>
      </c>
      <c r="CH221" s="77">
        <f>CF221+230/2*2</f>
        <v>980</v>
      </c>
      <c r="DM221" s="77">
        <f t="shared" si="700"/>
        <v>157.07963267948966</v>
      </c>
      <c r="DN221" s="77">
        <f t="shared" si="700"/>
        <v>157.07963267948966</v>
      </c>
      <c r="DO221" s="77">
        <f t="shared" si="700"/>
        <v>157.07963267948966</v>
      </c>
      <c r="DP221" s="77">
        <f t="shared" ref="DP221:DS224" si="701">PI()*6*6/4*2</f>
        <v>56.548667764616276</v>
      </c>
      <c r="DQ221" s="77">
        <f t="shared" si="701"/>
        <v>56.548667764616276</v>
      </c>
      <c r="DR221" s="77">
        <f t="shared" si="701"/>
        <v>56.548667764616276</v>
      </c>
      <c r="DS221" s="77">
        <f t="shared" si="701"/>
        <v>56.548667764616276</v>
      </c>
      <c r="DT221" s="77">
        <f>PI()*10*10/4*2</f>
        <v>157.07963267948966</v>
      </c>
      <c r="DU221" s="77">
        <f>PI()*10*10/4*2</f>
        <v>157.07963267948966</v>
      </c>
      <c r="DV221" s="77">
        <f>PI()*10*10/4*2</f>
        <v>157.07963267948966</v>
      </c>
      <c r="FA221" s="77">
        <f t="shared" si="645"/>
        <v>-59533.18078552658</v>
      </c>
      <c r="FB221" s="77">
        <f t="shared" si="646"/>
        <v>-59533.18078552658</v>
      </c>
      <c r="FC221" s="77">
        <f t="shared" si="680"/>
        <v>-22667.183520598574</v>
      </c>
      <c r="FD221" s="77">
        <f t="shared" ref="FD221:FG224" si="702">IF(ABS(-$BV221*($BS221-CB221)/$BS221*$BX221)&gt;$BA221,$BA221*SIGN(-($BS221-CB221)),-$BV221*($BS221-CB221)/$BS221*$BX221)*DP221</f>
        <v>-869.70240310767144</v>
      </c>
      <c r="FE221" s="77">
        <f t="shared" si="702"/>
        <v>13711.264925507956</v>
      </c>
      <c r="FF221" s="77">
        <f t="shared" si="702"/>
        <v>22167.07776372958</v>
      </c>
      <c r="FG221" s="77">
        <f t="shared" si="702"/>
        <v>22167.07776372958</v>
      </c>
      <c r="FH221" s="77">
        <f>IF(ABS(-$BV221*($BS221-CF221)/$BS221*$BX221)&gt;$BB221,$BB221*SIGN(-($BS221-CF221)),-$BV221*($BS221-CF221)/$BS221*$BX221)*DT221</f>
        <v>59533.18078552658</v>
      </c>
      <c r="FI221" s="77">
        <f>IF(ABS(-$BV221*($BS221-CG221)/$BS221*$BX221)&gt;$BB221,$BB221*SIGN(-($BS221-CG221)),-$BV221*($BS221-CG221)/$BS221*$BX221)*DU221</f>
        <v>59533.18078552658</v>
      </c>
      <c r="FJ221" s="77">
        <f>IF(ABS(-$BV221*($BS221-CH221)/$BS221*$BX221)&gt;$BB221,$BB221*SIGN(-($BS221-CH221)),-$BV221*($BS221-CH221)/$BS221*$BX221)*DV221</f>
        <v>59533.18078552658</v>
      </c>
      <c r="GO221" s="77">
        <f t="shared" si="696"/>
        <v>28575926.77705276</v>
      </c>
      <c r="GP221" s="77">
        <f t="shared" si="697"/>
        <v>21729610.986717202</v>
      </c>
      <c r="GQ221" s="77">
        <f t="shared" si="698"/>
        <v>5666795.8801496429</v>
      </c>
      <c r="GR221" s="77">
        <f t="shared" si="699"/>
        <v>163069.20058268838</v>
      </c>
      <c r="GS221" s="77">
        <f t="shared" ref="GS221:GX224" si="703">FE221*(CC221-0.5*$AO221)</f>
        <v>-856954.0578442472</v>
      </c>
      <c r="GT221" s="77">
        <f t="shared" si="703"/>
        <v>1385442.3602330987</v>
      </c>
      <c r="GU221" s="77">
        <f t="shared" si="703"/>
        <v>4156327.0806992962</v>
      </c>
      <c r="GV221" s="77">
        <f t="shared" si="703"/>
        <v>14883295.196381645</v>
      </c>
      <c r="GW221" s="77">
        <f t="shared" si="703"/>
        <v>21729610.986717202</v>
      </c>
      <c r="GX221" s="77">
        <f t="shared" si="703"/>
        <v>28575926.77705276</v>
      </c>
      <c r="IC221" s="82">
        <v>230</v>
      </c>
    </row>
    <row r="222" spans="1:237" s="77" customFormat="1">
      <c r="A222" s="77">
        <v>222</v>
      </c>
      <c r="B222" s="69">
        <v>317</v>
      </c>
      <c r="C222" s="69" t="s">
        <v>239</v>
      </c>
      <c r="D222" s="70" t="s">
        <v>217</v>
      </c>
      <c r="E222" s="70">
        <v>1</v>
      </c>
      <c r="F222" s="70">
        <v>5.8355437665782495E-2</v>
      </c>
      <c r="G222" s="70">
        <v>3.5000000000000001E-3</v>
      </c>
      <c r="H222" s="70">
        <v>5.7999999999999996E-3</v>
      </c>
      <c r="I222" s="70">
        <v>8.0000000000000002E-3</v>
      </c>
      <c r="J222" s="71">
        <v>2.2000000000000002</v>
      </c>
      <c r="K222" s="72">
        <v>8</v>
      </c>
      <c r="L222" s="71">
        <v>4.9859348550011576E-2</v>
      </c>
      <c r="M222" s="71">
        <v>6.2188205646014433E-2</v>
      </c>
      <c r="N222" s="71">
        <v>0.28902032254476295</v>
      </c>
      <c r="O222" s="71">
        <v>9.7169071321897546E-2</v>
      </c>
      <c r="P222" s="71">
        <v>0.41728158205430932</v>
      </c>
      <c r="Q222" s="73" t="s">
        <v>3</v>
      </c>
      <c r="R222" s="74">
        <v>0</v>
      </c>
      <c r="S222" s="75">
        <f t="shared" si="616"/>
        <v>0.35830428809145098</v>
      </c>
      <c r="T222" s="59">
        <f t="shared" si="594"/>
        <v>1.1790424663239354</v>
      </c>
      <c r="U222" s="59">
        <f t="shared" si="595"/>
        <v>0.99115080930472332</v>
      </c>
      <c r="V222" s="59">
        <f t="shared" si="596"/>
        <v>1.1094124524469118</v>
      </c>
      <c r="W222" s="59">
        <f t="shared" si="597"/>
        <v>0.94094359120573579</v>
      </c>
      <c r="X222" s="59">
        <f t="shared" si="598"/>
        <v>1.1193175065105856</v>
      </c>
      <c r="Y222" s="76">
        <v>275000</v>
      </c>
      <c r="Z222" s="57">
        <f t="shared" si="599"/>
        <v>307812.31429041101</v>
      </c>
      <c r="AA222" s="57">
        <f t="shared" si="600"/>
        <v>258759.48758157736</v>
      </c>
      <c r="AB222" s="57">
        <f t="shared" si="642"/>
        <v>302205.27142199961</v>
      </c>
      <c r="AC222" s="57">
        <f t="shared" si="601"/>
        <v>0.17</v>
      </c>
      <c r="AD222" s="57">
        <f t="shared" si="602"/>
        <v>2.2000000000000002</v>
      </c>
      <c r="AE222" s="57">
        <f t="shared" si="603"/>
        <v>942500.00000000012</v>
      </c>
      <c r="AF222" s="57">
        <f t="shared" si="604"/>
        <v>139236.69109106375</v>
      </c>
      <c r="AG222" s="57">
        <f t="shared" si="640"/>
        <v>119522.7964905136</v>
      </c>
      <c r="AH222" s="57">
        <f t="shared" si="624"/>
        <v>542516164.79651785</v>
      </c>
      <c r="AI222" s="57">
        <f t="shared" si="625"/>
        <v>122335432.33188127</v>
      </c>
      <c r="AJ222" s="77">
        <v>1413750</v>
      </c>
      <c r="AK222" s="77">
        <v>37.700000000000003</v>
      </c>
      <c r="AL222" s="78">
        <f t="shared" si="605"/>
        <v>3.3817177924254431</v>
      </c>
      <c r="AM222" s="57">
        <f t="shared" si="606"/>
        <v>1</v>
      </c>
      <c r="AN222" s="57">
        <f t="shared" si="607"/>
        <v>0.8</v>
      </c>
      <c r="AO222" s="77">
        <v>1000</v>
      </c>
      <c r="AP222" s="79">
        <v>150</v>
      </c>
      <c r="AQ222" s="57">
        <f t="shared" si="608"/>
        <v>157.51470939484648</v>
      </c>
      <c r="AR222" s="78">
        <f t="shared" si="626"/>
        <v>700</v>
      </c>
      <c r="AS222" s="57">
        <f t="shared" si="609"/>
        <v>842.48529060515352</v>
      </c>
      <c r="AT222" s="77">
        <v>125</v>
      </c>
      <c r="AU222" s="77">
        <v>2200</v>
      </c>
      <c r="AV222" s="78">
        <f t="shared" si="610"/>
        <v>125000</v>
      </c>
      <c r="AW222" s="77">
        <v>0</v>
      </c>
      <c r="AX222" s="77">
        <f t="shared" si="611"/>
        <v>125000</v>
      </c>
      <c r="AY222" s="77">
        <v>125000</v>
      </c>
      <c r="AZ222" s="77">
        <v>392</v>
      </c>
      <c r="BA222" s="77">
        <v>392</v>
      </c>
      <c r="BB222" s="77">
        <v>379</v>
      </c>
      <c r="BC222" s="77">
        <v>392</v>
      </c>
      <c r="BD222" s="77">
        <f t="shared" si="665"/>
        <v>3.6191147369354416E-3</v>
      </c>
      <c r="BE222" s="77">
        <f t="shared" si="665"/>
        <v>3.6191147369354416E-3</v>
      </c>
      <c r="BF222" s="77">
        <v>2.23E-2</v>
      </c>
      <c r="BG222" s="77">
        <f t="shared" si="666"/>
        <v>5.6548667764616273E-3</v>
      </c>
      <c r="BH222" s="79">
        <v>125</v>
      </c>
      <c r="BI222" s="79">
        <f t="shared" si="657"/>
        <v>28.274333882308138</v>
      </c>
      <c r="BJ222" s="79">
        <v>2</v>
      </c>
      <c r="BK222" s="57">
        <f t="shared" si="641"/>
        <v>56.548667764616276</v>
      </c>
      <c r="BL222" s="57">
        <f t="shared" si="643"/>
        <v>316.67253948185112</v>
      </c>
      <c r="BM222" s="80">
        <f>PI()*10*10/4</f>
        <v>78.539816339744831</v>
      </c>
      <c r="BN222" s="80">
        <v>6</v>
      </c>
      <c r="BO222" s="57">
        <f t="shared" si="627"/>
        <v>471.23889803846896</v>
      </c>
      <c r="BP222" s="57">
        <f t="shared" si="612"/>
        <v>305088.42442290072</v>
      </c>
      <c r="BQ222" s="77">
        <f t="shared" si="613"/>
        <v>1.0477378964424133E-9</v>
      </c>
      <c r="BR222" s="57">
        <f t="shared" si="664"/>
        <v>671194533.73038161</v>
      </c>
      <c r="BS222" s="57">
        <v>315.02941878969295</v>
      </c>
      <c r="BT222" s="57">
        <f t="shared" si="617"/>
        <v>309.8891704681796</v>
      </c>
      <c r="BU222" s="57"/>
      <c r="BV222" s="57">
        <v>3.3E-3</v>
      </c>
      <c r="BW222" s="57">
        <v>30000</v>
      </c>
      <c r="BX222" s="57">
        <v>200000</v>
      </c>
      <c r="BY222" s="77">
        <f>20</f>
        <v>20</v>
      </c>
      <c r="BZ222" s="77">
        <f>BY222+130/2*1</f>
        <v>85</v>
      </c>
      <c r="CA222" s="77">
        <f>BY222+130/2*2</f>
        <v>150</v>
      </c>
      <c r="CB222" s="77">
        <f>CA222+37.5</f>
        <v>187.5</v>
      </c>
      <c r="CC222" s="77">
        <f t="shared" si="671"/>
        <v>312.5</v>
      </c>
      <c r="CD222" s="77">
        <f t="shared" si="672"/>
        <v>437.5</v>
      </c>
      <c r="CE222" s="77">
        <f t="shared" si="673"/>
        <v>562.5</v>
      </c>
      <c r="CF222" s="77">
        <f>CB222+125*4</f>
        <v>687.5</v>
      </c>
      <c r="CG222" s="77">
        <f>CB222+125*5</f>
        <v>812.5</v>
      </c>
      <c r="CH222" s="77">
        <f>CG222+37.5</f>
        <v>850</v>
      </c>
      <c r="CI222" s="77">
        <f>CH222+130/2*1</f>
        <v>915</v>
      </c>
      <c r="CJ222" s="77">
        <f>CH222+130/2*2</f>
        <v>980</v>
      </c>
      <c r="DM222" s="77">
        <f t="shared" si="700"/>
        <v>157.07963267948966</v>
      </c>
      <c r="DN222" s="77">
        <f t="shared" si="700"/>
        <v>157.07963267948966</v>
      </c>
      <c r="DO222" s="77">
        <f t="shared" si="700"/>
        <v>157.07963267948966</v>
      </c>
      <c r="DP222" s="77">
        <f t="shared" si="701"/>
        <v>56.548667764616276</v>
      </c>
      <c r="DQ222" s="77">
        <f t="shared" si="701"/>
        <v>56.548667764616276</v>
      </c>
      <c r="DR222" s="77">
        <f t="shared" si="701"/>
        <v>56.548667764616276</v>
      </c>
      <c r="DS222" s="77">
        <f t="shared" si="701"/>
        <v>56.548667764616276</v>
      </c>
      <c r="DT222" s="77">
        <f>PI()*6*6/4*2</f>
        <v>56.548667764616276</v>
      </c>
      <c r="DU222" s="77">
        <f>PI()*6*6/4*2</f>
        <v>56.548667764616276</v>
      </c>
      <c r="DV222" s="77">
        <f>PI()*10*10/4*2</f>
        <v>157.07963267948966</v>
      </c>
      <c r="DW222" s="77">
        <f>PI()*10*10/4*2</f>
        <v>157.07963267948966</v>
      </c>
      <c r="DX222" s="77">
        <f>PI()*10*10/4*2</f>
        <v>157.07963267948966</v>
      </c>
      <c r="FA222" s="77">
        <f t="shared" si="645"/>
        <v>-59533.18078552658</v>
      </c>
      <c r="FB222" s="77">
        <f t="shared" si="646"/>
        <v>-59533.18078552658</v>
      </c>
      <c r="FC222" s="77">
        <f t="shared" si="680"/>
        <v>-54309.283195503995</v>
      </c>
      <c r="FD222" s="77">
        <f t="shared" si="702"/>
        <v>-15108.647256815109</v>
      </c>
      <c r="FE222" s="77">
        <f t="shared" si="702"/>
        <v>-299.66494492735598</v>
      </c>
      <c r="FF222" s="77">
        <f t="shared" si="702"/>
        <v>14509.3173669604</v>
      </c>
      <c r="FG222" s="77">
        <f t="shared" si="702"/>
        <v>22167.07776372958</v>
      </c>
      <c r="FH222" s="77">
        <f>IF(ABS(-$BV222*($BS222-CF222)/$BS222*$BX222)&gt;$BA222,$BA222*SIGN(-($BS222-CF222)),-$BV222*($BS222-CF222)/$BS222*$BX222)*DT222</f>
        <v>22167.07776372958</v>
      </c>
      <c r="FI222" s="77">
        <f>IF(ABS(-$BV222*($BS222-CG222)/$BS222*$BX222)&gt;$BA222,$BA222*SIGN(-($BS222-CG222)),-$BV222*($BS222-CG222)/$BS222*$BX222)*DU222</f>
        <v>22167.07776372958</v>
      </c>
      <c r="FJ222" s="77">
        <f>IF(ABS(-$BV222*($BS222-CH222)/$BS222*$BX222)&gt;$BB222,$BB222*SIGN(-($BS222-CH222)),-$BV222*($BS222-CH222)/$BS222*$BX222)*DV222</f>
        <v>59533.18078552658</v>
      </c>
      <c r="FK222" s="77">
        <f>IF(ABS(-$BV222*($BS222-CI222)/$BS222*$BX222)&gt;$BB222,$BB222*SIGN(-($BS222-CI222)),-$BV222*($BS222-CI222)/$BS222*$BX222)*DW222</f>
        <v>59533.18078552658</v>
      </c>
      <c r="FL222" s="77">
        <f>IF(ABS(-$BV222*($BS222-CJ222)/$BS222*$BX222)&gt;$BB222,$BB222*SIGN(-($BS222-CJ222)),-$BV222*($BS222-CJ222)/$BS222*$BX222)*DX222</f>
        <v>59533.18078552658</v>
      </c>
      <c r="GO222" s="77">
        <f t="shared" si="696"/>
        <v>28575926.77705276</v>
      </c>
      <c r="GP222" s="77">
        <f t="shared" si="697"/>
        <v>24706270.02599353</v>
      </c>
      <c r="GQ222" s="77">
        <f t="shared" si="698"/>
        <v>19008249.118426397</v>
      </c>
      <c r="GR222" s="77">
        <f t="shared" si="699"/>
        <v>4721452.2677547215</v>
      </c>
      <c r="GS222" s="77">
        <f t="shared" si="703"/>
        <v>56187.177173879245</v>
      </c>
      <c r="GT222" s="77">
        <f t="shared" si="703"/>
        <v>-906832.33543502504</v>
      </c>
      <c r="GU222" s="77">
        <f t="shared" si="703"/>
        <v>1385442.3602330987</v>
      </c>
      <c r="GV222" s="77">
        <f t="shared" si="703"/>
        <v>4156327.0806992962</v>
      </c>
      <c r="GW222" s="77">
        <f t="shared" si="703"/>
        <v>6927211.8011654932</v>
      </c>
      <c r="GX222" s="77">
        <f t="shared" si="703"/>
        <v>20836613.274934303</v>
      </c>
      <c r="GY222" s="77">
        <f>FK222*(CI222-0.5*$AO222)</f>
        <v>24706270.02599353</v>
      </c>
      <c r="GZ222" s="77">
        <f>FL222*(CJ222-0.5*$AO222)</f>
        <v>28575926.77705276</v>
      </c>
      <c r="IC222" s="82">
        <v>231</v>
      </c>
    </row>
    <row r="223" spans="1:237" s="77" customFormat="1">
      <c r="A223" s="77">
        <v>223</v>
      </c>
      <c r="B223" s="69">
        <v>318</v>
      </c>
      <c r="C223" s="69" t="s">
        <v>239</v>
      </c>
      <c r="D223" s="70" t="s">
        <v>218</v>
      </c>
      <c r="E223" s="70">
        <v>1</v>
      </c>
      <c r="F223" s="70">
        <v>6.1538461538461528E-2</v>
      </c>
      <c r="G223" s="70">
        <v>4.0000000000000001E-3</v>
      </c>
      <c r="H223" s="70">
        <v>-7.4999999999999997E-3</v>
      </c>
      <c r="I223" s="70">
        <v>9.4999999999999998E-3</v>
      </c>
      <c r="J223" s="71">
        <v>2.2000000000000002</v>
      </c>
      <c r="K223" s="72">
        <v>8</v>
      </c>
      <c r="L223" s="71">
        <v>5.8169239975013512E-2</v>
      </c>
      <c r="M223" s="71">
        <v>1.9733277404104424E-2</v>
      </c>
      <c r="N223" s="71">
        <v>0.21676524190857221</v>
      </c>
      <c r="O223" s="71">
        <v>3.0833245943913165E-2</v>
      </c>
      <c r="P223" s="71">
        <v>0.41728158205430932</v>
      </c>
      <c r="Q223" s="73" t="s">
        <v>3</v>
      </c>
      <c r="R223" s="74">
        <v>0</v>
      </c>
      <c r="S223" s="75">
        <f t="shared" si="616"/>
        <v>0.37784815835098462</v>
      </c>
      <c r="T223" s="59">
        <f t="shared" si="594"/>
        <v>1.207872526721584</v>
      </c>
      <c r="U223" s="59">
        <f t="shared" si="595"/>
        <v>1.0284512466569147</v>
      </c>
      <c r="V223" s="59">
        <f t="shared" si="596"/>
        <v>1.0210293155925763</v>
      </c>
      <c r="W223" s="59">
        <f t="shared" si="597"/>
        <v>0.84531214429047496</v>
      </c>
      <c r="X223" s="59">
        <f t="shared" si="598"/>
        <v>0.99278339047333131</v>
      </c>
      <c r="Y223" s="76">
        <v>290000</v>
      </c>
      <c r="Z223" s="57">
        <f t="shared" si="599"/>
        <v>287907.18323726609</v>
      </c>
      <c r="AA223" s="57">
        <f t="shared" si="600"/>
        <v>245140.52184423775</v>
      </c>
      <c r="AB223" s="57">
        <f t="shared" si="642"/>
        <v>373162.04746728094</v>
      </c>
      <c r="AC223" s="57">
        <f t="shared" si="601"/>
        <v>0.17</v>
      </c>
      <c r="AD223" s="57">
        <f t="shared" si="602"/>
        <v>2.2000000000000002</v>
      </c>
      <c r="AE223" s="57">
        <f t="shared" si="603"/>
        <v>942500.00000000012</v>
      </c>
      <c r="AF223" s="57">
        <f t="shared" si="604"/>
        <v>139147.0537268827</v>
      </c>
      <c r="AG223" s="57">
        <f t="shared" si="640"/>
        <v>105993.46811735505</v>
      </c>
      <c r="AH223" s="57">
        <f t="shared" si="624"/>
        <v>698942986.91512382</v>
      </c>
      <c r="AI223" s="57">
        <f t="shared" si="625"/>
        <v>122013517.51289433</v>
      </c>
      <c r="AJ223" s="77">
        <v>1413750</v>
      </c>
      <c r="AK223" s="77">
        <v>37.700000000000003</v>
      </c>
      <c r="AL223" s="78">
        <f t="shared" si="605"/>
        <v>3.3817177924254431</v>
      </c>
      <c r="AM223" s="57">
        <f t="shared" si="606"/>
        <v>1</v>
      </c>
      <c r="AN223" s="57">
        <f t="shared" si="607"/>
        <v>0.8</v>
      </c>
      <c r="AO223" s="77">
        <v>1000</v>
      </c>
      <c r="AP223" s="79">
        <v>200</v>
      </c>
      <c r="AQ223" s="57">
        <f t="shared" si="608"/>
        <v>158.41592900252112</v>
      </c>
      <c r="AR223" s="78">
        <f t="shared" si="626"/>
        <v>600</v>
      </c>
      <c r="AS223" s="57">
        <f t="shared" si="609"/>
        <v>841.58407099747888</v>
      </c>
      <c r="AT223" s="77">
        <v>125</v>
      </c>
      <c r="AU223" s="77">
        <v>2200</v>
      </c>
      <c r="AV223" s="78">
        <f t="shared" si="610"/>
        <v>125000</v>
      </c>
      <c r="AW223" s="77">
        <v>0</v>
      </c>
      <c r="AX223" s="77">
        <f t="shared" si="611"/>
        <v>125000</v>
      </c>
      <c r="AY223" s="77">
        <v>125000</v>
      </c>
      <c r="AZ223" s="77">
        <v>348</v>
      </c>
      <c r="BA223" s="77">
        <v>348</v>
      </c>
      <c r="BB223" s="77">
        <v>379</v>
      </c>
      <c r="BC223" s="77">
        <v>348</v>
      </c>
      <c r="BD223" s="77">
        <f t="shared" si="665"/>
        <v>3.6191147369354416E-3</v>
      </c>
      <c r="BE223" s="77">
        <f t="shared" si="665"/>
        <v>3.6191147369354416E-3</v>
      </c>
      <c r="BF223" s="77">
        <v>1.67E-2</v>
      </c>
      <c r="BG223" s="77">
        <f>PI()*4*4/4*2/(125*80)</f>
        <v>2.5132741228718345E-3</v>
      </c>
      <c r="BH223" s="79">
        <v>125</v>
      </c>
      <c r="BI223" s="79">
        <f t="shared" si="657"/>
        <v>28.274333882308138</v>
      </c>
      <c r="BJ223" s="79">
        <v>2</v>
      </c>
      <c r="BK223" s="57">
        <f t="shared" si="641"/>
        <v>56.548667764616276</v>
      </c>
      <c r="BL223" s="57">
        <f t="shared" si="643"/>
        <v>271.43360527015813</v>
      </c>
      <c r="BM223" s="80">
        <f>PI()*10*10/4</f>
        <v>78.539816339744831</v>
      </c>
      <c r="BN223" s="80">
        <v>6</v>
      </c>
      <c r="BO223" s="57">
        <f t="shared" si="627"/>
        <v>471.23889803846896</v>
      </c>
      <c r="BP223" s="57">
        <f t="shared" si="612"/>
        <v>296098.50152184709</v>
      </c>
      <c r="BQ223" s="77">
        <f t="shared" si="613"/>
        <v>0</v>
      </c>
      <c r="BR223" s="57">
        <f t="shared" si="664"/>
        <v>651416703.34806359</v>
      </c>
      <c r="BS223" s="57">
        <v>316.83185800504225</v>
      </c>
      <c r="BT223" s="57">
        <f t="shared" si="617"/>
        <v>311.45150382409093</v>
      </c>
      <c r="BU223" s="57"/>
      <c r="BV223" s="57">
        <v>3.3E-3</v>
      </c>
      <c r="BW223" s="57">
        <v>30000</v>
      </c>
      <c r="BX223" s="57">
        <v>200000</v>
      </c>
      <c r="BY223" s="77">
        <f>20</f>
        <v>20</v>
      </c>
      <c r="BZ223" s="77">
        <f>BY223+90*1</f>
        <v>110</v>
      </c>
      <c r="CA223" s="77">
        <f>BY223+90*2</f>
        <v>200</v>
      </c>
      <c r="CB223" s="77">
        <f>CA223+50</f>
        <v>250</v>
      </c>
      <c r="CC223" s="77">
        <f t="shared" si="671"/>
        <v>375</v>
      </c>
      <c r="CD223" s="77">
        <f t="shared" si="672"/>
        <v>500</v>
      </c>
      <c r="CE223" s="77">
        <f t="shared" si="673"/>
        <v>625</v>
      </c>
      <c r="CF223" s="77">
        <f>CB223+125*4</f>
        <v>750</v>
      </c>
      <c r="CG223" s="77">
        <f>CF223+50</f>
        <v>800</v>
      </c>
      <c r="CH223" s="77">
        <f>CG223+90</f>
        <v>890</v>
      </c>
      <c r="CI223" s="77">
        <f>CH223+90</f>
        <v>980</v>
      </c>
      <c r="DM223" s="77">
        <f t="shared" si="700"/>
        <v>157.07963267948966</v>
      </c>
      <c r="DN223" s="77">
        <f t="shared" si="700"/>
        <v>157.07963267948966</v>
      </c>
      <c r="DO223" s="77">
        <f t="shared" si="700"/>
        <v>157.07963267948966</v>
      </c>
      <c r="DP223" s="77">
        <f t="shared" si="701"/>
        <v>56.548667764616276</v>
      </c>
      <c r="DQ223" s="77">
        <f t="shared" si="701"/>
        <v>56.548667764616276</v>
      </c>
      <c r="DR223" s="77">
        <f t="shared" si="701"/>
        <v>56.548667764616276</v>
      </c>
      <c r="DS223" s="77">
        <f t="shared" si="701"/>
        <v>56.548667764616276</v>
      </c>
      <c r="DT223" s="77">
        <f>PI()*6*6/4*2</f>
        <v>56.548667764616276</v>
      </c>
      <c r="DU223" s="77">
        <f t="shared" ref="DU223:DW224" si="704">PI()*10*10/4*2</f>
        <v>157.07963267948966</v>
      </c>
      <c r="DV223" s="77">
        <f t="shared" si="704"/>
        <v>157.07963267948966</v>
      </c>
      <c r="DW223" s="77">
        <f t="shared" si="704"/>
        <v>157.07963267948966</v>
      </c>
      <c r="FA223" s="77">
        <f t="shared" si="645"/>
        <v>-59533.18078552658</v>
      </c>
      <c r="FB223" s="77">
        <f t="shared" si="646"/>
        <v>-59533.18078552658</v>
      </c>
      <c r="FC223" s="77">
        <f t="shared" si="680"/>
        <v>-38229.291716824438</v>
      </c>
      <c r="FD223" s="77">
        <f t="shared" si="702"/>
        <v>-7872.6510914093105</v>
      </c>
      <c r="FE223" s="77">
        <f t="shared" si="702"/>
        <v>6852.0837252094043</v>
      </c>
      <c r="FF223" s="77">
        <f t="shared" si="702"/>
        <v>19678.936382086464</v>
      </c>
      <c r="FG223" s="77">
        <f t="shared" si="702"/>
        <v>19678.936382086464</v>
      </c>
      <c r="FH223" s="77">
        <f>IF(ABS(-$BV223*($BS223-CF223)/$BS223*$BX223)&gt;$BA223,$BA223*SIGN(-($BS223-CF223)),-$BV223*($BS223-CF223)/$BS223*$BX223)*DT223</f>
        <v>19678.936382086464</v>
      </c>
      <c r="FI223" s="77">
        <f t="shared" ref="FI223:FK224" si="705">IF(ABS(-$BV223*($BS223-CG223)/$BS223*$BX223)&gt;$BB223,$BB223*SIGN(-($BS223-CG223)),-$BV223*($BS223-CG223)/$BS223*$BX223)*DU223</f>
        <v>59533.18078552658</v>
      </c>
      <c r="FJ223" s="77">
        <f t="shared" si="705"/>
        <v>59533.18078552658</v>
      </c>
      <c r="FK223" s="77">
        <f t="shared" si="705"/>
        <v>59533.18078552658</v>
      </c>
      <c r="GO223" s="77">
        <f t="shared" si="696"/>
        <v>28575926.77705276</v>
      </c>
      <c r="GP223" s="77">
        <f t="shared" si="697"/>
        <v>23217940.506355368</v>
      </c>
      <c r="GQ223" s="77">
        <f t="shared" si="698"/>
        <v>11468787.515047332</v>
      </c>
      <c r="GR223" s="77">
        <f t="shared" si="699"/>
        <v>1968162.7728523277</v>
      </c>
      <c r="GS223" s="77">
        <f t="shared" si="703"/>
        <v>-856510.46565117559</v>
      </c>
      <c r="GT223" s="77">
        <f t="shared" si="703"/>
        <v>0</v>
      </c>
      <c r="GU223" s="77">
        <f t="shared" si="703"/>
        <v>2459867.0477608079</v>
      </c>
      <c r="GV223" s="77">
        <f t="shared" si="703"/>
        <v>4919734.0955216158</v>
      </c>
      <c r="GW223" s="77">
        <f t="shared" si="703"/>
        <v>17859954.235657975</v>
      </c>
      <c r="GX223" s="77">
        <f t="shared" si="703"/>
        <v>23217940.506355368</v>
      </c>
      <c r="GY223" s="77">
        <f>FK223*(CI223-0.5*$AO223)</f>
        <v>28575926.77705276</v>
      </c>
      <c r="IC223" s="82">
        <v>232</v>
      </c>
    </row>
    <row r="224" spans="1:237" s="77" customFormat="1">
      <c r="A224" s="77">
        <v>224</v>
      </c>
      <c r="B224" s="69">
        <v>320</v>
      </c>
      <c r="C224" s="69" t="s">
        <v>239</v>
      </c>
      <c r="D224" s="70" t="s">
        <v>219</v>
      </c>
      <c r="E224" s="70">
        <v>1</v>
      </c>
      <c r="F224" s="70">
        <v>6.7904509283819622E-2</v>
      </c>
      <c r="G224" s="70">
        <v>4.4999999999999997E-3</v>
      </c>
      <c r="H224" s="70">
        <v>-7.4999999999999997E-3</v>
      </c>
      <c r="I224" s="70">
        <v>0.01</v>
      </c>
      <c r="J224" s="71">
        <v>2.2000000000000002</v>
      </c>
      <c r="K224" s="72">
        <v>8</v>
      </c>
      <c r="L224" s="71">
        <v>5.8169239975013512E-2</v>
      </c>
      <c r="M224" s="71">
        <v>6.2188205646014433E-2</v>
      </c>
      <c r="N224" s="71">
        <v>0.21676524190857221</v>
      </c>
      <c r="O224" s="71">
        <v>9.7169071321897546E-2</v>
      </c>
      <c r="P224" s="71">
        <v>0.41728158205430932</v>
      </c>
      <c r="Q224" s="73" t="s">
        <v>3</v>
      </c>
      <c r="R224" s="74">
        <v>0</v>
      </c>
      <c r="S224" s="75">
        <f t="shared" si="616"/>
        <v>0.41693589887005206</v>
      </c>
      <c r="T224" s="59">
        <f t="shared" si="594"/>
        <v>1.1497747125955537</v>
      </c>
      <c r="U224" s="59">
        <f t="shared" si="595"/>
        <v>0.96515396646056517</v>
      </c>
      <c r="V224" s="59">
        <f t="shared" si="596"/>
        <v>0.92839461269623846</v>
      </c>
      <c r="W224" s="59">
        <f t="shared" si="597"/>
        <v>0.80745784589438241</v>
      </c>
      <c r="X224" s="59">
        <f t="shared" si="598"/>
        <v>0.96191348215753447</v>
      </c>
      <c r="Y224" s="76">
        <v>320000</v>
      </c>
      <c r="Z224" s="57">
        <f t="shared" si="599"/>
        <v>307812.31429041101</v>
      </c>
      <c r="AA224" s="57">
        <f t="shared" si="600"/>
        <v>258386.51068620238</v>
      </c>
      <c r="AB224" s="57">
        <f t="shared" si="642"/>
        <v>372781.42707094731</v>
      </c>
      <c r="AC224" s="57">
        <f t="shared" si="601"/>
        <v>0.17</v>
      </c>
      <c r="AD224" s="57">
        <f t="shared" si="602"/>
        <v>2.2000000000000002</v>
      </c>
      <c r="AE224" s="57">
        <f t="shared" si="603"/>
        <v>942500.00000000012</v>
      </c>
      <c r="AF224" s="57">
        <f t="shared" si="604"/>
        <v>139082.97256606366</v>
      </c>
      <c r="AG224" s="57">
        <f t="shared" si="640"/>
        <v>119303.53812013872</v>
      </c>
      <c r="AH224" s="57">
        <f t="shared" si="624"/>
        <v>698335756.82542038</v>
      </c>
      <c r="AI224" s="57">
        <f t="shared" si="625"/>
        <v>121783382.73066369</v>
      </c>
      <c r="AJ224" s="77">
        <v>1413750</v>
      </c>
      <c r="AK224" s="77">
        <v>37.700000000000003</v>
      </c>
      <c r="AL224" s="78">
        <f t="shared" si="605"/>
        <v>3.3817177924254431</v>
      </c>
      <c r="AM224" s="57">
        <f t="shared" si="606"/>
        <v>1</v>
      </c>
      <c r="AN224" s="57">
        <f t="shared" si="607"/>
        <v>0.8</v>
      </c>
      <c r="AO224" s="77">
        <v>1000</v>
      </c>
      <c r="AP224" s="79">
        <v>200</v>
      </c>
      <c r="AQ224" s="57">
        <f t="shared" si="608"/>
        <v>159.06020495976625</v>
      </c>
      <c r="AR224" s="78">
        <f t="shared" si="626"/>
        <v>600</v>
      </c>
      <c r="AS224" s="57">
        <f t="shared" si="609"/>
        <v>840.93979504023378</v>
      </c>
      <c r="AT224" s="77">
        <v>125</v>
      </c>
      <c r="AU224" s="77">
        <v>2200</v>
      </c>
      <c r="AV224" s="78">
        <f t="shared" si="610"/>
        <v>125000</v>
      </c>
      <c r="AW224" s="77">
        <v>0</v>
      </c>
      <c r="AX224" s="77">
        <f t="shared" si="611"/>
        <v>125000</v>
      </c>
      <c r="AY224" s="77">
        <v>125000</v>
      </c>
      <c r="AZ224" s="77">
        <v>392</v>
      </c>
      <c r="BA224" s="77">
        <v>392</v>
      </c>
      <c r="BB224" s="77">
        <v>379</v>
      </c>
      <c r="BC224" s="77">
        <v>392</v>
      </c>
      <c r="BD224" s="77">
        <f t="shared" si="665"/>
        <v>3.6191147369354416E-3</v>
      </c>
      <c r="BE224" s="77">
        <f t="shared" si="665"/>
        <v>3.6191147369354416E-3</v>
      </c>
      <c r="BF224" s="77">
        <v>1.67E-2</v>
      </c>
      <c r="BG224" s="77">
        <f>PI()*6*6/4*2/(125*80)</f>
        <v>5.6548667764616273E-3</v>
      </c>
      <c r="BH224" s="79">
        <v>125</v>
      </c>
      <c r="BI224" s="79">
        <f t="shared" si="657"/>
        <v>28.274333882308138</v>
      </c>
      <c r="BJ224" s="79">
        <v>2</v>
      </c>
      <c r="BK224" s="57">
        <f t="shared" si="641"/>
        <v>56.548667764616276</v>
      </c>
      <c r="BL224" s="57">
        <f t="shared" si="643"/>
        <v>271.43360527015813</v>
      </c>
      <c r="BM224" s="80">
        <f>PI()*10*10/4</f>
        <v>78.539816339744831</v>
      </c>
      <c r="BN224" s="80">
        <v>6</v>
      </c>
      <c r="BO224" s="57">
        <f t="shared" si="627"/>
        <v>471.23889803846896</v>
      </c>
      <c r="BP224" s="57">
        <f t="shared" si="612"/>
        <v>297086.2760627963</v>
      </c>
      <c r="BQ224" s="77">
        <f t="shared" si="613"/>
        <v>0</v>
      </c>
      <c r="BR224" s="57">
        <f t="shared" si="664"/>
        <v>653589807.33815181</v>
      </c>
      <c r="BS224" s="57">
        <v>318.12040991953251</v>
      </c>
      <c r="BT224" s="57">
        <f t="shared" si="617"/>
        <v>312.72451618816677</v>
      </c>
      <c r="BU224" s="57"/>
      <c r="BV224" s="57">
        <v>3.3E-3</v>
      </c>
      <c r="BW224" s="57">
        <v>30000</v>
      </c>
      <c r="BX224" s="57">
        <v>200000</v>
      </c>
      <c r="BY224" s="77">
        <f>20</f>
        <v>20</v>
      </c>
      <c r="BZ224" s="77">
        <f>BY224+90*1</f>
        <v>110</v>
      </c>
      <c r="CA224" s="77">
        <f>BY224+90*2</f>
        <v>200</v>
      </c>
      <c r="CB224" s="77">
        <f>CA224+50</f>
        <v>250</v>
      </c>
      <c r="CC224" s="77">
        <f t="shared" si="671"/>
        <v>375</v>
      </c>
      <c r="CD224" s="77">
        <f t="shared" si="672"/>
        <v>500</v>
      </c>
      <c r="CE224" s="77">
        <f t="shared" si="673"/>
        <v>625</v>
      </c>
      <c r="CF224" s="77">
        <f>CB224+125*4</f>
        <v>750</v>
      </c>
      <c r="CG224" s="77">
        <f>CF224+50</f>
        <v>800</v>
      </c>
      <c r="CH224" s="77">
        <f>CG224+90</f>
        <v>890</v>
      </c>
      <c r="CI224" s="77">
        <f>CH224+90</f>
        <v>980</v>
      </c>
      <c r="DM224" s="77">
        <f t="shared" si="700"/>
        <v>157.07963267948966</v>
      </c>
      <c r="DN224" s="77">
        <f t="shared" si="700"/>
        <v>157.07963267948966</v>
      </c>
      <c r="DO224" s="77">
        <f t="shared" si="700"/>
        <v>157.07963267948966</v>
      </c>
      <c r="DP224" s="77">
        <f t="shared" si="701"/>
        <v>56.548667764616276</v>
      </c>
      <c r="DQ224" s="77">
        <f t="shared" si="701"/>
        <v>56.548667764616276</v>
      </c>
      <c r="DR224" s="77">
        <f t="shared" si="701"/>
        <v>56.548667764616276</v>
      </c>
      <c r="DS224" s="77">
        <f t="shared" si="701"/>
        <v>56.548667764616276</v>
      </c>
      <c r="DT224" s="77">
        <f>PI()*6*6/4*2</f>
        <v>56.548667764616276</v>
      </c>
      <c r="DU224" s="77">
        <f t="shared" si="704"/>
        <v>157.07963267948966</v>
      </c>
      <c r="DV224" s="77">
        <f t="shared" si="704"/>
        <v>157.07963267948966</v>
      </c>
      <c r="DW224" s="77">
        <f t="shared" si="704"/>
        <v>157.07963267948966</v>
      </c>
      <c r="FA224" s="77">
        <f t="shared" si="645"/>
        <v>-59533.18078552658</v>
      </c>
      <c r="FB224" s="77">
        <f t="shared" si="646"/>
        <v>-59533.18078552658</v>
      </c>
      <c r="FC224" s="77">
        <f t="shared" si="680"/>
        <v>-38494.370733681462</v>
      </c>
      <c r="FD224" s="77">
        <f t="shared" si="702"/>
        <v>-7991.9366489949725</v>
      </c>
      <c r="FE224" s="77">
        <f t="shared" si="702"/>
        <v>6673.1553888309127</v>
      </c>
      <c r="FF224" s="77">
        <f t="shared" si="702"/>
        <v>21338.247426656799</v>
      </c>
      <c r="FG224" s="77">
        <f t="shared" si="702"/>
        <v>22167.07776372958</v>
      </c>
      <c r="FH224" s="77">
        <f>IF(ABS(-$BV224*($BS224-CF224)/$BS224*$BX224)&gt;$BA224,$BA224*SIGN(-($BS224-CF224)),-$BV224*($BS224-CF224)/$BS224*$BX224)*DT224</f>
        <v>22167.07776372958</v>
      </c>
      <c r="FI224" s="77">
        <f t="shared" si="705"/>
        <v>59533.18078552658</v>
      </c>
      <c r="FJ224" s="77">
        <f t="shared" si="705"/>
        <v>59533.18078552658</v>
      </c>
      <c r="FK224" s="77">
        <f t="shared" si="705"/>
        <v>59533.18078552658</v>
      </c>
      <c r="GO224" s="77">
        <f t="shared" si="696"/>
        <v>28575926.77705276</v>
      </c>
      <c r="GP224" s="77">
        <f t="shared" si="697"/>
        <v>23217940.506355368</v>
      </c>
      <c r="GQ224" s="77">
        <f t="shared" si="698"/>
        <v>11548311.220104439</v>
      </c>
      <c r="GR224" s="77">
        <f t="shared" si="699"/>
        <v>1997984.1622487432</v>
      </c>
      <c r="GS224" s="77">
        <f t="shared" si="703"/>
        <v>-834144.42360386404</v>
      </c>
      <c r="GT224" s="77">
        <f t="shared" si="703"/>
        <v>0</v>
      </c>
      <c r="GU224" s="77">
        <f t="shared" si="703"/>
        <v>2770884.7204661975</v>
      </c>
      <c r="GV224" s="77">
        <f t="shared" si="703"/>
        <v>5541769.4409323949</v>
      </c>
      <c r="GW224" s="77">
        <f t="shared" si="703"/>
        <v>17859954.235657975</v>
      </c>
      <c r="GX224" s="77">
        <f t="shared" si="703"/>
        <v>23217940.506355368</v>
      </c>
      <c r="GY224" s="77">
        <f>FK224*(CI224-0.5*$AO224)</f>
        <v>28575926.77705276</v>
      </c>
      <c r="IC224" s="82">
        <v>233</v>
      </c>
    </row>
    <row r="225" spans="1:237" s="77" customFormat="1">
      <c r="A225" s="77">
        <v>225</v>
      </c>
      <c r="B225" s="69">
        <v>321</v>
      </c>
      <c r="C225" s="69" t="s">
        <v>238</v>
      </c>
      <c r="D225" s="70" t="s">
        <v>220</v>
      </c>
      <c r="E225" s="70">
        <v>1</v>
      </c>
      <c r="F225" s="70">
        <v>4.0236686390532544E-2</v>
      </c>
      <c r="G225" s="70">
        <v>1.4492753623188406E-3</v>
      </c>
      <c r="H225" s="70">
        <v>2.7536231884057968E-3</v>
      </c>
      <c r="I225" s="70">
        <v>2.753623188405797E-2</v>
      </c>
      <c r="J225" s="71">
        <v>0.69</v>
      </c>
      <c r="K225" s="72">
        <v>10</v>
      </c>
      <c r="L225" s="71">
        <v>2.9822485207100589E-2</v>
      </c>
      <c r="M225" s="71">
        <v>2.9822485207100589E-2</v>
      </c>
      <c r="N225" s="71">
        <v>0</v>
      </c>
      <c r="O225" s="71">
        <v>0</v>
      </c>
      <c r="P225" s="71">
        <v>2.6627218934911243E-2</v>
      </c>
      <c r="Q225" s="73" t="s">
        <v>3</v>
      </c>
      <c r="R225" s="74">
        <v>0</v>
      </c>
      <c r="S225" s="75">
        <f t="shared" si="616"/>
        <v>0.28650103007962535</v>
      </c>
      <c r="T225" s="59">
        <f t="shared" si="594"/>
        <v>0.6839665328804222</v>
      </c>
      <c r="U225" s="59">
        <f t="shared" si="595"/>
        <v>0.63838643173695397</v>
      </c>
      <c r="V225" s="59">
        <f t="shared" si="596"/>
        <v>1.030211222674436</v>
      </c>
      <c r="W225" s="59">
        <f t="shared" si="597"/>
        <v>1.5062304559491475</v>
      </c>
      <c r="X225" s="59">
        <f t="shared" si="598"/>
        <v>1.6137736822998969</v>
      </c>
      <c r="Y225" s="76">
        <v>204000</v>
      </c>
      <c r="Z225" s="57">
        <f t="shared" si="599"/>
        <v>329209.83118917898</v>
      </c>
      <c r="AA225" s="57">
        <f t="shared" si="600"/>
        <v>307271.0130136261</v>
      </c>
      <c r="AB225" s="57"/>
      <c r="AC225" s="57">
        <f t="shared" si="601"/>
        <v>0.25</v>
      </c>
      <c r="AD225" s="57">
        <f t="shared" si="602"/>
        <v>1.5</v>
      </c>
      <c r="AE225" s="57">
        <f t="shared" si="603"/>
        <v>135000</v>
      </c>
      <c r="AF225" s="57">
        <f t="shared" si="604"/>
        <v>168518.22985378842</v>
      </c>
      <c r="AG225" s="57">
        <f t="shared" si="640"/>
        <v>138752.78315983768</v>
      </c>
      <c r="AH225" s="86"/>
      <c r="AI225" s="86"/>
      <c r="AJ225" s="77">
        <v>135000</v>
      </c>
      <c r="AK225" s="77">
        <v>50.7</v>
      </c>
      <c r="AL225" s="78">
        <f t="shared" si="605"/>
        <v>3.9801917713163704</v>
      </c>
      <c r="AM225" s="57">
        <f t="shared" si="606"/>
        <v>0.96657894736842098</v>
      </c>
      <c r="AN225" s="57">
        <f t="shared" si="607"/>
        <v>0.76657894736842103</v>
      </c>
      <c r="AO225" s="77">
        <v>1000</v>
      </c>
      <c r="AP225" s="79">
        <v>0</v>
      </c>
      <c r="AQ225" s="57">
        <f t="shared" si="608"/>
        <v>26.314316241355524</v>
      </c>
      <c r="AR225" s="57">
        <f t="shared" si="626"/>
        <v>1000</v>
      </c>
      <c r="AS225" s="57">
        <f t="shared" si="609"/>
        <v>973.68568375864447</v>
      </c>
      <c r="AT225" s="77">
        <v>100</v>
      </c>
      <c r="AU225" s="77">
        <v>690</v>
      </c>
      <c r="AV225" s="78">
        <f t="shared" si="610"/>
        <v>100000</v>
      </c>
      <c r="AW225" s="77">
        <v>0</v>
      </c>
      <c r="AX225" s="77">
        <f t="shared" si="611"/>
        <v>100000</v>
      </c>
      <c r="AY225" s="77">
        <v>100000</v>
      </c>
      <c r="AZ225" s="77">
        <v>504</v>
      </c>
      <c r="BA225" s="77">
        <v>504</v>
      </c>
      <c r="BB225" s="77">
        <v>504</v>
      </c>
      <c r="BC225" s="77">
        <v>0</v>
      </c>
      <c r="BD225" s="77">
        <v>3.0000000000000001E-3</v>
      </c>
      <c r="BE225" s="77">
        <v>3.0000000000000001E-3</v>
      </c>
      <c r="BF225" s="77">
        <v>0</v>
      </c>
      <c r="BG225" s="77">
        <v>0</v>
      </c>
      <c r="BH225" s="79">
        <v>160</v>
      </c>
      <c r="BI225" s="79">
        <f t="shared" si="657"/>
        <v>28.274333882308138</v>
      </c>
      <c r="BJ225" s="79">
        <v>2</v>
      </c>
      <c r="BK225" s="57">
        <f t="shared" si="641"/>
        <v>56.548667764616276</v>
      </c>
      <c r="BL225" s="57" t="b">
        <f t="shared" si="643"/>
        <v>0</v>
      </c>
      <c r="BM225" s="80"/>
      <c r="BN225" s="80"/>
      <c r="BO225" s="57"/>
      <c r="BP225" s="57">
        <f t="shared" si="612"/>
        <v>210163.08942558494</v>
      </c>
      <c r="BQ225" s="77">
        <f t="shared" si="613"/>
        <v>0</v>
      </c>
      <c r="BR225" s="57">
        <f t="shared" si="664"/>
        <v>145012531.7036536</v>
      </c>
      <c r="BS225" s="57">
        <v>52.628632482711048</v>
      </c>
      <c r="BT225" s="57">
        <f t="shared" si="617"/>
        <v>45.541636441116282</v>
      </c>
      <c r="BU225" s="57"/>
      <c r="BV225" s="57">
        <v>3.3E-3</v>
      </c>
      <c r="BW225" s="57">
        <v>30000</v>
      </c>
      <c r="BX225" s="57">
        <v>200000</v>
      </c>
      <c r="BY225" s="77">
        <f>25</f>
        <v>25</v>
      </c>
      <c r="BZ225" s="77">
        <f>BY225+190*1</f>
        <v>215</v>
      </c>
      <c r="CA225" s="77">
        <f>BY225+190*2</f>
        <v>405</v>
      </c>
      <c r="CB225" s="77">
        <f>BY225+190*3</f>
        <v>595</v>
      </c>
      <c r="CC225" s="77">
        <f>BY225+190*4</f>
        <v>785</v>
      </c>
      <c r="CD225" s="77">
        <f>BY225+190*5</f>
        <v>975</v>
      </c>
      <c r="DM225" s="77">
        <f t="shared" ref="DM225:DR226" si="706">PI()*6*6/4*2</f>
        <v>56.548667764616276</v>
      </c>
      <c r="DN225" s="77">
        <f t="shared" si="706"/>
        <v>56.548667764616276</v>
      </c>
      <c r="DO225" s="77">
        <f t="shared" si="706"/>
        <v>56.548667764616276</v>
      </c>
      <c r="DP225" s="77">
        <f t="shared" si="706"/>
        <v>56.548667764616276</v>
      </c>
      <c r="DQ225" s="77">
        <f t="shared" si="706"/>
        <v>56.548667764616276</v>
      </c>
      <c r="DR225" s="77">
        <f t="shared" si="706"/>
        <v>56.548667764616276</v>
      </c>
      <c r="FA225" s="77">
        <f t="shared" ref="FA225:FF226" si="707">IF(ABS(-$BV225*($BS225-BY225)/$BS225*$BX225)&gt;$BA225,$BA225*SIGN(-($BS225-BY225)),-$BV225*($BS225-BY225)/$BS225*$BX225)*DM225</f>
        <v>-19593.120860880867</v>
      </c>
      <c r="FB225" s="77">
        <f t="shared" si="707"/>
        <v>28500.528553366603</v>
      </c>
      <c r="FC225" s="77">
        <f t="shared" si="707"/>
        <v>28500.528553366603</v>
      </c>
      <c r="FD225" s="77">
        <f t="shared" si="707"/>
        <v>28500.528553366603</v>
      </c>
      <c r="FE225" s="77">
        <f t="shared" si="707"/>
        <v>28500.528553366603</v>
      </c>
      <c r="FF225" s="77">
        <f t="shared" si="707"/>
        <v>28500.528553366603</v>
      </c>
      <c r="GO225" s="77">
        <f t="shared" si="696"/>
        <v>9306732.4089184124</v>
      </c>
      <c r="GP225" s="77">
        <f t="shared" si="697"/>
        <v>-8122650.6377094816</v>
      </c>
      <c r="GQ225" s="77">
        <f t="shared" si="698"/>
        <v>-2707550.2125698272</v>
      </c>
      <c r="GR225" s="77">
        <f t="shared" si="699"/>
        <v>2707550.2125698272</v>
      </c>
      <c r="GS225" s="77">
        <f>FE225*(CC225-0.5*$AO225)</f>
        <v>8122650.6377094816</v>
      </c>
      <c r="GT225" s="77">
        <f>FF225*(CD225-0.5*$AO225)</f>
        <v>13537751.062849136</v>
      </c>
      <c r="IC225" s="82">
        <v>234</v>
      </c>
    </row>
    <row r="226" spans="1:237" s="77" customFormat="1">
      <c r="A226" s="77">
        <v>226</v>
      </c>
      <c r="B226" s="69">
        <v>322</v>
      </c>
      <c r="C226" s="69" t="s">
        <v>238</v>
      </c>
      <c r="D226" s="70" t="s">
        <v>221</v>
      </c>
      <c r="E226" s="70">
        <v>1</v>
      </c>
      <c r="F226" s="70">
        <v>3.980392156862745E-2</v>
      </c>
      <c r="G226" s="70">
        <v>4.3478260869565218E-3</v>
      </c>
      <c r="H226" s="70">
        <v>4.2028985507246378E-3</v>
      </c>
      <c r="I226" s="70">
        <v>2.318840579710145E-2</v>
      </c>
      <c r="J226" s="71">
        <v>0.69</v>
      </c>
      <c r="K226" s="72">
        <v>10</v>
      </c>
      <c r="L226" s="71">
        <v>2.9647058823529412E-2</v>
      </c>
      <c r="M226" s="71">
        <v>0</v>
      </c>
      <c r="N226" s="71">
        <v>0</v>
      </c>
      <c r="O226" s="71">
        <v>0</v>
      </c>
      <c r="P226" s="71">
        <v>2.7450980392156862E-2</v>
      </c>
      <c r="Q226" s="73" t="s">
        <v>3</v>
      </c>
      <c r="R226" s="74">
        <v>0</v>
      </c>
      <c r="S226" s="75">
        <f t="shared" si="616"/>
        <v>0.28425685705768594</v>
      </c>
      <c r="T226" s="59">
        <f t="shared" si="594"/>
        <v>1.2596185308625607</v>
      </c>
      <c r="U226" s="59">
        <f t="shared" si="595"/>
        <v>1.195629750479853</v>
      </c>
      <c r="V226" s="59">
        <f t="shared" si="596"/>
        <v>1.051539937203007</v>
      </c>
      <c r="W226" s="59">
        <f t="shared" si="597"/>
        <v>0.83480824665459163</v>
      </c>
      <c r="X226" s="59">
        <f t="shared" si="598"/>
        <v>0.87948625967276484</v>
      </c>
      <c r="Y226" s="76">
        <v>203000</v>
      </c>
      <c r="Z226" s="57">
        <f t="shared" si="599"/>
        <v>178535.71071357126</v>
      </c>
      <c r="AA226" s="57">
        <f t="shared" si="600"/>
        <v>169466.07407088211</v>
      </c>
      <c r="AB226" s="57"/>
      <c r="AC226" s="57">
        <f t="shared" si="601"/>
        <v>0.25</v>
      </c>
      <c r="AD226" s="57">
        <f t="shared" si="602"/>
        <v>1.5</v>
      </c>
      <c r="AE226" s="57">
        <f t="shared" si="603"/>
        <v>140000</v>
      </c>
      <c r="AF226" s="57">
        <f t="shared" si="604"/>
        <v>169466.07407088211</v>
      </c>
      <c r="AG226" s="57">
        <f>0.8*AZ226*BE226*AT226*AS226</f>
        <v>0</v>
      </c>
      <c r="AH226" s="86"/>
      <c r="AI226" s="86"/>
      <c r="AJ226" s="77">
        <v>140000</v>
      </c>
      <c r="AK226" s="77">
        <v>51</v>
      </c>
      <c r="AL226" s="78">
        <f t="shared" si="605"/>
        <v>3.9931278617893056</v>
      </c>
      <c r="AM226" s="57">
        <f t="shared" si="606"/>
        <v>0.96578947368421053</v>
      </c>
      <c r="AN226" s="57">
        <f t="shared" si="607"/>
        <v>0.76578947368421058</v>
      </c>
      <c r="AO226" s="77">
        <v>1000</v>
      </c>
      <c r="AP226" s="79">
        <v>0</v>
      </c>
      <c r="AQ226" s="57">
        <f t="shared" si="608"/>
        <v>26.664813575376368</v>
      </c>
      <c r="AR226" s="57">
        <f t="shared" si="626"/>
        <v>1000</v>
      </c>
      <c r="AS226" s="57">
        <f t="shared" si="609"/>
        <v>973.33518642462366</v>
      </c>
      <c r="AT226" s="77">
        <v>100</v>
      </c>
      <c r="AU226" s="77">
        <v>690</v>
      </c>
      <c r="AV226" s="78">
        <f t="shared" si="610"/>
        <v>100000</v>
      </c>
      <c r="AW226" s="77">
        <v>0</v>
      </c>
      <c r="AX226" s="77">
        <f t="shared" si="611"/>
        <v>100000</v>
      </c>
      <c r="AY226" s="77">
        <v>100000</v>
      </c>
      <c r="AZ226" s="77">
        <v>504</v>
      </c>
      <c r="BA226" s="77">
        <v>504</v>
      </c>
      <c r="BB226" s="77">
        <v>504</v>
      </c>
      <c r="BC226" s="77">
        <v>0</v>
      </c>
      <c r="BD226" s="77">
        <v>3.0000000000000001E-3</v>
      </c>
      <c r="BE226" s="77">
        <v>0</v>
      </c>
      <c r="BF226" s="77">
        <v>0</v>
      </c>
      <c r="BG226" s="77">
        <v>0</v>
      </c>
      <c r="BH226" s="79">
        <v>0</v>
      </c>
      <c r="BI226" s="79">
        <v>0</v>
      </c>
      <c r="BJ226" s="79">
        <v>0</v>
      </c>
      <c r="BK226" s="57"/>
      <c r="BL226" s="57" t="b">
        <f t="shared" si="643"/>
        <v>0</v>
      </c>
      <c r="BM226" s="80"/>
      <c r="BN226" s="80"/>
      <c r="BO226" s="57"/>
      <c r="BP226" s="57">
        <f t="shared" si="612"/>
        <v>213462.60725221041</v>
      </c>
      <c r="BQ226" s="77">
        <f t="shared" si="613"/>
        <v>0</v>
      </c>
      <c r="BR226" s="57">
        <f t="shared" si="664"/>
        <v>147289199.00402519</v>
      </c>
      <c r="BS226" s="57">
        <v>53.329627150752735</v>
      </c>
      <c r="BT226" s="57">
        <f t="shared" si="617"/>
        <v>47.097270280661284</v>
      </c>
      <c r="BU226" s="57"/>
      <c r="BV226" s="57">
        <v>3.3E-3</v>
      </c>
      <c r="BW226" s="57">
        <v>30000</v>
      </c>
      <c r="BX226" s="57">
        <v>200000</v>
      </c>
      <c r="BY226" s="77">
        <f>25</f>
        <v>25</v>
      </c>
      <c r="BZ226" s="77">
        <f>BY226+190*1</f>
        <v>215</v>
      </c>
      <c r="CA226" s="77">
        <f>BY226+190*2</f>
        <v>405</v>
      </c>
      <c r="CB226" s="77">
        <f>BY226+190*3</f>
        <v>595</v>
      </c>
      <c r="CC226" s="77">
        <f>BY226+190*4</f>
        <v>785</v>
      </c>
      <c r="CD226" s="77">
        <f>BY226+190*5</f>
        <v>975</v>
      </c>
      <c r="DM226" s="77">
        <f t="shared" si="706"/>
        <v>56.548667764616276</v>
      </c>
      <c r="DN226" s="77">
        <f t="shared" si="706"/>
        <v>56.548667764616276</v>
      </c>
      <c r="DO226" s="77">
        <f t="shared" si="706"/>
        <v>56.548667764616276</v>
      </c>
      <c r="DP226" s="77">
        <f t="shared" si="706"/>
        <v>56.548667764616276</v>
      </c>
      <c r="DQ226" s="77">
        <f t="shared" si="706"/>
        <v>56.548667764616276</v>
      </c>
      <c r="DR226" s="77">
        <f t="shared" si="706"/>
        <v>56.548667764616276</v>
      </c>
      <c r="FA226" s="77">
        <f t="shared" si="707"/>
        <v>-19826.160824559596</v>
      </c>
      <c r="FB226" s="77">
        <f t="shared" si="707"/>
        <v>28500.528553366603</v>
      </c>
      <c r="FC226" s="77">
        <f t="shared" si="707"/>
        <v>28500.528553366603</v>
      </c>
      <c r="FD226" s="77">
        <f t="shared" si="707"/>
        <v>28500.528553366603</v>
      </c>
      <c r="FE226" s="77">
        <f t="shared" si="707"/>
        <v>28500.528553366603</v>
      </c>
      <c r="FF226" s="77">
        <f t="shared" si="707"/>
        <v>28500.528553366603</v>
      </c>
      <c r="GO226" s="77">
        <f t="shared" si="696"/>
        <v>9417426.3916658089</v>
      </c>
      <c r="GP226" s="77">
        <f t="shared" si="697"/>
        <v>-8122650.6377094816</v>
      </c>
      <c r="GQ226" s="77">
        <f t="shared" si="698"/>
        <v>-2707550.2125698272</v>
      </c>
      <c r="GR226" s="77">
        <f t="shared" si="699"/>
        <v>2707550.2125698272</v>
      </c>
      <c r="GS226" s="77">
        <f>FE226*(CC226-0.5*$AO226)</f>
        <v>8122650.6377094816</v>
      </c>
      <c r="GT226" s="77">
        <f>FF226*(CD226-0.5*$AO226)</f>
        <v>13537751.062849136</v>
      </c>
      <c r="IC226" s="82">
        <v>235</v>
      </c>
    </row>
    <row r="227" spans="1:237" s="77" customFormat="1">
      <c r="A227" s="77">
        <v>227</v>
      </c>
      <c r="B227" s="69">
        <v>323</v>
      </c>
      <c r="C227" s="69" t="s">
        <v>238</v>
      </c>
      <c r="D227" s="70" t="s">
        <v>222</v>
      </c>
      <c r="E227" s="70">
        <v>2</v>
      </c>
      <c r="F227" s="70">
        <v>0.12161415146489774</v>
      </c>
      <c r="G227" s="70">
        <v>1.4492753623188406E-3</v>
      </c>
      <c r="H227" s="70">
        <v>4.6376811594202897E-3</v>
      </c>
      <c r="I227" s="70">
        <v>1.1594202898550725E-2</v>
      </c>
      <c r="J227" s="71">
        <v>0.76666666666666672</v>
      </c>
      <c r="K227" s="72">
        <v>11.25</v>
      </c>
      <c r="L227" s="71">
        <v>7.5223880597014917E-2</v>
      </c>
      <c r="M227" s="71">
        <v>0.11119402985074625</v>
      </c>
      <c r="N227" s="71">
        <v>0</v>
      </c>
      <c r="O227" s="71">
        <v>0</v>
      </c>
      <c r="P227" s="71">
        <v>9.673852957435046E-2</v>
      </c>
      <c r="Q227" s="73" t="s">
        <v>3</v>
      </c>
      <c r="R227" s="74">
        <v>0</v>
      </c>
      <c r="S227" s="75">
        <f t="shared" si="616"/>
        <v>0.54523301157779736</v>
      </c>
      <c r="T227" s="59">
        <f t="shared" si="594"/>
        <v>1.0742903029495443</v>
      </c>
      <c r="U227" s="59">
        <f t="shared" si="595"/>
        <v>0.79104254990171508</v>
      </c>
      <c r="V227" s="59">
        <f t="shared" si="596"/>
        <v>1.0859730670678114</v>
      </c>
      <c r="W227" s="59">
        <f t="shared" si="597"/>
        <v>1.0108748669574614</v>
      </c>
      <c r="X227" s="59">
        <f t="shared" si="598"/>
        <v>1.3728377407798615</v>
      </c>
      <c r="Y227" s="76">
        <v>176000</v>
      </c>
      <c r="Z227" s="57">
        <f t="shared" si="599"/>
        <v>241619.44237725562</v>
      </c>
      <c r="AA227" s="57">
        <f t="shared" si="600"/>
        <v>177913.97658451321</v>
      </c>
      <c r="AB227" s="57"/>
      <c r="AC227" s="57">
        <f t="shared" si="601"/>
        <v>0.25</v>
      </c>
      <c r="AD227" s="57">
        <f t="shared" si="602"/>
        <v>1.5</v>
      </c>
      <c r="AE227" s="57">
        <f t="shared" si="603"/>
        <v>140000</v>
      </c>
      <c r="AF227" s="57">
        <f t="shared" si="604"/>
        <v>76959.093934713863</v>
      </c>
      <c r="AG227" s="57">
        <f t="shared" ref="AG227:AG290" si="708">0.8*AZ227*BK227/BH227*AS227</f>
        <v>100954.88264979936</v>
      </c>
      <c r="AH227" s="86"/>
      <c r="AI227" s="86"/>
      <c r="AJ227" s="77">
        <v>140000</v>
      </c>
      <c r="AK227" s="77">
        <v>20.100000000000001</v>
      </c>
      <c r="AL227" s="78">
        <f t="shared" si="605"/>
        <v>2.3928057929928457</v>
      </c>
      <c r="AM227" s="57">
        <f t="shared" si="606"/>
        <v>1</v>
      </c>
      <c r="AN227" s="57">
        <f t="shared" si="607"/>
        <v>0.8</v>
      </c>
      <c r="AO227" s="77">
        <v>900</v>
      </c>
      <c r="AP227" s="79">
        <v>0</v>
      </c>
      <c r="AQ227" s="57">
        <f t="shared" si="608"/>
        <v>77.755381894593</v>
      </c>
      <c r="AR227" s="57">
        <f t="shared" si="626"/>
        <v>900</v>
      </c>
      <c r="AS227" s="57">
        <f t="shared" si="609"/>
        <v>822.24461810540697</v>
      </c>
      <c r="AT227" s="77">
        <v>80</v>
      </c>
      <c r="AU227" s="77">
        <v>690</v>
      </c>
      <c r="AV227" s="78">
        <f t="shared" si="610"/>
        <v>72000</v>
      </c>
      <c r="AW227" s="77">
        <v>0</v>
      </c>
      <c r="AX227" s="77">
        <f t="shared" si="611"/>
        <v>72000</v>
      </c>
      <c r="AY227" s="77">
        <v>72000</v>
      </c>
      <c r="AZ227" s="77">
        <v>745</v>
      </c>
      <c r="BA227" s="77">
        <v>745</v>
      </c>
      <c r="BB227" s="77">
        <v>504</v>
      </c>
      <c r="BC227" s="77">
        <v>0</v>
      </c>
      <c r="BD227" s="77">
        <v>3.0000000000000001E-3</v>
      </c>
      <c r="BE227" s="77">
        <v>3.0000000000000001E-3</v>
      </c>
      <c r="BF227" s="77">
        <v>0</v>
      </c>
      <c r="BG227" s="77">
        <v>0</v>
      </c>
      <c r="BH227" s="79">
        <v>122</v>
      </c>
      <c r="BI227" s="79">
        <f>PI()*4*4/4</f>
        <v>12.566370614359172</v>
      </c>
      <c r="BJ227" s="79">
        <v>2</v>
      </c>
      <c r="BK227" s="57">
        <f t="shared" ref="BK227:BK290" si="709">BI227*BJ227</f>
        <v>25.132741228718345</v>
      </c>
      <c r="BL227" s="57" t="b">
        <f t="shared" si="643"/>
        <v>0</v>
      </c>
      <c r="BM227" s="80"/>
      <c r="BN227" s="80"/>
      <c r="BO227" s="57"/>
      <c r="BP227" s="57">
        <f t="shared" si="612"/>
        <v>191131.25980393481</v>
      </c>
      <c r="BQ227" s="77">
        <f t="shared" si="613"/>
        <v>1.7462298274040222E-10</v>
      </c>
      <c r="BR227" s="57">
        <f t="shared" si="664"/>
        <v>131880569.26471502</v>
      </c>
      <c r="BS227" s="57">
        <v>155.510763789186</v>
      </c>
      <c r="BT227" s="57">
        <f t="shared" si="617"/>
        <v>113.00287142602473</v>
      </c>
      <c r="BU227" s="57"/>
      <c r="BV227" s="57">
        <v>3.3E-3</v>
      </c>
      <c r="BW227" s="57">
        <v>30000</v>
      </c>
      <c r="BX227" s="57">
        <v>200000</v>
      </c>
      <c r="BY227" s="77">
        <f>12</f>
        <v>12</v>
      </c>
      <c r="BZ227" s="77">
        <f>BY227+219*1</f>
        <v>231</v>
      </c>
      <c r="CA227" s="77">
        <f>BY227+219*2</f>
        <v>450</v>
      </c>
      <c r="CB227" s="77">
        <f>BY227+219*3</f>
        <v>669</v>
      </c>
      <c r="CC227" s="77">
        <f>BY227+219*4</f>
        <v>888</v>
      </c>
      <c r="DM227" s="77">
        <f t="shared" ref="DM227:DQ228" si="710">PI()*6*6/4*2</f>
        <v>56.548667764616276</v>
      </c>
      <c r="DN227" s="77">
        <f t="shared" si="710"/>
        <v>56.548667764616276</v>
      </c>
      <c r="DO227" s="77">
        <f t="shared" si="710"/>
        <v>56.548667764616276</v>
      </c>
      <c r="DP227" s="77">
        <f t="shared" si="710"/>
        <v>56.548667764616276</v>
      </c>
      <c r="DQ227" s="77">
        <f t="shared" si="710"/>
        <v>56.548667764616276</v>
      </c>
      <c r="FA227" s="77">
        <f t="shared" ref="FA227:FE228" si="711">IF(ABS(-$BV227*($BS227-BY227)/$BS227*$BX227)&gt;$BA227,$BA227*SIGN(-($BS227-BY227)),-$BV227*($BS227-BY227)/$BS227*$BX227)*DM227</f>
        <v>-34442.156420035019</v>
      </c>
      <c r="FB227" s="77">
        <f t="shared" si="711"/>
        <v>18117.192139128914</v>
      </c>
      <c r="FC227" s="77">
        <f t="shared" si="711"/>
        <v>42128.757484639129</v>
      </c>
      <c r="FD227" s="77">
        <f t="shared" si="711"/>
        <v>42128.757484639129</v>
      </c>
      <c r="FE227" s="77">
        <f t="shared" si="711"/>
        <v>42128.757484639129</v>
      </c>
      <c r="GO227" s="77">
        <f t="shared" si="696"/>
        <v>15085664.511975339</v>
      </c>
      <c r="GP227" s="77">
        <f t="shared" si="697"/>
        <v>-3967665.0784692322</v>
      </c>
      <c r="GQ227" s="77">
        <f t="shared" si="698"/>
        <v>0</v>
      </c>
      <c r="GR227" s="77">
        <f t="shared" si="699"/>
        <v>9226197.8891359698</v>
      </c>
      <c r="GS227" s="77">
        <f t="shared" ref="GS227:GS272" si="712">FE227*(CC227-0.5*$AO227)</f>
        <v>18452395.77827194</v>
      </c>
      <c r="IC227" s="82">
        <v>236</v>
      </c>
    </row>
    <row r="228" spans="1:237" s="77" customFormat="1">
      <c r="A228" s="77">
        <v>228</v>
      </c>
      <c r="B228" s="69">
        <v>324</v>
      </c>
      <c r="C228" s="69" t="s">
        <v>238</v>
      </c>
      <c r="D228" s="70" t="s">
        <v>223</v>
      </c>
      <c r="E228" s="70">
        <v>1</v>
      </c>
      <c r="F228" s="70">
        <v>7.6844262295081969E-2</v>
      </c>
      <c r="G228" s="70">
        <v>1.4492753623188406E-3</v>
      </c>
      <c r="H228" s="70">
        <v>4.057971014492753E-3</v>
      </c>
      <c r="I228" s="70">
        <v>1.5942028985507246E-2</v>
      </c>
      <c r="J228" s="71">
        <v>0.76666666666666672</v>
      </c>
      <c r="K228" s="72">
        <v>11.25</v>
      </c>
      <c r="L228" s="71">
        <v>6.1967213114754102E-2</v>
      </c>
      <c r="M228" s="71">
        <v>9.1598360655737704E-2</v>
      </c>
      <c r="N228" s="71">
        <v>0</v>
      </c>
      <c r="O228" s="71">
        <v>0</v>
      </c>
      <c r="P228" s="71">
        <v>4.9521857923497267E-2</v>
      </c>
      <c r="Q228" s="73" t="s">
        <v>3</v>
      </c>
      <c r="R228" s="74">
        <v>0</v>
      </c>
      <c r="S228" s="75">
        <f t="shared" si="616"/>
        <v>0.37958265477136688</v>
      </c>
      <c r="T228" s="59">
        <f t="shared" si="594"/>
        <v>0.94477097732322224</v>
      </c>
      <c r="U228" s="59">
        <f t="shared" si="595"/>
        <v>0.69649467901778506</v>
      </c>
      <c r="V228" s="59">
        <f t="shared" si="596"/>
        <v>1.2889456469227201</v>
      </c>
      <c r="W228" s="59">
        <f t="shared" si="597"/>
        <v>1.3642942870394184</v>
      </c>
      <c r="X228" s="59">
        <f t="shared" si="598"/>
        <v>1.8506180818788518</v>
      </c>
      <c r="Y228" s="76">
        <v>135000</v>
      </c>
      <c r="Z228" s="57">
        <f t="shared" si="599"/>
        <v>249833.44105364499</v>
      </c>
      <c r="AA228" s="57">
        <f t="shared" si="600"/>
        <v>184179.72875032149</v>
      </c>
      <c r="AB228" s="57"/>
      <c r="AC228" s="57">
        <f t="shared" si="601"/>
        <v>0.25</v>
      </c>
      <c r="AD228" s="57">
        <f t="shared" si="602"/>
        <v>1.5</v>
      </c>
      <c r="AE228" s="57">
        <f t="shared" si="603"/>
        <v>87000</v>
      </c>
      <c r="AF228" s="57">
        <f t="shared" si="604"/>
        <v>80578.853216371615</v>
      </c>
      <c r="AG228" s="57">
        <f t="shared" si="708"/>
        <v>103600.87553394987</v>
      </c>
      <c r="AH228" s="86"/>
      <c r="AI228" s="86"/>
      <c r="AJ228" s="77">
        <v>87000</v>
      </c>
      <c r="AK228" s="77">
        <v>24.4</v>
      </c>
      <c r="AL228" s="78">
        <f t="shared" si="605"/>
        <v>2.6620366129913511</v>
      </c>
      <c r="AM228" s="57">
        <f t="shared" si="606"/>
        <v>1</v>
      </c>
      <c r="AN228" s="57">
        <f t="shared" si="607"/>
        <v>0.8</v>
      </c>
      <c r="AO228" s="77">
        <v>900</v>
      </c>
      <c r="AP228" s="79">
        <v>0</v>
      </c>
      <c r="AQ228" s="57">
        <f t="shared" si="608"/>
        <v>56.204632179147751</v>
      </c>
      <c r="AR228" s="57">
        <f t="shared" si="626"/>
        <v>900</v>
      </c>
      <c r="AS228" s="57">
        <f t="shared" si="609"/>
        <v>843.79536782085222</v>
      </c>
      <c r="AT228" s="77">
        <v>80</v>
      </c>
      <c r="AU228" s="77">
        <v>690</v>
      </c>
      <c r="AV228" s="78">
        <f t="shared" si="610"/>
        <v>72000</v>
      </c>
      <c r="AW228" s="77">
        <v>0</v>
      </c>
      <c r="AX228" s="77">
        <f t="shared" si="611"/>
        <v>72000</v>
      </c>
      <c r="AY228" s="77">
        <v>72000</v>
      </c>
      <c r="AZ228" s="77">
        <v>745</v>
      </c>
      <c r="BA228" s="77">
        <v>745</v>
      </c>
      <c r="BB228" s="77">
        <v>504</v>
      </c>
      <c r="BC228" s="77">
        <v>0</v>
      </c>
      <c r="BD228" s="77">
        <v>3.0000000000000001E-3</v>
      </c>
      <c r="BE228" s="77">
        <v>3.0000000000000001E-3</v>
      </c>
      <c r="BF228" s="77">
        <v>0</v>
      </c>
      <c r="BG228" s="77">
        <v>0</v>
      </c>
      <c r="BH228" s="79">
        <v>122</v>
      </c>
      <c r="BI228" s="79">
        <f>PI()*4*4/4</f>
        <v>12.566370614359172</v>
      </c>
      <c r="BJ228" s="79">
        <v>2</v>
      </c>
      <c r="BK228" s="57">
        <f t="shared" si="709"/>
        <v>25.132741228718345</v>
      </c>
      <c r="BL228" s="57" t="b">
        <f t="shared" si="643"/>
        <v>0</v>
      </c>
      <c r="BM228" s="80"/>
      <c r="BN228" s="80"/>
      <c r="BO228" s="57"/>
      <c r="BP228" s="57">
        <f t="shared" si="612"/>
        <v>174007.6623345672</v>
      </c>
      <c r="BQ228" s="77">
        <f t="shared" si="613"/>
        <v>-5.2386894822120667E-10</v>
      </c>
      <c r="BR228" s="57">
        <f t="shared" si="664"/>
        <v>120065287.01085137</v>
      </c>
      <c r="BS228" s="57">
        <v>112.4092643582955</v>
      </c>
      <c r="BT228" s="57">
        <f t="shared" si="617"/>
        <v>59.876730624322576</v>
      </c>
      <c r="BU228" s="57"/>
      <c r="BV228" s="57">
        <v>3.3E-3</v>
      </c>
      <c r="BW228" s="57">
        <v>30000</v>
      </c>
      <c r="BX228" s="57">
        <v>200000</v>
      </c>
      <c r="BY228" s="77">
        <f>12</f>
        <v>12</v>
      </c>
      <c r="BZ228" s="77">
        <f>BY228+219*1</f>
        <v>231</v>
      </c>
      <c r="CA228" s="77">
        <f>BY228+219*2</f>
        <v>450</v>
      </c>
      <c r="CB228" s="77">
        <f>BY228+219*3</f>
        <v>669</v>
      </c>
      <c r="CC228" s="77">
        <f>BY228+219*4</f>
        <v>888</v>
      </c>
      <c r="DM228" s="77">
        <f t="shared" si="710"/>
        <v>56.548667764616276</v>
      </c>
      <c r="DN228" s="77">
        <f t="shared" si="710"/>
        <v>56.548667764616276</v>
      </c>
      <c r="DO228" s="77">
        <f t="shared" si="710"/>
        <v>56.548667764616276</v>
      </c>
      <c r="DP228" s="77">
        <f t="shared" si="710"/>
        <v>56.548667764616276</v>
      </c>
      <c r="DQ228" s="77">
        <f t="shared" si="710"/>
        <v>56.548667764616276</v>
      </c>
      <c r="FA228" s="77">
        <f t="shared" si="711"/>
        <v>-33337.881069201387</v>
      </c>
      <c r="FB228" s="77">
        <f t="shared" si="711"/>
        <v>39374.492642676312</v>
      </c>
      <c r="FC228" s="77">
        <f t="shared" si="711"/>
        <v>42128.757484639129</v>
      </c>
      <c r="FD228" s="77">
        <f t="shared" si="711"/>
        <v>42128.757484639129</v>
      </c>
      <c r="FE228" s="77">
        <f t="shared" si="711"/>
        <v>42128.757484639129</v>
      </c>
      <c r="GO228" s="77">
        <f t="shared" si="696"/>
        <v>14601991.908310207</v>
      </c>
      <c r="GP228" s="77">
        <f t="shared" si="697"/>
        <v>-8623013.8887461126</v>
      </c>
      <c r="GQ228" s="77">
        <f t="shared" si="698"/>
        <v>0</v>
      </c>
      <c r="GR228" s="77">
        <f t="shared" si="699"/>
        <v>9226197.8891359698</v>
      </c>
      <c r="GS228" s="77">
        <f t="shared" si="712"/>
        <v>18452395.77827194</v>
      </c>
      <c r="IC228" s="82">
        <v>237</v>
      </c>
    </row>
    <row r="229" spans="1:237" s="77" customFormat="1">
      <c r="A229" s="77">
        <v>229</v>
      </c>
      <c r="B229" s="69">
        <v>325</v>
      </c>
      <c r="C229" s="69" t="s">
        <v>225</v>
      </c>
      <c r="D229" s="70" t="s">
        <v>224</v>
      </c>
      <c r="E229" s="70">
        <v>1</v>
      </c>
      <c r="F229" s="70">
        <v>2.8555555555555553E-2</v>
      </c>
      <c r="G229" s="70">
        <v>6.3636363636363638E-3</v>
      </c>
      <c r="H229" s="70">
        <v>1.4545454545454545E-2</v>
      </c>
      <c r="I229" s="70">
        <v>1.4545454545454545E-2</v>
      </c>
      <c r="J229" s="71">
        <v>2.2000000000000002</v>
      </c>
      <c r="K229" s="72">
        <v>10</v>
      </c>
      <c r="L229" s="71">
        <v>6.6888888888888887E-2</v>
      </c>
      <c r="M229" s="71">
        <v>2.7999999999999997E-2</v>
      </c>
      <c r="N229" s="71">
        <v>0.28622222222222221</v>
      </c>
      <c r="O229" s="71">
        <v>0</v>
      </c>
      <c r="P229" s="71">
        <v>0</v>
      </c>
      <c r="Q229" s="73" t="s">
        <v>3</v>
      </c>
      <c r="R229" s="74">
        <v>0</v>
      </c>
      <c r="S229" s="75">
        <f t="shared" si="616"/>
        <v>0.13271422933004082</v>
      </c>
      <c r="T229" s="59">
        <f t="shared" si="594"/>
        <v>0.57948135788503563</v>
      </c>
      <c r="U229" s="59">
        <f t="shared" si="595"/>
        <v>0.43017148628055302</v>
      </c>
      <c r="V229" s="59">
        <f t="shared" si="596"/>
        <v>0.97282960990201828</v>
      </c>
      <c r="W229" s="59">
        <f t="shared" si="597"/>
        <v>1.6787936258253533</v>
      </c>
      <c r="X229" s="59">
        <f t="shared" si="598"/>
        <v>2.2614925464110138</v>
      </c>
      <c r="Y229" s="76">
        <v>15420</v>
      </c>
      <c r="Z229" s="57">
        <f t="shared" si="599"/>
        <v>34872.215065657831</v>
      </c>
      <c r="AA229" s="57">
        <f t="shared" si="600"/>
        <v>25886.997710226948</v>
      </c>
      <c r="AB229" s="57">
        <f t="shared" ref="AB229:AB266" si="713">(AH229+AI229)/AU229</f>
        <v>35593.068718063223</v>
      </c>
      <c r="AC229" s="57">
        <f t="shared" si="601"/>
        <v>0.17</v>
      </c>
      <c r="AD229" s="57">
        <f t="shared" si="602"/>
        <v>2.2000000000000002</v>
      </c>
      <c r="AE229" s="57">
        <f t="shared" si="603"/>
        <v>0</v>
      </c>
      <c r="AF229" s="57">
        <f t="shared" si="604"/>
        <v>14114.163748143546</v>
      </c>
      <c r="AG229" s="57">
        <f t="shared" si="708"/>
        <v>11772.833962083399</v>
      </c>
      <c r="AH229" s="57">
        <f t="shared" ref="AH229:AH266" si="714">AM229*AK229*AT229*AP229*(AS229-0.5*AP229)</f>
        <v>24673676.65646828</v>
      </c>
      <c r="AI229" s="57">
        <f t="shared" ref="AI229:AI266" si="715">BB229*BO229*(AS229-AQ229)</f>
        <v>14478698.933401262</v>
      </c>
      <c r="AJ229" s="77">
        <v>0</v>
      </c>
      <c r="AK229" s="77">
        <v>21.6</v>
      </c>
      <c r="AL229" s="78">
        <f t="shared" si="605"/>
        <v>2.4894257817285239</v>
      </c>
      <c r="AM229" s="57">
        <f t="shared" si="606"/>
        <v>1</v>
      </c>
      <c r="AN229" s="57">
        <f t="shared" si="607"/>
        <v>0.8</v>
      </c>
      <c r="AO229" s="77">
        <v>500</v>
      </c>
      <c r="AP229" s="79">
        <v>50</v>
      </c>
      <c r="AQ229" s="57">
        <f t="shared" si="608"/>
        <v>18.080061917254078</v>
      </c>
      <c r="AR229" s="78">
        <f t="shared" si="626"/>
        <v>400</v>
      </c>
      <c r="AS229" s="57">
        <f t="shared" si="609"/>
        <v>481.91993808274594</v>
      </c>
      <c r="AT229" s="77">
        <v>50</v>
      </c>
      <c r="AU229" s="77">
        <v>1100</v>
      </c>
      <c r="AV229" s="78">
        <f t="shared" si="610"/>
        <v>25000</v>
      </c>
      <c r="AW229" s="77">
        <v>0</v>
      </c>
      <c r="AX229" s="77">
        <f t="shared" si="611"/>
        <v>25000</v>
      </c>
      <c r="AY229" s="77">
        <v>25000</v>
      </c>
      <c r="AZ229" s="77">
        <v>216</v>
      </c>
      <c r="BA229" s="77">
        <v>216</v>
      </c>
      <c r="BB229" s="77">
        <v>276</v>
      </c>
      <c r="BC229" s="77">
        <v>0</v>
      </c>
      <c r="BD229" s="77">
        <v>2.8E-3</v>
      </c>
      <c r="BE229" s="77">
        <v>2.8E-3</v>
      </c>
      <c r="BF229" s="77">
        <v>2.24E-2</v>
      </c>
      <c r="BG229" s="77">
        <v>0</v>
      </c>
      <c r="BH229" s="79">
        <v>100</v>
      </c>
      <c r="BI229" s="79">
        <f>PI()*3*3/4</f>
        <v>7.0685834705770345</v>
      </c>
      <c r="BJ229" s="79">
        <v>2</v>
      </c>
      <c r="BK229" s="57">
        <f t="shared" si="709"/>
        <v>14.137166941154069</v>
      </c>
      <c r="BL229" s="57">
        <f t="shared" si="643"/>
        <v>55.999999999999993</v>
      </c>
      <c r="BM229" s="80">
        <f>PI()*6*6/4</f>
        <v>28.274333882308138</v>
      </c>
      <c r="BN229" s="80">
        <v>4</v>
      </c>
      <c r="BO229" s="57">
        <f t="shared" ref="BO229:BO238" si="716">BM229*BN229</f>
        <v>113.09733552923255</v>
      </c>
      <c r="BP229" s="57">
        <f t="shared" si="612"/>
        <v>15001.032584689121</v>
      </c>
      <c r="BQ229" s="77">
        <f t="shared" si="613"/>
        <v>-2.1333107724785805E-8</v>
      </c>
      <c r="BR229" s="57">
        <f t="shared" si="664"/>
        <v>16501135.843158033</v>
      </c>
      <c r="BS229" s="57">
        <v>36.160123834508155</v>
      </c>
      <c r="BT229" s="57">
        <f t="shared" si="617"/>
        <v>1.8388216530631392</v>
      </c>
      <c r="BU229" s="57"/>
      <c r="BV229" s="57">
        <v>3.3E-3</v>
      </c>
      <c r="BW229" s="57">
        <v>30000</v>
      </c>
      <c r="BX229" s="57">
        <v>200000</v>
      </c>
      <c r="BY229" s="77">
        <f>20</f>
        <v>20</v>
      </c>
      <c r="BZ229" s="77">
        <f>BY229+30</f>
        <v>50</v>
      </c>
      <c r="CA229" s="77">
        <f>BZ229+100</f>
        <v>150</v>
      </c>
      <c r="CB229" s="77">
        <f>BZ229+100*2</f>
        <v>250</v>
      </c>
      <c r="CC229" s="77">
        <f>BZ229+100*3</f>
        <v>350</v>
      </c>
      <c r="CD229" s="77">
        <f>BZ229+100*4</f>
        <v>450</v>
      </c>
      <c r="CE229" s="77">
        <f>CD229+30</f>
        <v>480</v>
      </c>
      <c r="DM229" s="77">
        <f t="shared" ref="DM229:DN232" si="717">PI()*6*6/4*2</f>
        <v>56.548667764616276</v>
      </c>
      <c r="DN229" s="77">
        <f t="shared" si="717"/>
        <v>56.548667764616276</v>
      </c>
      <c r="DO229" s="77">
        <f t="shared" ref="DO229:DQ232" si="718">PI()*3*3/4*2</f>
        <v>14.137166941154069</v>
      </c>
      <c r="DP229" s="77">
        <f t="shared" si="718"/>
        <v>14.137166941154069</v>
      </c>
      <c r="DQ229" s="77">
        <f t="shared" si="718"/>
        <v>14.137166941154069</v>
      </c>
      <c r="DR229" s="77">
        <f t="shared" ref="DR229:DS232" si="719">PI()*6*6/4*2</f>
        <v>56.548667764616276</v>
      </c>
      <c r="DS229" s="77">
        <f t="shared" si="719"/>
        <v>56.548667764616276</v>
      </c>
      <c r="FA229" s="77">
        <f t="shared" ref="FA229:FA247" si="720">IF(ABS(-$BV229*($BS229-BY229)/$BS229*$BX229)&gt;$BB229,$BB229*SIGN(-($BS229-BY229)),-$BV229*($BS229-BY229)/$BS229*$BX229)*DM229</f>
        <v>-15607.432303034093</v>
      </c>
      <c r="FB229" s="77">
        <f t="shared" ref="FB229:FB247" si="721">IF(ABS(-$BV229*($BS229-BZ229)/$BS229*$BX229)&gt;$BB229,$BB229*SIGN(-($BS229-BZ229)),-$BV229*($BS229-BZ229)/$BS229*$BX229)*DN229</f>
        <v>14284.617260345549</v>
      </c>
      <c r="FC229" s="77">
        <f t="shared" ref="FC229:FE232" si="722">IF(ABS(-$BV229*($BS229-CA229)/$BS229*$BX229)&gt;$BA229,$BA229*SIGN(-($BS229-CA229)),-$BV229*($BS229-CA229)/$BS229*$BX229)*DO229</f>
        <v>3053.628059289279</v>
      </c>
      <c r="FD229" s="77">
        <f t="shared" si="722"/>
        <v>3053.628059289279</v>
      </c>
      <c r="FE229" s="77">
        <f t="shared" si="722"/>
        <v>3053.628059289279</v>
      </c>
      <c r="FF229" s="77">
        <f t="shared" ref="FF229:FG233" si="723">IF(ABS(-$BV229*($BS229-CD229)/$BS229*$BX229)&gt;$BB229,$BB229*SIGN(-($BS229-CD229)),-$BV229*($BS229-CD229)/$BS229*$BX229)*DR229</f>
        <v>15607.432303034093</v>
      </c>
      <c r="FG229" s="77">
        <f t="shared" si="723"/>
        <v>15607.432303034093</v>
      </c>
      <c r="GO229" s="77">
        <f t="shared" si="696"/>
        <v>3589709.4296978414</v>
      </c>
      <c r="GP229" s="77">
        <f t="shared" si="697"/>
        <v>-2856923.4520691098</v>
      </c>
      <c r="GQ229" s="77">
        <f t="shared" si="698"/>
        <v>-305362.8059289279</v>
      </c>
      <c r="GR229" s="77">
        <f t="shared" si="699"/>
        <v>0</v>
      </c>
      <c r="GS229" s="77">
        <f t="shared" si="712"/>
        <v>305362.8059289279</v>
      </c>
      <c r="GT229" s="77">
        <f t="shared" ref="GT229:GT266" si="724">FF229*(CD229-0.5*$AO229)</f>
        <v>3121486.4606068186</v>
      </c>
      <c r="GU229" s="77">
        <f t="shared" ref="GU229:GU266" si="725">FG229*(CE229-0.5*$AO229)</f>
        <v>3589709.4296978414</v>
      </c>
      <c r="IC229" s="82">
        <v>238</v>
      </c>
    </row>
    <row r="230" spans="1:237" s="77" customFormat="1">
      <c r="A230" s="77">
        <v>230</v>
      </c>
      <c r="B230" s="69">
        <v>326</v>
      </c>
      <c r="C230" s="69" t="s">
        <v>225</v>
      </c>
      <c r="D230" s="70" t="s">
        <v>226</v>
      </c>
      <c r="E230" s="70">
        <v>1</v>
      </c>
      <c r="F230" s="70">
        <v>3.6222222222222218E-2</v>
      </c>
      <c r="G230" s="70">
        <v>7.2727272727272727E-3</v>
      </c>
      <c r="H230" s="70">
        <v>0.01</v>
      </c>
      <c r="I230" s="70">
        <v>0.01</v>
      </c>
      <c r="J230" s="71">
        <v>2.2000000000000002</v>
      </c>
      <c r="K230" s="72">
        <v>10</v>
      </c>
      <c r="L230" s="71">
        <v>6.6888888888888887E-2</v>
      </c>
      <c r="M230" s="71">
        <v>2.7999999999999997E-2</v>
      </c>
      <c r="N230" s="71">
        <v>0.28622222222222221</v>
      </c>
      <c r="O230" s="71">
        <v>0</v>
      </c>
      <c r="P230" s="71">
        <v>0</v>
      </c>
      <c r="Q230" s="73" t="s">
        <v>3</v>
      </c>
      <c r="R230" s="74">
        <v>0</v>
      </c>
      <c r="S230" s="75">
        <f t="shared" si="616"/>
        <v>0.16834567611514906</v>
      </c>
      <c r="T230" s="59">
        <f t="shared" si="594"/>
        <v>0.57948135788503563</v>
      </c>
      <c r="U230" s="59">
        <f t="shared" si="595"/>
        <v>0.43017148628055302</v>
      </c>
      <c r="V230" s="59">
        <f t="shared" si="596"/>
        <v>0.76692395627244991</v>
      </c>
      <c r="W230" s="59">
        <f t="shared" si="597"/>
        <v>1.3234661406046497</v>
      </c>
      <c r="X230" s="59">
        <f t="shared" si="598"/>
        <v>1.7828330810663513</v>
      </c>
      <c r="Y230" s="76">
        <v>19560</v>
      </c>
      <c r="Z230" s="57">
        <f t="shared" si="599"/>
        <v>34872.215065657831</v>
      </c>
      <c r="AA230" s="57">
        <f t="shared" si="600"/>
        <v>25886.997710226948</v>
      </c>
      <c r="AB230" s="57">
        <f t="shared" si="713"/>
        <v>35593.068718063223</v>
      </c>
      <c r="AC230" s="57">
        <f t="shared" si="601"/>
        <v>0.17</v>
      </c>
      <c r="AD230" s="57">
        <f t="shared" si="602"/>
        <v>2.2000000000000002</v>
      </c>
      <c r="AE230" s="57">
        <f t="shared" si="603"/>
        <v>0</v>
      </c>
      <c r="AF230" s="57">
        <f t="shared" si="604"/>
        <v>14114.163748143546</v>
      </c>
      <c r="AG230" s="57">
        <f t="shared" si="708"/>
        <v>11772.833962083399</v>
      </c>
      <c r="AH230" s="57">
        <f t="shared" si="714"/>
        <v>24673676.65646828</v>
      </c>
      <c r="AI230" s="57">
        <f t="shared" si="715"/>
        <v>14478698.933401262</v>
      </c>
      <c r="AJ230" s="77">
        <v>0</v>
      </c>
      <c r="AK230" s="77">
        <v>21.6</v>
      </c>
      <c r="AL230" s="78">
        <f t="shared" si="605"/>
        <v>2.4894257817285239</v>
      </c>
      <c r="AM230" s="57">
        <f t="shared" si="606"/>
        <v>1</v>
      </c>
      <c r="AN230" s="57">
        <f t="shared" si="607"/>
        <v>0.8</v>
      </c>
      <c r="AO230" s="77">
        <v>500</v>
      </c>
      <c r="AP230" s="79">
        <v>50</v>
      </c>
      <c r="AQ230" s="57">
        <f t="shared" si="608"/>
        <v>18.080061917254078</v>
      </c>
      <c r="AR230" s="78">
        <f t="shared" si="626"/>
        <v>400</v>
      </c>
      <c r="AS230" s="57">
        <f t="shared" si="609"/>
        <v>481.91993808274594</v>
      </c>
      <c r="AT230" s="77">
        <v>50</v>
      </c>
      <c r="AU230" s="77">
        <v>1100</v>
      </c>
      <c r="AV230" s="78">
        <f t="shared" si="610"/>
        <v>25000</v>
      </c>
      <c r="AW230" s="77">
        <v>0</v>
      </c>
      <c r="AX230" s="77">
        <f t="shared" si="611"/>
        <v>25000</v>
      </c>
      <c r="AY230" s="77">
        <v>25000</v>
      </c>
      <c r="AZ230" s="77">
        <v>216</v>
      </c>
      <c r="BA230" s="77">
        <v>216</v>
      </c>
      <c r="BB230" s="77">
        <v>276</v>
      </c>
      <c r="BC230" s="77">
        <v>0</v>
      </c>
      <c r="BD230" s="77">
        <v>2.8E-3</v>
      </c>
      <c r="BE230" s="77">
        <v>2.8E-3</v>
      </c>
      <c r="BF230" s="77">
        <v>2.24E-2</v>
      </c>
      <c r="BG230" s="77">
        <v>0</v>
      </c>
      <c r="BH230" s="79">
        <v>100</v>
      </c>
      <c r="BI230" s="79">
        <f>PI()*3*3/4</f>
        <v>7.0685834705770345</v>
      </c>
      <c r="BJ230" s="79">
        <v>2</v>
      </c>
      <c r="BK230" s="57">
        <f t="shared" si="709"/>
        <v>14.137166941154069</v>
      </c>
      <c r="BL230" s="57">
        <f t="shared" si="643"/>
        <v>55.999999999999993</v>
      </c>
      <c r="BM230" s="80">
        <f>PI()*6*6/4</f>
        <v>28.274333882308138</v>
      </c>
      <c r="BN230" s="80">
        <v>4</v>
      </c>
      <c r="BO230" s="57">
        <f t="shared" si="716"/>
        <v>113.09733552923255</v>
      </c>
      <c r="BP230" s="57">
        <f t="shared" si="612"/>
        <v>15001.032584689121</v>
      </c>
      <c r="BQ230" s="77">
        <f t="shared" si="613"/>
        <v>-2.1333107724785805E-8</v>
      </c>
      <c r="BR230" s="57">
        <f t="shared" si="664"/>
        <v>16501135.843158033</v>
      </c>
      <c r="BS230" s="57">
        <v>36.160123834508155</v>
      </c>
      <c r="BT230" s="57">
        <f t="shared" si="617"/>
        <v>1.8388216530631392</v>
      </c>
      <c r="BU230" s="57"/>
      <c r="BV230" s="57">
        <v>3.3E-3</v>
      </c>
      <c r="BW230" s="57">
        <v>30000</v>
      </c>
      <c r="BX230" s="57">
        <v>200000</v>
      </c>
      <c r="BY230" s="77">
        <f>20</f>
        <v>20</v>
      </c>
      <c r="BZ230" s="77">
        <f>BY230+30</f>
        <v>50</v>
      </c>
      <c r="CA230" s="77">
        <f>BZ230+100</f>
        <v>150</v>
      </c>
      <c r="CB230" s="77">
        <f>BZ230+100*2</f>
        <v>250</v>
      </c>
      <c r="CC230" s="77">
        <f>BZ230+100*3</f>
        <v>350</v>
      </c>
      <c r="CD230" s="77">
        <f>BZ230+100*4</f>
        <v>450</v>
      </c>
      <c r="CE230" s="77">
        <f>CD230+30</f>
        <v>480</v>
      </c>
      <c r="DM230" s="77">
        <f t="shared" si="717"/>
        <v>56.548667764616276</v>
      </c>
      <c r="DN230" s="77">
        <f t="shared" si="717"/>
        <v>56.548667764616276</v>
      </c>
      <c r="DO230" s="77">
        <f t="shared" si="718"/>
        <v>14.137166941154069</v>
      </c>
      <c r="DP230" s="77">
        <f t="shared" si="718"/>
        <v>14.137166941154069</v>
      </c>
      <c r="DQ230" s="77">
        <f t="shared" si="718"/>
        <v>14.137166941154069</v>
      </c>
      <c r="DR230" s="77">
        <f t="shared" si="719"/>
        <v>56.548667764616276</v>
      </c>
      <c r="DS230" s="77">
        <f t="shared" si="719"/>
        <v>56.548667764616276</v>
      </c>
      <c r="FA230" s="77">
        <f t="shared" si="720"/>
        <v>-15607.432303034093</v>
      </c>
      <c r="FB230" s="77">
        <f t="shared" si="721"/>
        <v>14284.617260345549</v>
      </c>
      <c r="FC230" s="77">
        <f t="shared" si="722"/>
        <v>3053.628059289279</v>
      </c>
      <c r="FD230" s="77">
        <f t="shared" si="722"/>
        <v>3053.628059289279</v>
      </c>
      <c r="FE230" s="77">
        <f t="shared" si="722"/>
        <v>3053.628059289279</v>
      </c>
      <c r="FF230" s="77">
        <f t="shared" si="723"/>
        <v>15607.432303034093</v>
      </c>
      <c r="FG230" s="77">
        <f t="shared" si="723"/>
        <v>15607.432303034093</v>
      </c>
      <c r="GO230" s="77">
        <f t="shared" si="696"/>
        <v>3589709.4296978414</v>
      </c>
      <c r="GP230" s="77">
        <f t="shared" si="697"/>
        <v>-2856923.4520691098</v>
      </c>
      <c r="GQ230" s="77">
        <f t="shared" si="698"/>
        <v>-305362.8059289279</v>
      </c>
      <c r="GR230" s="77">
        <f t="shared" si="699"/>
        <v>0</v>
      </c>
      <c r="GS230" s="77">
        <f t="shared" si="712"/>
        <v>305362.8059289279</v>
      </c>
      <c r="GT230" s="77">
        <f t="shared" si="724"/>
        <v>3121486.4606068186</v>
      </c>
      <c r="GU230" s="77">
        <f t="shared" si="725"/>
        <v>3589709.4296978414</v>
      </c>
      <c r="IC230" s="82">
        <v>239</v>
      </c>
    </row>
    <row r="231" spans="1:237" s="77" customFormat="1">
      <c r="A231" s="77">
        <v>231</v>
      </c>
      <c r="B231" s="69">
        <v>327</v>
      </c>
      <c r="C231" s="69" t="s">
        <v>225</v>
      </c>
      <c r="D231" s="70" t="s">
        <v>227</v>
      </c>
      <c r="E231" s="70">
        <v>1</v>
      </c>
      <c r="F231" s="70">
        <v>3.111111111111111E-2</v>
      </c>
      <c r="G231" s="70">
        <v>6.3636363636363638E-3</v>
      </c>
      <c r="H231" s="70">
        <v>0.01</v>
      </c>
      <c r="I231" s="70">
        <v>0.01</v>
      </c>
      <c r="J231" s="71">
        <v>2.2000000000000002</v>
      </c>
      <c r="K231" s="72">
        <v>10</v>
      </c>
      <c r="L231" s="71">
        <v>6.4213333333333331E-2</v>
      </c>
      <c r="M231" s="71">
        <v>2.6880000000000001E-2</v>
      </c>
      <c r="N231" s="71">
        <v>0.27477333333333337</v>
      </c>
      <c r="O231" s="71">
        <v>0</v>
      </c>
      <c r="P231" s="71">
        <v>0</v>
      </c>
      <c r="Q231" s="73" t="s">
        <v>3</v>
      </c>
      <c r="R231" s="74">
        <v>0</v>
      </c>
      <c r="S231" s="75">
        <f t="shared" si="616"/>
        <v>0.14757295747452437</v>
      </c>
      <c r="T231" s="59">
        <f t="shared" si="594"/>
        <v>0.5734725603447075</v>
      </c>
      <c r="U231" s="59">
        <f t="shared" si="595"/>
        <v>0.42628446943339943</v>
      </c>
      <c r="V231" s="59">
        <f t="shared" si="596"/>
        <v>0.85937780003948883</v>
      </c>
      <c r="W231" s="59">
        <f t="shared" si="597"/>
        <v>1.4985508627002611</v>
      </c>
      <c r="X231" s="59">
        <f t="shared" si="598"/>
        <v>2.0159725762041956</v>
      </c>
      <c r="Y231" s="100">
        <v>17500</v>
      </c>
      <c r="Z231" s="57">
        <f t="shared" si="599"/>
        <v>35279.520083573421</v>
      </c>
      <c r="AA231" s="57">
        <f t="shared" si="600"/>
        <v>26224.640097254567</v>
      </c>
      <c r="AB231" s="57">
        <f t="shared" si="713"/>
        <v>36561.733575163547</v>
      </c>
      <c r="AC231" s="57">
        <f t="shared" si="601"/>
        <v>0.17</v>
      </c>
      <c r="AD231" s="57">
        <f t="shared" si="602"/>
        <v>2.2000000000000002</v>
      </c>
      <c r="AE231" s="57">
        <f t="shared" si="603"/>
        <v>0</v>
      </c>
      <c r="AF231" s="57">
        <f t="shared" si="604"/>
        <v>14444.095067158703</v>
      </c>
      <c r="AG231" s="57">
        <f t="shared" si="708"/>
        <v>11780.545030095866</v>
      </c>
      <c r="AH231" s="57">
        <f t="shared" si="714"/>
        <v>25719501.936580118</v>
      </c>
      <c r="AI231" s="57">
        <f t="shared" si="715"/>
        <v>14498404.996099783</v>
      </c>
      <c r="AJ231" s="77">
        <v>0</v>
      </c>
      <c r="AK231" s="77">
        <v>22.5</v>
      </c>
      <c r="AL231" s="78">
        <f t="shared" si="605"/>
        <v>2.5459507888045447</v>
      </c>
      <c r="AM231" s="57">
        <f t="shared" si="606"/>
        <v>1</v>
      </c>
      <c r="AN231" s="57">
        <f t="shared" si="607"/>
        <v>0.8</v>
      </c>
      <c r="AO231" s="77">
        <v>500</v>
      </c>
      <c r="AP231" s="79">
        <v>50</v>
      </c>
      <c r="AQ231" s="57">
        <f t="shared" si="608"/>
        <v>17.764410016353445</v>
      </c>
      <c r="AR231" s="78">
        <f t="shared" ref="AR231:AR266" si="726">AO231-2*AP231</f>
        <v>400</v>
      </c>
      <c r="AS231" s="57">
        <f t="shared" si="609"/>
        <v>482.23558998364655</v>
      </c>
      <c r="AT231" s="77">
        <v>50</v>
      </c>
      <c r="AU231" s="77">
        <v>1100</v>
      </c>
      <c r="AV231" s="78">
        <f t="shared" si="610"/>
        <v>25000</v>
      </c>
      <c r="AW231" s="77">
        <v>0</v>
      </c>
      <c r="AX231" s="77">
        <f t="shared" si="611"/>
        <v>25000</v>
      </c>
      <c r="AY231" s="77">
        <v>25000</v>
      </c>
      <c r="AZ231" s="77">
        <v>216</v>
      </c>
      <c r="BA231" s="77">
        <v>216</v>
      </c>
      <c r="BB231" s="77">
        <v>276</v>
      </c>
      <c r="BC231" s="77">
        <v>0</v>
      </c>
      <c r="BD231" s="77">
        <v>2.8E-3</v>
      </c>
      <c r="BE231" s="77">
        <v>2.8E-3</v>
      </c>
      <c r="BF231" s="77">
        <v>2.24E-2</v>
      </c>
      <c r="BG231" s="77">
        <v>0</v>
      </c>
      <c r="BH231" s="79">
        <v>100</v>
      </c>
      <c r="BI231" s="79">
        <f>PI()*3*3/4</f>
        <v>7.0685834705770345</v>
      </c>
      <c r="BJ231" s="79">
        <v>2</v>
      </c>
      <c r="BK231" s="57">
        <f t="shared" si="709"/>
        <v>14.137166941154069</v>
      </c>
      <c r="BL231" s="57">
        <f t="shared" si="643"/>
        <v>55.999999999999993</v>
      </c>
      <c r="BM231" s="80">
        <f>PI()*6*6/4</f>
        <v>28.274333882308138</v>
      </c>
      <c r="BN231" s="80">
        <v>4</v>
      </c>
      <c r="BO231" s="57">
        <f t="shared" si="716"/>
        <v>113.09733552923255</v>
      </c>
      <c r="BP231" s="57">
        <f t="shared" si="612"/>
        <v>15039.111500691055</v>
      </c>
      <c r="BQ231" s="77">
        <f t="shared" si="613"/>
        <v>-1.5141267795115709E-8</v>
      </c>
      <c r="BR231" s="57">
        <f t="shared" si="664"/>
        <v>16543022.650760161</v>
      </c>
      <c r="BS231" s="57">
        <v>35.528820032706889</v>
      </c>
      <c r="BT231" s="57">
        <f t="shared" si="617"/>
        <v>1.7780297661233166</v>
      </c>
      <c r="BU231" s="57"/>
      <c r="BV231" s="57">
        <v>3.3E-3</v>
      </c>
      <c r="BW231" s="57">
        <v>30000</v>
      </c>
      <c r="BX231" s="57">
        <v>200000</v>
      </c>
      <c r="BY231" s="77">
        <f>20</f>
        <v>20</v>
      </c>
      <c r="BZ231" s="77">
        <f>BY231+30</f>
        <v>50</v>
      </c>
      <c r="CA231" s="77">
        <f>BZ231+100</f>
        <v>150</v>
      </c>
      <c r="CB231" s="77">
        <f>BZ231+100*2</f>
        <v>250</v>
      </c>
      <c r="CC231" s="77">
        <f>BZ231+100*3</f>
        <v>350</v>
      </c>
      <c r="CD231" s="77">
        <f>BZ231+100*4</f>
        <v>450</v>
      </c>
      <c r="CE231" s="77">
        <f>CD231+30</f>
        <v>480</v>
      </c>
      <c r="DM231" s="77">
        <f t="shared" si="717"/>
        <v>56.548667764616276</v>
      </c>
      <c r="DN231" s="77">
        <f t="shared" si="717"/>
        <v>56.548667764616276</v>
      </c>
      <c r="DO231" s="77">
        <f t="shared" si="718"/>
        <v>14.137166941154069</v>
      </c>
      <c r="DP231" s="77">
        <f t="shared" si="718"/>
        <v>14.137166941154069</v>
      </c>
      <c r="DQ231" s="77">
        <f t="shared" si="718"/>
        <v>14.137166941154069</v>
      </c>
      <c r="DR231" s="77">
        <f t="shared" si="719"/>
        <v>56.548667764616276</v>
      </c>
      <c r="DS231" s="77">
        <f t="shared" si="719"/>
        <v>56.548667764616276</v>
      </c>
      <c r="FA231" s="77">
        <f t="shared" si="720"/>
        <v>-15607.432303034093</v>
      </c>
      <c r="FB231" s="77">
        <f t="shared" si="721"/>
        <v>15201.606055878181</v>
      </c>
      <c r="FC231" s="77">
        <f t="shared" si="722"/>
        <v>3053.628059289279</v>
      </c>
      <c r="FD231" s="77">
        <f t="shared" si="722"/>
        <v>3053.628059289279</v>
      </c>
      <c r="FE231" s="77">
        <f t="shared" si="722"/>
        <v>3053.628059289279</v>
      </c>
      <c r="FF231" s="77">
        <f t="shared" si="723"/>
        <v>15607.432303034093</v>
      </c>
      <c r="FG231" s="77">
        <f t="shared" si="723"/>
        <v>15607.432303034093</v>
      </c>
      <c r="GO231" s="77">
        <f t="shared" si="696"/>
        <v>3589709.4296978414</v>
      </c>
      <c r="GP231" s="77">
        <f t="shared" si="697"/>
        <v>-3040321.2111756364</v>
      </c>
      <c r="GQ231" s="77">
        <f t="shared" si="698"/>
        <v>-305362.8059289279</v>
      </c>
      <c r="GR231" s="77">
        <f t="shared" si="699"/>
        <v>0</v>
      </c>
      <c r="GS231" s="77">
        <f t="shared" si="712"/>
        <v>305362.8059289279</v>
      </c>
      <c r="GT231" s="77">
        <f t="shared" si="724"/>
        <v>3121486.4606068186</v>
      </c>
      <c r="GU231" s="77">
        <f t="shared" si="725"/>
        <v>3589709.4296978414</v>
      </c>
      <c r="IC231" s="82">
        <v>240</v>
      </c>
    </row>
    <row r="232" spans="1:237" s="77" customFormat="1">
      <c r="A232" s="77">
        <v>232</v>
      </c>
      <c r="B232" s="69">
        <v>328</v>
      </c>
      <c r="C232" s="69" t="s">
        <v>225</v>
      </c>
      <c r="D232" s="70" t="s">
        <v>228</v>
      </c>
      <c r="E232" s="70">
        <v>1</v>
      </c>
      <c r="F232" s="70">
        <v>3.3634042553191489E-2</v>
      </c>
      <c r="G232" s="70">
        <v>8.1818181818181825E-3</v>
      </c>
      <c r="H232" s="70">
        <v>1.2727272727272728E-2</v>
      </c>
      <c r="I232" s="70">
        <v>1.2727272727272728E-2</v>
      </c>
      <c r="J232" s="71">
        <v>2.2000000000000002</v>
      </c>
      <c r="K232" s="72">
        <v>10</v>
      </c>
      <c r="L232" s="71">
        <v>6.1480851063829792E-2</v>
      </c>
      <c r="M232" s="71">
        <v>2.5736170212765957E-2</v>
      </c>
      <c r="N232" s="71">
        <v>0.26308085106382978</v>
      </c>
      <c r="O232" s="71">
        <v>0</v>
      </c>
      <c r="P232" s="71">
        <v>0</v>
      </c>
      <c r="Q232" s="73" t="s">
        <v>3</v>
      </c>
      <c r="R232" s="74">
        <v>0</v>
      </c>
      <c r="S232" s="75">
        <f t="shared" si="616"/>
        <v>0.16304707060859006</v>
      </c>
      <c r="T232" s="59">
        <f t="shared" si="594"/>
        <v>0.5664957555922473</v>
      </c>
      <c r="U232" s="59">
        <f t="shared" si="595"/>
        <v>0.42192695058558832</v>
      </c>
      <c r="V232" s="59">
        <f t="shared" si="596"/>
        <v>0.76277046084955535</v>
      </c>
      <c r="W232" s="59">
        <f t="shared" si="597"/>
        <v>1.3464716254618909</v>
      </c>
      <c r="X232" s="59">
        <f t="shared" si="598"/>
        <v>1.8078258802641398</v>
      </c>
      <c r="Y232" s="100">
        <v>19760</v>
      </c>
      <c r="Z232" s="57">
        <f t="shared" si="599"/>
        <v>35722.639394019403</v>
      </c>
      <c r="AA232" s="57">
        <f t="shared" si="600"/>
        <v>26606.279319126967</v>
      </c>
      <c r="AB232" s="57">
        <f t="shared" si="713"/>
        <v>37664.913233876461</v>
      </c>
      <c r="AC232" s="57">
        <f t="shared" si="601"/>
        <v>0.17</v>
      </c>
      <c r="AD232" s="57">
        <f t="shared" si="602"/>
        <v>2.2000000000000002</v>
      </c>
      <c r="AE232" s="57">
        <f t="shared" si="603"/>
        <v>0</v>
      </c>
      <c r="AF232" s="57">
        <f t="shared" si="604"/>
        <v>14811.540375279377</v>
      </c>
      <c r="AG232" s="57">
        <f t="shared" si="708"/>
        <v>11794.738943847591</v>
      </c>
      <c r="AH232" s="57">
        <f t="shared" si="714"/>
        <v>26896726.226021018</v>
      </c>
      <c r="AI232" s="57">
        <f t="shared" si="715"/>
        <v>14534678.331243083</v>
      </c>
      <c r="AJ232" s="77">
        <v>0</v>
      </c>
      <c r="AK232" s="77">
        <v>23.5</v>
      </c>
      <c r="AL232" s="78">
        <f t="shared" si="605"/>
        <v>2.607575813629373</v>
      </c>
      <c r="AM232" s="57">
        <f t="shared" si="606"/>
        <v>1</v>
      </c>
      <c r="AN232" s="57">
        <f t="shared" si="607"/>
        <v>0.8</v>
      </c>
      <c r="AO232" s="77">
        <v>500</v>
      </c>
      <c r="AP232" s="79">
        <v>50</v>
      </c>
      <c r="AQ232" s="57">
        <f t="shared" si="608"/>
        <v>17.183383386876319</v>
      </c>
      <c r="AR232" s="78">
        <f t="shared" si="726"/>
        <v>400</v>
      </c>
      <c r="AS232" s="57">
        <f t="shared" si="609"/>
        <v>482.8166166131237</v>
      </c>
      <c r="AT232" s="77">
        <v>50</v>
      </c>
      <c r="AU232" s="77">
        <v>1100</v>
      </c>
      <c r="AV232" s="78">
        <f t="shared" si="610"/>
        <v>25000</v>
      </c>
      <c r="AW232" s="77">
        <v>0</v>
      </c>
      <c r="AX232" s="77">
        <f t="shared" si="611"/>
        <v>25000</v>
      </c>
      <c r="AY232" s="77">
        <v>25000</v>
      </c>
      <c r="AZ232" s="77">
        <v>216</v>
      </c>
      <c r="BA232" s="77">
        <v>216</v>
      </c>
      <c r="BB232" s="77">
        <v>276</v>
      </c>
      <c r="BC232" s="77">
        <v>0</v>
      </c>
      <c r="BD232" s="77">
        <v>2.8E-3</v>
      </c>
      <c r="BE232" s="77">
        <v>2.8E-3</v>
      </c>
      <c r="BF232" s="77">
        <v>2.24E-2</v>
      </c>
      <c r="BG232" s="77">
        <v>0</v>
      </c>
      <c r="BH232" s="79">
        <v>100</v>
      </c>
      <c r="BI232" s="79">
        <f>PI()*3*3/4</f>
        <v>7.0685834705770345</v>
      </c>
      <c r="BJ232" s="79">
        <v>2</v>
      </c>
      <c r="BK232" s="57">
        <f t="shared" si="709"/>
        <v>14.137166941154069</v>
      </c>
      <c r="BL232" s="57">
        <f t="shared" si="643"/>
        <v>55.999999999999993</v>
      </c>
      <c r="BM232" s="80">
        <f>PI()*6*6/4</f>
        <v>28.274333882308138</v>
      </c>
      <c r="BN232" s="80">
        <v>4</v>
      </c>
      <c r="BO232" s="57">
        <f t="shared" si="716"/>
        <v>113.09733552923255</v>
      </c>
      <c r="BP232" s="57">
        <f t="shared" si="612"/>
        <v>15072.344306387215</v>
      </c>
      <c r="BQ232" s="77">
        <f t="shared" si="613"/>
        <v>1.4479155652225018E-9</v>
      </c>
      <c r="BR232" s="57">
        <f t="shared" si="664"/>
        <v>16579578.737025935</v>
      </c>
      <c r="BS232" s="57">
        <v>34.366766773752637</v>
      </c>
      <c r="BT232" s="57">
        <f t="shared" si="617"/>
        <v>1.716153288776963</v>
      </c>
      <c r="BU232" s="57"/>
      <c r="BV232" s="57">
        <v>3.3E-3</v>
      </c>
      <c r="BW232" s="57">
        <v>30000</v>
      </c>
      <c r="BX232" s="57">
        <v>200000</v>
      </c>
      <c r="BY232" s="77">
        <f>20</f>
        <v>20</v>
      </c>
      <c r="BZ232" s="77">
        <f>BY232+30</f>
        <v>50</v>
      </c>
      <c r="CA232" s="77">
        <f>BZ232+100</f>
        <v>150</v>
      </c>
      <c r="CB232" s="77">
        <f>BZ232+100*2</f>
        <v>250</v>
      </c>
      <c r="CC232" s="77">
        <f>BZ232+100*3</f>
        <v>350</v>
      </c>
      <c r="CD232" s="77">
        <f>BZ232+100*4</f>
        <v>450</v>
      </c>
      <c r="CE232" s="77">
        <f>CD232+30</f>
        <v>480</v>
      </c>
      <c r="DM232" s="77">
        <f t="shared" si="717"/>
        <v>56.548667764616276</v>
      </c>
      <c r="DN232" s="77">
        <f t="shared" si="717"/>
        <v>56.548667764616276</v>
      </c>
      <c r="DO232" s="77">
        <f t="shared" si="718"/>
        <v>14.137166941154069</v>
      </c>
      <c r="DP232" s="77">
        <f t="shared" si="718"/>
        <v>14.137166941154069</v>
      </c>
      <c r="DQ232" s="77">
        <f t="shared" si="718"/>
        <v>14.137166941154069</v>
      </c>
      <c r="DR232" s="77">
        <f t="shared" si="719"/>
        <v>56.548667764616276</v>
      </c>
      <c r="DS232" s="77">
        <f t="shared" si="719"/>
        <v>56.548667764616276</v>
      </c>
      <c r="FA232" s="77">
        <f t="shared" si="720"/>
        <v>-15602.230127809316</v>
      </c>
      <c r="FB232" s="77">
        <f t="shared" si="721"/>
        <v>15607.432303034093</v>
      </c>
      <c r="FC232" s="77">
        <f t="shared" si="722"/>
        <v>3053.628059289279</v>
      </c>
      <c r="FD232" s="77">
        <f t="shared" si="722"/>
        <v>3053.628059289279</v>
      </c>
      <c r="FE232" s="77">
        <f t="shared" si="722"/>
        <v>3053.628059289279</v>
      </c>
      <c r="FF232" s="77">
        <f t="shared" si="723"/>
        <v>15607.432303034093</v>
      </c>
      <c r="FG232" s="77">
        <f t="shared" si="723"/>
        <v>15607.432303034093</v>
      </c>
      <c r="GO232" s="77">
        <f t="shared" si="696"/>
        <v>3588512.9293961427</v>
      </c>
      <c r="GP232" s="77">
        <f t="shared" si="697"/>
        <v>-3121486.4606068186</v>
      </c>
      <c r="GQ232" s="77">
        <f t="shared" si="698"/>
        <v>-305362.8059289279</v>
      </c>
      <c r="GR232" s="77">
        <f t="shared" si="699"/>
        <v>0</v>
      </c>
      <c r="GS232" s="77">
        <f t="shared" si="712"/>
        <v>305362.8059289279</v>
      </c>
      <c r="GT232" s="77">
        <f t="shared" si="724"/>
        <v>3121486.4606068186</v>
      </c>
      <c r="GU232" s="77">
        <f t="shared" si="725"/>
        <v>3589709.4296978414</v>
      </c>
      <c r="IC232" s="82">
        <v>241</v>
      </c>
    </row>
    <row r="233" spans="1:237" s="77" customFormat="1">
      <c r="A233" s="77">
        <v>233</v>
      </c>
      <c r="B233" s="69">
        <v>334</v>
      </c>
      <c r="C233" s="69" t="s">
        <v>246</v>
      </c>
      <c r="D233" s="70" t="s">
        <v>72</v>
      </c>
      <c r="E233" s="70">
        <v>1</v>
      </c>
      <c r="F233" s="70">
        <v>5.6949544403644768E-2</v>
      </c>
      <c r="G233" s="70">
        <v>7.9733330000000009E-3</v>
      </c>
      <c r="H233" s="70">
        <v>1.6666666699999999E-2</v>
      </c>
      <c r="I233" s="70">
        <v>3.03784E-2</v>
      </c>
      <c r="J233" s="72">
        <v>3.75</v>
      </c>
      <c r="K233" s="72">
        <v>6.5789473684210522</v>
      </c>
      <c r="L233" s="72">
        <v>5.8005167958656331E-2</v>
      </c>
      <c r="M233" s="72">
        <v>7.6919896640826879E-2</v>
      </c>
      <c r="N233" s="72">
        <v>0.84534883720930232</v>
      </c>
      <c r="O233" s="72">
        <v>6.1788113695090435E-2</v>
      </c>
      <c r="P233" s="72">
        <v>9.9999999999999992E-2</v>
      </c>
      <c r="Q233" s="73" t="s">
        <v>3</v>
      </c>
      <c r="R233" s="101">
        <v>0</v>
      </c>
      <c r="S233" s="75">
        <f t="shared" si="616"/>
        <v>0.3542792662874738</v>
      </c>
      <c r="T233" s="59">
        <f t="shared" si="594"/>
        <v>0.82868706786214397</v>
      </c>
      <c r="U233" s="59">
        <f t="shared" si="595"/>
        <v>0.64779082043744174</v>
      </c>
      <c r="V233" s="59">
        <f t="shared" si="596"/>
        <v>1.0002724262583778</v>
      </c>
      <c r="W233" s="59">
        <f t="shared" si="597"/>
        <v>1.2070568795515197</v>
      </c>
      <c r="X233" s="59">
        <f t="shared" si="598"/>
        <v>1.5441287444964278</v>
      </c>
      <c r="Y233" s="100">
        <v>335000</v>
      </c>
      <c r="Z233" s="57">
        <f t="shared" si="599"/>
        <v>517283.12940630334</v>
      </c>
      <c r="AA233" s="57">
        <f t="shared" si="600"/>
        <v>404364.05464975908</v>
      </c>
      <c r="AB233" s="57">
        <f t="shared" si="713"/>
        <v>528052.40156650625</v>
      </c>
      <c r="AC233" s="57">
        <f t="shared" si="601"/>
        <v>0.17</v>
      </c>
      <c r="AD233" s="57">
        <f t="shared" si="602"/>
        <v>2.2000000000000002</v>
      </c>
      <c r="AE233" s="57">
        <f t="shared" si="603"/>
        <v>588240</v>
      </c>
      <c r="AF233" s="57">
        <f t="shared" si="604"/>
        <v>145822.67430018797</v>
      </c>
      <c r="AG233" s="57">
        <f t="shared" si="708"/>
        <v>258541.38034957115</v>
      </c>
      <c r="AH233" s="57">
        <f t="shared" si="714"/>
        <v>1060851947.3289367</v>
      </c>
      <c r="AI233" s="57">
        <f t="shared" si="715"/>
        <v>919344558.54546165</v>
      </c>
      <c r="AJ233" s="77">
        <v>588240.00000000012</v>
      </c>
      <c r="AK233" s="77">
        <v>38.700000000000003</v>
      </c>
      <c r="AL233" s="78">
        <f t="shared" si="605"/>
        <v>3.430762470479864</v>
      </c>
      <c r="AM233" s="57">
        <f t="shared" si="606"/>
        <v>0.99815789473684213</v>
      </c>
      <c r="AN233" s="57">
        <f t="shared" si="607"/>
        <v>0.79815789473684218</v>
      </c>
      <c r="AO233" s="77">
        <v>1000</v>
      </c>
      <c r="AP233" s="79">
        <v>228</v>
      </c>
      <c r="AQ233" s="57">
        <f t="shared" si="608"/>
        <v>93.560469730148384</v>
      </c>
      <c r="AR233" s="78">
        <f t="shared" si="726"/>
        <v>544</v>
      </c>
      <c r="AS233" s="57">
        <f t="shared" si="609"/>
        <v>906.43953026985162</v>
      </c>
      <c r="AT233" s="77">
        <v>152</v>
      </c>
      <c r="AU233" s="77">
        <v>3750</v>
      </c>
      <c r="AV233" s="78">
        <f t="shared" si="610"/>
        <v>152000</v>
      </c>
      <c r="AW233" s="77">
        <v>0</v>
      </c>
      <c r="AX233" s="77">
        <f t="shared" si="611"/>
        <v>152000</v>
      </c>
      <c r="AY233" s="77">
        <v>152000</v>
      </c>
      <c r="AZ233" s="77">
        <v>488</v>
      </c>
      <c r="BA233" s="77">
        <v>488</v>
      </c>
      <c r="BB233" s="77">
        <v>450</v>
      </c>
      <c r="BC233" s="77">
        <v>381</v>
      </c>
      <c r="BD233" s="77">
        <f>PI()*10*10/4*4/(AT233*AR233)</f>
        <v>3.79933322076939E-3</v>
      </c>
      <c r="BE233" s="77">
        <f>PI()*10*10/4*2/(AT233*BH233)</f>
        <v>4.8065983072059261E-3</v>
      </c>
      <c r="BF233" s="77">
        <f>BO233/(AT233*AP233)</f>
        <v>7.2520606038545557E-2</v>
      </c>
      <c r="BG233" s="77">
        <f>PI()*6*6/4*2/(AT233*152)</f>
        <v>2.4475704538009123E-3</v>
      </c>
      <c r="BH233" s="79">
        <v>215</v>
      </c>
      <c r="BI233" s="79">
        <f>PI()*10*10/4</f>
        <v>78.539816339744831</v>
      </c>
      <c r="BJ233" s="79">
        <v>2</v>
      </c>
      <c r="BK233" s="57">
        <f t="shared" si="709"/>
        <v>157.07963267948966</v>
      </c>
      <c r="BL233" s="57">
        <f t="shared" si="643"/>
        <v>314.15926535897933</v>
      </c>
      <c r="BM233" s="80">
        <f>PI()*20*20/4</f>
        <v>314.15926535897933</v>
      </c>
      <c r="BN233" s="80">
        <v>8</v>
      </c>
      <c r="BO233" s="57">
        <f t="shared" si="716"/>
        <v>2513.2741228718346</v>
      </c>
      <c r="BP233" s="57">
        <f t="shared" si="612"/>
        <v>335091.26279655658</v>
      </c>
      <c r="BQ233" s="77">
        <f t="shared" si="613"/>
        <v>1.6880221664905548E-9</v>
      </c>
      <c r="BR233" s="57">
        <f t="shared" si="664"/>
        <v>1256592235.4870872</v>
      </c>
      <c r="BS233" s="57">
        <v>187.12093946029677</v>
      </c>
      <c r="BT233" s="57">
        <f t="shared" si="617"/>
        <v>168.69536948450963</v>
      </c>
      <c r="BU233" s="57"/>
      <c r="BV233" s="57">
        <v>3.3E-3</v>
      </c>
      <c r="BW233" s="57">
        <v>30000</v>
      </c>
      <c r="BX233" s="57">
        <v>200000</v>
      </c>
      <c r="BY233" s="77">
        <f>20</f>
        <v>20</v>
      </c>
      <c r="BZ233" s="77">
        <f>BY233+65</f>
        <v>85</v>
      </c>
      <c r="CA233" s="77">
        <f>BY233+65*2</f>
        <v>150</v>
      </c>
      <c r="CB233" s="77">
        <f>CA233+200</f>
        <v>350</v>
      </c>
      <c r="CC233" s="77">
        <f>CB233+300</f>
        <v>650</v>
      </c>
      <c r="CD233" s="77">
        <f>CC233+200</f>
        <v>850</v>
      </c>
      <c r="CE233" s="77">
        <f>CD233+65</f>
        <v>915</v>
      </c>
      <c r="CF233" s="77">
        <f>CD233+65*2</f>
        <v>980</v>
      </c>
      <c r="DM233" s="77">
        <f>PI()*20*20/4*3</f>
        <v>942.47779607693792</v>
      </c>
      <c r="DN233" s="77">
        <f>PI()*20*20/4*2</f>
        <v>628.31853071795865</v>
      </c>
      <c r="DO233" s="77">
        <f>PI()*20*20/4*3</f>
        <v>942.47779607693792</v>
      </c>
      <c r="DP233" s="77">
        <f>PI()*10*10/4*2</f>
        <v>157.07963267948966</v>
      </c>
      <c r="DQ233" s="77">
        <f>PI()*10*10/4*2</f>
        <v>157.07963267948966</v>
      </c>
      <c r="DR233" s="77">
        <f>PI()*20*20/4*3</f>
        <v>942.47779607693792</v>
      </c>
      <c r="DS233" s="77">
        <f>PI()*20*20/4*2</f>
        <v>628.31853071795865</v>
      </c>
      <c r="DT233" s="77">
        <f>PI()*20*20/4*3</f>
        <v>942.47779607693792</v>
      </c>
      <c r="FA233" s="77">
        <f t="shared" si="720"/>
        <v>-424115.00823462207</v>
      </c>
      <c r="FB233" s="77">
        <f t="shared" si="721"/>
        <v>-226316.49895899618</v>
      </c>
      <c r="FC233" s="77">
        <f>IF(ABS(-$BV233*($BS233-CA233)/$BS233*$BX233)&gt;$BB233,$BB233*SIGN(-($BS233-CA233)),-$BV233*($BS233-CA233)/$BS233*$BX233)*DO233</f>
        <v>-123398.99781262939</v>
      </c>
      <c r="FD233" s="77">
        <f t="shared" ref="FD233:FD268" si="727">IF(ABS(-$BV233*($BS233-CB233)/$BS233*$BX233)&gt;$BA233,$BA233*SIGN(-($BS233-CB233)),-$BV233*($BS233-CB233)/$BS233*$BX233)*DP233</f>
        <v>76654.860747590952</v>
      </c>
      <c r="FE233" s="77">
        <f t="shared" ref="FE233:FE268" si="728">IF(ABS(-$BV233*($BS233-CC233)/$BS233*$BX233)&gt;$BA233,$BA233*SIGN(-($BS233-CC233)),-$BV233*($BS233-CC233)/$BS233*$BX233)*DQ233</f>
        <v>76654.860747590952</v>
      </c>
      <c r="FF233" s="77">
        <f t="shared" si="723"/>
        <v>424115.00823462207</v>
      </c>
      <c r="FG233" s="77">
        <f t="shared" si="723"/>
        <v>282743.3388230814</v>
      </c>
      <c r="FH233" s="77">
        <f>IF(ABS(-$BV233*($BS233-CF233)/$BS233*$BX233)&gt;$BB233,$BB233*SIGN(-($BS233-CF233)),-$BV233*($BS233-CF233)/$BS233*$BX233)*DT233</f>
        <v>424115.00823462207</v>
      </c>
      <c r="GO233" s="77">
        <f t="shared" si="696"/>
        <v>203575203.9526186</v>
      </c>
      <c r="GP233" s="77">
        <f t="shared" si="697"/>
        <v>93921347.067983419</v>
      </c>
      <c r="GQ233" s="77">
        <f t="shared" si="698"/>
        <v>43189649.234420285</v>
      </c>
      <c r="GR233" s="77">
        <f t="shared" si="699"/>
        <v>-11498229.112138642</v>
      </c>
      <c r="GS233" s="77">
        <f t="shared" si="712"/>
        <v>11498229.112138642</v>
      </c>
      <c r="GT233" s="77">
        <f t="shared" si="724"/>
        <v>148440252.88211772</v>
      </c>
      <c r="GU233" s="77">
        <f t="shared" si="725"/>
        <v>117338485.61157878</v>
      </c>
      <c r="GV233" s="77">
        <f t="shared" ref="GV233:GV266" si="729">FH233*(CF233-0.5*$AO233)</f>
        <v>203575203.9526186</v>
      </c>
      <c r="IC233" s="82">
        <v>242</v>
      </c>
    </row>
    <row r="234" spans="1:237" s="77" customFormat="1">
      <c r="A234" s="77">
        <v>234</v>
      </c>
      <c r="B234" s="69">
        <v>335</v>
      </c>
      <c r="C234" s="69" t="s">
        <v>463</v>
      </c>
      <c r="D234" s="70" t="s">
        <v>247</v>
      </c>
      <c r="E234" s="70">
        <v>1</v>
      </c>
      <c r="F234" s="70">
        <v>5.311736936350317E-2</v>
      </c>
      <c r="G234" s="70">
        <v>4.2500000000000003E-3</v>
      </c>
      <c r="H234" s="70">
        <v>1.021E-2</v>
      </c>
      <c r="I234" s="70">
        <v>2.1194999999999999E-2</v>
      </c>
      <c r="J234" s="72">
        <v>2.1</v>
      </c>
      <c r="K234" s="72">
        <v>10</v>
      </c>
      <c r="L234" s="72">
        <v>1.4715936838678171E-2</v>
      </c>
      <c r="M234" s="72">
        <v>3.885007325411037E-2</v>
      </c>
      <c r="N234" s="72">
        <v>0.21513348526778447</v>
      </c>
      <c r="O234" s="72">
        <v>2.9431873677356342E-2</v>
      </c>
      <c r="P234" s="72">
        <v>0.16343805958000979</v>
      </c>
      <c r="Q234" s="73" t="s">
        <v>3</v>
      </c>
      <c r="R234" s="101">
        <v>0</v>
      </c>
      <c r="S234" s="75">
        <f t="shared" si="616"/>
        <v>0.41631956023361533</v>
      </c>
      <c r="T234" s="59">
        <f t="shared" si="594"/>
        <v>0.88159067736257291</v>
      </c>
      <c r="U234" s="59">
        <f t="shared" si="595"/>
        <v>0.79471807152360407</v>
      </c>
      <c r="V234" s="59">
        <f t="shared" si="596"/>
        <v>0.90899715922460855</v>
      </c>
      <c r="W234" s="59">
        <f t="shared" si="597"/>
        <v>1.0310875359345073</v>
      </c>
      <c r="X234" s="59">
        <f t="shared" si="598"/>
        <v>1.1437982748799367</v>
      </c>
      <c r="Y234" s="100">
        <v>326300</v>
      </c>
      <c r="Z234" s="57">
        <f t="shared" si="599"/>
        <v>373221.37709332333</v>
      </c>
      <c r="AA234" s="57">
        <f t="shared" si="600"/>
        <v>336443.86297542974</v>
      </c>
      <c r="AB234" s="57">
        <f t="shared" si="713"/>
        <v>470254.14985951729</v>
      </c>
      <c r="AC234" s="57">
        <f t="shared" si="601"/>
        <v>0.17</v>
      </c>
      <c r="AD234" s="57">
        <f t="shared" si="602"/>
        <v>2.1</v>
      </c>
      <c r="AE234" s="57">
        <f t="shared" si="603"/>
        <v>1004000.0000000001</v>
      </c>
      <c r="AF234" s="57">
        <f t="shared" si="604"/>
        <v>162781.91472328029</v>
      </c>
      <c r="AG234" s="57">
        <f t="shared" si="708"/>
        <v>173661.94825214942</v>
      </c>
      <c r="AH234" s="57">
        <f t="shared" si="714"/>
        <v>804526904.85694325</v>
      </c>
      <c r="AI234" s="57">
        <f t="shared" si="715"/>
        <v>183006809.84804305</v>
      </c>
      <c r="AJ234" s="77">
        <v>1003999.9999999999</v>
      </c>
      <c r="AK234" s="77">
        <v>61.43</v>
      </c>
      <c r="AL234" s="78">
        <f t="shared" si="605"/>
        <v>4.4234273953032526</v>
      </c>
      <c r="AM234" s="57">
        <f t="shared" si="606"/>
        <v>0.94</v>
      </c>
      <c r="AN234" s="57">
        <f t="shared" si="607"/>
        <v>0.74</v>
      </c>
      <c r="AO234" s="77">
        <v>1000</v>
      </c>
      <c r="AP234" s="79">
        <v>170</v>
      </c>
      <c r="AQ234" s="57">
        <f t="shared" si="608"/>
        <v>95.435228985622473</v>
      </c>
      <c r="AR234" s="78">
        <f t="shared" si="726"/>
        <v>660</v>
      </c>
      <c r="AS234" s="57">
        <f t="shared" si="609"/>
        <v>904.56477101437758</v>
      </c>
      <c r="AT234" s="77">
        <v>100</v>
      </c>
      <c r="AU234" s="77">
        <v>2100</v>
      </c>
      <c r="AV234" s="78">
        <f t="shared" si="610"/>
        <v>100000</v>
      </c>
      <c r="AW234" s="77">
        <v>0</v>
      </c>
      <c r="AX234" s="77">
        <f t="shared" si="611"/>
        <v>100000</v>
      </c>
      <c r="AY234" s="77">
        <v>100000</v>
      </c>
      <c r="AZ234" s="77">
        <v>361.6</v>
      </c>
      <c r="BA234" s="77">
        <v>361.6</v>
      </c>
      <c r="BB234" s="77">
        <v>436</v>
      </c>
      <c r="BC234" s="77">
        <v>836</v>
      </c>
      <c r="BD234" s="77">
        <f>PI()*4*4/4*2/(AT234*100)</f>
        <v>2.5132741228718345E-3</v>
      </c>
      <c r="BE234" s="77">
        <f>BK234/(AT234*BH234)</f>
        <v>6.6366144807084382E-3</v>
      </c>
      <c r="BF234" s="77">
        <f>BO234/(AT234*AP234)</f>
        <v>3.0515028642589093E-2</v>
      </c>
      <c r="BG234" s="77">
        <f>PI()*4*4/4*2/(AT234*60)</f>
        <v>4.1887902047863905E-3</v>
      </c>
      <c r="BH234" s="79">
        <v>100</v>
      </c>
      <c r="BI234" s="79">
        <f>PI()*6.5*6.5/4</f>
        <v>33.183072403542191</v>
      </c>
      <c r="BJ234" s="79">
        <v>2</v>
      </c>
      <c r="BK234" s="57">
        <f t="shared" si="709"/>
        <v>66.366144807084382</v>
      </c>
      <c r="BL234" s="57">
        <f t="shared" si="643"/>
        <v>165.87609210954108</v>
      </c>
      <c r="BM234" s="80">
        <f>PI()*12*12/4*2+PI()*6.5*6.5/4</f>
        <v>259.37774346200729</v>
      </c>
      <c r="BN234" s="80">
        <v>2</v>
      </c>
      <c r="BO234" s="57">
        <f t="shared" si="716"/>
        <v>518.75548692401458</v>
      </c>
      <c r="BP234" s="57">
        <f t="shared" si="612"/>
        <v>296605.77305498975</v>
      </c>
      <c r="BQ234" s="77">
        <f t="shared" si="613"/>
        <v>3.2014213502407074E-10</v>
      </c>
      <c r="BR234" s="57">
        <f t="shared" si="664"/>
        <v>622872123.41547847</v>
      </c>
      <c r="BS234" s="57">
        <v>190.87045797124495</v>
      </c>
      <c r="BT234" s="57">
        <f t="shared" si="617"/>
        <v>319.42788203322777</v>
      </c>
      <c r="BU234" s="57"/>
      <c r="BV234" s="57">
        <v>3.3E-3</v>
      </c>
      <c r="BW234" s="57">
        <v>30000</v>
      </c>
      <c r="BX234" s="57">
        <v>200000</v>
      </c>
      <c r="BY234" s="77">
        <f>20</f>
        <v>20</v>
      </c>
      <c r="BZ234" s="77">
        <f>BY234+150/2</f>
        <v>95</v>
      </c>
      <c r="CA234" s="77">
        <f>BY234+150/2*2</f>
        <v>170</v>
      </c>
      <c r="CB234" s="77">
        <f>CA234+30</f>
        <v>200</v>
      </c>
      <c r="CC234" s="77">
        <f>CB234+100*1</f>
        <v>300</v>
      </c>
      <c r="CD234" s="77">
        <f>CB234+100*2</f>
        <v>400</v>
      </c>
      <c r="CE234" s="77">
        <f>CB234+100*3</f>
        <v>500</v>
      </c>
      <c r="CF234" s="77">
        <f>CB234+100*4</f>
        <v>600</v>
      </c>
      <c r="CG234" s="77">
        <f>CB234+100*5</f>
        <v>700</v>
      </c>
      <c r="CH234" s="77">
        <f>CB234+100*6</f>
        <v>800</v>
      </c>
      <c r="CI234" s="77">
        <f>CH234+30</f>
        <v>830</v>
      </c>
      <c r="CJ234" s="77">
        <f>CI234+150/2*1</f>
        <v>905</v>
      </c>
      <c r="CK234" s="77">
        <f>CI234+150/2*2</f>
        <v>980</v>
      </c>
      <c r="DM234" s="77">
        <f t="shared" ref="DM234:DN236" si="730">PI()*12*12/4*2</f>
        <v>226.1946710584651</v>
      </c>
      <c r="DN234" s="77">
        <f t="shared" si="730"/>
        <v>226.1946710584651</v>
      </c>
      <c r="DO234" s="77">
        <f>PI()*6.5*6.5/4*2</f>
        <v>66.366144807084382</v>
      </c>
      <c r="DP234" s="77">
        <f t="shared" ref="DP234:DV234" si="731">PI()*4*4/4*2</f>
        <v>25.132741228718345</v>
      </c>
      <c r="DQ234" s="77">
        <f t="shared" si="731"/>
        <v>25.132741228718345</v>
      </c>
      <c r="DR234" s="77">
        <f t="shared" si="731"/>
        <v>25.132741228718345</v>
      </c>
      <c r="DS234" s="77">
        <f t="shared" si="731"/>
        <v>25.132741228718345</v>
      </c>
      <c r="DT234" s="77">
        <f t="shared" si="731"/>
        <v>25.132741228718345</v>
      </c>
      <c r="DU234" s="77">
        <f t="shared" si="731"/>
        <v>25.132741228718345</v>
      </c>
      <c r="DV234" s="77">
        <f t="shared" si="731"/>
        <v>25.132741228718345</v>
      </c>
      <c r="DW234" s="77">
        <f>PI()*6.5*6.5/4*2</f>
        <v>66.366144807084382</v>
      </c>
      <c r="DX234" s="77">
        <f>PI()*12*12/4*2</f>
        <v>226.1946710584651</v>
      </c>
      <c r="DY234" s="77">
        <f>PI()*12*12/4*2</f>
        <v>226.1946710584651</v>
      </c>
      <c r="FA234" s="77">
        <f t="shared" si="720"/>
        <v>-98620.876581490782</v>
      </c>
      <c r="FB234" s="77">
        <f t="shared" si="721"/>
        <v>-74984.653871769333</v>
      </c>
      <c r="FC234" s="77">
        <f>IF(ABS(-$BV234*($BS234-CA234)/$BS234*$BX234)&gt;$BA234,$BA234*SIGN(-($BS234-CA234)),-$BV234*($BS234-CA234)/$BS234*$BX234)*DO234</f>
        <v>-4789.4295503717785</v>
      </c>
      <c r="FD234" s="77">
        <f t="shared" si="727"/>
        <v>793.40342689796626</v>
      </c>
      <c r="FE234" s="77">
        <f t="shared" si="728"/>
        <v>9087.999228304554</v>
      </c>
      <c r="FF234" s="77">
        <f t="shared" ref="FF234:FK234" si="732">IF(ABS(-$BV234*($BS234-CD234)/$BS234*$BX234)&gt;$BA234,$BA234*SIGN(-($BS234-CD234)),-$BV234*($BS234-CD234)/$BS234*$BX234)*DR234</f>
        <v>9087.999228304554</v>
      </c>
      <c r="FG234" s="77">
        <f t="shared" si="732"/>
        <v>9087.999228304554</v>
      </c>
      <c r="FH234" s="77">
        <f t="shared" si="732"/>
        <v>9087.999228304554</v>
      </c>
      <c r="FI234" s="77">
        <f t="shared" si="732"/>
        <v>9087.999228304554</v>
      </c>
      <c r="FJ234" s="77">
        <f t="shared" si="732"/>
        <v>9087.999228304554</v>
      </c>
      <c r="FK234" s="77">
        <f t="shared" si="732"/>
        <v>23997.997962241712</v>
      </c>
      <c r="FL234" s="77">
        <f>IF(ABS(-$BV234*($BS234-CJ234)/$BS234*$BX234)&gt;$BB234,$BB234*SIGN(-($BS234-CJ234)),-$BV234*($BS234-CJ234)/$BS234*$BX234)*DX234</f>
        <v>98620.876581490782</v>
      </c>
      <c r="FM234" s="77">
        <f>IF(ABS(-$BV234*($BS234-CK234)/$BS234*$BX234)&gt;$BB234,$BB234*SIGN(-($BS234-CK234)),-$BV234*($BS234-CK234)/$BS234*$BX234)*DY234</f>
        <v>98620.876581490782</v>
      </c>
      <c r="GO234" s="77">
        <f t="shared" si="696"/>
        <v>47338020.759115577</v>
      </c>
      <c r="GP234" s="77">
        <f t="shared" si="697"/>
        <v>30368784.818066578</v>
      </c>
      <c r="GQ234" s="77">
        <f t="shared" si="698"/>
        <v>1580511.7516226869</v>
      </c>
      <c r="GR234" s="77">
        <f t="shared" si="699"/>
        <v>-238021.02806938987</v>
      </c>
      <c r="GS234" s="77">
        <f t="shared" si="712"/>
        <v>-1817599.8456609107</v>
      </c>
      <c r="GT234" s="77">
        <f t="shared" si="724"/>
        <v>-908799.92283045535</v>
      </c>
      <c r="GU234" s="77">
        <f t="shared" si="725"/>
        <v>0</v>
      </c>
      <c r="GV234" s="77">
        <f t="shared" si="729"/>
        <v>908799.92283045535</v>
      </c>
      <c r="GW234" s="77">
        <f>FI234*(CG234-0.5*$AO234)</f>
        <v>1817599.8456609107</v>
      </c>
      <c r="GX234" s="77">
        <f>FJ234*(CH234-0.5*$AO234)</f>
        <v>2726399.7684913664</v>
      </c>
      <c r="GY234" s="77">
        <f>FK234*(CI234-0.5*$AO234)</f>
        <v>7919339.3275397653</v>
      </c>
      <c r="GZ234" s="77">
        <f>FL234*(CJ234-0.5*$AO234)</f>
        <v>39941455.015503764</v>
      </c>
      <c r="HA234" s="77">
        <f>FM234*(CK234-0.5*$AO234)</f>
        <v>47338020.759115577</v>
      </c>
      <c r="IC234" s="82">
        <v>243</v>
      </c>
    </row>
    <row r="235" spans="1:237" s="77" customFormat="1">
      <c r="A235" s="77">
        <v>235</v>
      </c>
      <c r="B235" s="69">
        <v>336</v>
      </c>
      <c r="C235" s="69" t="s">
        <v>463</v>
      </c>
      <c r="D235" s="70" t="s">
        <v>248</v>
      </c>
      <c r="E235" s="70">
        <v>1</v>
      </c>
      <c r="F235" s="70">
        <v>4.5214790647090809E-2</v>
      </c>
      <c r="G235" s="70">
        <v>4.4999999999999997E-3</v>
      </c>
      <c r="H235" s="70">
        <v>1.2274999999999999E-2</v>
      </c>
      <c r="I235" s="70">
        <v>2.6040000000000001E-2</v>
      </c>
      <c r="J235" s="72">
        <v>2.1</v>
      </c>
      <c r="K235" s="72">
        <v>10</v>
      </c>
      <c r="L235" s="72">
        <v>1.2289287656334965E-2</v>
      </c>
      <c r="M235" s="72">
        <v>3.2443719412724309E-2</v>
      </c>
      <c r="N235" s="72">
        <v>0.13783605220228384</v>
      </c>
      <c r="O235" s="72">
        <v>3.9325720500271888E-2</v>
      </c>
      <c r="P235" s="72">
        <v>0.13648722131593258</v>
      </c>
      <c r="Q235" s="73" t="s">
        <v>3</v>
      </c>
      <c r="R235" s="101">
        <v>0</v>
      </c>
      <c r="S235" s="75">
        <f t="shared" si="616"/>
        <v>0.38779426722454785</v>
      </c>
      <c r="T235" s="59">
        <f t="shared" si="594"/>
        <v>0.87730355477676603</v>
      </c>
      <c r="U235" s="59">
        <f t="shared" si="595"/>
        <v>0.79764420400127523</v>
      </c>
      <c r="V235" s="59">
        <f t="shared" si="596"/>
        <v>0.92519076129183497</v>
      </c>
      <c r="W235" s="59">
        <f t="shared" si="597"/>
        <v>1.0545845349130656</v>
      </c>
      <c r="X235" s="59">
        <f t="shared" si="598"/>
        <v>1.1599040733333728</v>
      </c>
      <c r="Y235" s="100">
        <v>332600</v>
      </c>
      <c r="Z235" s="57">
        <f t="shared" si="599"/>
        <v>385784.09479067981</v>
      </c>
      <c r="AA235" s="57">
        <f t="shared" si="600"/>
        <v>350754.8163120856</v>
      </c>
      <c r="AB235" s="57">
        <f t="shared" si="713"/>
        <v>741719.84888149973</v>
      </c>
      <c r="AC235" s="57">
        <f t="shared" si="601"/>
        <v>0.17</v>
      </c>
      <c r="AD235" s="57">
        <f t="shared" si="602"/>
        <v>2.1</v>
      </c>
      <c r="AE235" s="57">
        <f t="shared" si="603"/>
        <v>1004000.0000000001</v>
      </c>
      <c r="AF235" s="57">
        <f t="shared" si="604"/>
        <v>174715.97670652153</v>
      </c>
      <c r="AG235" s="57">
        <f t="shared" si="708"/>
        <v>176038.83960556411</v>
      </c>
      <c r="AH235" s="57">
        <f t="shared" si="714"/>
        <v>1369004415.1218145</v>
      </c>
      <c r="AI235" s="57">
        <f t="shared" si="715"/>
        <v>188607267.52933511</v>
      </c>
      <c r="AJ235" s="77">
        <v>1003999.9999999999</v>
      </c>
      <c r="AK235" s="77">
        <v>73.56</v>
      </c>
      <c r="AL235" s="78">
        <f t="shared" si="605"/>
        <v>4.8843026447826317</v>
      </c>
      <c r="AM235" s="57">
        <f t="shared" si="606"/>
        <v>0.94</v>
      </c>
      <c r="AN235" s="57">
        <f t="shared" si="607"/>
        <v>0.74</v>
      </c>
      <c r="AO235" s="77">
        <v>1000</v>
      </c>
      <c r="AP235" s="79">
        <v>250</v>
      </c>
      <c r="AQ235" s="57">
        <f t="shared" si="608"/>
        <v>83.054553745783224</v>
      </c>
      <c r="AR235" s="78">
        <f t="shared" si="726"/>
        <v>500</v>
      </c>
      <c r="AS235" s="57">
        <f t="shared" si="609"/>
        <v>916.94544625421679</v>
      </c>
      <c r="AT235" s="77">
        <v>100</v>
      </c>
      <c r="AU235" s="77">
        <v>2100</v>
      </c>
      <c r="AV235" s="78">
        <f t="shared" si="610"/>
        <v>100000</v>
      </c>
      <c r="AW235" s="77">
        <v>0</v>
      </c>
      <c r="AX235" s="77">
        <f t="shared" si="611"/>
        <v>100000</v>
      </c>
      <c r="AY235" s="77">
        <v>100000</v>
      </c>
      <c r="AZ235" s="77">
        <v>361.6</v>
      </c>
      <c r="BA235" s="77">
        <v>361.6</v>
      </c>
      <c r="BB235" s="77">
        <v>436</v>
      </c>
      <c r="BC235" s="77">
        <v>713</v>
      </c>
      <c r="BD235" s="77">
        <f>PI()*4*4/4*2/(AT235*100)</f>
        <v>2.5132741228718345E-3</v>
      </c>
      <c r="BE235" s="77">
        <f>BK235/(AT235*BH235)</f>
        <v>6.6366144807084382E-3</v>
      </c>
      <c r="BF235" s="77">
        <f>BO235/(AT235*AP235)</f>
        <v>2.0750219476960582E-2</v>
      </c>
      <c r="BG235" s="77">
        <f>PI()*5*5/4*2/(AT235*60)</f>
        <v>6.5449846949787362E-3</v>
      </c>
      <c r="BH235" s="79">
        <v>100</v>
      </c>
      <c r="BI235" s="79">
        <f>PI()*6.5*6.5/4</f>
        <v>33.183072403542191</v>
      </c>
      <c r="BJ235" s="79">
        <v>2</v>
      </c>
      <c r="BK235" s="57">
        <f t="shared" si="709"/>
        <v>66.366144807084382</v>
      </c>
      <c r="BL235" s="57">
        <f t="shared" si="643"/>
        <v>125.66370614359172</v>
      </c>
      <c r="BM235" s="80">
        <f>PI()*12*12/4*2+PI()*6.5*6.5/4</f>
        <v>259.37774346200729</v>
      </c>
      <c r="BN235" s="80">
        <v>2</v>
      </c>
      <c r="BO235" s="57">
        <f t="shared" si="716"/>
        <v>518.75548692401458</v>
      </c>
      <c r="BP235" s="57">
        <f t="shared" si="612"/>
        <v>307718.4472056643</v>
      </c>
      <c r="BQ235" s="77">
        <f t="shared" si="613"/>
        <v>-4.6566128730773926E-10</v>
      </c>
      <c r="BR235" s="57">
        <f t="shared" si="664"/>
        <v>646208739.13189507</v>
      </c>
      <c r="BS235" s="57">
        <v>166.10910749156645</v>
      </c>
      <c r="BT235" s="57">
        <f t="shared" si="617"/>
        <v>313.03056301107415</v>
      </c>
      <c r="BU235" s="57"/>
      <c r="BV235" s="57">
        <v>3.3E-3</v>
      </c>
      <c r="BW235" s="57">
        <v>30000</v>
      </c>
      <c r="BX235" s="57">
        <v>200000</v>
      </c>
      <c r="BY235" s="77">
        <f>20</f>
        <v>20</v>
      </c>
      <c r="BZ235" s="77">
        <f>BY235+230/3*1</f>
        <v>96.666666666666671</v>
      </c>
      <c r="CA235" s="77">
        <f>BY235+230/3*2</f>
        <v>173.33333333333334</v>
      </c>
      <c r="CB235" s="77">
        <f>BY235+230/3*3</f>
        <v>250</v>
      </c>
      <c r="CC235" s="77">
        <f>CB235+100</f>
        <v>350</v>
      </c>
      <c r="CD235" s="77">
        <f>CB235+100*2</f>
        <v>450</v>
      </c>
      <c r="CE235" s="77">
        <f>CB235+100*3</f>
        <v>550</v>
      </c>
      <c r="CF235" s="77">
        <f>CB235+100*4</f>
        <v>650</v>
      </c>
      <c r="CG235" s="77">
        <f>CB235+100*5</f>
        <v>750</v>
      </c>
      <c r="CH235" s="77">
        <f>CG235+230/3*1</f>
        <v>826.66666666666663</v>
      </c>
      <c r="CI235" s="77">
        <f>CG235+230/3*2</f>
        <v>903.33333333333337</v>
      </c>
      <c r="CJ235" s="77">
        <f>CG235+230/3*3</f>
        <v>980</v>
      </c>
      <c r="DM235" s="77">
        <f t="shared" si="730"/>
        <v>226.1946710584651</v>
      </c>
      <c r="DN235" s="77">
        <f t="shared" si="730"/>
        <v>226.1946710584651</v>
      </c>
      <c r="DO235" s="77">
        <f>PI()*6.5*6.5/4*2</f>
        <v>66.366144807084382</v>
      </c>
      <c r="DP235" s="77">
        <f>PI()*6.5*6.5/4*2</f>
        <v>66.366144807084382</v>
      </c>
      <c r="DQ235" s="77">
        <f t="shared" ref="DQ235:DT236" si="733">PI()*4*4/4*2</f>
        <v>25.132741228718345</v>
      </c>
      <c r="DR235" s="77">
        <f t="shared" si="733"/>
        <v>25.132741228718345</v>
      </c>
      <c r="DS235" s="77">
        <f t="shared" si="733"/>
        <v>25.132741228718345</v>
      </c>
      <c r="DT235" s="77">
        <f t="shared" si="733"/>
        <v>25.132741228718345</v>
      </c>
      <c r="DU235" s="77">
        <f>PI()*6.5*6.5/4*2</f>
        <v>66.366144807084382</v>
      </c>
      <c r="DV235" s="77">
        <f>PI()*6.5*6.5/4*2</f>
        <v>66.366144807084382</v>
      </c>
      <c r="DW235" s="77">
        <f>PI()*12*12/4*2</f>
        <v>226.1946710584651</v>
      </c>
      <c r="DX235" s="77">
        <f>PI()*12*12/4*2</f>
        <v>226.1946710584651</v>
      </c>
      <c r="FA235" s="77">
        <f t="shared" si="720"/>
        <v>-98620.876581490782</v>
      </c>
      <c r="FB235" s="77">
        <f t="shared" si="721"/>
        <v>-62410.525202843135</v>
      </c>
      <c r="FC235" s="77">
        <f>IF(ABS(-$BV235*($BS235-CA235)/$BS235*$BX235)&gt;$BA235,$BA235*SIGN(-($BS235-CA235)),-$BV235*($BS235-CA235)/$BS235*$BX235)*DO235</f>
        <v>1904.9711173504577</v>
      </c>
      <c r="FD235" s="77">
        <f t="shared" si="727"/>
        <v>22121.363691785096</v>
      </c>
      <c r="FE235" s="77">
        <f t="shared" si="728"/>
        <v>9087.999228304554</v>
      </c>
      <c r="FF235" s="77">
        <f>IF(ABS(-$BV235*($BS235-CD235)/$BS235*$BX235)&gt;$BA235,$BA235*SIGN(-($BS235-CD235)),-$BV235*($BS235-CD235)/$BS235*$BX235)*DR235</f>
        <v>9087.999228304554</v>
      </c>
      <c r="FG235" s="77">
        <f>IF(ABS(-$BV235*($BS235-CE235)/$BS235*$BX235)&gt;$BA235,$BA235*SIGN(-($BS235-CE235)),-$BV235*($BS235-CE235)/$BS235*$BX235)*DS235</f>
        <v>9087.999228304554</v>
      </c>
      <c r="FH235" s="77">
        <f>IF(ABS(-$BV235*($BS235-CF235)/$BS235*$BX235)&gt;$BA235,$BA235*SIGN(-($BS235-CF235)),-$BV235*($BS235-CF235)/$BS235*$BX235)*DT235</f>
        <v>9087.999228304554</v>
      </c>
      <c r="FI235" s="77">
        <f>IF(ABS(-$BV235*($BS235-CG235)/$BS235*$BX235)&gt;$BA235,$BA235*SIGN(-($BS235-CG235)),-$BV235*($BS235-CG235)/$BS235*$BX235)*DU235</f>
        <v>23997.997962241712</v>
      </c>
      <c r="FJ235" s="77">
        <f>IF(ABS(-$BV235*($BS235-CH235)/$BS235*$BX235)&gt;$BA235,$BA235*SIGN(-($BS235-CH235)),-$BV235*($BS235-CH235)/$BS235*$BX235)*DV235</f>
        <v>23997.997962241712</v>
      </c>
      <c r="FK235" s="77">
        <f t="shared" ref="FK235:FL238" si="734">IF(ABS(-$BV235*($BS235-CI235)/$BS235*$BX235)&gt;$BB235,$BB235*SIGN(-($BS235-CI235)),-$BV235*($BS235-CI235)/$BS235*$BX235)*DW235</f>
        <v>98620.876581490782</v>
      </c>
      <c r="FL235" s="77">
        <f t="shared" si="734"/>
        <v>98620.876581490782</v>
      </c>
      <c r="GO235" s="77">
        <f t="shared" si="696"/>
        <v>47338020.759115577</v>
      </c>
      <c r="GP235" s="77">
        <f t="shared" si="697"/>
        <v>25172245.165146731</v>
      </c>
      <c r="GQ235" s="77">
        <f t="shared" si="698"/>
        <v>-622290.56500114943</v>
      </c>
      <c r="GR235" s="77">
        <f t="shared" si="699"/>
        <v>-5530340.9229462743</v>
      </c>
      <c r="GS235" s="77">
        <f t="shared" si="712"/>
        <v>-1363199.8842456832</v>
      </c>
      <c r="GT235" s="77">
        <f t="shared" si="724"/>
        <v>-454399.96141522768</v>
      </c>
      <c r="GU235" s="77">
        <f t="shared" si="725"/>
        <v>454399.96141522768</v>
      </c>
      <c r="GV235" s="77">
        <f t="shared" si="729"/>
        <v>1363199.8842456832</v>
      </c>
      <c r="GW235" s="77">
        <f t="shared" ref="GW235:GZ240" si="735">FI235*(CG235-0.5*$AO235)</f>
        <v>5999499.4905604282</v>
      </c>
      <c r="GX235" s="77">
        <f t="shared" si="735"/>
        <v>7839346.000998958</v>
      </c>
      <c r="GY235" s="77">
        <f t="shared" si="735"/>
        <v>39777086.88786795</v>
      </c>
      <c r="GZ235" s="77">
        <f t="shared" si="735"/>
        <v>47338020.759115577</v>
      </c>
      <c r="IC235" s="82">
        <v>244</v>
      </c>
    </row>
    <row r="236" spans="1:237" s="77" customFormat="1">
      <c r="A236" s="77">
        <v>236</v>
      </c>
      <c r="B236" s="69">
        <v>337</v>
      </c>
      <c r="C236" s="69" t="s">
        <v>463</v>
      </c>
      <c r="D236" s="70" t="s">
        <v>249</v>
      </c>
      <c r="E236" s="70">
        <v>1</v>
      </c>
      <c r="F236" s="70">
        <v>5.0358470525756781E-2</v>
      </c>
      <c r="G236" s="70">
        <v>4.4000000000000003E-3</v>
      </c>
      <c r="H236" s="70">
        <v>1.363E-2</v>
      </c>
      <c r="I236" s="70">
        <v>2.5700000000000001E-2</v>
      </c>
      <c r="J236" s="72">
        <v>2.1</v>
      </c>
      <c r="K236" s="72">
        <v>10</v>
      </c>
      <c r="L236" s="72">
        <v>1.2002124269782264E-2</v>
      </c>
      <c r="M236" s="72">
        <v>4.8008497079129055E-2</v>
      </c>
      <c r="N236" s="72">
        <v>0.17143308550185876</v>
      </c>
      <c r="O236" s="72">
        <v>3.1685608072225181E-2</v>
      </c>
      <c r="P236" s="72">
        <v>0.13329792883696231</v>
      </c>
      <c r="Q236" s="73" t="s">
        <v>3</v>
      </c>
      <c r="R236" s="101">
        <v>0</v>
      </c>
      <c r="S236" s="75">
        <f t="shared" si="616"/>
        <v>0.43704654066151294</v>
      </c>
      <c r="T236" s="59">
        <f t="shared" si="594"/>
        <v>0.74689592118221226</v>
      </c>
      <c r="U236" s="59">
        <f t="shared" si="595"/>
        <v>0.64557867936825108</v>
      </c>
      <c r="V236" s="59">
        <f t="shared" si="596"/>
        <v>0.86983435114816787</v>
      </c>
      <c r="W236" s="59">
        <f t="shared" si="597"/>
        <v>1.1645991449134767</v>
      </c>
      <c r="X236" s="59">
        <f t="shared" si="598"/>
        <v>1.3473715581799703</v>
      </c>
      <c r="Y236" s="100">
        <v>379300</v>
      </c>
      <c r="Z236" s="57">
        <f t="shared" si="599"/>
        <v>511058.03201766271</v>
      </c>
      <c r="AA236" s="57">
        <f t="shared" si="600"/>
        <v>441732.45566568169</v>
      </c>
      <c r="AB236" s="57">
        <f t="shared" si="713"/>
        <v>790718.51184612536</v>
      </c>
      <c r="AC236" s="57">
        <f t="shared" si="601"/>
        <v>0.17</v>
      </c>
      <c r="AD236" s="57">
        <f t="shared" si="602"/>
        <v>2.1</v>
      </c>
      <c r="AE236" s="57">
        <f t="shared" si="603"/>
        <v>1004000</v>
      </c>
      <c r="AF236" s="57">
        <f t="shared" si="604"/>
        <v>175849.83853930479</v>
      </c>
      <c r="AG236" s="57">
        <f t="shared" si="708"/>
        <v>265882.61712637689</v>
      </c>
      <c r="AH236" s="57">
        <f t="shared" si="714"/>
        <v>1397013310.436486</v>
      </c>
      <c r="AI236" s="57">
        <f t="shared" si="715"/>
        <v>263495564.44037727</v>
      </c>
      <c r="AJ236" s="77">
        <v>1003999.9999999999</v>
      </c>
      <c r="AK236" s="77">
        <v>75.319999999999993</v>
      </c>
      <c r="AL236" s="78">
        <f t="shared" si="605"/>
        <v>4.9482347070619852</v>
      </c>
      <c r="AM236" s="57">
        <f t="shared" si="606"/>
        <v>0.94</v>
      </c>
      <c r="AN236" s="57">
        <f t="shared" si="607"/>
        <v>0.74</v>
      </c>
      <c r="AO236" s="77">
        <v>1000</v>
      </c>
      <c r="AP236" s="79">
        <v>250</v>
      </c>
      <c r="AQ236" s="57">
        <f t="shared" si="608"/>
        <v>85.73586149507581</v>
      </c>
      <c r="AR236" s="78">
        <f t="shared" si="726"/>
        <v>500</v>
      </c>
      <c r="AS236" s="57">
        <f t="shared" si="609"/>
        <v>914.26413850492418</v>
      </c>
      <c r="AT236" s="77">
        <v>100</v>
      </c>
      <c r="AU236" s="77">
        <v>2100</v>
      </c>
      <c r="AV236" s="78">
        <f t="shared" si="610"/>
        <v>100000</v>
      </c>
      <c r="AW236" s="77">
        <v>0</v>
      </c>
      <c r="AX236" s="77">
        <f t="shared" si="611"/>
        <v>100000</v>
      </c>
      <c r="AY236" s="77">
        <v>100000</v>
      </c>
      <c r="AZ236" s="77">
        <v>361.6</v>
      </c>
      <c r="BA236" s="77">
        <v>361.6</v>
      </c>
      <c r="BB236" s="77">
        <v>426.91238798102268</v>
      </c>
      <c r="BC236" s="77">
        <v>713</v>
      </c>
      <c r="BD236" s="77">
        <f>PI()*4*4/4*2/(AT236*100)</f>
        <v>2.5132741228718345E-3</v>
      </c>
      <c r="BE236" s="77">
        <f>BK236/(AT236*BH236)</f>
        <v>1.0053096491487338E-2</v>
      </c>
      <c r="BF236" s="77">
        <f>BO236/(AT236*AP236)</f>
        <v>2.979800631929919E-2</v>
      </c>
      <c r="BG236" s="77">
        <f>PI()*5*5/4*2/(AT236*40)</f>
        <v>9.8174770424681035E-3</v>
      </c>
      <c r="BH236" s="79">
        <v>100</v>
      </c>
      <c r="BI236" s="79">
        <f>PI()*8*8/4</f>
        <v>50.26548245743669</v>
      </c>
      <c r="BJ236" s="79">
        <v>2</v>
      </c>
      <c r="BK236" s="57">
        <f t="shared" si="709"/>
        <v>100.53096491487338</v>
      </c>
      <c r="BL236" s="57">
        <f t="shared" si="643"/>
        <v>125.66370614359172</v>
      </c>
      <c r="BM236" s="80">
        <f>PI()*12*12/4*3+PI()*6.5*6.5/4</f>
        <v>372.47507899123985</v>
      </c>
      <c r="BN236" s="80">
        <v>2</v>
      </c>
      <c r="BO236" s="57">
        <f t="shared" si="716"/>
        <v>744.95015798247971</v>
      </c>
      <c r="BP236" s="57">
        <f t="shared" si="612"/>
        <v>329928.16939050006</v>
      </c>
      <c r="BQ236" s="77">
        <f t="shared" si="613"/>
        <v>4.9476511776447296E-10</v>
      </c>
      <c r="BR236" s="57">
        <f t="shared" si="664"/>
        <v>692849155.7200501</v>
      </c>
      <c r="BS236" s="57">
        <v>171.47172299015162</v>
      </c>
      <c r="BT236" s="57">
        <f t="shared" si="617"/>
        <v>313.22240733372206</v>
      </c>
      <c r="BU236" s="57"/>
      <c r="BV236" s="57">
        <v>3.3E-3</v>
      </c>
      <c r="BW236" s="57">
        <v>30000</v>
      </c>
      <c r="BX236" s="57">
        <v>200000</v>
      </c>
      <c r="BY236" s="77">
        <f>20</f>
        <v>20</v>
      </c>
      <c r="BZ236" s="77">
        <f>BY236+230/3*1</f>
        <v>96.666666666666671</v>
      </c>
      <c r="CA236" s="77">
        <f>BY236+230/3*2</f>
        <v>173.33333333333334</v>
      </c>
      <c r="CB236" s="77">
        <f>BY236+230/3*3</f>
        <v>250</v>
      </c>
      <c r="CC236" s="77">
        <f>CB236+100</f>
        <v>350</v>
      </c>
      <c r="CD236" s="77">
        <f>CB236+100*2</f>
        <v>450</v>
      </c>
      <c r="CE236" s="77">
        <f>CB236+100*3</f>
        <v>550</v>
      </c>
      <c r="CF236" s="77">
        <f>CB236+100*4</f>
        <v>650</v>
      </c>
      <c r="CG236" s="77">
        <f>CB236+100*5</f>
        <v>750</v>
      </c>
      <c r="CH236" s="77">
        <f>CG236+230/3*1</f>
        <v>826.66666666666663</v>
      </c>
      <c r="CI236" s="77">
        <f>CG236+230/3*2</f>
        <v>903.33333333333337</v>
      </c>
      <c r="CJ236" s="77">
        <f>CG236+230/3*3</f>
        <v>980</v>
      </c>
      <c r="DM236" s="77">
        <f t="shared" si="730"/>
        <v>226.1946710584651</v>
      </c>
      <c r="DN236" s="77">
        <f t="shared" si="730"/>
        <v>226.1946710584651</v>
      </c>
      <c r="DO236" s="77">
        <f>PI()*12*12/4*2</f>
        <v>226.1946710584651</v>
      </c>
      <c r="DP236" s="77">
        <f>PI()*6.5*6.5/4*2</f>
        <v>66.366144807084382</v>
      </c>
      <c r="DQ236" s="77">
        <f t="shared" si="733"/>
        <v>25.132741228718345</v>
      </c>
      <c r="DR236" s="77">
        <f t="shared" si="733"/>
        <v>25.132741228718345</v>
      </c>
      <c r="DS236" s="77">
        <f t="shared" si="733"/>
        <v>25.132741228718345</v>
      </c>
      <c r="DT236" s="77">
        <f t="shared" si="733"/>
        <v>25.132741228718345</v>
      </c>
      <c r="DU236" s="77">
        <f>PI()*6.5*6.5/4*2</f>
        <v>66.366144807084382</v>
      </c>
      <c r="DV236" s="77">
        <f>PI()*12*12/4*2</f>
        <v>226.1946710584651</v>
      </c>
      <c r="DW236" s="77">
        <f>PI()*12*12/4*2</f>
        <v>226.1946710584651</v>
      </c>
      <c r="DX236" s="77">
        <f>PI()*12*12/4*2</f>
        <v>226.1946710584651</v>
      </c>
      <c r="FA236" s="77">
        <f t="shared" si="720"/>
        <v>-96565.307170151253</v>
      </c>
      <c r="FB236" s="77">
        <f t="shared" si="721"/>
        <v>-65127.55092755334</v>
      </c>
      <c r="FC236" s="77">
        <f>IF(ABS(-$BV236*($BS236-CA236)/$BS236*$BX236)&gt;$BB236,$BB236*SIGN(-($BS236-CA236)),-$BV236*($BS236-CA236)/$BS236*$BX236)*DO236</f>
        <v>1620.7744287836858</v>
      </c>
      <c r="FD236" s="77">
        <f t="shared" si="727"/>
        <v>20059.683791120482</v>
      </c>
      <c r="FE236" s="77">
        <f t="shared" si="728"/>
        <v>9087.999228304554</v>
      </c>
      <c r="FF236" s="77">
        <f t="shared" ref="FF236:FI240" si="736">IF(ABS(-$BV236*($BS236-CD236)/$BS236*$BX236)&gt;$BA236,$BA236*SIGN(-($BS236-CD236)),-$BV236*($BS236-CD236)/$BS236*$BX236)*DR236</f>
        <v>9087.999228304554</v>
      </c>
      <c r="FG236" s="77">
        <f t="shared" si="736"/>
        <v>9087.999228304554</v>
      </c>
      <c r="FH236" s="77">
        <f t="shared" si="736"/>
        <v>9087.999228304554</v>
      </c>
      <c r="FI236" s="77">
        <f t="shared" si="736"/>
        <v>23997.997962241712</v>
      </c>
      <c r="FJ236" s="77">
        <f>IF(ABS(-$BV236*($BS236-CH236)/$BS236*$BX236)&gt;$BB236,$BB236*SIGN(-($BS236-CH236)),-$BV236*($BS236-CH236)/$BS236*$BX236)*DV236</f>
        <v>96565.307170151253</v>
      </c>
      <c r="FK236" s="77">
        <f t="shared" si="734"/>
        <v>96565.307170151253</v>
      </c>
      <c r="FL236" s="77">
        <f t="shared" si="734"/>
        <v>96565.307170151253</v>
      </c>
      <c r="GO236" s="77">
        <f t="shared" si="696"/>
        <v>46351347.441672601</v>
      </c>
      <c r="GP236" s="77">
        <f t="shared" si="697"/>
        <v>26268112.207446512</v>
      </c>
      <c r="GQ236" s="77">
        <f t="shared" si="698"/>
        <v>-529452.9800693373</v>
      </c>
      <c r="GR236" s="77">
        <f t="shared" si="699"/>
        <v>-5014920.9477801202</v>
      </c>
      <c r="GS236" s="77">
        <f t="shared" si="712"/>
        <v>-1363199.8842456832</v>
      </c>
      <c r="GT236" s="77">
        <f t="shared" si="724"/>
        <v>-454399.96141522768</v>
      </c>
      <c r="GU236" s="77">
        <f t="shared" si="725"/>
        <v>454399.96141522768</v>
      </c>
      <c r="GV236" s="77">
        <f t="shared" si="729"/>
        <v>1363199.8842456832</v>
      </c>
      <c r="GW236" s="77">
        <f t="shared" si="735"/>
        <v>5999499.4905604282</v>
      </c>
      <c r="GX236" s="77">
        <f t="shared" si="735"/>
        <v>31544667.008916073</v>
      </c>
      <c r="GY236" s="77">
        <f t="shared" si="735"/>
        <v>38948007.225294344</v>
      </c>
      <c r="GZ236" s="77">
        <f t="shared" si="735"/>
        <v>46351347.441672601</v>
      </c>
      <c r="IC236" s="82">
        <v>245</v>
      </c>
    </row>
    <row r="237" spans="1:237" s="77" customFormat="1">
      <c r="A237" s="77">
        <v>237</v>
      </c>
      <c r="B237" s="69">
        <v>338</v>
      </c>
      <c r="C237" s="69" t="s">
        <v>463</v>
      </c>
      <c r="D237" s="70" t="s">
        <v>250</v>
      </c>
      <c r="E237" s="70">
        <v>1</v>
      </c>
      <c r="F237" s="70">
        <v>4.3048128342245986E-2</v>
      </c>
      <c r="G237" s="70">
        <v>4.5500000000000002E-3</v>
      </c>
      <c r="H237" s="70">
        <v>1.8964999999999999E-2</v>
      </c>
      <c r="I237" s="70">
        <v>2.811E-2</v>
      </c>
      <c r="J237" s="72">
        <v>2.1</v>
      </c>
      <c r="K237" s="72">
        <v>10</v>
      </c>
      <c r="L237" s="72">
        <v>6.3055103464310629E-3</v>
      </c>
      <c r="M237" s="72">
        <v>4.2036735642873753E-2</v>
      </c>
      <c r="N237" s="72">
        <v>0.11686305510346431</v>
      </c>
      <c r="O237" s="72">
        <v>3.3629388514299002E-2</v>
      </c>
      <c r="P237" s="72">
        <v>0.11671704254824461</v>
      </c>
      <c r="Q237" s="73" t="s">
        <v>3</v>
      </c>
      <c r="R237" s="101">
        <v>0</v>
      </c>
      <c r="S237" s="75">
        <f t="shared" si="616"/>
        <v>0.39925833648320597</v>
      </c>
      <c r="T237" s="59">
        <f t="shared" si="594"/>
        <v>0.73932338447354506</v>
      </c>
      <c r="U237" s="59">
        <f t="shared" si="595"/>
        <v>0.64595006774697161</v>
      </c>
      <c r="V237" s="59">
        <f t="shared" si="596"/>
        <v>0.90916174912769498</v>
      </c>
      <c r="W237" s="59">
        <f t="shared" si="597"/>
        <v>1.2297213482231295</v>
      </c>
      <c r="X237" s="59">
        <f t="shared" si="598"/>
        <v>1.4074799191503877</v>
      </c>
      <c r="Y237" s="100">
        <v>370300</v>
      </c>
      <c r="Z237" s="57">
        <f t="shared" si="599"/>
        <v>521189.81406138855</v>
      </c>
      <c r="AA237" s="57">
        <f t="shared" si="600"/>
        <v>455365.81524702488</v>
      </c>
      <c r="AB237" s="57">
        <f t="shared" si="713"/>
        <v>1095895.1385557039</v>
      </c>
      <c r="AC237" s="57">
        <f t="shared" si="601"/>
        <v>0.17</v>
      </c>
      <c r="AD237" s="57">
        <f t="shared" si="602"/>
        <v>2.1</v>
      </c>
      <c r="AE237" s="57">
        <f t="shared" si="603"/>
        <v>1004000.0000000001</v>
      </c>
      <c r="AF237" s="57">
        <f t="shared" si="604"/>
        <v>186011.02274110398</v>
      </c>
      <c r="AG237" s="57">
        <f t="shared" si="708"/>
        <v>269354.79250592092</v>
      </c>
      <c r="AH237" s="57">
        <f t="shared" si="714"/>
        <v>2031150219.7806919</v>
      </c>
      <c r="AI237" s="57">
        <f t="shared" si="715"/>
        <v>270229571.18628627</v>
      </c>
      <c r="AJ237" s="77">
        <v>1003999.9999999999</v>
      </c>
      <c r="AK237" s="77">
        <v>86.02</v>
      </c>
      <c r="AL237" s="78">
        <f t="shared" si="605"/>
        <v>5.3232800073308342</v>
      </c>
      <c r="AM237" s="57">
        <f t="shared" si="606"/>
        <v>0.94</v>
      </c>
      <c r="AN237" s="57">
        <f t="shared" si="607"/>
        <v>0.74</v>
      </c>
      <c r="AO237" s="77">
        <v>1000</v>
      </c>
      <c r="AP237" s="79">
        <v>330</v>
      </c>
      <c r="AQ237" s="57">
        <f t="shared" si="608"/>
        <v>73.79643699855842</v>
      </c>
      <c r="AR237" s="78">
        <f t="shared" si="726"/>
        <v>340</v>
      </c>
      <c r="AS237" s="57">
        <f t="shared" si="609"/>
        <v>926.20356300144158</v>
      </c>
      <c r="AT237" s="77">
        <v>100</v>
      </c>
      <c r="AU237" s="77">
        <v>2100</v>
      </c>
      <c r="AV237" s="78">
        <f t="shared" si="610"/>
        <v>100000</v>
      </c>
      <c r="AW237" s="77">
        <v>0</v>
      </c>
      <c r="AX237" s="77">
        <f t="shared" si="611"/>
        <v>100000</v>
      </c>
      <c r="AY237" s="77">
        <v>100000</v>
      </c>
      <c r="AZ237" s="77">
        <v>361.6</v>
      </c>
      <c r="BA237" s="77">
        <v>361.6</v>
      </c>
      <c r="BB237" s="77">
        <v>414.62927580893682</v>
      </c>
      <c r="BC237" s="77">
        <v>601</v>
      </c>
      <c r="BD237" s="77">
        <f>PI()*4*4/4*2/(AT237*100)</f>
        <v>2.5132741228718345E-3</v>
      </c>
      <c r="BE237" s="77">
        <f>BK237/(AT237*BH237)</f>
        <v>1.0053096491487338E-2</v>
      </c>
      <c r="BF237" s="77">
        <f>BO237/(AT237*AP237)</f>
        <v>2.3169245820224726E-2</v>
      </c>
      <c r="BG237" s="77">
        <f>PI()*6*6/4*2/(AT237*40)</f>
        <v>1.4137166941154069E-2</v>
      </c>
      <c r="BH237" s="79">
        <v>100</v>
      </c>
      <c r="BI237" s="79">
        <f>PI()*8*8/4</f>
        <v>50.26548245743669</v>
      </c>
      <c r="BJ237" s="79">
        <v>2</v>
      </c>
      <c r="BK237" s="57">
        <f t="shared" si="709"/>
        <v>100.53096491487338</v>
      </c>
      <c r="BL237" s="57">
        <f t="shared" si="643"/>
        <v>85.451320177642373</v>
      </c>
      <c r="BM237" s="80">
        <f>PI()*12*12/4*5+PI()*6.5*6.5/4*6</f>
        <v>764.58511206741593</v>
      </c>
      <c r="BN237" s="80">
        <v>1</v>
      </c>
      <c r="BO237" s="57">
        <f t="shared" si="716"/>
        <v>764.58511206741593</v>
      </c>
      <c r="BP237" s="57">
        <f t="shared" si="612"/>
        <v>336662.59570198547</v>
      </c>
      <c r="BQ237" s="77">
        <f t="shared" si="613"/>
        <v>0</v>
      </c>
      <c r="BR237" s="57">
        <f t="shared" si="664"/>
        <v>706991450.97416949</v>
      </c>
      <c r="BS237" s="57">
        <v>147.59287399711684</v>
      </c>
      <c r="BT237" s="57">
        <f t="shared" si="617"/>
        <v>324.66745542604076</v>
      </c>
      <c r="BU237" s="57"/>
      <c r="BV237" s="57">
        <v>3.3E-3</v>
      </c>
      <c r="BW237" s="57">
        <v>30000</v>
      </c>
      <c r="BX237" s="57">
        <v>200000</v>
      </c>
      <c r="BY237" s="77">
        <f>20</f>
        <v>20</v>
      </c>
      <c r="BZ237" s="77">
        <f>BY237+310/4*1</f>
        <v>97.5</v>
      </c>
      <c r="CA237" s="77">
        <f>BY237+310/4*2</f>
        <v>175</v>
      </c>
      <c r="CB237" s="77">
        <f>BY237+310/4*3</f>
        <v>252.5</v>
      </c>
      <c r="CC237" s="77">
        <f>BY237+310/4*4</f>
        <v>330</v>
      </c>
      <c r="CD237" s="77">
        <f>CC237+70</f>
        <v>400</v>
      </c>
      <c r="CE237" s="77">
        <f>CD237+200</f>
        <v>600</v>
      </c>
      <c r="CF237" s="77">
        <f>CE237+70</f>
        <v>670</v>
      </c>
      <c r="CG237" s="77">
        <f>CF237+310/4*1</f>
        <v>747.5</v>
      </c>
      <c r="CH237" s="77">
        <f>CF237+310/4*2</f>
        <v>825</v>
      </c>
      <c r="CI237" s="77">
        <f>CF237+310/4*3</f>
        <v>902.5</v>
      </c>
      <c r="CJ237" s="77">
        <f>CF237+310/4*4</f>
        <v>980</v>
      </c>
      <c r="DM237" s="77">
        <f>PI()*12*12/4*3</f>
        <v>339.29200658769764</v>
      </c>
      <c r="DN237" s="77">
        <f>PI()*12*12/4*2</f>
        <v>226.1946710584651</v>
      </c>
      <c r="DO237" s="77">
        <f>PI()*6.5*6.5/4*2</f>
        <v>66.366144807084382</v>
      </c>
      <c r="DP237" s="77">
        <f>PI()*6.5*6.5/4*2</f>
        <v>66.366144807084382</v>
      </c>
      <c r="DQ237" s="77">
        <f>PI()*6.5*6.5/4*2</f>
        <v>66.366144807084382</v>
      </c>
      <c r="DR237" s="77">
        <f>PI()*4*4/4*2</f>
        <v>25.132741228718345</v>
      </c>
      <c r="DS237" s="77">
        <f>PI()*4*4/4*2</f>
        <v>25.132741228718345</v>
      </c>
      <c r="DT237" s="77">
        <f>PI()*6.5*6.5/4*2</f>
        <v>66.366144807084382</v>
      </c>
      <c r="DU237" s="77">
        <f>PI()*6.5*6.5/4*2</f>
        <v>66.366144807084382</v>
      </c>
      <c r="DV237" s="77">
        <f>PI()*6.5*6.5/4*2</f>
        <v>66.366144807084382</v>
      </c>
      <c r="DW237" s="77">
        <f>PI()*12*12/4*2</f>
        <v>226.1946710584651</v>
      </c>
      <c r="DX237" s="77">
        <f>PI()*12*12/4*3</f>
        <v>339.29200658769764</v>
      </c>
      <c r="FA237" s="77">
        <f t="shared" si="720"/>
        <v>-140680.39897921809</v>
      </c>
      <c r="FB237" s="77">
        <f t="shared" si="721"/>
        <v>-50668.361964451855</v>
      </c>
      <c r="FC237" s="77">
        <f t="shared" ref="FC237:FC242" si="737">IF(ABS(-$BV237*($BS237-CA237)/$BS237*$BX237)&gt;$BA237,$BA237*SIGN(-($BS237-CA237)),-$BV237*($BS237-CA237)/$BS237*$BX237)*DO237</f>
        <v>8133.7090396292633</v>
      </c>
      <c r="FD237" s="77">
        <f t="shared" si="727"/>
        <v>23997.997962241712</v>
      </c>
      <c r="FE237" s="77">
        <f t="shared" si="728"/>
        <v>23997.997962241712</v>
      </c>
      <c r="FF237" s="77">
        <f t="shared" si="736"/>
        <v>9087.999228304554</v>
      </c>
      <c r="FG237" s="77">
        <f t="shared" si="736"/>
        <v>9087.999228304554</v>
      </c>
      <c r="FH237" s="77">
        <f t="shared" si="736"/>
        <v>23997.997962241712</v>
      </c>
      <c r="FI237" s="77">
        <f t="shared" si="736"/>
        <v>23997.997962241712</v>
      </c>
      <c r="FJ237" s="77">
        <f>IF(ABS(-$BV237*($BS237-CH237)/$BS237*$BX237)&gt;$BA237,$BA237*SIGN(-($BS237-CH237)),-$BV237*($BS237-CH237)/$BS237*$BX237)*DV237</f>
        <v>23997.997962241712</v>
      </c>
      <c r="FK237" s="77">
        <f t="shared" si="734"/>
        <v>93786.932652812073</v>
      </c>
      <c r="FL237" s="77">
        <f t="shared" si="734"/>
        <v>140680.39897921809</v>
      </c>
      <c r="GO237" s="77">
        <f t="shared" si="696"/>
        <v>67526591.510024682</v>
      </c>
      <c r="GP237" s="77">
        <f t="shared" si="697"/>
        <v>20394015.690691873</v>
      </c>
      <c r="GQ237" s="77">
        <f t="shared" si="698"/>
        <v>-2643455.4378795107</v>
      </c>
      <c r="GR237" s="77">
        <f t="shared" si="699"/>
        <v>-5939504.4956548242</v>
      </c>
      <c r="GS237" s="77">
        <f t="shared" si="712"/>
        <v>-4079659.6535810912</v>
      </c>
      <c r="GT237" s="77">
        <f t="shared" si="724"/>
        <v>-908799.92283045535</v>
      </c>
      <c r="GU237" s="77">
        <f t="shared" si="725"/>
        <v>908799.92283045535</v>
      </c>
      <c r="GV237" s="77">
        <f t="shared" si="729"/>
        <v>4079659.6535810912</v>
      </c>
      <c r="GW237" s="77">
        <f t="shared" si="735"/>
        <v>5939504.4956548242</v>
      </c>
      <c r="GX237" s="77">
        <f t="shared" si="735"/>
        <v>7799349.3377285562</v>
      </c>
      <c r="GY237" s="77">
        <f t="shared" si="735"/>
        <v>37749240.392756857</v>
      </c>
      <c r="GZ237" s="77">
        <f t="shared" si="735"/>
        <v>67526591.510024682</v>
      </c>
      <c r="IC237" s="82">
        <v>246</v>
      </c>
    </row>
    <row r="238" spans="1:237" s="77" customFormat="1">
      <c r="A238" s="77">
        <v>238</v>
      </c>
      <c r="B238" s="69">
        <v>340</v>
      </c>
      <c r="C238" s="69" t="s">
        <v>251</v>
      </c>
      <c r="D238" s="70" t="s">
        <v>252</v>
      </c>
      <c r="E238" s="70">
        <v>3</v>
      </c>
      <c r="F238" s="70">
        <v>9.4453491713765672E-2</v>
      </c>
      <c r="G238" s="70">
        <v>1.75E-3</v>
      </c>
      <c r="H238" s="70"/>
      <c r="I238" s="87">
        <f>5.66/AU238</f>
        <v>2.4608695652173912E-3</v>
      </c>
      <c r="J238" s="72">
        <v>0.90800000000000003</v>
      </c>
      <c r="K238" s="72">
        <v>31.25</v>
      </c>
      <c r="L238" s="72">
        <v>4.5692307692307692E-2</v>
      </c>
      <c r="M238" s="72">
        <v>4.5944055944055942E-2</v>
      </c>
      <c r="N238" s="72">
        <v>8.2832167832167819E-2</v>
      </c>
      <c r="O238" s="72">
        <v>7.2744755244755252E-2</v>
      </c>
      <c r="P238" s="72">
        <v>0</v>
      </c>
      <c r="Q238" s="73" t="s">
        <v>28</v>
      </c>
      <c r="R238" s="101">
        <v>0.4432624113475177</v>
      </c>
      <c r="S238" s="75">
        <f t="shared" si="616"/>
        <v>0.5051275244648431</v>
      </c>
      <c r="T238" s="59">
        <f t="shared" si="594"/>
        <v>1.2621695817980139</v>
      </c>
      <c r="U238" s="59">
        <f t="shared" si="595"/>
        <v>1.4478786875830987</v>
      </c>
      <c r="V238" s="59">
        <f t="shared" si="596"/>
        <v>1.2449478618947361</v>
      </c>
      <c r="W238" s="59">
        <f t="shared" si="597"/>
        <v>0.98635546272732655</v>
      </c>
      <c r="X238" s="59">
        <f t="shared" si="598"/>
        <v>0.85984265986599395</v>
      </c>
      <c r="Y238" s="100">
        <v>493000</v>
      </c>
      <c r="Z238" s="57">
        <f t="shared" si="599"/>
        <v>423902.43131393503</v>
      </c>
      <c r="AA238" s="57">
        <f t="shared" si="600"/>
        <v>486273.24312457198</v>
      </c>
      <c r="AB238" s="57">
        <f t="shared" si="713"/>
        <v>751235.28719996172</v>
      </c>
      <c r="AC238" s="57">
        <f t="shared" si="601"/>
        <v>0.25</v>
      </c>
      <c r="AD238" s="57">
        <f t="shared" si="602"/>
        <v>1.5</v>
      </c>
      <c r="AE238" s="57">
        <f t="shared" si="603"/>
        <v>0</v>
      </c>
      <c r="AF238" s="57">
        <f t="shared" si="604"/>
        <v>174390.65434130075</v>
      </c>
      <c r="AG238" s="57">
        <f t="shared" si="708"/>
        <v>311882.58878327126</v>
      </c>
      <c r="AH238" s="57">
        <f t="shared" si="714"/>
        <v>1001545949.6730179</v>
      </c>
      <c r="AI238" s="57">
        <f t="shared" si="715"/>
        <v>726295210.88689411</v>
      </c>
      <c r="AJ238" s="77">
        <v>0</v>
      </c>
      <c r="AK238" s="77">
        <v>28.6</v>
      </c>
      <c r="AL238" s="78">
        <f t="shared" si="605"/>
        <v>2.9050321165655992</v>
      </c>
      <c r="AM238" s="57">
        <f t="shared" si="606"/>
        <v>1</v>
      </c>
      <c r="AN238" s="57">
        <f t="shared" si="607"/>
        <v>0.8</v>
      </c>
      <c r="AO238" s="77">
        <v>2000</v>
      </c>
      <c r="AP238" s="79">
        <v>250</v>
      </c>
      <c r="AQ238" s="57">
        <f t="shared" si="608"/>
        <v>124.04554252968914</v>
      </c>
      <c r="AR238" s="78">
        <f t="shared" si="726"/>
        <v>1500</v>
      </c>
      <c r="AS238" s="57">
        <f t="shared" si="609"/>
        <v>1875.9544574703109</v>
      </c>
      <c r="AT238" s="77">
        <v>80</v>
      </c>
      <c r="AU238" s="77">
        <v>2300</v>
      </c>
      <c r="AV238" s="78">
        <f t="shared" si="610"/>
        <v>120000</v>
      </c>
      <c r="AW238" s="77">
        <f>250*250*2</f>
        <v>125000</v>
      </c>
      <c r="AX238" s="77">
        <f t="shared" si="611"/>
        <v>160000</v>
      </c>
      <c r="AY238" s="77">
        <v>182500</v>
      </c>
      <c r="AZ238" s="77">
        <v>364.56</v>
      </c>
      <c r="BA238" s="77">
        <v>364.56</v>
      </c>
      <c r="BB238" s="77">
        <v>515.48</v>
      </c>
      <c r="BC238" s="77">
        <v>364.56</v>
      </c>
      <c r="BD238" s="77">
        <v>3.5999999999999999E-3</v>
      </c>
      <c r="BE238" s="77">
        <v>3.5999999999999999E-3</v>
      </c>
      <c r="BF238" s="77">
        <f>BO238/(250*250)</f>
        <v>1.2867963509103793E-2</v>
      </c>
      <c r="BG238" s="77">
        <f>PI()*3/8*25.4*3/8*25.4/4*2/(250*100)</f>
        <v>5.7004591398468491E-3</v>
      </c>
      <c r="BH238" s="79">
        <v>250</v>
      </c>
      <c r="BI238" s="79">
        <f>PI()*3/8*25.4*3/8*25.4/4</f>
        <v>71.255739248085618</v>
      </c>
      <c r="BJ238" s="79">
        <v>2</v>
      </c>
      <c r="BK238" s="57">
        <f t="shared" si="709"/>
        <v>142.51147849617124</v>
      </c>
      <c r="BL238" s="57">
        <f t="shared" si="643"/>
        <v>431.99999999999994</v>
      </c>
      <c r="BM238" s="80">
        <f>PI()*16*16/4</f>
        <v>201.06192982974676</v>
      </c>
      <c r="BN238" s="80">
        <v>4</v>
      </c>
      <c r="BO238" s="57">
        <f t="shared" si="716"/>
        <v>804.24771931898704</v>
      </c>
      <c r="BP238" s="57">
        <f t="shared" si="612"/>
        <v>613759.29591410491</v>
      </c>
      <c r="BQ238" s="77">
        <f t="shared" si="613"/>
        <v>0</v>
      </c>
      <c r="BR238" s="57">
        <f t="shared" si="664"/>
        <v>1411646380.6024413</v>
      </c>
      <c r="BS238" s="57">
        <v>248.09108505937829</v>
      </c>
      <c r="BT238" s="57">
        <f t="shared" si="617"/>
        <v>49.871556305379826</v>
      </c>
      <c r="BU238" s="57"/>
      <c r="BV238" s="57">
        <v>3.3E-3</v>
      </c>
      <c r="BW238" s="57">
        <v>30000</v>
      </c>
      <c r="BX238" s="57">
        <v>200000</v>
      </c>
      <c r="BY238" s="77">
        <f>50</f>
        <v>50</v>
      </c>
      <c r="BZ238" s="77">
        <f>BY238+150</f>
        <v>200</v>
      </c>
      <c r="CA238" s="77">
        <f>250+125</f>
        <v>375</v>
      </c>
      <c r="CB238" s="77">
        <f>CA238+250*1</f>
        <v>625</v>
      </c>
      <c r="CC238" s="77">
        <f>CA238+250*2</f>
        <v>875</v>
      </c>
      <c r="CD238" s="77">
        <f>CA238+250*3</f>
        <v>1125</v>
      </c>
      <c r="CE238" s="77">
        <f>CA238+250*4</f>
        <v>1375</v>
      </c>
      <c r="CF238" s="77">
        <f>CA238+250*5</f>
        <v>1625</v>
      </c>
      <c r="CG238" s="77">
        <f>CA238+250*6</f>
        <v>1875</v>
      </c>
      <c r="CH238" s="77">
        <f>CA238+250*7</f>
        <v>2125</v>
      </c>
      <c r="CI238" s="77">
        <f>CH238+125+50</f>
        <v>2300</v>
      </c>
      <c r="CJ238" s="77">
        <f>CI238+150</f>
        <v>2450</v>
      </c>
      <c r="DM238" s="77">
        <f>PI()*16*16/4*2</f>
        <v>402.12385965949352</v>
      </c>
      <c r="DN238" s="77">
        <f>PI()*16*16/4*2</f>
        <v>402.12385965949352</v>
      </c>
      <c r="DO238" s="77">
        <f t="shared" ref="DO238:DV238" si="738">PI()*3/8*25.4*3/8*25.4/4*2</f>
        <v>142.51147849617124</v>
      </c>
      <c r="DP238" s="77">
        <f t="shared" si="738"/>
        <v>142.51147849617124</v>
      </c>
      <c r="DQ238" s="77">
        <f t="shared" si="738"/>
        <v>142.51147849617124</v>
      </c>
      <c r="DR238" s="77">
        <f t="shared" si="738"/>
        <v>142.51147849617124</v>
      </c>
      <c r="DS238" s="77">
        <f t="shared" si="738"/>
        <v>142.51147849617124</v>
      </c>
      <c r="DT238" s="77">
        <f t="shared" si="738"/>
        <v>142.51147849617124</v>
      </c>
      <c r="DU238" s="77">
        <f t="shared" si="738"/>
        <v>142.51147849617124</v>
      </c>
      <c r="DV238" s="77">
        <f t="shared" si="738"/>
        <v>142.51147849617124</v>
      </c>
      <c r="DW238" s="77">
        <f>PI()*16*16/4*2</f>
        <v>402.12385965949352</v>
      </c>
      <c r="DX238" s="77">
        <f>PI()*16*16/4*2</f>
        <v>402.12385965949352</v>
      </c>
      <c r="FA238" s="77">
        <f t="shared" si="720"/>
        <v>-207286.80717727574</v>
      </c>
      <c r="FB238" s="77">
        <f t="shared" si="721"/>
        <v>-51446.661232815823</v>
      </c>
      <c r="FC238" s="77">
        <f t="shared" si="737"/>
        <v>48114.364467448409</v>
      </c>
      <c r="FD238" s="77">
        <f t="shared" si="727"/>
        <v>51953.984600564188</v>
      </c>
      <c r="FE238" s="77">
        <f t="shared" si="728"/>
        <v>51953.984600564188</v>
      </c>
      <c r="FF238" s="77">
        <f t="shared" si="736"/>
        <v>51953.984600564188</v>
      </c>
      <c r="FG238" s="77">
        <f t="shared" si="736"/>
        <v>51953.984600564188</v>
      </c>
      <c r="FH238" s="77">
        <f t="shared" si="736"/>
        <v>51953.984600564188</v>
      </c>
      <c r="FI238" s="77">
        <f t="shared" si="736"/>
        <v>51953.984600564188</v>
      </c>
      <c r="FJ238" s="77">
        <f>IF(ABS(-$BV238*($BS238-CH238)/$BS238*$BX238)&gt;$BA238,$BA238*SIGN(-($BS238-CH238)),-$BV238*($BS238-CH238)/$BS238*$BX238)*DV238</f>
        <v>51953.984600564188</v>
      </c>
      <c r="FK238" s="77">
        <f t="shared" si="734"/>
        <v>207286.80717727574</v>
      </c>
      <c r="FL238" s="77">
        <f t="shared" si="734"/>
        <v>207286.80717727574</v>
      </c>
      <c r="GO238" s="77">
        <f t="shared" si="696"/>
        <v>196922466.81841195</v>
      </c>
      <c r="GP238" s="77">
        <f t="shared" si="697"/>
        <v>41157328.986252658</v>
      </c>
      <c r="GQ238" s="77">
        <f t="shared" si="698"/>
        <v>-30071477.792155255</v>
      </c>
      <c r="GR238" s="77">
        <f t="shared" si="699"/>
        <v>-19482744.225211572</v>
      </c>
      <c r="GS238" s="77">
        <f t="shared" si="712"/>
        <v>-6494248.0750705237</v>
      </c>
      <c r="GT238" s="77">
        <f t="shared" si="724"/>
        <v>6494248.0750705237</v>
      </c>
      <c r="GU238" s="77">
        <f t="shared" si="725"/>
        <v>19482744.225211572</v>
      </c>
      <c r="GV238" s="77">
        <f t="shared" si="729"/>
        <v>32471240.375352617</v>
      </c>
      <c r="GW238" s="77">
        <f t="shared" si="735"/>
        <v>45459736.525493667</v>
      </c>
      <c r="GX238" s="77">
        <f t="shared" si="735"/>
        <v>58448232.675634712</v>
      </c>
      <c r="GY238" s="77">
        <f t="shared" si="735"/>
        <v>269472849.33045846</v>
      </c>
      <c r="GZ238" s="77">
        <f t="shared" si="735"/>
        <v>300565870.40704983</v>
      </c>
      <c r="IC238" s="82">
        <v>247</v>
      </c>
    </row>
    <row r="239" spans="1:237" s="77" customFormat="1" ht="15.75" thickBot="1">
      <c r="A239" s="77">
        <v>239</v>
      </c>
      <c r="B239" s="102">
        <v>360</v>
      </c>
      <c r="C239" s="102" t="s">
        <v>253</v>
      </c>
      <c r="D239" s="103" t="s">
        <v>254</v>
      </c>
      <c r="E239" s="103">
        <v>4</v>
      </c>
      <c r="F239" s="103">
        <v>0.12899067005937237</v>
      </c>
      <c r="G239" s="103">
        <v>2.5999999999999999E-3</v>
      </c>
      <c r="H239" s="103">
        <v>0.01</v>
      </c>
      <c r="I239" s="103">
        <v>1.2200000000000001E-2</v>
      </c>
      <c r="J239" s="104">
        <v>0.7441860465116279</v>
      </c>
      <c r="K239" s="104">
        <v>14.333333333333334</v>
      </c>
      <c r="L239" s="104">
        <v>8.7368956743002546E-2</v>
      </c>
      <c r="M239" s="104">
        <v>8.7368956743002546E-2</v>
      </c>
      <c r="N239" s="104">
        <v>8.7368956743002546E-2</v>
      </c>
      <c r="O239" s="104">
        <v>8.7368956743002546E-2</v>
      </c>
      <c r="P239" s="104">
        <v>4.9887445887445897E-2</v>
      </c>
      <c r="Q239" s="105" t="s">
        <v>243</v>
      </c>
      <c r="R239" s="106">
        <v>0.25974025974025972</v>
      </c>
      <c r="S239" s="75">
        <f t="shared" si="616"/>
        <v>0.80863879663356397</v>
      </c>
      <c r="T239" s="59">
        <f t="shared" si="594"/>
        <v>1.1413175115942804</v>
      </c>
      <c r="U239" s="59">
        <f t="shared" si="595"/>
        <v>0.90345169618570453</v>
      </c>
      <c r="V239" s="59">
        <f t="shared" si="596"/>
        <v>0.81958276945219766</v>
      </c>
      <c r="W239" s="59">
        <f t="shared" si="597"/>
        <v>0.71810233447425265</v>
      </c>
      <c r="X239" s="59">
        <f t="shared" si="598"/>
        <v>0.90716833330703317</v>
      </c>
      <c r="Y239" s="100">
        <v>1901000</v>
      </c>
      <c r="Z239" s="57">
        <f t="shared" si="599"/>
        <v>1724527.0016166701</v>
      </c>
      <c r="AA239" s="57">
        <f t="shared" si="600"/>
        <v>1365112.5378355542</v>
      </c>
      <c r="AB239" s="57">
        <f t="shared" si="713"/>
        <v>1342521.0920952959</v>
      </c>
      <c r="AC239" s="57">
        <f t="shared" si="601"/>
        <v>0.25</v>
      </c>
      <c r="AD239" s="57">
        <f t="shared" si="602"/>
        <v>1.5</v>
      </c>
      <c r="AE239" s="57">
        <f t="shared" si="603"/>
        <v>735216.2337662339</v>
      </c>
      <c r="AF239" s="57">
        <f t="shared" si="604"/>
        <v>465918.13498656871</v>
      </c>
      <c r="AG239" s="57">
        <f t="shared" si="708"/>
        <v>899194.4028489854</v>
      </c>
      <c r="AH239" s="57">
        <f t="shared" si="714"/>
        <v>1680746203.8967323</v>
      </c>
      <c r="AI239" s="57">
        <f t="shared" si="715"/>
        <v>467287543.45574081</v>
      </c>
      <c r="AJ239" s="77">
        <v>1132233</v>
      </c>
      <c r="AK239" s="77">
        <v>39.299999999999997</v>
      </c>
      <c r="AL239" s="78">
        <f t="shared" si="605"/>
        <v>3.4599157409147132</v>
      </c>
      <c r="AM239" s="57">
        <f t="shared" si="606"/>
        <v>0.99657894736842101</v>
      </c>
      <c r="AN239" s="57">
        <f t="shared" si="607"/>
        <v>0.79657894736842105</v>
      </c>
      <c r="AO239" s="77">
        <v>2150</v>
      </c>
      <c r="AP239" s="79">
        <f>75*2</f>
        <v>150</v>
      </c>
      <c r="AQ239" s="57">
        <f t="shared" si="608"/>
        <v>167.71601534688392</v>
      </c>
      <c r="AR239" s="78">
        <f t="shared" si="726"/>
        <v>1850</v>
      </c>
      <c r="AS239" s="57">
        <f t="shared" si="609"/>
        <v>1982.283984653116</v>
      </c>
      <c r="AT239" s="77">
        <v>150</v>
      </c>
      <c r="AU239" s="77">
        <v>1600</v>
      </c>
      <c r="AV239" s="78">
        <f t="shared" si="610"/>
        <v>277500</v>
      </c>
      <c r="AW239" s="77">
        <f>1000*75*2</f>
        <v>150000</v>
      </c>
      <c r="AX239" s="77">
        <f t="shared" si="611"/>
        <v>322500</v>
      </c>
      <c r="AY239" s="77">
        <v>375000</v>
      </c>
      <c r="AZ239" s="77">
        <f>BA239</f>
        <v>296</v>
      </c>
      <c r="BA239" s="77">
        <v>296</v>
      </c>
      <c r="BB239" s="77">
        <v>296</v>
      </c>
      <c r="BC239" s="77">
        <v>296</v>
      </c>
      <c r="BD239" s="77">
        <f>BE239</f>
        <v>1.2770701843860949E-2</v>
      </c>
      <c r="BE239" s="77">
        <f>BK239/(AT239*BH239)</f>
        <v>1.2770701843860949E-2</v>
      </c>
      <c r="BF239" s="77">
        <f>N239*AK239/BB239</f>
        <v>1.1599999999999999E-2</v>
      </c>
      <c r="BG239" s="77">
        <f>O239*AK239/BC239</f>
        <v>1.1599999999999999E-2</v>
      </c>
      <c r="BH239" s="79">
        <v>82</v>
      </c>
      <c r="BI239" s="79">
        <f t="shared" ref="BI239:BI244" si="739">PI()*10*10/4</f>
        <v>78.539816339744831</v>
      </c>
      <c r="BJ239" s="79">
        <v>2</v>
      </c>
      <c r="BK239" s="57">
        <f t="shared" si="709"/>
        <v>157.07963267948966</v>
      </c>
      <c r="BL239" s="57">
        <f t="shared" si="643"/>
        <v>3543.8697616714135</v>
      </c>
      <c r="BM239" s="80"/>
      <c r="BN239" s="80">
        <v>20</v>
      </c>
      <c r="BO239" s="57">
        <f>BF239*AW239/2</f>
        <v>869.99999999999989</v>
      </c>
      <c r="BP239" s="57">
        <f t="shared" si="612"/>
        <v>1558026.8447286277</v>
      </c>
      <c r="BQ239" s="77">
        <f t="shared" si="613"/>
        <v>0</v>
      </c>
      <c r="BR239" s="57">
        <f t="shared" si="664"/>
        <v>2492842951.5658045</v>
      </c>
      <c r="BS239" s="57">
        <v>335.43203069376784</v>
      </c>
      <c r="BT239" s="57">
        <f t="shared" si="617"/>
        <v>264.2815885641462</v>
      </c>
      <c r="BU239" s="57"/>
      <c r="BV239" s="57">
        <v>3.3E-3</v>
      </c>
      <c r="BW239" s="57">
        <v>30000</v>
      </c>
      <c r="BX239" s="57">
        <v>200000</v>
      </c>
      <c r="BY239" s="77">
        <f>20</f>
        <v>20</v>
      </c>
      <c r="BZ239" s="77">
        <f>BY239+150-40</f>
        <v>130</v>
      </c>
      <c r="CA239" s="77">
        <f>150+23</f>
        <v>173</v>
      </c>
      <c r="CB239" s="77">
        <f>CA239+82*1</f>
        <v>255</v>
      </c>
      <c r="CC239" s="77">
        <f>CA239+82*2</f>
        <v>337</v>
      </c>
      <c r="CD239" s="77">
        <f>CA239+82*3</f>
        <v>419</v>
      </c>
      <c r="CE239" s="77">
        <f>CA239+82*4</f>
        <v>501</v>
      </c>
      <c r="CF239" s="77">
        <f>CA239+82*5</f>
        <v>583</v>
      </c>
      <c r="CG239" s="77">
        <f>CA239+82*6</f>
        <v>665</v>
      </c>
      <c r="CH239" s="77">
        <f>CA239+82*7</f>
        <v>747</v>
      </c>
      <c r="CI239" s="77">
        <f>CA239+82*8</f>
        <v>829</v>
      </c>
      <c r="CJ239" s="77">
        <f>CA239+82*9</f>
        <v>911</v>
      </c>
      <c r="CK239" s="77">
        <f>CA239+82*10</f>
        <v>993</v>
      </c>
      <c r="CL239" s="77">
        <f>CA239+82*11</f>
        <v>1075</v>
      </c>
      <c r="CM239" s="77">
        <f>CA239+82*12</f>
        <v>1157</v>
      </c>
      <c r="CN239" s="77">
        <f>CA239+82*13</f>
        <v>1239</v>
      </c>
      <c r="CO239" s="77">
        <f>CA239+82*14</f>
        <v>1321</v>
      </c>
      <c r="CP239" s="77">
        <f>CA239+82*15</f>
        <v>1403</v>
      </c>
      <c r="CQ239" s="77">
        <f>CA239+82*16</f>
        <v>1485</v>
      </c>
      <c r="CR239" s="77">
        <f>CA239+82*17</f>
        <v>1567</v>
      </c>
      <c r="CS239" s="77">
        <f>CA239+82*18</f>
        <v>1649</v>
      </c>
      <c r="CT239" s="77">
        <f>CA239+82*19</f>
        <v>1731</v>
      </c>
      <c r="CU239" s="77">
        <f>CA239+82*20</f>
        <v>1813</v>
      </c>
      <c r="CV239" s="77">
        <f>CA239+82*21</f>
        <v>1895</v>
      </c>
      <c r="CW239" s="77">
        <f>CA239+82*22</f>
        <v>1977</v>
      </c>
      <c r="CX239" s="77">
        <f>CW239+23+20</f>
        <v>2020</v>
      </c>
      <c r="CY239" s="77">
        <f>CX239+150-40</f>
        <v>2130</v>
      </c>
      <c r="DM239" s="77">
        <f>BO239*0.5</f>
        <v>434.99999999999994</v>
      </c>
      <c r="DN239" s="77">
        <f>BO239*0.5</f>
        <v>434.99999999999994</v>
      </c>
      <c r="DO239" s="77">
        <f t="shared" ref="DO239:DX240" si="740">PI()*10*10/4*2</f>
        <v>157.07963267948966</v>
      </c>
      <c r="DP239" s="77">
        <f t="shared" si="740"/>
        <v>157.07963267948966</v>
      </c>
      <c r="DQ239" s="77">
        <f t="shared" si="740"/>
        <v>157.07963267948966</v>
      </c>
      <c r="DR239" s="77">
        <f t="shared" si="740"/>
        <v>157.07963267948966</v>
      </c>
      <c r="DS239" s="77">
        <f t="shared" si="740"/>
        <v>157.07963267948966</v>
      </c>
      <c r="DT239" s="77">
        <f t="shared" si="740"/>
        <v>157.07963267948966</v>
      </c>
      <c r="DU239" s="77">
        <f t="shared" si="740"/>
        <v>157.07963267948966</v>
      </c>
      <c r="DV239" s="77">
        <f t="shared" si="740"/>
        <v>157.07963267948966</v>
      </c>
      <c r="DW239" s="77">
        <f t="shared" si="740"/>
        <v>157.07963267948966</v>
      </c>
      <c r="DX239" s="77">
        <f t="shared" si="740"/>
        <v>157.07963267948966</v>
      </c>
      <c r="DY239" s="77">
        <f t="shared" ref="DY239:EK240" si="741">PI()*10*10/4*2</f>
        <v>157.07963267948966</v>
      </c>
      <c r="DZ239" s="77">
        <f t="shared" si="741"/>
        <v>157.07963267948966</v>
      </c>
      <c r="EA239" s="77">
        <f t="shared" si="741"/>
        <v>157.07963267948966</v>
      </c>
      <c r="EB239" s="77">
        <f t="shared" si="741"/>
        <v>157.07963267948966</v>
      </c>
      <c r="EC239" s="77">
        <f t="shared" si="741"/>
        <v>157.07963267948966</v>
      </c>
      <c r="ED239" s="77">
        <f t="shared" si="741"/>
        <v>157.07963267948966</v>
      </c>
      <c r="EE239" s="77">
        <f t="shared" si="741"/>
        <v>157.07963267948966</v>
      </c>
      <c r="EF239" s="77">
        <f t="shared" si="741"/>
        <v>157.07963267948966</v>
      </c>
      <c r="EG239" s="77">
        <f t="shared" si="741"/>
        <v>157.07963267948966</v>
      </c>
      <c r="EH239" s="77">
        <f t="shared" si="741"/>
        <v>157.07963267948966</v>
      </c>
      <c r="EI239" s="77">
        <f t="shared" si="741"/>
        <v>157.07963267948966</v>
      </c>
      <c r="EJ239" s="77">
        <f t="shared" si="741"/>
        <v>157.07963267948966</v>
      </c>
      <c r="EK239" s="77">
        <f t="shared" si="741"/>
        <v>157.07963267948966</v>
      </c>
      <c r="EL239" s="77">
        <f>BO239*0.5</f>
        <v>434.99999999999994</v>
      </c>
      <c r="EM239" s="77">
        <f>BO239*0.5</f>
        <v>434.99999999999994</v>
      </c>
      <c r="FA239" s="77">
        <f t="shared" si="720"/>
        <v>-128759.99999999999</v>
      </c>
      <c r="FB239" s="77">
        <f t="shared" si="721"/>
        <v>-128759.99999999999</v>
      </c>
      <c r="FC239" s="77">
        <f t="shared" si="737"/>
        <v>-46495.571273128939</v>
      </c>
      <c r="FD239" s="77">
        <f t="shared" si="727"/>
        <v>-24859.266764719763</v>
      </c>
      <c r="FE239" s="77">
        <f t="shared" si="728"/>
        <v>484.61498393497578</v>
      </c>
      <c r="FF239" s="77">
        <f t="shared" si="736"/>
        <v>25828.49673258972</v>
      </c>
      <c r="FG239" s="77">
        <f t="shared" si="736"/>
        <v>46495.571273128939</v>
      </c>
      <c r="FH239" s="77">
        <f t="shared" si="736"/>
        <v>46495.571273128939</v>
      </c>
      <c r="FI239" s="77">
        <f t="shared" si="736"/>
        <v>46495.571273128939</v>
      </c>
      <c r="FJ239" s="77">
        <f>IF(ABS(-$BV239*($BS239-CH239)/$BS239*$BX239)&gt;$BA239,$BA239*SIGN(-($BS239-CH239)),-$BV239*($BS239-CH239)/$BS239*$BX239)*DV239</f>
        <v>46495.571273128939</v>
      </c>
      <c r="FK239" s="77">
        <f t="shared" ref="FK239:FY240" si="742">IF(ABS(-$BV239*($BS239-CI239)/$BS239*$BX239)&gt;$BA239,$BA239*SIGN(-($BS239-CI239)),-$BV239*($BS239-CI239)/$BS239*$BX239)*DW239</f>
        <v>46495.571273128939</v>
      </c>
      <c r="FL239" s="77">
        <f t="shared" si="742"/>
        <v>46495.571273128939</v>
      </c>
      <c r="FM239" s="77">
        <f t="shared" si="742"/>
        <v>46495.571273128939</v>
      </c>
      <c r="FN239" s="77">
        <f t="shared" si="742"/>
        <v>46495.571273128939</v>
      </c>
      <c r="FO239" s="77">
        <f t="shared" si="742"/>
        <v>46495.571273128939</v>
      </c>
      <c r="FP239" s="77">
        <f t="shared" si="742"/>
        <v>46495.571273128939</v>
      </c>
      <c r="FQ239" s="77">
        <f t="shared" si="742"/>
        <v>46495.571273128939</v>
      </c>
      <c r="FR239" s="77">
        <f t="shared" si="742"/>
        <v>46495.571273128939</v>
      </c>
      <c r="FS239" s="77">
        <f t="shared" si="742"/>
        <v>46495.571273128939</v>
      </c>
      <c r="FT239" s="77">
        <f t="shared" si="742"/>
        <v>46495.571273128939</v>
      </c>
      <c r="FU239" s="77">
        <f t="shared" si="742"/>
        <v>46495.571273128939</v>
      </c>
      <c r="FV239" s="77">
        <f t="shared" si="742"/>
        <v>46495.571273128939</v>
      </c>
      <c r="FW239" s="77">
        <f t="shared" si="742"/>
        <v>46495.571273128939</v>
      </c>
      <c r="FX239" s="77">
        <f t="shared" si="742"/>
        <v>46495.571273128939</v>
      </c>
      <c r="FY239" s="77">
        <f t="shared" si="742"/>
        <v>46495.571273128939</v>
      </c>
      <c r="FZ239" s="77">
        <f>IF(ABS(-$BV239*($BS239-CX239)/$BS239*$BX239)&gt;$BB239,$BB239*SIGN(-($BS239-CX239)),-$BV239*($BS239-CX239)/$BS239*$BX239)*EL239</f>
        <v>128759.99999999999</v>
      </c>
      <c r="GA239" s="77">
        <f>IF(ABS(-$BV239*($BS239-CY239)/$BS239*$BX239)&gt;$BB239,$BB239*SIGN(-($BS239-CY239)),-$BV239*($BS239-CY239)/$BS239*$BX239)*EM239</f>
        <v>128759.99999999999</v>
      </c>
      <c r="GO239" s="77">
        <f t="shared" si="696"/>
        <v>135841799.99999997</v>
      </c>
      <c r="GP239" s="77">
        <f t="shared" si="697"/>
        <v>121678199.99999999</v>
      </c>
      <c r="GQ239" s="77">
        <f t="shared" si="698"/>
        <v>41939005.288362302</v>
      </c>
      <c r="GR239" s="77">
        <f t="shared" si="699"/>
        <v>20384598.747070204</v>
      </c>
      <c r="GS239" s="77">
        <f t="shared" si="712"/>
        <v>-357645.85814401211</v>
      </c>
      <c r="GT239" s="77">
        <f t="shared" si="724"/>
        <v>-16943493.856578857</v>
      </c>
      <c r="GU239" s="77">
        <f t="shared" si="725"/>
        <v>-26688457.910776012</v>
      </c>
      <c r="GV239" s="77">
        <f t="shared" si="729"/>
        <v>-22875821.066379439</v>
      </c>
      <c r="GW239" s="77">
        <f t="shared" si="735"/>
        <v>-19063184.221982867</v>
      </c>
      <c r="GX239" s="77">
        <f t="shared" si="735"/>
        <v>-15250547.377586292</v>
      </c>
      <c r="GY239" s="77">
        <f t="shared" si="735"/>
        <v>-11437910.53318972</v>
      </c>
      <c r="GZ239" s="77">
        <f t="shared" si="735"/>
        <v>-7625273.6887931461</v>
      </c>
      <c r="HA239" s="77">
        <f t="shared" ref="HA239:HO240" si="743">FM239*(CK239-0.5*$AO239)</f>
        <v>-3812636.844396573</v>
      </c>
      <c r="HB239" s="77">
        <f t="shared" si="743"/>
        <v>0</v>
      </c>
      <c r="HC239" s="77">
        <f t="shared" si="743"/>
        <v>3812636.844396573</v>
      </c>
      <c r="HD239" s="77">
        <f t="shared" si="743"/>
        <v>7625273.6887931461</v>
      </c>
      <c r="HE239" s="77">
        <f t="shared" si="743"/>
        <v>11437910.53318972</v>
      </c>
      <c r="HF239" s="77">
        <f t="shared" si="743"/>
        <v>15250547.377586292</v>
      </c>
      <c r="HG239" s="77">
        <f t="shared" si="743"/>
        <v>19063184.221982867</v>
      </c>
      <c r="HH239" s="77">
        <f t="shared" si="743"/>
        <v>22875821.066379439</v>
      </c>
      <c r="HI239" s="77">
        <f t="shared" si="743"/>
        <v>26688457.910776012</v>
      </c>
      <c r="HJ239" s="77">
        <f t="shared" si="743"/>
        <v>30501094.755172584</v>
      </c>
      <c r="HK239" s="77">
        <f t="shared" si="743"/>
        <v>34313731.599569157</v>
      </c>
      <c r="HL239" s="77">
        <f t="shared" si="743"/>
        <v>38126368.443965733</v>
      </c>
      <c r="HM239" s="77">
        <f t="shared" si="743"/>
        <v>41939005.288362302</v>
      </c>
      <c r="HN239" s="77">
        <f t="shared" si="743"/>
        <v>121678199.99999999</v>
      </c>
      <c r="HO239" s="77">
        <f t="shared" si="743"/>
        <v>135841799.99999997</v>
      </c>
      <c r="IC239" s="82">
        <v>255</v>
      </c>
    </row>
    <row r="240" spans="1:237" s="77" customFormat="1" ht="15.75" thickTop="1">
      <c r="A240" s="77">
        <v>240</v>
      </c>
      <c r="B240" s="107">
        <v>361</v>
      </c>
      <c r="C240" s="107" t="s">
        <v>253</v>
      </c>
      <c r="D240" s="108" t="s">
        <v>255</v>
      </c>
      <c r="E240" s="108">
        <v>4</v>
      </c>
      <c r="F240" s="108">
        <v>0.14443381180223286</v>
      </c>
      <c r="G240" s="108">
        <v>2.5999999999999999E-3</v>
      </c>
      <c r="H240" s="108">
        <v>6.0000000000000001E-3</v>
      </c>
      <c r="I240" s="108">
        <v>0.01</v>
      </c>
      <c r="J240" s="109">
        <v>0.7441860465116279</v>
      </c>
      <c r="K240" s="109">
        <v>14.333333333333334</v>
      </c>
      <c r="L240" s="109">
        <v>0.11046889952153109</v>
      </c>
      <c r="M240" s="109">
        <v>0.11046889952153109</v>
      </c>
      <c r="N240" s="109">
        <v>0.11046889952153109</v>
      </c>
      <c r="O240" s="109">
        <v>0.11046889952153109</v>
      </c>
      <c r="P240" s="109">
        <v>4.6536796536796543E-2</v>
      </c>
      <c r="Q240" s="110" t="s">
        <v>243</v>
      </c>
      <c r="R240" s="111">
        <v>0.25974025974025972</v>
      </c>
      <c r="S240" s="75">
        <f t="shared" si="616"/>
        <v>0.93380676076692326</v>
      </c>
      <c r="T240" s="59">
        <f t="shared" si="594"/>
        <v>1.1024591684464693</v>
      </c>
      <c r="U240" s="59">
        <f t="shared" si="595"/>
        <v>0.85714125475749536</v>
      </c>
      <c r="V240" s="59">
        <f t="shared" si="596"/>
        <v>0.8177833633810857</v>
      </c>
      <c r="W240" s="59">
        <f t="shared" si="597"/>
        <v>0.74178108975542867</v>
      </c>
      <c r="X240" s="59">
        <f t="shared" si="598"/>
        <v>0.95408237422016873</v>
      </c>
      <c r="Y240" s="100">
        <v>2264000</v>
      </c>
      <c r="Z240" s="57">
        <f t="shared" si="599"/>
        <v>2160042.495234462</v>
      </c>
      <c r="AA240" s="57">
        <f t="shared" si="600"/>
        <v>1679392.3872062904</v>
      </c>
      <c r="AB240" s="57">
        <f t="shared" si="713"/>
        <v>1491537.4803801347</v>
      </c>
      <c r="AC240" s="57">
        <f t="shared" si="601"/>
        <v>0.25</v>
      </c>
      <c r="AD240" s="57">
        <f t="shared" si="602"/>
        <v>1.5</v>
      </c>
      <c r="AE240" s="57">
        <f t="shared" si="603"/>
        <v>729464.2857142858</v>
      </c>
      <c r="AF240" s="57">
        <f t="shared" si="604"/>
        <v>477332.80838480114</v>
      </c>
      <c r="AG240" s="57">
        <f t="shared" si="708"/>
        <v>1202059.5788214891</v>
      </c>
      <c r="AH240" s="57">
        <f t="shared" si="714"/>
        <v>1765641921.416528</v>
      </c>
      <c r="AI240" s="57">
        <f t="shared" si="715"/>
        <v>620818047.19168723</v>
      </c>
      <c r="AJ240" s="77">
        <v>1123375</v>
      </c>
      <c r="AK240" s="77">
        <v>41.8</v>
      </c>
      <c r="AL240" s="78">
        <f t="shared" si="605"/>
        <v>3.5792874267612622</v>
      </c>
      <c r="AM240" s="57">
        <f t="shared" si="606"/>
        <v>0.99</v>
      </c>
      <c r="AN240" s="57">
        <f t="shared" si="607"/>
        <v>0.79</v>
      </c>
      <c r="AO240" s="77">
        <v>2150</v>
      </c>
      <c r="AP240" s="79">
        <f>75*2</f>
        <v>150</v>
      </c>
      <c r="AQ240" s="57">
        <f t="shared" si="608"/>
        <v>178.69304806004951</v>
      </c>
      <c r="AR240" s="78">
        <f t="shared" si="726"/>
        <v>1850</v>
      </c>
      <c r="AS240" s="57">
        <f t="shared" si="609"/>
        <v>1971.3069519399505</v>
      </c>
      <c r="AT240" s="77">
        <v>150</v>
      </c>
      <c r="AU240" s="77">
        <v>1600</v>
      </c>
      <c r="AV240" s="78">
        <f t="shared" si="610"/>
        <v>277500</v>
      </c>
      <c r="AW240" s="77">
        <f>1000*75*2</f>
        <v>150000</v>
      </c>
      <c r="AX240" s="77">
        <f t="shared" si="611"/>
        <v>322500</v>
      </c>
      <c r="AY240" s="77">
        <v>375000</v>
      </c>
      <c r="AZ240" s="77">
        <f>BA240</f>
        <v>296</v>
      </c>
      <c r="BA240" s="77">
        <v>296</v>
      </c>
      <c r="BB240" s="77">
        <v>296</v>
      </c>
      <c r="BC240" s="77">
        <v>296</v>
      </c>
      <c r="BD240" s="77">
        <f>BE240</f>
        <v>1.7167172970436028E-2</v>
      </c>
      <c r="BE240" s="77">
        <f>BK240/(AT240*BH240)</f>
        <v>1.7167172970436028E-2</v>
      </c>
      <c r="BF240" s="77">
        <f>N240*AK240/BB240</f>
        <v>1.5599999999999998E-2</v>
      </c>
      <c r="BG240" s="77">
        <f>O240*AK240/BC240</f>
        <v>1.5599999999999998E-2</v>
      </c>
      <c r="BH240" s="79">
        <v>61</v>
      </c>
      <c r="BI240" s="79">
        <f t="shared" si="739"/>
        <v>78.539816339744831</v>
      </c>
      <c r="BJ240" s="79">
        <v>2</v>
      </c>
      <c r="BK240" s="57">
        <f t="shared" si="709"/>
        <v>157.07963267948966</v>
      </c>
      <c r="BL240" s="57">
        <f t="shared" si="643"/>
        <v>4763.8904992959979</v>
      </c>
      <c r="BM240" s="80"/>
      <c r="BN240" s="80">
        <v>28</v>
      </c>
      <c r="BO240" s="57">
        <f>BF240*AW240/2</f>
        <v>1169.9999999999998</v>
      </c>
      <c r="BP240" s="57">
        <f t="shared" si="612"/>
        <v>1851461.534694778</v>
      </c>
      <c r="BQ240" s="77">
        <f t="shared" si="613"/>
        <v>2.3283064365386963E-9</v>
      </c>
      <c r="BR240" s="57">
        <f t="shared" si="664"/>
        <v>2962338455.5116448</v>
      </c>
      <c r="BS240" s="57">
        <v>357.38609612009901</v>
      </c>
      <c r="BT240" s="57">
        <f t="shared" si="617"/>
        <v>277.31536175201586</v>
      </c>
      <c r="BU240" s="57"/>
      <c r="BV240" s="57">
        <v>3.3E-3</v>
      </c>
      <c r="BW240" s="57">
        <v>30000</v>
      </c>
      <c r="BX240" s="57">
        <v>200000</v>
      </c>
      <c r="BY240" s="77">
        <f>20</f>
        <v>20</v>
      </c>
      <c r="BZ240" s="77">
        <f>BY240+150-40</f>
        <v>130</v>
      </c>
      <c r="CA240" s="77">
        <f>150+10</f>
        <v>160</v>
      </c>
      <c r="CB240" s="77">
        <f>CA240+61*1</f>
        <v>221</v>
      </c>
      <c r="CC240" s="77">
        <f>CA240+61*2</f>
        <v>282</v>
      </c>
      <c r="CD240" s="77">
        <f>CA240+61*3</f>
        <v>343</v>
      </c>
      <c r="CE240" s="77">
        <f>CA240+61*4</f>
        <v>404</v>
      </c>
      <c r="CF240" s="77">
        <f>CA240+61*5</f>
        <v>465</v>
      </c>
      <c r="CG240" s="77">
        <f>CA240+61*6</f>
        <v>526</v>
      </c>
      <c r="CH240" s="77">
        <f>CA240+61*7</f>
        <v>587</v>
      </c>
      <c r="CI240" s="77">
        <f>CA240+61*8</f>
        <v>648</v>
      </c>
      <c r="CJ240" s="77">
        <f>CA240+61*9</f>
        <v>709</v>
      </c>
      <c r="CK240" s="77">
        <f>CA240+61*10</f>
        <v>770</v>
      </c>
      <c r="CL240" s="77">
        <f>CA240+61*11</f>
        <v>831</v>
      </c>
      <c r="CM240" s="77">
        <f>CA240+61*12</f>
        <v>892</v>
      </c>
      <c r="CN240" s="77">
        <f>CA240+61*13</f>
        <v>953</v>
      </c>
      <c r="CO240" s="77">
        <f>CA240+61*14</f>
        <v>1014</v>
      </c>
      <c r="CP240" s="77">
        <f>CA240+61*15</f>
        <v>1075</v>
      </c>
      <c r="CQ240" s="77">
        <f>CA240+61*16</f>
        <v>1136</v>
      </c>
      <c r="CR240" s="77">
        <f>CA240+61*17</f>
        <v>1197</v>
      </c>
      <c r="CS240" s="77">
        <f>CA240+61*18</f>
        <v>1258</v>
      </c>
      <c r="CT240" s="77">
        <f>CA240+61*19</f>
        <v>1319</v>
      </c>
      <c r="CU240" s="77">
        <f>CA240+61*20</f>
        <v>1380</v>
      </c>
      <c r="CV240" s="77">
        <f>CA240+61*21</f>
        <v>1441</v>
      </c>
      <c r="CW240" s="77">
        <f>CA240+61*22</f>
        <v>1502</v>
      </c>
      <c r="CX240" s="77">
        <f>CA240+61*23</f>
        <v>1563</v>
      </c>
      <c r="CY240" s="77">
        <f>CA240+61*24</f>
        <v>1624</v>
      </c>
      <c r="CZ240" s="77">
        <f>CA240+61*25</f>
        <v>1685</v>
      </c>
      <c r="DA240" s="77">
        <f>CA240+61*26</f>
        <v>1746</v>
      </c>
      <c r="DB240" s="77">
        <f>CA240+61*27</f>
        <v>1807</v>
      </c>
      <c r="DC240" s="77">
        <f>CA240+61*28</f>
        <v>1868</v>
      </c>
      <c r="DD240" s="77">
        <f>CA240+61*29</f>
        <v>1929</v>
      </c>
      <c r="DE240" s="77">
        <f>CA240+61*30</f>
        <v>1990</v>
      </c>
      <c r="DF240" s="77">
        <f>DE240+10+20</f>
        <v>2020</v>
      </c>
      <c r="DG240" s="77">
        <f>DF240+150-40</f>
        <v>2130</v>
      </c>
      <c r="DM240" s="77">
        <f>BO240*0.5</f>
        <v>584.99999999999989</v>
      </c>
      <c r="DN240" s="77">
        <f>BO240*0.5</f>
        <v>584.99999999999989</v>
      </c>
      <c r="DO240" s="77">
        <f t="shared" si="740"/>
        <v>157.07963267948966</v>
      </c>
      <c r="DP240" s="77">
        <f t="shared" si="740"/>
        <v>157.07963267948966</v>
      </c>
      <c r="DQ240" s="77">
        <f t="shared" si="740"/>
        <v>157.07963267948966</v>
      </c>
      <c r="DR240" s="77">
        <f t="shared" si="740"/>
        <v>157.07963267948966</v>
      </c>
      <c r="DS240" s="77">
        <f t="shared" si="740"/>
        <v>157.07963267948966</v>
      </c>
      <c r="DT240" s="77">
        <f t="shared" si="740"/>
        <v>157.07963267948966</v>
      </c>
      <c r="DU240" s="77">
        <f t="shared" si="740"/>
        <v>157.07963267948966</v>
      </c>
      <c r="DV240" s="77">
        <f t="shared" si="740"/>
        <v>157.07963267948966</v>
      </c>
      <c r="DW240" s="77">
        <f t="shared" si="740"/>
        <v>157.07963267948966</v>
      </c>
      <c r="DX240" s="77">
        <f t="shared" si="740"/>
        <v>157.07963267948966</v>
      </c>
      <c r="DY240" s="77">
        <f t="shared" si="741"/>
        <v>157.07963267948966</v>
      </c>
      <c r="DZ240" s="77">
        <f t="shared" si="741"/>
        <v>157.07963267948966</v>
      </c>
      <c r="EA240" s="77">
        <f t="shared" si="741"/>
        <v>157.07963267948966</v>
      </c>
      <c r="EB240" s="77">
        <f t="shared" si="741"/>
        <v>157.07963267948966</v>
      </c>
      <c r="EC240" s="77">
        <f t="shared" si="741"/>
        <v>157.07963267948966</v>
      </c>
      <c r="ED240" s="77">
        <f t="shared" si="741"/>
        <v>157.07963267948966</v>
      </c>
      <c r="EE240" s="77">
        <f t="shared" si="741"/>
        <v>157.07963267948966</v>
      </c>
      <c r="EF240" s="77">
        <f t="shared" si="741"/>
        <v>157.07963267948966</v>
      </c>
      <c r="EG240" s="77">
        <f t="shared" si="741"/>
        <v>157.07963267948966</v>
      </c>
      <c r="EH240" s="77">
        <f t="shared" si="741"/>
        <v>157.07963267948966</v>
      </c>
      <c r="EI240" s="77">
        <f t="shared" si="741"/>
        <v>157.07963267948966</v>
      </c>
      <c r="EJ240" s="77">
        <f t="shared" si="741"/>
        <v>157.07963267948966</v>
      </c>
      <c r="EK240" s="77">
        <f t="shared" si="741"/>
        <v>157.07963267948966</v>
      </c>
      <c r="EL240" s="77">
        <f t="shared" ref="EL240:ES240" si="744">PI()*10*10/4*2</f>
        <v>157.07963267948966</v>
      </c>
      <c r="EM240" s="77">
        <f t="shared" si="744"/>
        <v>157.07963267948966</v>
      </c>
      <c r="EN240" s="77">
        <f t="shared" si="744"/>
        <v>157.07963267948966</v>
      </c>
      <c r="EO240" s="77">
        <f t="shared" si="744"/>
        <v>157.07963267948966</v>
      </c>
      <c r="EP240" s="77">
        <f t="shared" si="744"/>
        <v>157.07963267948966</v>
      </c>
      <c r="EQ240" s="77">
        <f t="shared" si="744"/>
        <v>157.07963267948966</v>
      </c>
      <c r="ER240" s="77">
        <f t="shared" si="744"/>
        <v>157.07963267948966</v>
      </c>
      <c r="ES240" s="77">
        <f t="shared" si="744"/>
        <v>157.07963267948966</v>
      </c>
      <c r="ET240" s="77">
        <f>BO240*0.5</f>
        <v>584.99999999999989</v>
      </c>
      <c r="EU240" s="77">
        <f>BO240*0.5</f>
        <v>584.99999999999989</v>
      </c>
      <c r="FA240" s="77">
        <f t="shared" si="720"/>
        <v>-173159.99999999997</v>
      </c>
      <c r="FB240" s="77">
        <f t="shared" si="721"/>
        <v>-173159.99999999997</v>
      </c>
      <c r="FC240" s="77">
        <f t="shared" si="737"/>
        <v>-46495.571273128939</v>
      </c>
      <c r="FD240" s="77">
        <f t="shared" si="727"/>
        <v>-39563.641549159103</v>
      </c>
      <c r="FE240" s="77">
        <f t="shared" si="728"/>
        <v>-21868.420385459791</v>
      </c>
      <c r="FF240" s="77">
        <f t="shared" si="736"/>
        <v>-4173.1992217604693</v>
      </c>
      <c r="FG240" s="77">
        <f t="shared" si="736"/>
        <v>13522.021941938845</v>
      </c>
      <c r="FH240" s="77">
        <f t="shared" si="736"/>
        <v>31217.243105638161</v>
      </c>
      <c r="FI240" s="77">
        <f t="shared" si="736"/>
        <v>46495.571273128939</v>
      </c>
      <c r="FJ240" s="77">
        <f>IF(ABS(-$BV240*($BS240-CH240)/$BS240*$BX240)&gt;$BA240,$BA240*SIGN(-($BS240-CH240)),-$BV240*($BS240-CH240)/$BS240*$BX240)*DV240</f>
        <v>46495.571273128939</v>
      </c>
      <c r="FK240" s="77">
        <f t="shared" si="742"/>
        <v>46495.571273128939</v>
      </c>
      <c r="FL240" s="77">
        <f t="shared" si="742"/>
        <v>46495.571273128939</v>
      </c>
      <c r="FM240" s="77">
        <f t="shared" si="742"/>
        <v>46495.571273128939</v>
      </c>
      <c r="FN240" s="77">
        <f t="shared" si="742"/>
        <v>46495.571273128939</v>
      </c>
      <c r="FO240" s="77">
        <f t="shared" si="742"/>
        <v>46495.571273128939</v>
      </c>
      <c r="FP240" s="77">
        <f t="shared" si="742"/>
        <v>46495.571273128939</v>
      </c>
      <c r="FQ240" s="77">
        <f t="shared" si="742"/>
        <v>46495.571273128939</v>
      </c>
      <c r="FR240" s="77">
        <f t="shared" si="742"/>
        <v>46495.571273128939</v>
      </c>
      <c r="FS240" s="77">
        <f t="shared" si="742"/>
        <v>46495.571273128939</v>
      </c>
      <c r="FT240" s="77">
        <f t="shared" si="742"/>
        <v>46495.571273128939</v>
      </c>
      <c r="FU240" s="77">
        <f t="shared" si="742"/>
        <v>46495.571273128939</v>
      </c>
      <c r="FV240" s="77">
        <f t="shared" si="742"/>
        <v>46495.571273128939</v>
      </c>
      <c r="FW240" s="77">
        <f t="shared" si="742"/>
        <v>46495.571273128939</v>
      </c>
      <c r="FX240" s="77">
        <f t="shared" si="742"/>
        <v>46495.571273128939</v>
      </c>
      <c r="FY240" s="77">
        <f t="shared" si="742"/>
        <v>46495.571273128939</v>
      </c>
      <c r="FZ240" s="77">
        <f t="shared" ref="FZ240:GG240" si="745">IF(ABS(-$BV240*($BS240-CX240)/$BS240*$BX240)&gt;$BA240,$BA240*SIGN(-($BS240-CX240)),-$BV240*($BS240-CX240)/$BS240*$BX240)*EL240</f>
        <v>46495.571273128939</v>
      </c>
      <c r="GA240" s="77">
        <f t="shared" si="745"/>
        <v>46495.571273128939</v>
      </c>
      <c r="GB240" s="77">
        <f t="shared" si="745"/>
        <v>46495.571273128939</v>
      </c>
      <c r="GC240" s="77">
        <f t="shared" si="745"/>
        <v>46495.571273128939</v>
      </c>
      <c r="GD240" s="77">
        <f t="shared" si="745"/>
        <v>46495.571273128939</v>
      </c>
      <c r="GE240" s="77">
        <f t="shared" si="745"/>
        <v>46495.571273128939</v>
      </c>
      <c r="GF240" s="77">
        <f t="shared" si="745"/>
        <v>46495.571273128939</v>
      </c>
      <c r="GG240" s="77">
        <f t="shared" si="745"/>
        <v>46495.571273128939</v>
      </c>
      <c r="GH240" s="77">
        <f>IF(ABS(-$BV240*($BS240-DF240)/$BS240*$BX240)&gt;$BB240,$BB240*SIGN(-($BS240-DF240)),-$BV240*($BS240-DF240)/$BS240*$BX240)*ET240</f>
        <v>173159.99999999997</v>
      </c>
      <c r="GI240" s="77">
        <f>IF(ABS(-$BV240*($BS240-DG240)/$BS240*$BX240)&gt;$BB240,$BB240*SIGN(-($BS240-DG240)),-$BV240*($BS240-DG240)/$BS240*$BX240)*EU240</f>
        <v>173159.99999999997</v>
      </c>
      <c r="GO240" s="77">
        <f t="shared" si="696"/>
        <v>182683799.99999997</v>
      </c>
      <c r="GP240" s="77">
        <f t="shared" si="697"/>
        <v>163636199.99999997</v>
      </c>
      <c r="GQ240" s="77">
        <f t="shared" si="698"/>
        <v>42543447.714912981</v>
      </c>
      <c r="GR240" s="77">
        <f t="shared" si="699"/>
        <v>33787349.882981874</v>
      </c>
      <c r="GS240" s="77">
        <f t="shared" si="712"/>
        <v>17341657.365669616</v>
      </c>
      <c r="GT240" s="77">
        <f t="shared" si="724"/>
        <v>3054781.8303286633</v>
      </c>
      <c r="GU240" s="77">
        <f t="shared" si="725"/>
        <v>-9073276.7230409645</v>
      </c>
      <c r="GV240" s="77">
        <f t="shared" si="729"/>
        <v>-19042518.294439279</v>
      </c>
      <c r="GW240" s="77">
        <f t="shared" si="735"/>
        <v>-25526068.628947787</v>
      </c>
      <c r="GX240" s="77">
        <f t="shared" si="735"/>
        <v>-22689838.781286921</v>
      </c>
      <c r="GY240" s="77">
        <f t="shared" si="735"/>
        <v>-19853608.933626056</v>
      </c>
      <c r="GZ240" s="77">
        <f t="shared" si="735"/>
        <v>-17017379.08596519</v>
      </c>
      <c r="HA240" s="77">
        <f t="shared" si="743"/>
        <v>-14181149.238304326</v>
      </c>
      <c r="HB240" s="77">
        <f t="shared" si="743"/>
        <v>-11344919.390643461</v>
      </c>
      <c r="HC240" s="77">
        <f t="shared" si="743"/>
        <v>-8508689.542982595</v>
      </c>
      <c r="HD240" s="77">
        <f t="shared" si="743"/>
        <v>-5672459.6953217303</v>
      </c>
      <c r="HE240" s="77">
        <f t="shared" si="743"/>
        <v>-2836229.8476608652</v>
      </c>
      <c r="HF240" s="77">
        <f t="shared" si="743"/>
        <v>0</v>
      </c>
      <c r="HG240" s="77">
        <f t="shared" si="743"/>
        <v>2836229.8476608652</v>
      </c>
      <c r="HH240" s="77">
        <f t="shared" si="743"/>
        <v>5672459.6953217303</v>
      </c>
      <c r="HI240" s="77">
        <f t="shared" si="743"/>
        <v>8508689.542982595</v>
      </c>
      <c r="HJ240" s="77">
        <f t="shared" si="743"/>
        <v>11344919.390643461</v>
      </c>
      <c r="HK240" s="77">
        <f t="shared" si="743"/>
        <v>14181149.238304326</v>
      </c>
      <c r="HL240" s="77">
        <f t="shared" si="743"/>
        <v>17017379.08596519</v>
      </c>
      <c r="HM240" s="77">
        <f t="shared" si="743"/>
        <v>19853608.933626056</v>
      </c>
      <c r="HN240" s="77">
        <f t="shared" si="743"/>
        <v>22689838.781286921</v>
      </c>
      <c r="HO240" s="77">
        <f t="shared" si="743"/>
        <v>25526068.628947787</v>
      </c>
      <c r="HP240" s="77">
        <f t="shared" ref="HP240:HW240" si="746">GB240*(CZ240-0.5*$AO240)</f>
        <v>28362298.476608653</v>
      </c>
      <c r="HQ240" s="77">
        <f t="shared" si="746"/>
        <v>31198528.324269518</v>
      </c>
      <c r="HR240" s="77">
        <f t="shared" si="746"/>
        <v>34034758.17193038</v>
      </c>
      <c r="HS240" s="77">
        <f t="shared" si="746"/>
        <v>36870988.01959125</v>
      </c>
      <c r="HT240" s="77">
        <f t="shared" si="746"/>
        <v>39707217.867252111</v>
      </c>
      <c r="HU240" s="77">
        <f t="shared" si="746"/>
        <v>42543447.714912981</v>
      </c>
      <c r="HV240" s="77">
        <f t="shared" si="746"/>
        <v>163636199.99999997</v>
      </c>
      <c r="HW240" s="77">
        <f t="shared" si="746"/>
        <v>182683799.99999997</v>
      </c>
      <c r="IC240" s="82">
        <v>256</v>
      </c>
    </row>
    <row r="241" spans="1:237" s="77" customFormat="1">
      <c r="A241" s="77">
        <v>241</v>
      </c>
      <c r="B241" s="69">
        <v>362</v>
      </c>
      <c r="C241" s="69" t="s">
        <v>256</v>
      </c>
      <c r="D241" s="70" t="s">
        <v>257</v>
      </c>
      <c r="E241" s="70">
        <v>1</v>
      </c>
      <c r="F241" s="70">
        <v>5.3490338164251201E-2</v>
      </c>
      <c r="G241" s="70">
        <v>4.5999999999999999E-3</v>
      </c>
      <c r="H241" s="70">
        <v>1.7999999999999999E-2</v>
      </c>
      <c r="I241" s="70">
        <f>(2.7+1.8)/2/100</f>
        <v>2.2499999999999999E-2</v>
      </c>
      <c r="J241" s="72">
        <v>1.5</v>
      </c>
      <c r="K241" s="72">
        <v>7.5</v>
      </c>
      <c r="L241" s="72">
        <v>3.2000000000000001E-2</v>
      </c>
      <c r="M241" s="72">
        <v>2.7999999999999997E-2</v>
      </c>
      <c r="N241" s="72">
        <v>0.16673391812865496</v>
      </c>
      <c r="O241" s="72">
        <v>9.8999999999999991E-2</v>
      </c>
      <c r="P241" s="72">
        <v>8.0701754385964913E-2</v>
      </c>
      <c r="Q241" s="73" t="s">
        <v>3</v>
      </c>
      <c r="R241" s="101">
        <v>0</v>
      </c>
      <c r="S241" s="75">
        <f t="shared" si="616"/>
        <v>0.2629957553094518</v>
      </c>
      <c r="T241" s="59">
        <f t="shared" si="594"/>
        <v>0.74672549910813402</v>
      </c>
      <c r="U241" s="59">
        <f t="shared" si="595"/>
        <v>0.68447430612767746</v>
      </c>
      <c r="V241" s="59">
        <f t="shared" si="596"/>
        <v>1.125044187492207</v>
      </c>
      <c r="W241" s="59">
        <f t="shared" si="597"/>
        <v>1.5066368951320466</v>
      </c>
      <c r="X241" s="59">
        <f t="shared" si="598"/>
        <v>1.6436616793652856</v>
      </c>
      <c r="Y241" s="100">
        <f>(386.1+442.9)/2*1000</f>
        <v>414500</v>
      </c>
      <c r="Z241" s="57">
        <f t="shared" si="599"/>
        <v>681297.76609691093</v>
      </c>
      <c r="AA241" s="57">
        <f t="shared" si="600"/>
        <v>624500.99303223332</v>
      </c>
      <c r="AB241" s="57">
        <f t="shared" si="713"/>
        <v>772003.09124609886</v>
      </c>
      <c r="AC241" s="57">
        <f t="shared" si="601"/>
        <v>0.25</v>
      </c>
      <c r="AD241" s="57">
        <f t="shared" si="602"/>
        <v>1.5</v>
      </c>
      <c r="AE241" s="57">
        <f t="shared" si="603"/>
        <v>668210.52631578955</v>
      </c>
      <c r="AF241" s="57">
        <f t="shared" si="604"/>
        <v>384710.33945112</v>
      </c>
      <c r="AG241" s="57">
        <f t="shared" si="708"/>
        <v>239790.65358111329</v>
      </c>
      <c r="AH241" s="57">
        <f t="shared" si="714"/>
        <v>1429545543.8024926</v>
      </c>
      <c r="AI241" s="57">
        <f t="shared" si="715"/>
        <v>307461411.50122964</v>
      </c>
      <c r="AJ241" s="77">
        <v>828000</v>
      </c>
      <c r="AK241" s="77">
        <v>27.6</v>
      </c>
      <c r="AL241" s="78">
        <f t="shared" si="605"/>
        <v>2.848719018516352</v>
      </c>
      <c r="AM241" s="57">
        <f t="shared" si="606"/>
        <v>1</v>
      </c>
      <c r="AN241" s="57">
        <f t="shared" si="607"/>
        <v>0.8</v>
      </c>
      <c r="AO241" s="77">
        <v>1500</v>
      </c>
      <c r="AP241" s="79">
        <v>200</v>
      </c>
      <c r="AQ241" s="57">
        <f t="shared" si="608"/>
        <v>105.12179003397412</v>
      </c>
      <c r="AR241" s="78">
        <f t="shared" si="726"/>
        <v>1100</v>
      </c>
      <c r="AS241" s="57">
        <f t="shared" si="609"/>
        <v>1394.8782099660259</v>
      </c>
      <c r="AT241" s="77">
        <v>200</v>
      </c>
      <c r="AU241" s="77">
        <v>2250</v>
      </c>
      <c r="AV241" s="78">
        <f t="shared" si="610"/>
        <v>300000</v>
      </c>
      <c r="AW241" s="77">
        <v>0</v>
      </c>
      <c r="AX241" s="77">
        <f t="shared" si="611"/>
        <v>300000</v>
      </c>
      <c r="AY241" s="77">
        <v>300000</v>
      </c>
      <c r="AZ241" s="77">
        <v>342</v>
      </c>
      <c r="BA241" s="77">
        <v>342</v>
      </c>
      <c r="BB241" s="77">
        <v>449</v>
      </c>
      <c r="BC241" s="77">
        <v>342</v>
      </c>
      <c r="BD241" s="77">
        <v>3.2000000000000002E-3</v>
      </c>
      <c r="BE241" s="77">
        <v>2.8E-3</v>
      </c>
      <c r="BF241" s="77">
        <v>1.2699999999999999E-2</v>
      </c>
      <c r="BG241" s="77">
        <v>9.9000000000000008E-3</v>
      </c>
      <c r="BH241" s="79">
        <v>250</v>
      </c>
      <c r="BI241" s="79">
        <f t="shared" si="739"/>
        <v>78.539816339744831</v>
      </c>
      <c r="BJ241" s="79">
        <v>2</v>
      </c>
      <c r="BK241" s="57">
        <f t="shared" si="709"/>
        <v>157.07963267948966</v>
      </c>
      <c r="BL241" s="57">
        <f t="shared" si="643"/>
        <v>704</v>
      </c>
      <c r="BM241" s="80">
        <f>PI()*13*13/4</f>
        <v>132.73228961416876</v>
      </c>
      <c r="BN241" s="80">
        <v>4</v>
      </c>
      <c r="BO241" s="57">
        <f t="shared" ref="BO241:BO247" si="747">BM241*BN241</f>
        <v>530.92915845667505</v>
      </c>
      <c r="BP241" s="57">
        <f t="shared" si="612"/>
        <v>466330.81571551977</v>
      </c>
      <c r="BQ241" s="77">
        <f t="shared" si="613"/>
        <v>0</v>
      </c>
      <c r="BR241" s="57">
        <f t="shared" si="664"/>
        <v>1049244335.3599194</v>
      </c>
      <c r="BS241" s="57">
        <v>210.24358006794824</v>
      </c>
      <c r="BT241" s="57">
        <f t="shared" si="617"/>
        <v>177.92520731715294</v>
      </c>
      <c r="BU241" s="57"/>
      <c r="BV241" s="57">
        <v>3.3E-3</v>
      </c>
      <c r="BW241" s="57">
        <v>30000</v>
      </c>
      <c r="BX241" s="57">
        <v>200000</v>
      </c>
      <c r="BY241" s="77">
        <f>50</f>
        <v>50</v>
      </c>
      <c r="BZ241" s="77">
        <f>BY241+100</f>
        <v>150</v>
      </c>
      <c r="CA241" s="77">
        <f>BZ241+50</f>
        <v>200</v>
      </c>
      <c r="CB241" s="77">
        <f>CA241+220*1</f>
        <v>420</v>
      </c>
      <c r="CC241" s="77">
        <f>CA241+220*2</f>
        <v>640</v>
      </c>
      <c r="CD241" s="77">
        <f>CA241+220*3</f>
        <v>860</v>
      </c>
      <c r="CE241" s="77">
        <f>CA241+220*4</f>
        <v>1080</v>
      </c>
      <c r="CF241" s="77">
        <f>CA241+220*5</f>
        <v>1300</v>
      </c>
      <c r="CG241" s="77">
        <f>CF241+50</f>
        <v>1350</v>
      </c>
      <c r="CH241" s="77">
        <f>CG241+100</f>
        <v>1450</v>
      </c>
      <c r="DM241" s="77">
        <f>PI()*13*13/4*2</f>
        <v>265.46457922833753</v>
      </c>
      <c r="DN241" s="77">
        <f>PI()*13*13/4*2</f>
        <v>265.46457922833753</v>
      </c>
      <c r="DO241" s="77">
        <f t="shared" ref="DO241:DT242" si="748">PI()*10*10/4*2</f>
        <v>157.07963267948966</v>
      </c>
      <c r="DP241" s="77">
        <f t="shared" si="748"/>
        <v>157.07963267948966</v>
      </c>
      <c r="DQ241" s="77">
        <f t="shared" si="748"/>
        <v>157.07963267948966</v>
      </c>
      <c r="DR241" s="77">
        <f t="shared" si="748"/>
        <v>157.07963267948966</v>
      </c>
      <c r="DS241" s="77">
        <f t="shared" si="748"/>
        <v>157.07963267948966</v>
      </c>
      <c r="DT241" s="77">
        <f t="shared" si="748"/>
        <v>157.07963267948966</v>
      </c>
      <c r="DU241" s="77">
        <f>PI()*13*13/4*2</f>
        <v>265.46457922833753</v>
      </c>
      <c r="DV241" s="77">
        <f>PI()*13*13/4*2</f>
        <v>265.46457922833753</v>
      </c>
      <c r="FA241" s="77">
        <f t="shared" si="720"/>
        <v>-119193.59607352356</v>
      </c>
      <c r="FB241" s="77">
        <f t="shared" si="721"/>
        <v>-50204.026087233877</v>
      </c>
      <c r="FC241" s="77">
        <f t="shared" si="737"/>
        <v>-5051.179893142551</v>
      </c>
      <c r="FD241" s="77">
        <f t="shared" si="727"/>
        <v>53721.234376385466</v>
      </c>
      <c r="FE241" s="77">
        <f t="shared" si="728"/>
        <v>53721.234376385466</v>
      </c>
      <c r="FF241" s="77">
        <f t="shared" ref="FF241:FH242" si="749">IF(ABS(-$BV241*($BS241-CD241)/$BS241*$BX241)&gt;$BA241,$BA241*SIGN(-($BS241-CD241)),-$BV241*($BS241-CD241)/$BS241*$BX241)*DR241</f>
        <v>53721.234376385466</v>
      </c>
      <c r="FG241" s="77">
        <f t="shared" si="749"/>
        <v>53721.234376385466</v>
      </c>
      <c r="FH241" s="77">
        <f t="shared" si="749"/>
        <v>53721.234376385466</v>
      </c>
      <c r="FI241" s="77">
        <f t="shared" ref="FI241:FJ244" si="750">IF(ABS(-$BV241*($BS241-CG241)/$BS241*$BX241)&gt;$BB241,$BB241*SIGN(-($BS241-CG241)),-$BV241*($BS241-CG241)/$BS241*$BX241)*DU241</f>
        <v>119193.59607352356</v>
      </c>
      <c r="FJ241" s="77">
        <f t="shared" si="750"/>
        <v>119193.59607352356</v>
      </c>
      <c r="GO241" s="77">
        <f t="shared" si="696"/>
        <v>83435517.251466483</v>
      </c>
      <c r="GP241" s="77">
        <f t="shared" si="697"/>
        <v>30122415.652340326</v>
      </c>
      <c r="GQ241" s="77">
        <f t="shared" si="698"/>
        <v>2778148.9412284032</v>
      </c>
      <c r="GR241" s="77">
        <f t="shared" si="699"/>
        <v>-17728007.344207205</v>
      </c>
      <c r="GS241" s="77">
        <f t="shared" si="712"/>
        <v>-5909335.7814024016</v>
      </c>
      <c r="GT241" s="77">
        <f t="shared" si="724"/>
        <v>5909335.7814024016</v>
      </c>
      <c r="GU241" s="77">
        <f t="shared" si="725"/>
        <v>17728007.344207205</v>
      </c>
      <c r="GV241" s="77">
        <f t="shared" si="729"/>
        <v>29546678.907012008</v>
      </c>
      <c r="GW241" s="77">
        <f t="shared" ref="GW241:GX247" si="751">FI241*(CG241-0.5*$AO241)</f>
        <v>71516157.644114137</v>
      </c>
      <c r="GX241" s="77">
        <f t="shared" si="751"/>
        <v>83435517.251466483</v>
      </c>
      <c r="IC241" s="82">
        <v>257</v>
      </c>
    </row>
    <row r="242" spans="1:237" s="77" customFormat="1">
      <c r="A242" s="77">
        <v>242</v>
      </c>
      <c r="B242" s="69">
        <v>363</v>
      </c>
      <c r="C242" s="69" t="s">
        <v>256</v>
      </c>
      <c r="D242" s="70" t="s">
        <v>258</v>
      </c>
      <c r="E242" s="70">
        <v>1</v>
      </c>
      <c r="F242" s="70">
        <v>5.1364734299516907E-2</v>
      </c>
      <c r="G242" s="70">
        <v>4.7000000000000002E-3</v>
      </c>
      <c r="H242" s="70">
        <v>2.8000000000000001E-2</v>
      </c>
      <c r="I242" s="70">
        <f>(2.9+2.8)/2/100</f>
        <v>2.8499999999999998E-2</v>
      </c>
      <c r="J242" s="72">
        <v>1.5</v>
      </c>
      <c r="K242" s="72">
        <v>7.5</v>
      </c>
      <c r="L242" s="72">
        <v>3.0232044198895025E-2</v>
      </c>
      <c r="M242" s="72">
        <v>2.6453038674033147E-2</v>
      </c>
      <c r="N242" s="72">
        <v>0.1575220994475138</v>
      </c>
      <c r="O242" s="72">
        <v>0.18611602209944747</v>
      </c>
      <c r="P242" s="72">
        <v>7.6243093922651939E-2</v>
      </c>
      <c r="Q242" s="73" t="s">
        <v>3</v>
      </c>
      <c r="R242" s="101">
        <v>0</v>
      </c>
      <c r="S242" s="75">
        <f t="shared" si="616"/>
        <v>0.25214599073576877</v>
      </c>
      <c r="T242" s="59">
        <f t="shared" si="594"/>
        <v>0.75116605724143948</v>
      </c>
      <c r="U242" s="59">
        <f t="shared" si="595"/>
        <v>0.68447430612767746</v>
      </c>
      <c r="V242" s="59">
        <f t="shared" si="596"/>
        <v>1.1734544934965268</v>
      </c>
      <c r="W242" s="59">
        <f t="shared" si="597"/>
        <v>1.5621772072687725</v>
      </c>
      <c r="X242" s="59">
        <f t="shared" si="598"/>
        <v>1.7143879368316832</v>
      </c>
      <c r="Y242" s="100">
        <f>(369.5+425.3)/2*1000</f>
        <v>397400</v>
      </c>
      <c r="Z242" s="57">
        <f t="shared" si="599"/>
        <v>681297.76609691093</v>
      </c>
      <c r="AA242" s="57">
        <f t="shared" si="600"/>
        <v>620809.2221686102</v>
      </c>
      <c r="AB242" s="57">
        <f t="shared" si="713"/>
        <v>772003.09124609886</v>
      </c>
      <c r="AC242" s="57">
        <f t="shared" si="601"/>
        <v>0.25</v>
      </c>
      <c r="AD242" s="57">
        <f t="shared" si="602"/>
        <v>1.5</v>
      </c>
      <c r="AE242" s="57">
        <f t="shared" si="603"/>
        <v>631292.81767955807</v>
      </c>
      <c r="AF242" s="57">
        <f t="shared" si="604"/>
        <v>381018.56858749688</v>
      </c>
      <c r="AG242" s="57">
        <f t="shared" si="708"/>
        <v>239790.65358111329</v>
      </c>
      <c r="AH242" s="57">
        <f t="shared" si="714"/>
        <v>1429545543.8024926</v>
      </c>
      <c r="AI242" s="57">
        <f t="shared" si="715"/>
        <v>307461411.50122964</v>
      </c>
      <c r="AJ242" s="77">
        <v>828000</v>
      </c>
      <c r="AK242" s="77">
        <v>27.6</v>
      </c>
      <c r="AL242" s="78">
        <f t="shared" si="605"/>
        <v>2.848719018516352</v>
      </c>
      <c r="AM242" s="57">
        <f t="shared" si="606"/>
        <v>1</v>
      </c>
      <c r="AN242" s="57">
        <f t="shared" si="607"/>
        <v>0.8</v>
      </c>
      <c r="AO242" s="77">
        <v>1500</v>
      </c>
      <c r="AP242" s="79">
        <v>200</v>
      </c>
      <c r="AQ242" s="57">
        <f t="shared" si="608"/>
        <v>105.12179003397412</v>
      </c>
      <c r="AR242" s="78">
        <f t="shared" si="726"/>
        <v>1100</v>
      </c>
      <c r="AS242" s="57">
        <f t="shared" si="609"/>
        <v>1394.8782099660259</v>
      </c>
      <c r="AT242" s="77">
        <v>200</v>
      </c>
      <c r="AU242" s="77">
        <v>2250</v>
      </c>
      <c r="AV242" s="78">
        <f t="shared" si="610"/>
        <v>300000</v>
      </c>
      <c r="AW242" s="77">
        <v>0</v>
      </c>
      <c r="AX242" s="77">
        <f t="shared" si="611"/>
        <v>300000</v>
      </c>
      <c r="AY242" s="77">
        <v>300000</v>
      </c>
      <c r="AZ242" s="77">
        <v>342</v>
      </c>
      <c r="BA242" s="77">
        <v>342</v>
      </c>
      <c r="BB242" s="77">
        <v>449</v>
      </c>
      <c r="BC242" s="77">
        <v>342</v>
      </c>
      <c r="BD242" s="77">
        <v>3.2000000000000002E-3</v>
      </c>
      <c r="BE242" s="77">
        <v>2.8E-3</v>
      </c>
      <c r="BF242" s="77">
        <v>1.2699999999999999E-2</v>
      </c>
      <c r="BG242" s="77">
        <v>1.9699999999999999E-2</v>
      </c>
      <c r="BH242" s="79">
        <v>250</v>
      </c>
      <c r="BI242" s="79">
        <f t="shared" si="739"/>
        <v>78.539816339744831</v>
      </c>
      <c r="BJ242" s="79">
        <v>2</v>
      </c>
      <c r="BK242" s="57">
        <f t="shared" si="709"/>
        <v>157.07963267948966</v>
      </c>
      <c r="BL242" s="57">
        <f t="shared" si="643"/>
        <v>704</v>
      </c>
      <c r="BM242" s="80">
        <f>PI()*13*13/4</f>
        <v>132.73228961416876</v>
      </c>
      <c r="BN242" s="80">
        <v>4</v>
      </c>
      <c r="BO242" s="57">
        <f t="shared" si="747"/>
        <v>530.92915845667505</v>
      </c>
      <c r="BP242" s="57">
        <f t="shared" si="612"/>
        <v>466330.81571551977</v>
      </c>
      <c r="BQ242" s="77">
        <f t="shared" si="613"/>
        <v>0</v>
      </c>
      <c r="BR242" s="57">
        <f t="shared" si="664"/>
        <v>1049244335.3599194</v>
      </c>
      <c r="BS242" s="57">
        <v>210.24358006794824</v>
      </c>
      <c r="BT242" s="57">
        <f t="shared" si="617"/>
        <v>168.69948362717631</v>
      </c>
      <c r="BU242" s="57"/>
      <c r="BV242" s="57">
        <v>3.3E-3</v>
      </c>
      <c r="BW242" s="57">
        <v>30000</v>
      </c>
      <c r="BX242" s="57">
        <v>200000</v>
      </c>
      <c r="BY242" s="77">
        <f>50</f>
        <v>50</v>
      </c>
      <c r="BZ242" s="77">
        <f>BY242+100</f>
        <v>150</v>
      </c>
      <c r="CA242" s="77">
        <f>BZ242+50</f>
        <v>200</v>
      </c>
      <c r="CB242" s="77">
        <f>CA242+220*1</f>
        <v>420</v>
      </c>
      <c r="CC242" s="77">
        <f>CA242+220*2</f>
        <v>640</v>
      </c>
      <c r="CD242" s="77">
        <f>CA242+220*3</f>
        <v>860</v>
      </c>
      <c r="CE242" s="77">
        <f>CA242+220*4</f>
        <v>1080</v>
      </c>
      <c r="CF242" s="77">
        <f>CA242+220*5</f>
        <v>1300</v>
      </c>
      <c r="CG242" s="77">
        <f>CF242+50</f>
        <v>1350</v>
      </c>
      <c r="CH242" s="77">
        <f>CG242+100</f>
        <v>1450</v>
      </c>
      <c r="DM242" s="77">
        <f>PI()*13*13/4*2</f>
        <v>265.46457922833753</v>
      </c>
      <c r="DN242" s="77">
        <f>PI()*13*13/4*2</f>
        <v>265.46457922833753</v>
      </c>
      <c r="DO242" s="77">
        <f t="shared" si="748"/>
        <v>157.07963267948966</v>
      </c>
      <c r="DP242" s="77">
        <f t="shared" si="748"/>
        <v>157.07963267948966</v>
      </c>
      <c r="DQ242" s="77">
        <f t="shared" si="748"/>
        <v>157.07963267948966</v>
      </c>
      <c r="DR242" s="77">
        <f t="shared" si="748"/>
        <v>157.07963267948966</v>
      </c>
      <c r="DS242" s="77">
        <f t="shared" si="748"/>
        <v>157.07963267948966</v>
      </c>
      <c r="DT242" s="77">
        <f t="shared" si="748"/>
        <v>157.07963267948966</v>
      </c>
      <c r="DU242" s="77">
        <f>PI()*13*13/4*2</f>
        <v>265.46457922833753</v>
      </c>
      <c r="DV242" s="77">
        <f>PI()*13*13/4*2</f>
        <v>265.46457922833753</v>
      </c>
      <c r="FA242" s="77">
        <f t="shared" si="720"/>
        <v>-119193.59607352356</v>
      </c>
      <c r="FB242" s="77">
        <f t="shared" si="721"/>
        <v>-50204.026087233877</v>
      </c>
      <c r="FC242" s="77">
        <f t="shared" si="737"/>
        <v>-5051.179893142551</v>
      </c>
      <c r="FD242" s="77">
        <f t="shared" si="727"/>
        <v>53721.234376385466</v>
      </c>
      <c r="FE242" s="77">
        <f t="shared" si="728"/>
        <v>53721.234376385466</v>
      </c>
      <c r="FF242" s="77">
        <f t="shared" si="749"/>
        <v>53721.234376385466</v>
      </c>
      <c r="FG242" s="77">
        <f t="shared" si="749"/>
        <v>53721.234376385466</v>
      </c>
      <c r="FH242" s="77">
        <f t="shared" si="749"/>
        <v>53721.234376385466</v>
      </c>
      <c r="FI242" s="77">
        <f t="shared" si="750"/>
        <v>119193.59607352356</v>
      </c>
      <c r="FJ242" s="77">
        <f t="shared" si="750"/>
        <v>119193.59607352356</v>
      </c>
      <c r="GO242" s="77">
        <f t="shared" si="696"/>
        <v>83435517.251466483</v>
      </c>
      <c r="GP242" s="77">
        <f t="shared" si="697"/>
        <v>30122415.652340326</v>
      </c>
      <c r="GQ242" s="77">
        <f t="shared" si="698"/>
        <v>2778148.9412284032</v>
      </c>
      <c r="GR242" s="77">
        <f t="shared" si="699"/>
        <v>-17728007.344207205</v>
      </c>
      <c r="GS242" s="77">
        <f t="shared" si="712"/>
        <v>-5909335.7814024016</v>
      </c>
      <c r="GT242" s="77">
        <f t="shared" si="724"/>
        <v>5909335.7814024016</v>
      </c>
      <c r="GU242" s="77">
        <f t="shared" si="725"/>
        <v>17728007.344207205</v>
      </c>
      <c r="GV242" s="77">
        <f t="shared" si="729"/>
        <v>29546678.907012008</v>
      </c>
      <c r="GW242" s="77">
        <f t="shared" si="751"/>
        <v>71516157.644114137</v>
      </c>
      <c r="GX242" s="77">
        <f t="shared" si="751"/>
        <v>83435517.251466483</v>
      </c>
      <c r="IC242" s="82">
        <v>258</v>
      </c>
    </row>
    <row r="243" spans="1:237" s="77" customFormat="1">
      <c r="A243" s="77">
        <v>243</v>
      </c>
      <c r="B243" s="69">
        <v>364</v>
      </c>
      <c r="C243" s="69" t="s">
        <v>256</v>
      </c>
      <c r="D243" s="70" t="s">
        <v>259</v>
      </c>
      <c r="E243" s="70">
        <v>1</v>
      </c>
      <c r="F243" s="70">
        <v>6.8862111353831454E-2</v>
      </c>
      <c r="G243" s="70">
        <v>5.0499999999999998E-3</v>
      </c>
      <c r="H243" s="70">
        <v>1.7999999999999999E-2</v>
      </c>
      <c r="I243" s="70">
        <f>(2.8+1.8)/2/100</f>
        <v>2.3E-2</v>
      </c>
      <c r="J243" s="72">
        <v>1.5</v>
      </c>
      <c r="K243" s="72">
        <v>12</v>
      </c>
      <c r="L243" s="72">
        <v>3.6534124629080116E-2</v>
      </c>
      <c r="M243" s="72">
        <v>2.8415430267062312E-2</v>
      </c>
      <c r="N243" s="72">
        <v>0.10046884272997032</v>
      </c>
      <c r="O243" s="72">
        <v>9.5394658753709199E-2</v>
      </c>
      <c r="P243" s="72">
        <v>8.1898865263314913E-2</v>
      </c>
      <c r="Q243" s="73" t="s">
        <v>28</v>
      </c>
      <c r="R243" s="101">
        <v>0.2373300370828183</v>
      </c>
      <c r="S243" s="75">
        <f t="shared" si="616"/>
        <v>0.33308109844995509</v>
      </c>
      <c r="T243" s="59">
        <f t="shared" si="594"/>
        <v>0.97924604693781059</v>
      </c>
      <c r="U243" s="59">
        <f t="shared" si="595"/>
        <v>0.85389993683618015</v>
      </c>
      <c r="V243" s="59">
        <f t="shared" si="596"/>
        <v>1.122568924507531</v>
      </c>
      <c r="W243" s="59">
        <f t="shared" si="597"/>
        <v>1.1463604351714298</v>
      </c>
      <c r="X243" s="59">
        <f t="shared" si="598"/>
        <v>1.3146375542160214</v>
      </c>
      <c r="Y243" s="100">
        <f>(296+351.8)/2*1000</f>
        <v>323900</v>
      </c>
      <c r="Z243" s="57">
        <f t="shared" si="599"/>
        <v>425811.10381056933</v>
      </c>
      <c r="AA243" s="57">
        <f t="shared" si="600"/>
        <v>371306.14495202614</v>
      </c>
      <c r="AB243" s="57">
        <f t="shared" si="713"/>
        <v>578766.6364199426</v>
      </c>
      <c r="AC243" s="57">
        <f t="shared" si="601"/>
        <v>0.25</v>
      </c>
      <c r="AD243" s="57">
        <f t="shared" si="602"/>
        <v>1.5</v>
      </c>
      <c r="AE243" s="57">
        <f t="shared" si="603"/>
        <v>418401.6469026127</v>
      </c>
      <c r="AF243" s="57">
        <f t="shared" si="604"/>
        <v>224044.39126415085</v>
      </c>
      <c r="AG243" s="57">
        <f t="shared" si="708"/>
        <v>147261.75368787529</v>
      </c>
      <c r="AH243" s="57">
        <f t="shared" si="714"/>
        <v>1035505323.4516828</v>
      </c>
      <c r="AI243" s="57">
        <f t="shared" si="715"/>
        <v>266719608.4931882</v>
      </c>
      <c r="AJ243" s="77">
        <v>669852</v>
      </c>
      <c r="AK243" s="77">
        <v>27.6</v>
      </c>
      <c r="AL243" s="78">
        <f t="shared" si="605"/>
        <v>2.848719018516352</v>
      </c>
      <c r="AM243" s="57">
        <f t="shared" si="606"/>
        <v>1</v>
      </c>
      <c r="AN243" s="57">
        <f t="shared" si="607"/>
        <v>0.8</v>
      </c>
      <c r="AO243" s="77">
        <v>1500</v>
      </c>
      <c r="AP243" s="79">
        <v>240</v>
      </c>
      <c r="AQ243" s="57">
        <f t="shared" si="608"/>
        <v>129.38970597622836</v>
      </c>
      <c r="AR243" s="78">
        <f t="shared" si="726"/>
        <v>1020</v>
      </c>
      <c r="AS243" s="57">
        <f t="shared" si="609"/>
        <v>1370.6102940237715</v>
      </c>
      <c r="AT243" s="77">
        <v>125</v>
      </c>
      <c r="AU243" s="77">
        <v>2250</v>
      </c>
      <c r="AV243" s="78">
        <f t="shared" si="610"/>
        <v>127500</v>
      </c>
      <c r="AW243" s="77">
        <f>240*240*2</f>
        <v>115200</v>
      </c>
      <c r="AX243" s="77">
        <f t="shared" si="611"/>
        <v>187500</v>
      </c>
      <c r="AY243" s="77">
        <v>185100</v>
      </c>
      <c r="AZ243" s="77">
        <v>342</v>
      </c>
      <c r="BA243" s="77">
        <v>342</v>
      </c>
      <c r="BB243" s="77">
        <v>342</v>
      </c>
      <c r="BC243" s="77">
        <v>342</v>
      </c>
      <c r="BD243" s="77">
        <v>3.5999999999999999E-3</v>
      </c>
      <c r="BE243" s="77">
        <v>2.8E-3</v>
      </c>
      <c r="BF243" s="77">
        <v>9.9000000000000008E-3</v>
      </c>
      <c r="BG243" s="77">
        <v>9.4000000000000004E-3</v>
      </c>
      <c r="BH243" s="79">
        <v>400</v>
      </c>
      <c r="BI243" s="79">
        <f t="shared" si="739"/>
        <v>78.539816339744831</v>
      </c>
      <c r="BJ243" s="79">
        <v>2</v>
      </c>
      <c r="BK243" s="57">
        <f t="shared" si="709"/>
        <v>157.07963267948966</v>
      </c>
      <c r="BL243" s="57">
        <f t="shared" si="643"/>
        <v>458.99999999999994</v>
      </c>
      <c r="BM243" s="80">
        <f>PI()*10*10/4</f>
        <v>78.539816339744831</v>
      </c>
      <c r="BN243" s="80">
        <v>8</v>
      </c>
      <c r="BO243" s="57">
        <f t="shared" si="747"/>
        <v>628.31853071795865</v>
      </c>
      <c r="BP243" s="57">
        <f t="shared" si="612"/>
        <v>363600.0746479893</v>
      </c>
      <c r="BQ243" s="77">
        <f t="shared" si="613"/>
        <v>6.1118043959140778E-10</v>
      </c>
      <c r="BR243" s="57">
        <f t="shared" si="664"/>
        <v>818100167.95797598</v>
      </c>
      <c r="BS243" s="57">
        <v>258.77941195245671</v>
      </c>
      <c r="BT243" s="57">
        <f t="shared" si="617"/>
        <v>195.64896767544965</v>
      </c>
      <c r="BU243" s="57"/>
      <c r="BV243" s="57">
        <v>3.3E-3</v>
      </c>
      <c r="BW243" s="57">
        <v>30000</v>
      </c>
      <c r="BX243" s="57">
        <v>200000</v>
      </c>
      <c r="BY243" s="77">
        <f>20</f>
        <v>20</v>
      </c>
      <c r="BZ243" s="77">
        <f>BY243+100</f>
        <v>120</v>
      </c>
      <c r="CA243" s="77">
        <f>BY243+100*2</f>
        <v>220</v>
      </c>
      <c r="CB243" s="77">
        <f>240+30</f>
        <v>270</v>
      </c>
      <c r="CC243" s="77">
        <f>CB243+320*1</f>
        <v>590</v>
      </c>
      <c r="CD243" s="77">
        <f>CB243+320*2</f>
        <v>910</v>
      </c>
      <c r="CE243" s="77">
        <f>CB243+320*3</f>
        <v>1230</v>
      </c>
      <c r="CF243" s="77">
        <f>CE243+30+20</f>
        <v>1280</v>
      </c>
      <c r="CG243" s="77">
        <f>CF243+100</f>
        <v>1380</v>
      </c>
      <c r="CH243" s="77">
        <f>CF243+100*2</f>
        <v>1480</v>
      </c>
      <c r="DM243" s="77">
        <f>PI()*10*10/4*3</f>
        <v>235.61944901923448</v>
      </c>
      <c r="DN243" s="77">
        <f>PI()*10*10/4*2</f>
        <v>157.07963267948966</v>
      </c>
      <c r="DO243" s="77">
        <f>PI()*10*10/4*3</f>
        <v>235.61944901923448</v>
      </c>
      <c r="DP243" s="77">
        <f t="shared" ref="DP243:DS244" si="752">PI()*10*10/4*2</f>
        <v>157.07963267948966</v>
      </c>
      <c r="DQ243" s="77">
        <f t="shared" si="752"/>
        <v>157.07963267948966</v>
      </c>
      <c r="DR243" s="77">
        <f t="shared" si="752"/>
        <v>157.07963267948966</v>
      </c>
      <c r="DS243" s="77">
        <f t="shared" si="752"/>
        <v>157.07963267948966</v>
      </c>
      <c r="DT243" s="77">
        <f>PI()*10*10/4*3</f>
        <v>235.61944901923448</v>
      </c>
      <c r="DU243" s="77">
        <f>PI()*10*10/4*2</f>
        <v>157.07963267948966</v>
      </c>
      <c r="DV243" s="77">
        <f>PI()*10*10/4*3</f>
        <v>235.61944901923448</v>
      </c>
      <c r="FA243" s="77">
        <f t="shared" si="720"/>
        <v>-80581.851564578188</v>
      </c>
      <c r="FB243" s="77">
        <f t="shared" si="721"/>
        <v>-53721.234376385466</v>
      </c>
      <c r="FC243" s="77">
        <f>IF(ABS(-$BV243*($BS243-CA243)/$BS243*$BX243)&gt;$BB243,$BB243*SIGN(-($BS243-CA243)),-$BV243*($BS243-CA243)/$BS243*$BX243)*DO243</f>
        <v>-23303.790597824936</v>
      </c>
      <c r="FD243" s="77">
        <f t="shared" si="727"/>
        <v>4495.2071400666846</v>
      </c>
      <c r="FE243" s="77">
        <f t="shared" si="728"/>
        <v>53721.234376385466</v>
      </c>
      <c r="FF243" s="77">
        <f t="shared" ref="FF243:FF266" si="753">IF(ABS(-$BV243*($BS243-CD243)/$BS243*$BX243)&gt;$BA243,$BA243*SIGN(-($BS243-CD243)),-$BV243*($BS243-CD243)/$BS243*$BX243)*DR243</f>
        <v>53721.234376385466</v>
      </c>
      <c r="FG243" s="77">
        <f t="shared" ref="FG243:FG266" si="754">IF(ABS(-$BV243*($BS243-CE243)/$BS243*$BX243)&gt;$BA243,$BA243*SIGN(-($BS243-CE243)),-$BV243*($BS243-CE243)/$BS243*$BX243)*DS243</f>
        <v>53721.234376385466</v>
      </c>
      <c r="FH243" s="77">
        <f>IF(ABS(-$BV243*($BS243-CF243)/$BS243*$BX243)&gt;$BB243,$BB243*SIGN(-($BS243-CF243)),-$BV243*($BS243-CF243)/$BS243*$BX243)*DT243</f>
        <v>80581.851564578188</v>
      </c>
      <c r="FI243" s="77">
        <f t="shared" si="750"/>
        <v>53721.234376385466</v>
      </c>
      <c r="FJ243" s="77">
        <f t="shared" si="750"/>
        <v>80581.851564578188</v>
      </c>
      <c r="GO243" s="77">
        <f t="shared" si="696"/>
        <v>58824751.64214208</v>
      </c>
      <c r="GP243" s="77">
        <f t="shared" si="697"/>
        <v>33844377.657122843</v>
      </c>
      <c r="GQ243" s="77">
        <f t="shared" si="698"/>
        <v>12351009.016847216</v>
      </c>
      <c r="GR243" s="77">
        <f t="shared" si="699"/>
        <v>-2157699.4272320084</v>
      </c>
      <c r="GS243" s="77">
        <f t="shared" si="712"/>
        <v>-8595397.5002216753</v>
      </c>
      <c r="GT243" s="77">
        <f t="shared" si="724"/>
        <v>8595397.5002216753</v>
      </c>
      <c r="GU243" s="77">
        <f t="shared" si="725"/>
        <v>25786192.500665024</v>
      </c>
      <c r="GV243" s="77">
        <f t="shared" si="729"/>
        <v>42708381.329226442</v>
      </c>
      <c r="GW243" s="77">
        <f t="shared" si="751"/>
        <v>33844377.657122843</v>
      </c>
      <c r="GX243" s="77">
        <f t="shared" si="751"/>
        <v>58824751.64214208</v>
      </c>
      <c r="IC243" s="82">
        <v>259</v>
      </c>
    </row>
    <row r="244" spans="1:237" s="77" customFormat="1">
      <c r="A244" s="77">
        <v>244</v>
      </c>
      <c r="B244" s="69">
        <v>365</v>
      </c>
      <c r="C244" s="69" t="s">
        <v>260</v>
      </c>
      <c r="D244" s="70" t="s">
        <v>261</v>
      </c>
      <c r="E244" s="70">
        <v>1</v>
      </c>
      <c r="F244" s="70">
        <v>5.1243961352657005E-2</v>
      </c>
      <c r="G244" s="70">
        <v>5.4000000000000003E-3</v>
      </c>
      <c r="H244" s="70">
        <v>1.4E-2</v>
      </c>
      <c r="I244" s="70">
        <v>2.1000000000000001E-2</v>
      </c>
      <c r="J244" s="72">
        <v>1.5</v>
      </c>
      <c r="K244" s="72">
        <v>7.5</v>
      </c>
      <c r="L244" s="72">
        <v>3.326443768996961E-2</v>
      </c>
      <c r="M244" s="72">
        <v>2.9106382978723404E-2</v>
      </c>
      <c r="N244" s="72">
        <v>0.17332218844984804</v>
      </c>
      <c r="O244" s="72">
        <v>0</v>
      </c>
      <c r="P244" s="72">
        <v>8.389057750759879E-2</v>
      </c>
      <c r="Q244" s="73" t="s">
        <v>3</v>
      </c>
      <c r="R244" s="101">
        <v>0</v>
      </c>
      <c r="S244" s="75">
        <f t="shared" si="616"/>
        <v>0.24995700314634151</v>
      </c>
      <c r="T244" s="59">
        <f t="shared" si="594"/>
        <v>0.74358168889596166</v>
      </c>
      <c r="U244" s="59">
        <f t="shared" si="595"/>
        <v>0.68447430612767746</v>
      </c>
      <c r="V244" s="59">
        <f t="shared" si="596"/>
        <v>1.183730970213275</v>
      </c>
      <c r="W244" s="59">
        <f t="shared" si="597"/>
        <v>1.5919313074678159</v>
      </c>
      <c r="X244" s="59">
        <f t="shared" si="598"/>
        <v>1.7294016146640712</v>
      </c>
      <c r="Y244" s="100">
        <f>(363.6+424.3)/2*1000</f>
        <v>393950.00000000006</v>
      </c>
      <c r="Z244" s="57">
        <f t="shared" si="599"/>
        <v>681297.76609691093</v>
      </c>
      <c r="AA244" s="57">
        <f t="shared" si="600"/>
        <v>627141.33857694617</v>
      </c>
      <c r="AB244" s="57">
        <f t="shared" si="713"/>
        <v>622364.69749026618</v>
      </c>
      <c r="AC244" s="57">
        <f t="shared" si="601"/>
        <v>0.25</v>
      </c>
      <c r="AD244" s="57">
        <f t="shared" si="602"/>
        <v>1.5</v>
      </c>
      <c r="AE244" s="57">
        <f t="shared" si="603"/>
        <v>694613.98176291806</v>
      </c>
      <c r="AF244" s="57">
        <f t="shared" si="604"/>
        <v>387350.68499583285</v>
      </c>
      <c r="AG244" s="57">
        <f t="shared" si="708"/>
        <v>239790.65358111329</v>
      </c>
      <c r="AH244" s="57">
        <f t="shared" si="714"/>
        <v>1092859157.8518693</v>
      </c>
      <c r="AI244" s="57">
        <f t="shared" si="715"/>
        <v>307461411.50122964</v>
      </c>
      <c r="AJ244" s="77">
        <v>828000</v>
      </c>
      <c r="AK244" s="77">
        <v>27.6</v>
      </c>
      <c r="AL244" s="78">
        <f t="shared" si="605"/>
        <v>2.848719018516352</v>
      </c>
      <c r="AM244" s="57">
        <f t="shared" si="606"/>
        <v>1</v>
      </c>
      <c r="AN244" s="57">
        <f t="shared" si="607"/>
        <v>0.8</v>
      </c>
      <c r="AO244" s="77">
        <v>1500</v>
      </c>
      <c r="AP244" s="79">
        <v>150</v>
      </c>
      <c r="AQ244" s="57">
        <f t="shared" si="608"/>
        <v>105.12179003397412</v>
      </c>
      <c r="AR244" s="78">
        <f t="shared" si="726"/>
        <v>1200</v>
      </c>
      <c r="AS244" s="57">
        <f t="shared" si="609"/>
        <v>1394.8782099660259</v>
      </c>
      <c r="AT244" s="77">
        <v>200</v>
      </c>
      <c r="AU244" s="77">
        <v>2250</v>
      </c>
      <c r="AV244" s="78">
        <f t="shared" si="610"/>
        <v>300000</v>
      </c>
      <c r="AW244" s="77">
        <v>0</v>
      </c>
      <c r="AX244" s="77">
        <f t="shared" si="611"/>
        <v>300000</v>
      </c>
      <c r="AY244" s="77">
        <v>300000</v>
      </c>
      <c r="AZ244" s="77">
        <v>342</v>
      </c>
      <c r="BA244" s="77">
        <v>342</v>
      </c>
      <c r="BB244" s="77">
        <v>449</v>
      </c>
      <c r="BC244" s="77">
        <v>0</v>
      </c>
      <c r="BD244" s="77">
        <v>3.2000000000000002E-3</v>
      </c>
      <c r="BE244" s="77">
        <v>2.8E-3</v>
      </c>
      <c r="BF244" s="77">
        <v>1.2699999999999999E-2</v>
      </c>
      <c r="BG244" s="77">
        <v>0</v>
      </c>
      <c r="BH244" s="79">
        <v>250</v>
      </c>
      <c r="BI244" s="79">
        <f t="shared" si="739"/>
        <v>78.539816339744831</v>
      </c>
      <c r="BJ244" s="79">
        <v>2</v>
      </c>
      <c r="BK244" s="57">
        <f t="shared" si="709"/>
        <v>157.07963267948966</v>
      </c>
      <c r="BL244" s="57">
        <f t="shared" si="643"/>
        <v>768.00000000000011</v>
      </c>
      <c r="BM244" s="80">
        <f>PI()*13*13/4</f>
        <v>132.73228961416876</v>
      </c>
      <c r="BN244" s="80">
        <v>4</v>
      </c>
      <c r="BO244" s="57">
        <f t="shared" si="747"/>
        <v>530.92915845667505</v>
      </c>
      <c r="BP244" s="57">
        <f t="shared" si="612"/>
        <v>466330.81571551977</v>
      </c>
      <c r="BQ244" s="77">
        <f t="shared" si="613"/>
        <v>0</v>
      </c>
      <c r="BR244" s="57">
        <f t="shared" si="664"/>
        <v>1049244335.3599194</v>
      </c>
      <c r="BS244" s="57">
        <v>210.24358006794824</v>
      </c>
      <c r="BT244" s="57">
        <f t="shared" si="617"/>
        <v>181.78852033470943</v>
      </c>
      <c r="BU244" s="57"/>
      <c r="BV244" s="57">
        <v>3.3E-3</v>
      </c>
      <c r="BW244" s="57">
        <v>30000</v>
      </c>
      <c r="BX244" s="57">
        <v>200000</v>
      </c>
      <c r="BY244" s="77">
        <f>50</f>
        <v>50</v>
      </c>
      <c r="BZ244" s="77">
        <f>BY244+100</f>
        <v>150</v>
      </c>
      <c r="CA244" s="77">
        <f>BZ244+50</f>
        <v>200</v>
      </c>
      <c r="CB244" s="77">
        <f>CA244+220*1</f>
        <v>420</v>
      </c>
      <c r="CC244" s="77">
        <f>CA244+220*2</f>
        <v>640</v>
      </c>
      <c r="CD244" s="77">
        <f>CA244+220*3</f>
        <v>860</v>
      </c>
      <c r="CE244" s="77">
        <f>CA244+220*4</f>
        <v>1080</v>
      </c>
      <c r="CF244" s="77">
        <f>CA244+220*5</f>
        <v>1300</v>
      </c>
      <c r="CG244" s="77">
        <f>CF244+50</f>
        <v>1350</v>
      </c>
      <c r="CH244" s="77">
        <f>CG244+100</f>
        <v>1450</v>
      </c>
      <c r="DM244" s="77">
        <f>PI()*13*13/4*2</f>
        <v>265.46457922833753</v>
      </c>
      <c r="DN244" s="77">
        <f>PI()*13*13/4*2</f>
        <v>265.46457922833753</v>
      </c>
      <c r="DO244" s="77">
        <f>PI()*10*10/4*2</f>
        <v>157.07963267948966</v>
      </c>
      <c r="DP244" s="77">
        <f t="shared" si="752"/>
        <v>157.07963267948966</v>
      </c>
      <c r="DQ244" s="77">
        <f t="shared" si="752"/>
        <v>157.07963267948966</v>
      </c>
      <c r="DR244" s="77">
        <f t="shared" si="752"/>
        <v>157.07963267948966</v>
      </c>
      <c r="DS244" s="77">
        <f t="shared" si="752"/>
        <v>157.07963267948966</v>
      </c>
      <c r="DT244" s="77">
        <f>PI()*10*10/4*2</f>
        <v>157.07963267948966</v>
      </c>
      <c r="DU244" s="77">
        <f>PI()*13*13/4*2</f>
        <v>265.46457922833753</v>
      </c>
      <c r="DV244" s="77">
        <f>PI()*13*13/4*2</f>
        <v>265.46457922833753</v>
      </c>
      <c r="FA244" s="77">
        <f t="shared" si="720"/>
        <v>-119193.59607352356</v>
      </c>
      <c r="FB244" s="77">
        <f t="shared" si="721"/>
        <v>-50204.026087233877</v>
      </c>
      <c r="FC244" s="77">
        <f t="shared" ref="FC244:FC256" si="755">IF(ABS(-$BV244*($BS244-CA244)/$BS244*$BX244)&gt;$BA244,$BA244*SIGN(-($BS244-CA244)),-$BV244*($BS244-CA244)/$BS244*$BX244)*DO244</f>
        <v>-5051.179893142551</v>
      </c>
      <c r="FD244" s="77">
        <f t="shared" si="727"/>
        <v>53721.234376385466</v>
      </c>
      <c r="FE244" s="77">
        <f t="shared" si="728"/>
        <v>53721.234376385466</v>
      </c>
      <c r="FF244" s="77">
        <f t="shared" si="753"/>
        <v>53721.234376385466</v>
      </c>
      <c r="FG244" s="77">
        <f t="shared" si="754"/>
        <v>53721.234376385466</v>
      </c>
      <c r="FH244" s="77">
        <f t="shared" ref="FH244:FH260" si="756">IF(ABS(-$BV244*($BS244-CF244)/$BS244*$BX244)&gt;$BA244,$BA244*SIGN(-($BS244-CF244)),-$BV244*($BS244-CF244)/$BS244*$BX244)*DT244</f>
        <v>53721.234376385466</v>
      </c>
      <c r="FI244" s="77">
        <f t="shared" si="750"/>
        <v>119193.59607352356</v>
      </c>
      <c r="FJ244" s="77">
        <f t="shared" si="750"/>
        <v>119193.59607352356</v>
      </c>
      <c r="GO244" s="77">
        <f t="shared" si="696"/>
        <v>83435517.251466483</v>
      </c>
      <c r="GP244" s="77">
        <f t="shared" si="697"/>
        <v>30122415.652340326</v>
      </c>
      <c r="GQ244" s="77">
        <f t="shared" si="698"/>
        <v>2778148.9412284032</v>
      </c>
      <c r="GR244" s="77">
        <f t="shared" si="699"/>
        <v>-17728007.344207205</v>
      </c>
      <c r="GS244" s="77">
        <f t="shared" si="712"/>
        <v>-5909335.7814024016</v>
      </c>
      <c r="GT244" s="77">
        <f t="shared" si="724"/>
        <v>5909335.7814024016</v>
      </c>
      <c r="GU244" s="77">
        <f t="shared" si="725"/>
        <v>17728007.344207205</v>
      </c>
      <c r="GV244" s="77">
        <f t="shared" si="729"/>
        <v>29546678.907012008</v>
      </c>
      <c r="GW244" s="77">
        <f t="shared" si="751"/>
        <v>71516157.644114137</v>
      </c>
      <c r="GX244" s="77">
        <f t="shared" si="751"/>
        <v>83435517.251466483</v>
      </c>
      <c r="IC244" s="82">
        <v>260</v>
      </c>
    </row>
    <row r="245" spans="1:237" s="77" customFormat="1">
      <c r="A245" s="77">
        <v>245</v>
      </c>
      <c r="B245" s="69">
        <v>366</v>
      </c>
      <c r="C245" s="69" t="s">
        <v>262</v>
      </c>
      <c r="D245" s="70" t="s">
        <v>263</v>
      </c>
      <c r="E245" s="70">
        <v>3</v>
      </c>
      <c r="F245" s="70">
        <v>0.11829460734255905</v>
      </c>
      <c r="G245" s="70"/>
      <c r="H245" s="70">
        <v>5.5148515E-3</v>
      </c>
      <c r="I245" s="87">
        <v>7.4257426000000001E-3</v>
      </c>
      <c r="J245" s="72">
        <v>0.81109185441941078</v>
      </c>
      <c r="K245" s="72">
        <v>38.466666666666669</v>
      </c>
      <c r="L245" s="72">
        <v>0.22025345622119819</v>
      </c>
      <c r="M245" s="72">
        <v>0.20352534562211982</v>
      </c>
      <c r="N245" s="72">
        <v>8.9216589861751169E-2</v>
      </c>
      <c r="O245" s="72">
        <v>2.7880184331797234E-2</v>
      </c>
      <c r="P245" s="72">
        <v>6.9565731572798578E-2</v>
      </c>
      <c r="Q245" s="73" t="s">
        <v>243</v>
      </c>
      <c r="R245" s="101">
        <v>0.36390225492971034</v>
      </c>
      <c r="S245" s="75">
        <f t="shared" si="616"/>
        <v>0.54192718914368021</v>
      </c>
      <c r="T245" s="59">
        <f t="shared" si="594"/>
        <v>1.8689608991351643</v>
      </c>
      <c r="U245" s="59">
        <f t="shared" si="595"/>
        <v>1.3344810472141782</v>
      </c>
      <c r="V245" s="59">
        <f t="shared" si="596"/>
        <v>1.3500329286086079</v>
      </c>
      <c r="W245" s="59">
        <f t="shared" si="597"/>
        <v>0.72234412674621329</v>
      </c>
      <c r="X245" s="59">
        <f t="shared" si="598"/>
        <v>1.011653879556323</v>
      </c>
      <c r="Y245" s="100">
        <f>(1298+1255)/2*1000</f>
        <v>1276500</v>
      </c>
      <c r="Z245" s="57">
        <f t="shared" si="599"/>
        <v>1291376.1772536463</v>
      </c>
      <c r="AA245" s="57">
        <f t="shared" si="600"/>
        <v>922072.2777915413</v>
      </c>
      <c r="AB245" s="57">
        <f t="shared" si="713"/>
        <v>887322.43862608681</v>
      </c>
      <c r="AC245" s="57">
        <f t="shared" si="601"/>
        <v>0.25</v>
      </c>
      <c r="AD245" s="57">
        <f t="shared" si="602"/>
        <v>1.5</v>
      </c>
      <c r="AE245" s="57">
        <f t="shared" si="603"/>
        <v>763317.29408434755</v>
      </c>
      <c r="AF245" s="57">
        <f t="shared" si="604"/>
        <v>227968.99132024974</v>
      </c>
      <c r="AG245" s="57">
        <f t="shared" si="708"/>
        <v>694103.28647129156</v>
      </c>
      <c r="AH245" s="57">
        <f t="shared" si="714"/>
        <v>395962590.80765069</v>
      </c>
      <c r="AI245" s="57">
        <f t="shared" si="715"/>
        <v>1396428735.2170446</v>
      </c>
      <c r="AJ245" s="77">
        <v>1200000.0000000002</v>
      </c>
      <c r="AK245" s="77">
        <v>21.7</v>
      </c>
      <c r="AL245" s="78">
        <f t="shared" si="605"/>
        <v>2.4957580091767948</v>
      </c>
      <c r="AM245" s="57">
        <f t="shared" si="606"/>
        <v>1</v>
      </c>
      <c r="AN245" s="57">
        <f t="shared" si="607"/>
        <v>0.8</v>
      </c>
      <c r="AO245" s="77">
        <v>3075</v>
      </c>
      <c r="AP245" s="79">
        <v>95</v>
      </c>
      <c r="AQ245" s="57">
        <f t="shared" si="608"/>
        <v>466.50014030139454</v>
      </c>
      <c r="AR245" s="78">
        <f t="shared" si="726"/>
        <v>2885</v>
      </c>
      <c r="AS245" s="57">
        <f t="shared" si="609"/>
        <v>2608.4998596986056</v>
      </c>
      <c r="AT245" s="77">
        <v>75</v>
      </c>
      <c r="AU245" s="77">
        <v>2020</v>
      </c>
      <c r="AV245" s="78">
        <f t="shared" si="610"/>
        <v>216375</v>
      </c>
      <c r="AW245" s="77">
        <f>3045*95*2</f>
        <v>578550</v>
      </c>
      <c r="AX245" s="77">
        <f t="shared" si="611"/>
        <v>230625</v>
      </c>
      <c r="AY245" s="77">
        <v>505650</v>
      </c>
      <c r="AZ245" s="77">
        <v>605</v>
      </c>
      <c r="BA245" s="77">
        <v>605</v>
      </c>
      <c r="BB245" s="77">
        <v>605</v>
      </c>
      <c r="BC245" s="77">
        <v>605</v>
      </c>
      <c r="BD245" s="77">
        <f>PI()*6*6/4*2/(95*130)</f>
        <v>4.5788394951106299E-3</v>
      </c>
      <c r="BE245" s="77">
        <f>PI()*7*7/4*2/(75*140)</f>
        <v>7.3303828583761834E-3</v>
      </c>
      <c r="BF245" s="77">
        <f>PI()*6*6/4*28/(3045*95)</f>
        <v>2.7367776292615258E-3</v>
      </c>
      <c r="BG245" s="77">
        <v>0</v>
      </c>
      <c r="BH245" s="79">
        <v>140</v>
      </c>
      <c r="BI245" s="79">
        <f>PI()*7*7/4</f>
        <v>38.484510006474963</v>
      </c>
      <c r="BJ245" s="79">
        <v>2</v>
      </c>
      <c r="BK245" s="57">
        <f t="shared" si="709"/>
        <v>76.969020012949926</v>
      </c>
      <c r="BL245" s="57">
        <f t="shared" si="643"/>
        <v>990.74639575456251</v>
      </c>
      <c r="BM245" s="80">
        <f>PI()*7*7/4</f>
        <v>38.484510006474963</v>
      </c>
      <c r="BN245" s="80">
        <v>28</v>
      </c>
      <c r="BO245" s="57">
        <f t="shared" si="747"/>
        <v>1077.5662801812989</v>
      </c>
      <c r="BP245" s="57">
        <f t="shared" si="612"/>
        <v>1723317.0333688881</v>
      </c>
      <c r="BQ245" s="77">
        <f t="shared" si="613"/>
        <v>-3.8999132812023163E-9</v>
      </c>
      <c r="BR245" s="57">
        <f t="shared" si="664"/>
        <v>3481100407.4051538</v>
      </c>
      <c r="BS245" s="57">
        <v>933.00028060278908</v>
      </c>
      <c r="BT245" s="57">
        <f t="shared" si="617"/>
        <v>1263.7430137535789</v>
      </c>
      <c r="BU245" s="57"/>
      <c r="BV245" s="57">
        <v>3.3E-3</v>
      </c>
      <c r="BW245" s="57">
        <v>30000</v>
      </c>
      <c r="BX245" s="57">
        <v>200000</v>
      </c>
      <c r="BY245" s="77">
        <f>20</f>
        <v>20</v>
      </c>
      <c r="BZ245" s="77">
        <f>BY245+95-40</f>
        <v>75</v>
      </c>
      <c r="CA245" s="77">
        <f>BZ245+20+12.5</f>
        <v>107.5</v>
      </c>
      <c r="CB245" s="77">
        <f>CA245+130*1</f>
        <v>237.5</v>
      </c>
      <c r="CC245" s="77">
        <f>CA245+130*2</f>
        <v>367.5</v>
      </c>
      <c r="CD245" s="77">
        <f>CA245+130*3</f>
        <v>497.5</v>
      </c>
      <c r="CE245" s="77">
        <f>CA245+130*4</f>
        <v>627.5</v>
      </c>
      <c r="CF245" s="77">
        <f>CA245+130*5</f>
        <v>757.5</v>
      </c>
      <c r="CG245" s="77">
        <f>CA245+130*6</f>
        <v>887.5</v>
      </c>
      <c r="CH245" s="77">
        <f>CA245+130*7</f>
        <v>1017.5</v>
      </c>
      <c r="CI245" s="77">
        <f>CA245+130*8</f>
        <v>1147.5</v>
      </c>
      <c r="CJ245" s="77">
        <f>CA245+130*9</f>
        <v>1277.5</v>
      </c>
      <c r="CK245" s="77">
        <f>CA245+130*10</f>
        <v>1407.5</v>
      </c>
      <c r="CL245" s="77">
        <f>CA245+130*11</f>
        <v>1537.5</v>
      </c>
      <c r="CM245" s="77">
        <f>CA245+130*12</f>
        <v>1667.5</v>
      </c>
      <c r="CN245" s="77">
        <f>CA245+130*13</f>
        <v>1797.5</v>
      </c>
      <c r="CO245" s="77">
        <f>CA245+130*14</f>
        <v>1927.5</v>
      </c>
      <c r="CP245" s="77">
        <f>CA245+130*15</f>
        <v>2057.5</v>
      </c>
      <c r="CQ245" s="77">
        <f>CA245+130*16</f>
        <v>2187.5</v>
      </c>
      <c r="CR245" s="77">
        <f>CA245+130*17</f>
        <v>2317.5</v>
      </c>
      <c r="CS245" s="77">
        <f>CA245+130*18</f>
        <v>2447.5</v>
      </c>
      <c r="CT245" s="77">
        <f>CA245+130*19</f>
        <v>2577.5</v>
      </c>
      <c r="CU245" s="77">
        <f>CA245+130*20</f>
        <v>2707.5</v>
      </c>
      <c r="CV245" s="77">
        <f>CA245+130*21</f>
        <v>2837.5</v>
      </c>
      <c r="CW245" s="77">
        <f>CA245+130*22</f>
        <v>2967.5</v>
      </c>
      <c r="CX245" s="77">
        <f>CW245+12.5+20</f>
        <v>3000</v>
      </c>
      <c r="CY245" s="77">
        <f>CX245+95-40</f>
        <v>3055</v>
      </c>
      <c r="DM245" s="77">
        <f>PI()*6*6/4*7*2</f>
        <v>395.84067435231395</v>
      </c>
      <c r="DN245" s="77">
        <f>PI()*6*6/4*7*2</f>
        <v>395.84067435231395</v>
      </c>
      <c r="DO245" s="77">
        <f t="shared" ref="DO245:DX246" si="757">PI()*6*6/4*2</f>
        <v>56.548667764616276</v>
      </c>
      <c r="DP245" s="77">
        <f t="shared" si="757"/>
        <v>56.548667764616276</v>
      </c>
      <c r="DQ245" s="77">
        <f t="shared" si="757"/>
        <v>56.548667764616276</v>
      </c>
      <c r="DR245" s="77">
        <f t="shared" si="757"/>
        <v>56.548667764616276</v>
      </c>
      <c r="DS245" s="77">
        <f t="shared" si="757"/>
        <v>56.548667764616276</v>
      </c>
      <c r="DT245" s="77">
        <f t="shared" si="757"/>
        <v>56.548667764616276</v>
      </c>
      <c r="DU245" s="77">
        <f t="shared" si="757"/>
        <v>56.548667764616276</v>
      </c>
      <c r="DV245" s="77">
        <f t="shared" si="757"/>
        <v>56.548667764616276</v>
      </c>
      <c r="DW245" s="77">
        <f t="shared" si="757"/>
        <v>56.548667764616276</v>
      </c>
      <c r="DX245" s="77">
        <f t="shared" si="757"/>
        <v>56.548667764616276</v>
      </c>
      <c r="DY245" s="77">
        <f t="shared" ref="DY245:EK246" si="758">PI()*6*6/4*2</f>
        <v>56.548667764616276</v>
      </c>
      <c r="DZ245" s="77">
        <f t="shared" si="758"/>
        <v>56.548667764616276</v>
      </c>
      <c r="EA245" s="77">
        <f t="shared" si="758"/>
        <v>56.548667764616276</v>
      </c>
      <c r="EB245" s="77">
        <f t="shared" si="758"/>
        <v>56.548667764616276</v>
      </c>
      <c r="EC245" s="77">
        <f t="shared" si="758"/>
        <v>56.548667764616276</v>
      </c>
      <c r="ED245" s="77">
        <f t="shared" si="758"/>
        <v>56.548667764616276</v>
      </c>
      <c r="EE245" s="77">
        <f t="shared" si="758"/>
        <v>56.548667764616276</v>
      </c>
      <c r="EF245" s="77">
        <f t="shared" si="758"/>
        <v>56.548667764616276</v>
      </c>
      <c r="EG245" s="77">
        <f t="shared" si="758"/>
        <v>56.548667764616276</v>
      </c>
      <c r="EH245" s="77">
        <f t="shared" si="758"/>
        <v>56.548667764616276</v>
      </c>
      <c r="EI245" s="77">
        <f t="shared" si="758"/>
        <v>56.548667764616276</v>
      </c>
      <c r="EJ245" s="77">
        <f t="shared" si="758"/>
        <v>56.548667764616276</v>
      </c>
      <c r="EK245" s="77">
        <f t="shared" si="758"/>
        <v>56.548667764616276</v>
      </c>
      <c r="EL245" s="77">
        <f>PI()*6*6/4*7*2</f>
        <v>395.84067435231395</v>
      </c>
      <c r="EM245" s="77">
        <f>PI()*6*6/4*7*2</f>
        <v>395.84067435231395</v>
      </c>
      <c r="FA245" s="77">
        <f t="shared" si="720"/>
        <v>-239483.60798314994</v>
      </c>
      <c r="FB245" s="77">
        <f t="shared" si="721"/>
        <v>-239483.60798314994</v>
      </c>
      <c r="FC245" s="77">
        <f t="shared" si="755"/>
        <v>-33021.87766865603</v>
      </c>
      <c r="FD245" s="77">
        <f t="shared" si="727"/>
        <v>-27821.58374048123</v>
      </c>
      <c r="FE245" s="77">
        <f t="shared" si="728"/>
        <v>-22621.289812306419</v>
      </c>
      <c r="FF245" s="77">
        <f t="shared" si="753"/>
        <v>-17420.995884131607</v>
      </c>
      <c r="FG245" s="77">
        <f t="shared" si="754"/>
        <v>-12220.701955956802</v>
      </c>
      <c r="FH245" s="77">
        <f t="shared" si="756"/>
        <v>-7020.408027781993</v>
      </c>
      <c r="FI245" s="77">
        <f t="shared" ref="FI245:FR246" si="759">IF(ABS(-$BV245*($BS245-CG245)/$BS245*$BX245)&gt;$BA245,$BA245*SIGN(-($BS245-CG245)),-$BV245*($BS245-CG245)/$BS245*$BX245)*DU245</f>
        <v>-1820.1140996071852</v>
      </c>
      <c r="FJ245" s="77">
        <f t="shared" si="759"/>
        <v>3380.1798285676236</v>
      </c>
      <c r="FK245" s="77">
        <f t="shared" si="759"/>
        <v>8580.4737567424309</v>
      </c>
      <c r="FL245" s="77">
        <f t="shared" si="759"/>
        <v>13780.767684917239</v>
      </c>
      <c r="FM245" s="77">
        <f t="shared" si="759"/>
        <v>18981.061613092046</v>
      </c>
      <c r="FN245" s="77">
        <f t="shared" si="759"/>
        <v>24181.355541266854</v>
      </c>
      <c r="FO245" s="77">
        <f t="shared" si="759"/>
        <v>29381.649469441661</v>
      </c>
      <c r="FP245" s="77">
        <f t="shared" si="759"/>
        <v>34211.943997592847</v>
      </c>
      <c r="FQ245" s="77">
        <f t="shared" si="759"/>
        <v>34211.943997592847</v>
      </c>
      <c r="FR245" s="77">
        <f t="shared" si="759"/>
        <v>34211.943997592847</v>
      </c>
      <c r="FS245" s="77">
        <f t="shared" ref="FS245:FY246" si="760">IF(ABS(-$BV245*($BS245-CQ245)/$BS245*$BX245)&gt;$BA245,$BA245*SIGN(-($BS245-CQ245)),-$BV245*($BS245-CQ245)/$BS245*$BX245)*EE245</f>
        <v>34211.943997592847</v>
      </c>
      <c r="FT245" s="77">
        <f t="shared" si="760"/>
        <v>34211.943997592847</v>
      </c>
      <c r="FU245" s="77">
        <f t="shared" si="760"/>
        <v>34211.943997592847</v>
      </c>
      <c r="FV245" s="77">
        <f t="shared" si="760"/>
        <v>34211.943997592847</v>
      </c>
      <c r="FW245" s="77">
        <f t="shared" si="760"/>
        <v>34211.943997592847</v>
      </c>
      <c r="FX245" s="77">
        <f t="shared" si="760"/>
        <v>34211.943997592847</v>
      </c>
      <c r="FY245" s="77">
        <f t="shared" si="760"/>
        <v>34211.943997592847</v>
      </c>
      <c r="FZ245" s="77">
        <f>IF(ABS(-$BV245*($BS245-CX245)/$BS245*$BX245)&gt;$BB245,$BB245*SIGN(-($BS245-CX245)),-$BV245*($BS245-CX245)/$BS245*$BX245)*EL245</f>
        <v>239483.60798314994</v>
      </c>
      <c r="GA245" s="77">
        <f>IF(ABS(-$BV245*($BS245-CY245)/$BS245*$BX245)&gt;$BB245,$BB245*SIGN(-($BS245-CY245)),-$BV245*($BS245-CY245)/$BS245*$BX245)*EM245</f>
        <v>239483.60798314994</v>
      </c>
      <c r="GO245" s="77">
        <f t="shared" si="696"/>
        <v>363416375.11443001</v>
      </c>
      <c r="GP245" s="77">
        <f t="shared" si="697"/>
        <v>350244776.67535681</v>
      </c>
      <c r="GQ245" s="77">
        <f t="shared" si="698"/>
        <v>47221285.066178121</v>
      </c>
      <c r="GR245" s="77">
        <f t="shared" si="699"/>
        <v>36168058.862625599</v>
      </c>
      <c r="GS245" s="77">
        <f t="shared" si="712"/>
        <v>26466909.080398511</v>
      </c>
      <c r="GT245" s="77">
        <f t="shared" si="724"/>
        <v>18117835.719496872</v>
      </c>
      <c r="GU245" s="77">
        <f t="shared" si="725"/>
        <v>11120838.77992069</v>
      </c>
      <c r="GV245" s="77">
        <f t="shared" si="729"/>
        <v>5475918.2616699543</v>
      </c>
      <c r="GW245" s="77">
        <f t="shared" si="751"/>
        <v>1183074.1647446703</v>
      </c>
      <c r="GX245" s="77">
        <f t="shared" si="751"/>
        <v>-1757693.5108551644</v>
      </c>
      <c r="GY245" s="77">
        <f t="shared" ref="GY245:HH246" si="761">FK245*(CI245-0.5*$AO245)</f>
        <v>-3346384.765129548</v>
      </c>
      <c r="GZ245" s="77">
        <f t="shared" si="761"/>
        <v>-3582999.5980784819</v>
      </c>
      <c r="HA245" s="77">
        <f t="shared" si="761"/>
        <v>-2467538.0097019658</v>
      </c>
      <c r="HB245" s="77">
        <f t="shared" si="761"/>
        <v>0</v>
      </c>
      <c r="HC245" s="77">
        <f t="shared" si="761"/>
        <v>3819614.4310274161</v>
      </c>
      <c r="HD245" s="77">
        <f t="shared" si="761"/>
        <v>8895105.4393741395</v>
      </c>
      <c r="HE245" s="77">
        <f t="shared" si="761"/>
        <v>13342658.15906121</v>
      </c>
      <c r="HF245" s="77">
        <f t="shared" si="761"/>
        <v>17790210.878748279</v>
      </c>
      <c r="HG245" s="77">
        <f t="shared" si="761"/>
        <v>22237763.59843535</v>
      </c>
      <c r="HH245" s="77">
        <f t="shared" si="761"/>
        <v>26685316.31812242</v>
      </c>
      <c r="HI245" s="77">
        <f t="shared" ref="HI245:HO246" si="762">FU245*(CS245-0.5*$AO245)</f>
        <v>31132869.037809491</v>
      </c>
      <c r="HJ245" s="77">
        <f t="shared" si="762"/>
        <v>35580421.757496558</v>
      </c>
      <c r="HK245" s="77">
        <f t="shared" si="762"/>
        <v>40027974.477183633</v>
      </c>
      <c r="HL245" s="77">
        <f t="shared" si="762"/>
        <v>44475527.1968707</v>
      </c>
      <c r="HM245" s="77">
        <f t="shared" si="762"/>
        <v>48923079.916557774</v>
      </c>
      <c r="HN245" s="77">
        <f t="shared" si="762"/>
        <v>350244776.67535681</v>
      </c>
      <c r="HO245" s="77">
        <f t="shared" si="762"/>
        <v>363416375.11443001</v>
      </c>
      <c r="IC245" s="82">
        <v>261</v>
      </c>
    </row>
    <row r="246" spans="1:237" s="77" customFormat="1">
      <c r="A246" s="77">
        <v>246</v>
      </c>
      <c r="B246" s="69">
        <v>367</v>
      </c>
      <c r="C246" s="69" t="s">
        <v>262</v>
      </c>
      <c r="D246" s="70" t="s">
        <v>264</v>
      </c>
      <c r="E246" s="70">
        <v>4</v>
      </c>
      <c r="F246" s="70">
        <v>9.244913507902662E-2</v>
      </c>
      <c r="G246" s="70"/>
      <c r="H246" s="70">
        <v>4.5297030000000004E-3</v>
      </c>
      <c r="I246" s="87">
        <v>4.9504950000000001E-3</v>
      </c>
      <c r="J246" s="72">
        <v>0.81109185441941078</v>
      </c>
      <c r="K246" s="72">
        <v>38.466666666666669</v>
      </c>
      <c r="L246" s="72">
        <v>0.25422872340425534</v>
      </c>
      <c r="M246" s="72">
        <v>0.23492021276595745</v>
      </c>
      <c r="N246" s="72">
        <v>9.6542553191489355E-2</v>
      </c>
      <c r="O246" s="72">
        <v>3.2180851063829785E-2</v>
      </c>
      <c r="P246" s="72">
        <v>7.7334287122874518E-2</v>
      </c>
      <c r="Q246" s="73" t="s">
        <v>243</v>
      </c>
      <c r="R246" s="101">
        <v>0.36892321671967288</v>
      </c>
      <c r="S246" s="75">
        <f t="shared" si="616"/>
        <v>0.39530717229404039</v>
      </c>
      <c r="T246" s="59">
        <f t="shared" si="594"/>
        <v>1.8711237957100033</v>
      </c>
      <c r="U246" s="59">
        <f t="shared" si="595"/>
        <v>1.3060663996117843</v>
      </c>
      <c r="V246" s="59">
        <f t="shared" si="596"/>
        <v>1.8646586465270605</v>
      </c>
      <c r="W246" s="59">
        <f t="shared" si="597"/>
        <v>0.99654477742319036</v>
      </c>
      <c r="X246" s="59">
        <f t="shared" si="598"/>
        <v>1.4276905424420323</v>
      </c>
      <c r="Y246" s="100">
        <f>(904+879)/2*1000</f>
        <v>891500</v>
      </c>
      <c r="Z246" s="57">
        <f t="shared" si="599"/>
        <v>1272786.1185870718</v>
      </c>
      <c r="AA246" s="57">
        <f t="shared" si="600"/>
        <v>888419.66907277424</v>
      </c>
      <c r="AB246" s="57">
        <f t="shared" si="713"/>
        <v>832511.42292270612</v>
      </c>
      <c r="AC246" s="57">
        <f t="shared" si="601"/>
        <v>0.25</v>
      </c>
      <c r="AD246" s="57">
        <f t="shared" si="602"/>
        <v>1.5</v>
      </c>
      <c r="AE246" s="57">
        <f t="shared" si="603"/>
        <v>756201.72648795997</v>
      </c>
      <c r="AF246" s="57">
        <f t="shared" si="604"/>
        <v>208221.66232771944</v>
      </c>
      <c r="AG246" s="57">
        <f t="shared" si="708"/>
        <v>680198.00674505485</v>
      </c>
      <c r="AH246" s="57">
        <f t="shared" si="714"/>
        <v>353380209.74538159</v>
      </c>
      <c r="AI246" s="57">
        <f t="shared" si="715"/>
        <v>1328292864.5584848</v>
      </c>
      <c r="AJ246" s="77">
        <v>1200000.0000000002</v>
      </c>
      <c r="AK246" s="77">
        <v>18.8</v>
      </c>
      <c r="AL246" s="78">
        <f t="shared" si="605"/>
        <v>2.306409599539645</v>
      </c>
      <c r="AM246" s="57">
        <f t="shared" si="606"/>
        <v>1</v>
      </c>
      <c r="AN246" s="57">
        <f t="shared" si="607"/>
        <v>0.8</v>
      </c>
      <c r="AO246" s="77">
        <v>3075</v>
      </c>
      <c r="AP246" s="79">
        <v>100</v>
      </c>
      <c r="AQ246" s="57">
        <f t="shared" si="608"/>
        <v>518.75737769232933</v>
      </c>
      <c r="AR246" s="78">
        <f t="shared" si="726"/>
        <v>2875</v>
      </c>
      <c r="AS246" s="57">
        <f t="shared" si="609"/>
        <v>2556.2426223076709</v>
      </c>
      <c r="AT246" s="77">
        <v>75</v>
      </c>
      <c r="AU246" s="77">
        <v>2020</v>
      </c>
      <c r="AV246" s="78">
        <f t="shared" si="610"/>
        <v>215625</v>
      </c>
      <c r="AW246" s="77">
        <f>3045*95*2</f>
        <v>578550</v>
      </c>
      <c r="AX246" s="77">
        <f t="shared" si="611"/>
        <v>230625</v>
      </c>
      <c r="AY246" s="77">
        <v>520125</v>
      </c>
      <c r="AZ246" s="77">
        <v>605</v>
      </c>
      <c r="BA246" s="77">
        <v>605</v>
      </c>
      <c r="BB246" s="77">
        <v>605</v>
      </c>
      <c r="BC246" s="77">
        <v>605</v>
      </c>
      <c r="BD246" s="77">
        <f>PI()*6*6/4*2/(75*130)</f>
        <v>5.7998633604734642E-3</v>
      </c>
      <c r="BE246" s="77">
        <f>PI()*7*7/4*2/(75*140)</f>
        <v>7.3303828583761834E-3</v>
      </c>
      <c r="BF246" s="77">
        <f>PI()*6*6/4*28/(3045*95)</f>
        <v>2.7367776292615258E-3</v>
      </c>
      <c r="BG246" s="77">
        <v>0</v>
      </c>
      <c r="BH246" s="79">
        <v>140</v>
      </c>
      <c r="BI246" s="79">
        <f>PI()*7*7/4</f>
        <v>38.484510006474963</v>
      </c>
      <c r="BJ246" s="79">
        <v>2</v>
      </c>
      <c r="BK246" s="57">
        <f t="shared" si="709"/>
        <v>76.969020012949926</v>
      </c>
      <c r="BL246" s="57">
        <f t="shared" si="643"/>
        <v>1250.5955371020907</v>
      </c>
      <c r="BM246" s="80">
        <f>PI()*7*7/4</f>
        <v>38.484510006474963</v>
      </c>
      <c r="BN246" s="80">
        <v>28</v>
      </c>
      <c r="BO246" s="57">
        <f t="shared" si="747"/>
        <v>1077.5662801812989</v>
      </c>
      <c r="BP246" s="57">
        <f t="shared" si="612"/>
        <v>1662343.1833788743</v>
      </c>
      <c r="BQ246" s="77">
        <f t="shared" si="613"/>
        <v>0</v>
      </c>
      <c r="BR246" s="57">
        <f t="shared" si="664"/>
        <v>3357933230.4253263</v>
      </c>
      <c r="BS246" s="57">
        <v>1037.5147553846587</v>
      </c>
      <c r="BT246" s="57">
        <f t="shared" si="617"/>
        <v>1613.9137150918355</v>
      </c>
      <c r="BU246" s="57"/>
      <c r="BV246" s="57">
        <v>3.3E-3</v>
      </c>
      <c r="BW246" s="57">
        <v>30000</v>
      </c>
      <c r="BX246" s="57">
        <v>200000</v>
      </c>
      <c r="BY246" s="77">
        <f>20</f>
        <v>20</v>
      </c>
      <c r="BZ246" s="77">
        <f>BY246+100-40</f>
        <v>80</v>
      </c>
      <c r="CA246" s="77">
        <f>BZ246+20+7.5</f>
        <v>107.5</v>
      </c>
      <c r="CB246" s="77">
        <f>CA246+130*1</f>
        <v>237.5</v>
      </c>
      <c r="CC246" s="77">
        <f>CA246+130*2</f>
        <v>367.5</v>
      </c>
      <c r="CD246" s="77">
        <f>CA246+130*3</f>
        <v>497.5</v>
      </c>
      <c r="CE246" s="77">
        <f>CA246+130*4</f>
        <v>627.5</v>
      </c>
      <c r="CF246" s="77">
        <f>CA246+130*5</f>
        <v>757.5</v>
      </c>
      <c r="CG246" s="77">
        <f>CA246+130*6</f>
        <v>887.5</v>
      </c>
      <c r="CH246" s="77">
        <f>CA246+130*7</f>
        <v>1017.5</v>
      </c>
      <c r="CI246" s="77">
        <f>CA246+130*8</f>
        <v>1147.5</v>
      </c>
      <c r="CJ246" s="77">
        <f>CA246+130*9</f>
        <v>1277.5</v>
      </c>
      <c r="CK246" s="77">
        <f>CA246+130*10</f>
        <v>1407.5</v>
      </c>
      <c r="CL246" s="77">
        <f>CA246+130*11</f>
        <v>1537.5</v>
      </c>
      <c r="CM246" s="77">
        <f>CA246+130*12</f>
        <v>1667.5</v>
      </c>
      <c r="CN246" s="77">
        <f>CA246+130*13</f>
        <v>1797.5</v>
      </c>
      <c r="CO246" s="77">
        <f>CA246+130*14</f>
        <v>1927.5</v>
      </c>
      <c r="CP246" s="77">
        <f>CA246+130*15</f>
        <v>2057.5</v>
      </c>
      <c r="CQ246" s="77">
        <f>CA246+130*16</f>
        <v>2187.5</v>
      </c>
      <c r="CR246" s="77">
        <f>CA246+130*17</f>
        <v>2317.5</v>
      </c>
      <c r="CS246" s="77">
        <f>CA246+130*18</f>
        <v>2447.5</v>
      </c>
      <c r="CT246" s="77">
        <f>CA246+130*19</f>
        <v>2577.5</v>
      </c>
      <c r="CU246" s="77">
        <f>CA246+130*20</f>
        <v>2707.5</v>
      </c>
      <c r="CV246" s="77">
        <f>CA246+130*21</f>
        <v>2837.5</v>
      </c>
      <c r="CW246" s="77">
        <f>CA246+130*22</f>
        <v>2967.5</v>
      </c>
      <c r="CX246" s="77">
        <f>CW246+7.5+20</f>
        <v>2995</v>
      </c>
      <c r="CY246" s="77">
        <f>CX246+100-40</f>
        <v>3055</v>
      </c>
      <c r="DM246" s="77">
        <f>PI()*6*6/4*7*2</f>
        <v>395.84067435231395</v>
      </c>
      <c r="DN246" s="77">
        <f>PI()*6*6/4*7*2</f>
        <v>395.84067435231395</v>
      </c>
      <c r="DO246" s="77">
        <f t="shared" si="757"/>
        <v>56.548667764616276</v>
      </c>
      <c r="DP246" s="77">
        <f t="shared" si="757"/>
        <v>56.548667764616276</v>
      </c>
      <c r="DQ246" s="77">
        <f t="shared" si="757"/>
        <v>56.548667764616276</v>
      </c>
      <c r="DR246" s="77">
        <f t="shared" si="757"/>
        <v>56.548667764616276</v>
      </c>
      <c r="DS246" s="77">
        <f t="shared" si="757"/>
        <v>56.548667764616276</v>
      </c>
      <c r="DT246" s="77">
        <f t="shared" si="757"/>
        <v>56.548667764616276</v>
      </c>
      <c r="DU246" s="77">
        <f t="shared" si="757"/>
        <v>56.548667764616276</v>
      </c>
      <c r="DV246" s="77">
        <f t="shared" si="757"/>
        <v>56.548667764616276</v>
      </c>
      <c r="DW246" s="77">
        <f t="shared" si="757"/>
        <v>56.548667764616276</v>
      </c>
      <c r="DX246" s="77">
        <f t="shared" si="757"/>
        <v>56.548667764616276</v>
      </c>
      <c r="DY246" s="77">
        <f t="shared" si="758"/>
        <v>56.548667764616276</v>
      </c>
      <c r="DZ246" s="77">
        <f t="shared" si="758"/>
        <v>56.548667764616276</v>
      </c>
      <c r="EA246" s="77">
        <f t="shared" si="758"/>
        <v>56.548667764616276</v>
      </c>
      <c r="EB246" s="77">
        <f t="shared" si="758"/>
        <v>56.548667764616276</v>
      </c>
      <c r="EC246" s="77">
        <f t="shared" si="758"/>
        <v>56.548667764616276</v>
      </c>
      <c r="ED246" s="77">
        <f t="shared" si="758"/>
        <v>56.548667764616276</v>
      </c>
      <c r="EE246" s="77">
        <f t="shared" si="758"/>
        <v>56.548667764616276</v>
      </c>
      <c r="EF246" s="77">
        <f t="shared" si="758"/>
        <v>56.548667764616276</v>
      </c>
      <c r="EG246" s="77">
        <f t="shared" si="758"/>
        <v>56.548667764616276</v>
      </c>
      <c r="EH246" s="77">
        <f t="shared" si="758"/>
        <v>56.548667764616276</v>
      </c>
      <c r="EI246" s="77">
        <f t="shared" si="758"/>
        <v>56.548667764616276</v>
      </c>
      <c r="EJ246" s="77">
        <f t="shared" si="758"/>
        <v>56.548667764616276</v>
      </c>
      <c r="EK246" s="77">
        <f t="shared" si="758"/>
        <v>56.548667764616276</v>
      </c>
      <c r="EL246" s="77">
        <f>PI()*6*6/4*7*2</f>
        <v>395.84067435231395</v>
      </c>
      <c r="EM246" s="77">
        <f>PI()*6*6/4*7*2</f>
        <v>395.84067435231395</v>
      </c>
      <c r="FA246" s="77">
        <f t="shared" si="720"/>
        <v>-239483.60798314994</v>
      </c>
      <c r="FB246" s="77">
        <f t="shared" si="721"/>
        <v>-239483.60798314994</v>
      </c>
      <c r="FC246" s="77">
        <f t="shared" si="755"/>
        <v>-33455.064418144357</v>
      </c>
      <c r="FD246" s="77">
        <f t="shared" si="727"/>
        <v>-28778.624233536815</v>
      </c>
      <c r="FE246" s="77">
        <f t="shared" si="728"/>
        <v>-24102.184048929284</v>
      </c>
      <c r="FF246" s="77">
        <f t="shared" si="753"/>
        <v>-19425.743864321747</v>
      </c>
      <c r="FG246" s="77">
        <f t="shared" si="754"/>
        <v>-14749.303679714207</v>
      </c>
      <c r="FH246" s="77">
        <f t="shared" si="756"/>
        <v>-10072.863495106672</v>
      </c>
      <c r="FI246" s="77">
        <f t="shared" si="759"/>
        <v>-5396.4233104991363</v>
      </c>
      <c r="FJ246" s="77">
        <f t="shared" si="759"/>
        <v>-719.98312589159866</v>
      </c>
      <c r="FK246" s="77">
        <f t="shared" si="759"/>
        <v>3956.4570587159378</v>
      </c>
      <c r="FL246" s="77">
        <f t="shared" si="759"/>
        <v>8632.897243323474</v>
      </c>
      <c r="FM246" s="77">
        <f t="shared" si="759"/>
        <v>13309.337427931012</v>
      </c>
      <c r="FN246" s="77">
        <f t="shared" si="759"/>
        <v>17985.777612538546</v>
      </c>
      <c r="FO246" s="77">
        <f t="shared" si="759"/>
        <v>22662.217797146084</v>
      </c>
      <c r="FP246" s="77">
        <f t="shared" si="759"/>
        <v>27338.657981753626</v>
      </c>
      <c r="FQ246" s="77">
        <f t="shared" si="759"/>
        <v>32015.098166361156</v>
      </c>
      <c r="FR246" s="77">
        <f t="shared" si="759"/>
        <v>34211.943997592847</v>
      </c>
      <c r="FS246" s="77">
        <f t="shared" si="760"/>
        <v>34211.943997592847</v>
      </c>
      <c r="FT246" s="77">
        <f t="shared" si="760"/>
        <v>34211.943997592847</v>
      </c>
      <c r="FU246" s="77">
        <f t="shared" si="760"/>
        <v>34211.943997592847</v>
      </c>
      <c r="FV246" s="77">
        <f t="shared" si="760"/>
        <v>34211.943997592847</v>
      </c>
      <c r="FW246" s="77">
        <f t="shared" si="760"/>
        <v>34211.943997592847</v>
      </c>
      <c r="FX246" s="77">
        <f t="shared" si="760"/>
        <v>34211.943997592847</v>
      </c>
      <c r="FY246" s="77">
        <f t="shared" si="760"/>
        <v>34211.943997592847</v>
      </c>
      <c r="FZ246" s="77">
        <f>IF(ABS(-$BV246*($BS246-CX246)/$BS246*$BX246)&gt;$BB246,$BB246*SIGN(-($BS246-CX246)),-$BV246*($BS246-CX246)/$BS246*$BX246)*EL246</f>
        <v>239483.60798314994</v>
      </c>
      <c r="GA246" s="77">
        <f>IF(ABS(-$BV246*($BS246-CY246)/$BS246*$BX246)&gt;$BB246,$BB246*SIGN(-($BS246-CY246)),-$BV246*($BS246-CY246)/$BS246*$BX246)*EM246</f>
        <v>239483.60798314994</v>
      </c>
      <c r="GO246" s="77">
        <f t="shared" si="696"/>
        <v>363416375.11443001</v>
      </c>
      <c r="GP246" s="77">
        <f t="shared" si="697"/>
        <v>349047358.63544101</v>
      </c>
      <c r="GQ246" s="77">
        <f t="shared" si="698"/>
        <v>47840742.117946431</v>
      </c>
      <c r="GR246" s="77">
        <f t="shared" si="699"/>
        <v>37412211.503597863</v>
      </c>
      <c r="GS246" s="77">
        <f t="shared" si="712"/>
        <v>28199555.337247264</v>
      </c>
      <c r="GT246" s="77">
        <f t="shared" si="724"/>
        <v>20202773.618894618</v>
      </c>
      <c r="GU246" s="77">
        <f t="shared" si="725"/>
        <v>13421866.348539928</v>
      </c>
      <c r="GV246" s="77">
        <f t="shared" si="729"/>
        <v>7856833.5261832047</v>
      </c>
      <c r="GW246" s="77">
        <f t="shared" si="751"/>
        <v>3507675.1518244385</v>
      </c>
      <c r="GX246" s="77">
        <f t="shared" si="751"/>
        <v>374391.22546363133</v>
      </c>
      <c r="GY246" s="77">
        <f t="shared" si="761"/>
        <v>-1543018.2528992158</v>
      </c>
      <c r="GZ246" s="77">
        <f t="shared" si="761"/>
        <v>-2244553.2832641033</v>
      </c>
      <c r="HA246" s="77">
        <f t="shared" si="761"/>
        <v>-1730213.8656310316</v>
      </c>
      <c r="HB246" s="77">
        <f t="shared" si="761"/>
        <v>0</v>
      </c>
      <c r="HC246" s="77">
        <f t="shared" si="761"/>
        <v>2946088.3136289911</v>
      </c>
      <c r="HD246" s="77">
        <f t="shared" si="761"/>
        <v>7108051.0752559425</v>
      </c>
      <c r="HE246" s="77">
        <f t="shared" si="761"/>
        <v>12485888.28488085</v>
      </c>
      <c r="HF246" s="77">
        <f t="shared" si="761"/>
        <v>17790210.878748279</v>
      </c>
      <c r="HG246" s="77">
        <f t="shared" si="761"/>
        <v>22237763.59843535</v>
      </c>
      <c r="HH246" s="77">
        <f t="shared" si="761"/>
        <v>26685316.31812242</v>
      </c>
      <c r="HI246" s="77">
        <f t="shared" si="762"/>
        <v>31132869.037809491</v>
      </c>
      <c r="HJ246" s="77">
        <f t="shared" si="762"/>
        <v>35580421.757496558</v>
      </c>
      <c r="HK246" s="77">
        <f t="shared" si="762"/>
        <v>40027974.477183633</v>
      </c>
      <c r="HL246" s="77">
        <f t="shared" si="762"/>
        <v>44475527.1968707</v>
      </c>
      <c r="HM246" s="77">
        <f t="shared" si="762"/>
        <v>48923079.916557774</v>
      </c>
      <c r="HN246" s="77">
        <f t="shared" si="762"/>
        <v>349047358.63544101</v>
      </c>
      <c r="HO246" s="77">
        <f t="shared" si="762"/>
        <v>363416375.11443001</v>
      </c>
      <c r="IC246" s="82">
        <v>262</v>
      </c>
    </row>
    <row r="247" spans="1:237" s="77" customFormat="1">
      <c r="A247" s="77">
        <v>247</v>
      </c>
      <c r="B247" s="69">
        <v>368</v>
      </c>
      <c r="C247" s="69" t="s">
        <v>265</v>
      </c>
      <c r="D247" s="70" t="s">
        <v>266</v>
      </c>
      <c r="E247" s="70">
        <v>4</v>
      </c>
      <c r="F247" s="70">
        <v>0.12463186274509805</v>
      </c>
      <c r="G247" s="70"/>
      <c r="H247" s="70"/>
      <c r="I247" s="87">
        <f>14.6/1500</f>
        <v>9.7333333333333334E-3</v>
      </c>
      <c r="J247" s="72">
        <v>0.56666666666666665</v>
      </c>
      <c r="K247" s="72">
        <v>30</v>
      </c>
      <c r="L247" s="72">
        <v>9.2316176470588221E-2</v>
      </c>
      <c r="M247" s="72">
        <v>0.22492647058823531</v>
      </c>
      <c r="N247" s="72">
        <v>0.36812499999999998</v>
      </c>
      <c r="O247" s="72">
        <v>0.22492647058823531</v>
      </c>
      <c r="P247" s="72">
        <v>0.10147058823529413</v>
      </c>
      <c r="Q247" s="73" t="s">
        <v>3</v>
      </c>
      <c r="R247" s="101">
        <v>0</v>
      </c>
      <c r="S247" s="75">
        <f t="shared" si="616"/>
        <v>0.51731788497755127</v>
      </c>
      <c r="T247" s="59">
        <f t="shared" si="594"/>
        <v>0.78153294613604707</v>
      </c>
      <c r="U247" s="59">
        <f t="shared" si="595"/>
        <v>0.64119519361317834</v>
      </c>
      <c r="V247" s="59">
        <f t="shared" si="596"/>
        <v>1.4945315236487968</v>
      </c>
      <c r="W247" s="59">
        <f t="shared" si="597"/>
        <v>1.912307767750373</v>
      </c>
      <c r="X247" s="59">
        <f t="shared" si="598"/>
        <v>2.3308526616162082</v>
      </c>
      <c r="Y247" s="100">
        <f>1.14*710000</f>
        <v>809399.99999999988</v>
      </c>
      <c r="Z247" s="57">
        <f t="shared" si="599"/>
        <v>1886592.1443121587</v>
      </c>
      <c r="AA247" s="57">
        <f t="shared" si="600"/>
        <v>1547821.9072171517</v>
      </c>
      <c r="AB247" s="57">
        <f t="shared" si="713"/>
        <v>1146732.0154083506</v>
      </c>
      <c r="AC247" s="57">
        <f t="shared" si="601"/>
        <v>0.25</v>
      </c>
      <c r="AD247" s="57">
        <f t="shared" si="602"/>
        <v>1.5</v>
      </c>
      <c r="AE247" s="57">
        <f t="shared" si="603"/>
        <v>828000</v>
      </c>
      <c r="AF247" s="57">
        <f t="shared" si="604"/>
        <v>396105.36494949186</v>
      </c>
      <c r="AG247" s="57">
        <f t="shared" si="708"/>
        <v>1151716.5422676599</v>
      </c>
      <c r="AH247" s="57">
        <f t="shared" si="714"/>
        <v>1592757848.3322709</v>
      </c>
      <c r="AI247" s="57">
        <f t="shared" si="715"/>
        <v>356686577.86192542</v>
      </c>
      <c r="AJ247" s="77">
        <v>828000</v>
      </c>
      <c r="AK247" s="77">
        <v>27.2</v>
      </c>
      <c r="AL247" s="78">
        <f t="shared" si="605"/>
        <v>2.8259372694554061</v>
      </c>
      <c r="AM247" s="57">
        <f t="shared" si="606"/>
        <v>1</v>
      </c>
      <c r="AN247" s="57">
        <f t="shared" si="607"/>
        <v>0.8</v>
      </c>
      <c r="AO247" s="77">
        <v>3000</v>
      </c>
      <c r="AP247" s="79">
        <v>220</v>
      </c>
      <c r="AQ247" s="57">
        <f t="shared" si="608"/>
        <v>228.30573473885235</v>
      </c>
      <c r="AR247" s="78">
        <f t="shared" si="726"/>
        <v>2560</v>
      </c>
      <c r="AS247" s="57">
        <f t="shared" si="609"/>
        <v>2771.6942652611478</v>
      </c>
      <c r="AT247" s="77">
        <v>100</v>
      </c>
      <c r="AU247" s="77">
        <v>1700</v>
      </c>
      <c r="AV247" s="78">
        <f t="shared" si="610"/>
        <v>300000</v>
      </c>
      <c r="AW247" s="77">
        <v>0</v>
      </c>
      <c r="AX247" s="77">
        <f t="shared" si="611"/>
        <v>300000</v>
      </c>
      <c r="AY247" s="77">
        <v>300000</v>
      </c>
      <c r="AZ247" s="77">
        <f>BA247</f>
        <v>310</v>
      </c>
      <c r="BA247" s="77">
        <v>310</v>
      </c>
      <c r="BB247" s="77">
        <v>310</v>
      </c>
      <c r="BC247" s="77">
        <v>380</v>
      </c>
      <c r="BD247" s="77">
        <v>8.0700000000000008E-3</v>
      </c>
      <c r="BE247" s="77">
        <v>1.6080000000000001E-2</v>
      </c>
      <c r="BF247" s="77">
        <f>BO247/(AP246*AT246)</f>
        <v>6.0318578948924027E-2</v>
      </c>
      <c r="BG247" s="77">
        <f>PI()*6*6/4*2/(AT247*50)</f>
        <v>1.1309733552923255E-2</v>
      </c>
      <c r="BH247" s="79">
        <v>120</v>
      </c>
      <c r="BI247" s="79">
        <f>PI()*16*16/4</f>
        <v>201.06192982974676</v>
      </c>
      <c r="BJ247" s="79">
        <v>1</v>
      </c>
      <c r="BK247" s="57">
        <f t="shared" si="709"/>
        <v>201.06192982974676</v>
      </c>
      <c r="BL247" s="57">
        <f t="shared" si="643"/>
        <v>2065.92</v>
      </c>
      <c r="BM247" s="80">
        <f>PI()*12*12/4</f>
        <v>113.09733552923255</v>
      </c>
      <c r="BN247" s="80">
        <v>4</v>
      </c>
      <c r="BO247" s="57">
        <f t="shared" si="747"/>
        <v>452.38934211693021</v>
      </c>
      <c r="BP247" s="57">
        <f t="shared" si="612"/>
        <v>1209673.8152413359</v>
      </c>
      <c r="BQ247" s="77">
        <f t="shared" si="613"/>
        <v>0</v>
      </c>
      <c r="BR247" s="57">
        <f t="shared" si="664"/>
        <v>2056445485.9102709</v>
      </c>
      <c r="BS247" s="57">
        <v>456.6114694777047</v>
      </c>
      <c r="BT247" s="57">
        <f t="shared" si="617"/>
        <v>446.33658461911727</v>
      </c>
      <c r="BU247" s="57"/>
      <c r="BV247" s="57">
        <v>3.3E-3</v>
      </c>
      <c r="BW247" s="57">
        <v>30000</v>
      </c>
      <c r="BX247" s="57">
        <v>200000</v>
      </c>
      <c r="BY247" s="77">
        <f>30</f>
        <v>30</v>
      </c>
      <c r="BZ247" s="77">
        <f>BY247+140</f>
        <v>170</v>
      </c>
      <c r="CA247" s="77">
        <f>BZ247+(3000-60-280)/15*1</f>
        <v>347.33333333333337</v>
      </c>
      <c r="CB247" s="77">
        <f>BZ247+(3000-60-280)/15*2</f>
        <v>524.66666666666674</v>
      </c>
      <c r="CC247" s="77">
        <f>BZ247+(3000-60-280)/15*3</f>
        <v>702</v>
      </c>
      <c r="CD247" s="77">
        <f>BZ247+(3000-60-280)/15*4</f>
        <v>879.33333333333337</v>
      </c>
      <c r="CE247" s="77">
        <f>BZ247+(3000-60-280)/15*5</f>
        <v>1056.6666666666667</v>
      </c>
      <c r="CF247" s="77">
        <f>BZ247+(3000-60-280)/15*6</f>
        <v>1234</v>
      </c>
      <c r="CG247" s="77">
        <f>BZ247+(3000-60-280)/15*7</f>
        <v>1411.3333333333335</v>
      </c>
      <c r="CH247" s="77">
        <f>BZ247+(3000-60-280)/15*8</f>
        <v>1588.6666666666667</v>
      </c>
      <c r="CI247" s="77">
        <f>BZ247+(3000-60-280)/15*9</f>
        <v>1766</v>
      </c>
      <c r="CJ247" s="77">
        <f>BZ247+(3000-60-280)/15*10</f>
        <v>1943.3333333333335</v>
      </c>
      <c r="CK247" s="77">
        <f>BZ247+(3000-60-280)/15*11</f>
        <v>2120.666666666667</v>
      </c>
      <c r="CL247" s="77">
        <f>BZ247+(3000-60-280)/15*12</f>
        <v>2298</v>
      </c>
      <c r="CM247" s="77">
        <f>BZ247+(3000-60-280)/15*13</f>
        <v>2475.3333333333335</v>
      </c>
      <c r="CN247" s="77">
        <f>BZ247+(3000-60-280)/15*14</f>
        <v>2652.666666666667</v>
      </c>
      <c r="CO247" s="77">
        <f>BZ247+(3000-60-280)/15*15</f>
        <v>2830</v>
      </c>
      <c r="CP247" s="77">
        <f>CO247+140</f>
        <v>2970</v>
      </c>
      <c r="DM247" s="77">
        <f>PI()*12*12/4*2</f>
        <v>226.1946710584651</v>
      </c>
      <c r="DN247" s="77">
        <f>PI()*12*12/4*2</f>
        <v>226.1946710584651</v>
      </c>
      <c r="DO247" s="77">
        <f t="shared" ref="DO247:EB247" si="763">PI()*12*12/4</f>
        <v>113.09733552923255</v>
      </c>
      <c r="DP247" s="77">
        <f t="shared" si="763"/>
        <v>113.09733552923255</v>
      </c>
      <c r="DQ247" s="77">
        <f t="shared" si="763"/>
        <v>113.09733552923255</v>
      </c>
      <c r="DR247" s="77">
        <f t="shared" si="763"/>
        <v>113.09733552923255</v>
      </c>
      <c r="DS247" s="77">
        <f t="shared" si="763"/>
        <v>113.09733552923255</v>
      </c>
      <c r="DT247" s="77">
        <f t="shared" si="763"/>
        <v>113.09733552923255</v>
      </c>
      <c r="DU247" s="77">
        <f t="shared" si="763"/>
        <v>113.09733552923255</v>
      </c>
      <c r="DV247" s="77">
        <f t="shared" si="763"/>
        <v>113.09733552923255</v>
      </c>
      <c r="DW247" s="77">
        <f t="shared" si="763"/>
        <v>113.09733552923255</v>
      </c>
      <c r="DX247" s="77">
        <f t="shared" si="763"/>
        <v>113.09733552923255</v>
      </c>
      <c r="DY247" s="77">
        <f t="shared" si="763"/>
        <v>113.09733552923255</v>
      </c>
      <c r="DZ247" s="77">
        <f t="shared" si="763"/>
        <v>113.09733552923255</v>
      </c>
      <c r="EA247" s="77">
        <f t="shared" si="763"/>
        <v>113.09733552923255</v>
      </c>
      <c r="EB247" s="77">
        <f t="shared" si="763"/>
        <v>113.09733552923255</v>
      </c>
      <c r="EC247" s="77">
        <f>PI()*12*12/4*2</f>
        <v>226.1946710584651</v>
      </c>
      <c r="ED247" s="77">
        <f>PI()*12*12/4*2</f>
        <v>226.1946710584651</v>
      </c>
      <c r="FA247" s="77">
        <f t="shared" si="720"/>
        <v>-70120.348028124179</v>
      </c>
      <c r="FB247" s="77">
        <f t="shared" si="721"/>
        <v>-70120.348028124179</v>
      </c>
      <c r="FC247" s="77">
        <f t="shared" si="755"/>
        <v>-17864.167075828358</v>
      </c>
      <c r="FD247" s="77">
        <f t="shared" si="727"/>
        <v>11125.275886439826</v>
      </c>
      <c r="FE247" s="77">
        <f t="shared" si="728"/>
        <v>35060.17401406209</v>
      </c>
      <c r="FF247" s="77">
        <f t="shared" si="753"/>
        <v>35060.17401406209</v>
      </c>
      <c r="FG247" s="77">
        <f t="shared" si="754"/>
        <v>35060.17401406209</v>
      </c>
      <c r="FH247" s="77">
        <f t="shared" si="756"/>
        <v>35060.17401406209</v>
      </c>
      <c r="FI247" s="77">
        <f t="shared" ref="FI247:FP247" si="764">IF(ABS(-$BV247*($BS247-CG247)/$BS247*$BX247)&gt;$BA247,$BA247*SIGN(-($BS247-CG247)),-$BV247*($BS247-CG247)/$BS247*$BX247)*DU247</f>
        <v>35060.17401406209</v>
      </c>
      <c r="FJ247" s="77">
        <f t="shared" si="764"/>
        <v>35060.17401406209</v>
      </c>
      <c r="FK247" s="77">
        <f t="shared" si="764"/>
        <v>35060.17401406209</v>
      </c>
      <c r="FL247" s="77">
        <f t="shared" si="764"/>
        <v>35060.17401406209</v>
      </c>
      <c r="FM247" s="77">
        <f t="shared" si="764"/>
        <v>35060.17401406209</v>
      </c>
      <c r="FN247" s="77">
        <f t="shared" si="764"/>
        <v>35060.17401406209</v>
      </c>
      <c r="FO247" s="77">
        <f t="shared" si="764"/>
        <v>35060.17401406209</v>
      </c>
      <c r="FP247" s="77">
        <f t="shared" si="764"/>
        <v>35060.17401406209</v>
      </c>
      <c r="FQ247" s="77">
        <f>IF(ABS(-$BV247*($BS247-CO247)/$BS247*$BX247)&gt;$BB247,$BB247*SIGN(-($BS247-CO247)),-$BV247*($BS247-CO247)/$BS247*$BX247)*EC247</f>
        <v>70120.348028124179</v>
      </c>
      <c r="FR247" s="77">
        <f>IF(ABS(-$BV247*($BS247-CP247)/$BS247*$BX247)&gt;$BB247,$BB247*SIGN(-($BS247-CP247)),-$BV247*($BS247-CP247)/$BS247*$BX247)*ED247</f>
        <v>70120.348028124179</v>
      </c>
      <c r="GO247" s="77">
        <f t="shared" si="696"/>
        <v>103076911.60134254</v>
      </c>
      <c r="GP247" s="77">
        <f t="shared" si="697"/>
        <v>93260062.877405152</v>
      </c>
      <c r="GQ247" s="77">
        <f t="shared" si="698"/>
        <v>20591429.916071486</v>
      </c>
      <c r="GR247" s="77">
        <f t="shared" si="699"/>
        <v>-10850852.414574308</v>
      </c>
      <c r="GS247" s="77">
        <f t="shared" si="712"/>
        <v>-27978018.863221548</v>
      </c>
      <c r="GT247" s="77">
        <f t="shared" si="724"/>
        <v>-21760681.338061202</v>
      </c>
      <c r="GU247" s="77">
        <f t="shared" si="725"/>
        <v>-15543343.812900856</v>
      </c>
      <c r="GV247" s="77">
        <f t="shared" si="729"/>
        <v>-9326006.2877405155</v>
      </c>
      <c r="GW247" s="77">
        <f t="shared" si="751"/>
        <v>-3108668.7625801666</v>
      </c>
      <c r="GX247" s="77">
        <f t="shared" si="751"/>
        <v>3108668.7625801745</v>
      </c>
      <c r="GY247" s="77">
        <f t="shared" ref="GY247:HF247" si="765">FK247*(CI247-0.5*$AO247)</f>
        <v>9326006.2877405155</v>
      </c>
      <c r="GZ247" s="77">
        <f t="shared" si="765"/>
        <v>15543343.812900865</v>
      </c>
      <c r="HA247" s="77">
        <f t="shared" si="765"/>
        <v>21760681.338061213</v>
      </c>
      <c r="HB247" s="77">
        <f t="shared" si="765"/>
        <v>27978018.863221548</v>
      </c>
      <c r="HC247" s="77">
        <f t="shared" si="765"/>
        <v>34195356.388381898</v>
      </c>
      <c r="HD247" s="77">
        <f t="shared" si="765"/>
        <v>40412693.913542248</v>
      </c>
      <c r="HE247" s="77">
        <f t="shared" si="765"/>
        <v>93260062.877405152</v>
      </c>
      <c r="HF247" s="77">
        <f t="shared" si="765"/>
        <v>103076911.60134254</v>
      </c>
      <c r="IC247" s="82">
        <v>263</v>
      </c>
    </row>
    <row r="248" spans="1:237" s="77" customFormat="1">
      <c r="A248" s="77">
        <v>248</v>
      </c>
      <c r="B248" s="69">
        <v>372</v>
      </c>
      <c r="C248" s="69" t="s">
        <v>606</v>
      </c>
      <c r="D248" s="70" t="s">
        <v>268</v>
      </c>
      <c r="E248" s="70">
        <v>1</v>
      </c>
      <c r="F248" s="70">
        <v>4.8096580969603474E-2</v>
      </c>
      <c r="G248" s="70"/>
      <c r="H248" s="70"/>
      <c r="I248" s="70">
        <v>2.01E-2</v>
      </c>
      <c r="J248" s="72">
        <v>1.8604651162790697</v>
      </c>
      <c r="K248" s="72">
        <v>4.7777777777777777</v>
      </c>
      <c r="L248" s="72">
        <v>0.18656280587275695</v>
      </c>
      <c r="M248" s="72">
        <v>7.0394779771615013E-2</v>
      </c>
      <c r="N248" s="72">
        <v>0</v>
      </c>
      <c r="O248" s="72">
        <v>0</v>
      </c>
      <c r="P248" s="72">
        <v>0.19980525310773045</v>
      </c>
      <c r="Q248" s="73" t="s">
        <v>3</v>
      </c>
      <c r="R248" s="101">
        <v>0</v>
      </c>
      <c r="S248" s="75">
        <f t="shared" si="616"/>
        <v>0.37656889341685229</v>
      </c>
      <c r="T248" s="59">
        <f t="shared" si="594"/>
        <v>1.043340746517718</v>
      </c>
      <c r="U248" s="59">
        <f t="shared" si="595"/>
        <v>0.88587476876420379</v>
      </c>
      <c r="V248" s="59">
        <f t="shared" si="596"/>
        <v>1.7489115898256338</v>
      </c>
      <c r="W248" s="59">
        <f t="shared" si="597"/>
        <v>1.676261178970387</v>
      </c>
      <c r="X248" s="59">
        <f t="shared" si="598"/>
        <v>1.9742198914473739</v>
      </c>
      <c r="Y248" s="100">
        <v>114100</v>
      </c>
      <c r="Z248" s="57">
        <f t="shared" si="599"/>
        <v>225258.48961414536</v>
      </c>
      <c r="AA248" s="57">
        <f t="shared" si="600"/>
        <v>191261.40052052116</v>
      </c>
      <c r="AB248" s="57">
        <f t="shared" si="713"/>
        <v>0</v>
      </c>
      <c r="AC248" s="57">
        <f t="shared" si="601"/>
        <v>0.19232558139534886</v>
      </c>
      <c r="AD248" s="57">
        <f t="shared" si="602"/>
        <v>1.8604651162790697</v>
      </c>
      <c r="AE248" s="57">
        <f t="shared" si="603"/>
        <v>474000</v>
      </c>
      <c r="AF248" s="57">
        <f t="shared" si="604"/>
        <v>77611.249202464955</v>
      </c>
      <c r="AG248" s="57">
        <f t="shared" si="708"/>
        <v>113650.15131805622</v>
      </c>
      <c r="AH248" s="57">
        <f t="shared" si="714"/>
        <v>0</v>
      </c>
      <c r="AI248" s="57">
        <f t="shared" si="715"/>
        <v>0</v>
      </c>
      <c r="AJ248" s="77">
        <v>474000.00000000006</v>
      </c>
      <c r="AK248" s="77">
        <v>61.3</v>
      </c>
      <c r="AL248" s="78">
        <f t="shared" si="605"/>
        <v>4.4182763972906871</v>
      </c>
      <c r="AM248" s="57">
        <f t="shared" si="606"/>
        <v>0.94</v>
      </c>
      <c r="AN248" s="57">
        <f t="shared" si="607"/>
        <v>0.74</v>
      </c>
      <c r="AO248" s="77">
        <v>430</v>
      </c>
      <c r="AP248" s="79">
        <v>0</v>
      </c>
      <c r="AQ248" s="57">
        <f t="shared" si="608"/>
        <v>64.174858533345059</v>
      </c>
      <c r="AR248" s="78">
        <f t="shared" si="726"/>
        <v>430</v>
      </c>
      <c r="AS248" s="57">
        <f t="shared" si="609"/>
        <v>365.82514146665494</v>
      </c>
      <c r="AT248" s="77">
        <v>90</v>
      </c>
      <c r="AU248" s="77">
        <v>725</v>
      </c>
      <c r="AV248" s="78">
        <f t="shared" si="610"/>
        <v>38700</v>
      </c>
      <c r="AW248" s="77">
        <v>0</v>
      </c>
      <c r="AX248" s="77">
        <f t="shared" si="611"/>
        <v>38700</v>
      </c>
      <c r="AY248" s="77">
        <v>38700</v>
      </c>
      <c r="AZ248" s="77">
        <v>372</v>
      </c>
      <c r="BA248" s="77">
        <v>393</v>
      </c>
      <c r="BB248" s="77">
        <v>0</v>
      </c>
      <c r="BC248" s="77">
        <v>372</v>
      </c>
      <c r="BD248" s="77">
        <f>PI()*10*10/4*8*2/(430*90)</f>
        <v>3.247124189756892E-2</v>
      </c>
      <c r="BE248" s="77">
        <f>PI()*6*6/4*2/(90*BH248)</f>
        <v>1.1599012935535511E-2</v>
      </c>
      <c r="BF248" s="77">
        <v>0</v>
      </c>
      <c r="BG248" s="77">
        <v>0</v>
      </c>
      <c r="BH248" s="79">
        <v>54.17</v>
      </c>
      <c r="BI248" s="79">
        <f>PI()*6*6/4</f>
        <v>28.274333882308138</v>
      </c>
      <c r="BJ248" s="79">
        <v>2</v>
      </c>
      <c r="BK248" s="57">
        <f t="shared" si="709"/>
        <v>56.548667764616276</v>
      </c>
      <c r="BL248" s="57" t="b">
        <f t="shared" si="643"/>
        <v>0</v>
      </c>
      <c r="BM248" s="80"/>
      <c r="BN248" s="80"/>
      <c r="BO248" s="57"/>
      <c r="BP248" s="57">
        <f t="shared" si="612"/>
        <v>199550.81239910482</v>
      </c>
      <c r="BQ248" s="77">
        <f t="shared" si="613"/>
        <v>2.6193447411060333E-10</v>
      </c>
      <c r="BR248" s="57">
        <f t="shared" si="664"/>
        <v>144674338.989351</v>
      </c>
      <c r="BS248" s="57">
        <v>128.34971706669012</v>
      </c>
      <c r="BT248" s="57">
        <f t="shared" si="617"/>
        <v>165.12150781914164</v>
      </c>
      <c r="BU248" s="57"/>
      <c r="BV248" s="57">
        <v>3.3E-3</v>
      </c>
      <c r="BW248" s="57">
        <v>30000</v>
      </c>
      <c r="BX248" s="57">
        <v>200000</v>
      </c>
      <c r="BY248" s="77">
        <f>19</f>
        <v>19</v>
      </c>
      <c r="BZ248" s="77">
        <f>BY248+56*1</f>
        <v>75</v>
      </c>
      <c r="CA248" s="77">
        <f>BY248+56*2</f>
        <v>131</v>
      </c>
      <c r="CB248" s="77">
        <f>BY248+56*3</f>
        <v>187</v>
      </c>
      <c r="CC248" s="77">
        <f>BY248+56*4</f>
        <v>243</v>
      </c>
      <c r="CD248" s="77">
        <f>BY248+56*5</f>
        <v>299</v>
      </c>
      <c r="CE248" s="77">
        <f>BY248+56*6</f>
        <v>355</v>
      </c>
      <c r="CF248" s="77">
        <f>BY248+56*7</f>
        <v>411</v>
      </c>
      <c r="DM248" s="77">
        <f t="shared" ref="DM248:DT250" si="766">PI()*10*10/4*2</f>
        <v>157.07963267948966</v>
      </c>
      <c r="DN248" s="77">
        <f t="shared" si="766"/>
        <v>157.07963267948966</v>
      </c>
      <c r="DO248" s="77">
        <f t="shared" si="766"/>
        <v>157.07963267948966</v>
      </c>
      <c r="DP248" s="77">
        <f t="shared" si="766"/>
        <v>157.07963267948966</v>
      </c>
      <c r="DQ248" s="77">
        <f t="shared" si="766"/>
        <v>157.07963267948966</v>
      </c>
      <c r="DR248" s="77">
        <f t="shared" si="766"/>
        <v>157.07963267948966</v>
      </c>
      <c r="DS248" s="77">
        <f t="shared" si="766"/>
        <v>157.07963267948966</v>
      </c>
      <c r="DT248" s="77">
        <f t="shared" si="766"/>
        <v>157.07963267948966</v>
      </c>
      <c r="FA248" s="77">
        <f t="shared" ref="FA248:FB252" si="767">IF(ABS(-$BV248*($BS248-BY248)/$BS248*$BX248)&gt;$BA248,$BA248*SIGN(-($BS248-BY248)),-$BV248*($BS248-BY248)/$BS248*$BX248)*DM248</f>
        <v>-61732.295643039441</v>
      </c>
      <c r="FB248" s="77">
        <f t="shared" si="767"/>
        <v>-43092.43323835155</v>
      </c>
      <c r="FC248" s="77">
        <f t="shared" si="755"/>
        <v>2140.7262614651409</v>
      </c>
      <c r="FD248" s="77">
        <f t="shared" si="727"/>
        <v>47373.885761281825</v>
      </c>
      <c r="FE248" s="77">
        <f t="shared" si="728"/>
        <v>61732.295643039441</v>
      </c>
      <c r="FF248" s="77">
        <f t="shared" si="753"/>
        <v>61732.295643039441</v>
      </c>
      <c r="FG248" s="77">
        <f t="shared" si="754"/>
        <v>61732.295643039441</v>
      </c>
      <c r="FH248" s="77">
        <f t="shared" si="756"/>
        <v>61732.295643039441</v>
      </c>
      <c r="GO248" s="77">
        <f t="shared" si="696"/>
        <v>12099529.94603573</v>
      </c>
      <c r="GP248" s="77">
        <f t="shared" si="697"/>
        <v>6032940.6533692172</v>
      </c>
      <c r="GQ248" s="77">
        <f t="shared" si="698"/>
        <v>-179821.00596307183</v>
      </c>
      <c r="GR248" s="77">
        <f t="shared" si="699"/>
        <v>-1326468.8013158911</v>
      </c>
      <c r="GS248" s="77">
        <f t="shared" si="712"/>
        <v>1728504.2780051043</v>
      </c>
      <c r="GT248" s="77">
        <f t="shared" si="724"/>
        <v>5185512.8340153126</v>
      </c>
      <c r="GU248" s="77">
        <f t="shared" si="725"/>
        <v>8642521.3900255226</v>
      </c>
      <c r="GV248" s="77">
        <f t="shared" si="729"/>
        <v>12099529.94603573</v>
      </c>
      <c r="IC248" s="82">
        <v>264</v>
      </c>
    </row>
    <row r="249" spans="1:237" s="77" customFormat="1">
      <c r="A249" s="77">
        <v>249</v>
      </c>
      <c r="B249" s="69">
        <v>373</v>
      </c>
      <c r="C249" s="69" t="s">
        <v>267</v>
      </c>
      <c r="D249" s="70" t="s">
        <v>269</v>
      </c>
      <c r="E249" s="70">
        <v>1</v>
      </c>
      <c r="F249" s="70">
        <v>7.958656330749353E-2</v>
      </c>
      <c r="G249" s="70"/>
      <c r="H249" s="70"/>
      <c r="I249" s="70">
        <v>1.7600000000000001E-2</v>
      </c>
      <c r="J249" s="72">
        <v>1.8604651162790697</v>
      </c>
      <c r="K249" s="72">
        <v>4.7777777777777777</v>
      </c>
      <c r="L249" s="72">
        <v>0.3518861538461539</v>
      </c>
      <c r="M249" s="72">
        <v>0.1327753846153846</v>
      </c>
      <c r="N249" s="72">
        <v>0</v>
      </c>
      <c r="O249" s="72">
        <v>0</v>
      </c>
      <c r="P249" s="72">
        <v>0.39992049294374876</v>
      </c>
      <c r="Q249" s="73" t="s">
        <v>3</v>
      </c>
      <c r="R249" s="101">
        <v>0</v>
      </c>
      <c r="S249" s="75">
        <f t="shared" si="616"/>
        <v>0.45371321825650451</v>
      </c>
      <c r="T249" s="59">
        <f t="shared" si="594"/>
        <v>1.0725670830207665</v>
      </c>
      <c r="U249" s="59">
        <f t="shared" si="595"/>
        <v>0.76889903181063468</v>
      </c>
      <c r="V249" s="59">
        <f t="shared" si="596"/>
        <v>1.6085863825169784</v>
      </c>
      <c r="W249" s="59">
        <f t="shared" si="597"/>
        <v>1.4997536359092549</v>
      </c>
      <c r="X249" s="59">
        <f t="shared" si="598"/>
        <v>2.0920645181838946</v>
      </c>
      <c r="Y249" s="100">
        <v>100100</v>
      </c>
      <c r="Z249" s="57">
        <f t="shared" si="599"/>
        <v>209415.65827020784</v>
      </c>
      <c r="AA249" s="57">
        <f t="shared" si="600"/>
        <v>150125.33895451642</v>
      </c>
      <c r="AB249" s="57">
        <f t="shared" si="713"/>
        <v>0</v>
      </c>
      <c r="AC249" s="57">
        <f t="shared" si="601"/>
        <v>0.19232558139534886</v>
      </c>
      <c r="AD249" s="57">
        <f t="shared" si="602"/>
        <v>1.8604651162790697</v>
      </c>
      <c r="AE249" s="57">
        <f t="shared" si="603"/>
        <v>251550</v>
      </c>
      <c r="AF249" s="57">
        <f t="shared" si="604"/>
        <v>46103.859753505116</v>
      </c>
      <c r="AG249" s="57">
        <f t="shared" si="708"/>
        <v>104021.4792010113</v>
      </c>
      <c r="AH249" s="57">
        <f t="shared" si="714"/>
        <v>0</v>
      </c>
      <c r="AI249" s="57">
        <f t="shared" si="715"/>
        <v>0</v>
      </c>
      <c r="AJ249" s="77">
        <v>502999.99999999994</v>
      </c>
      <c r="AK249" s="77">
        <v>32.5</v>
      </c>
      <c r="AL249" s="78">
        <f t="shared" si="605"/>
        <v>3.1166315905170028</v>
      </c>
      <c r="AM249" s="57">
        <f t="shared" si="606"/>
        <v>1</v>
      </c>
      <c r="AN249" s="57">
        <f t="shared" si="607"/>
        <v>0.8</v>
      </c>
      <c r="AO249" s="77">
        <v>430</v>
      </c>
      <c r="AP249" s="79">
        <v>0</v>
      </c>
      <c r="AQ249" s="57">
        <f t="shared" si="608"/>
        <v>95.168309034755552</v>
      </c>
      <c r="AR249" s="78">
        <f t="shared" si="726"/>
        <v>430</v>
      </c>
      <c r="AS249" s="57">
        <f t="shared" si="609"/>
        <v>334.83169096524443</v>
      </c>
      <c r="AT249" s="77">
        <v>90</v>
      </c>
      <c r="AU249" s="77">
        <v>725</v>
      </c>
      <c r="AV249" s="78">
        <f t="shared" si="610"/>
        <v>38700</v>
      </c>
      <c r="AW249" s="77">
        <v>0</v>
      </c>
      <c r="AX249" s="77">
        <f t="shared" si="611"/>
        <v>38700</v>
      </c>
      <c r="AY249" s="77">
        <v>38700</v>
      </c>
      <c r="AZ249" s="77">
        <v>372</v>
      </c>
      <c r="BA249" s="77">
        <v>393</v>
      </c>
      <c r="BB249" s="77">
        <v>0</v>
      </c>
      <c r="BC249" s="77">
        <v>372</v>
      </c>
      <c r="BD249" s="77">
        <f>PI()*10*10/4*8*2/(430*90)</f>
        <v>3.247124189756892E-2</v>
      </c>
      <c r="BE249" s="77">
        <f>PI()*6*6/4*2/(90*BH249)</f>
        <v>1.1599012935535511E-2</v>
      </c>
      <c r="BF249" s="77">
        <v>0</v>
      </c>
      <c r="BG249" s="77">
        <v>0</v>
      </c>
      <c r="BH249" s="79">
        <v>54.17</v>
      </c>
      <c r="BI249" s="79">
        <f>PI()*6*6/4</f>
        <v>28.274333882308138</v>
      </c>
      <c r="BJ249" s="79">
        <v>2</v>
      </c>
      <c r="BK249" s="57">
        <f t="shared" si="709"/>
        <v>56.548667764616276</v>
      </c>
      <c r="BL249" s="57" t="b">
        <f t="shared" si="643"/>
        <v>0</v>
      </c>
      <c r="BM249" s="80"/>
      <c r="BN249" s="80"/>
      <c r="BO249" s="57"/>
      <c r="BP249" s="57">
        <f t="shared" si="612"/>
        <v>161019.49688994954</v>
      </c>
      <c r="BQ249" s="77">
        <f t="shared" si="613"/>
        <v>-3.1039235182106495E-8</v>
      </c>
      <c r="BR249" s="57">
        <f t="shared" si="664"/>
        <v>116739135.24521342</v>
      </c>
      <c r="BS249" s="57">
        <v>190.3366180695111</v>
      </c>
      <c r="BT249" s="57">
        <f t="shared" si="617"/>
        <v>123.70922167993835</v>
      </c>
      <c r="BU249" s="57"/>
      <c r="BV249" s="57">
        <v>3.3E-3</v>
      </c>
      <c r="BW249" s="57">
        <v>30000</v>
      </c>
      <c r="BX249" s="57">
        <v>200000</v>
      </c>
      <c r="BY249" s="77">
        <f>19</f>
        <v>19</v>
      </c>
      <c r="BZ249" s="77">
        <f>BY249+56*1</f>
        <v>75</v>
      </c>
      <c r="CA249" s="77">
        <f>BY249+56*2</f>
        <v>131</v>
      </c>
      <c r="CB249" s="77">
        <f>BY249+56*3</f>
        <v>187</v>
      </c>
      <c r="CC249" s="77">
        <f>BY249+56*4</f>
        <v>243</v>
      </c>
      <c r="CD249" s="77">
        <f>BY249+56*5</f>
        <v>299</v>
      </c>
      <c r="CE249" s="77">
        <f>BY249+56*6</f>
        <v>355</v>
      </c>
      <c r="CF249" s="77">
        <f>BY249+56*7</f>
        <v>411</v>
      </c>
      <c r="DM249" s="77">
        <f t="shared" si="766"/>
        <v>157.07963267948966</v>
      </c>
      <c r="DN249" s="77">
        <f t="shared" si="766"/>
        <v>157.07963267948966</v>
      </c>
      <c r="DO249" s="77">
        <f t="shared" si="766"/>
        <v>157.07963267948966</v>
      </c>
      <c r="DP249" s="77">
        <f t="shared" si="766"/>
        <v>157.07963267948966</v>
      </c>
      <c r="DQ249" s="77">
        <f t="shared" si="766"/>
        <v>157.07963267948966</v>
      </c>
      <c r="DR249" s="77">
        <f t="shared" si="766"/>
        <v>157.07963267948966</v>
      </c>
      <c r="DS249" s="77">
        <f t="shared" si="766"/>
        <v>157.07963267948966</v>
      </c>
      <c r="DT249" s="77">
        <f t="shared" si="766"/>
        <v>157.07963267948966</v>
      </c>
      <c r="FA249" s="77">
        <f t="shared" si="767"/>
        <v>-61732.295643039441</v>
      </c>
      <c r="FB249" s="77">
        <f t="shared" si="767"/>
        <v>-61732.295643039441</v>
      </c>
      <c r="FC249" s="77">
        <f t="shared" si="755"/>
        <v>-32319.471760724155</v>
      </c>
      <c r="FD249" s="77">
        <f t="shared" si="727"/>
        <v>-1817.3892780265523</v>
      </c>
      <c r="FE249" s="77">
        <f t="shared" si="728"/>
        <v>28684.693204671043</v>
      </c>
      <c r="FF249" s="77">
        <f t="shared" si="753"/>
        <v>59186.775687368645</v>
      </c>
      <c r="FG249" s="77">
        <f t="shared" si="754"/>
        <v>61732.295643039441</v>
      </c>
      <c r="FH249" s="77">
        <f t="shared" si="756"/>
        <v>61732.295643039441</v>
      </c>
      <c r="GO249" s="77">
        <f t="shared" si="696"/>
        <v>12099529.94603573</v>
      </c>
      <c r="GP249" s="77">
        <f t="shared" si="697"/>
        <v>8642521.3900255226</v>
      </c>
      <c r="GQ249" s="77">
        <f t="shared" si="698"/>
        <v>2714835.6279008291</v>
      </c>
      <c r="GR249" s="77">
        <f t="shared" si="699"/>
        <v>50886.899784743466</v>
      </c>
      <c r="GS249" s="77">
        <f t="shared" si="712"/>
        <v>803171.40973078925</v>
      </c>
      <c r="GT249" s="77">
        <f t="shared" si="724"/>
        <v>4971689.1577389659</v>
      </c>
      <c r="GU249" s="77">
        <f t="shared" si="725"/>
        <v>8642521.3900255226</v>
      </c>
      <c r="GV249" s="77">
        <f t="shared" si="729"/>
        <v>12099529.94603573</v>
      </c>
      <c r="IC249" s="82">
        <v>265</v>
      </c>
    </row>
    <row r="250" spans="1:237" s="77" customFormat="1">
      <c r="A250" s="77">
        <v>250</v>
      </c>
      <c r="B250" s="69">
        <v>374</v>
      </c>
      <c r="C250" s="69" t="s">
        <v>267</v>
      </c>
      <c r="D250" s="70" t="s">
        <v>270</v>
      </c>
      <c r="E250" s="70">
        <v>1</v>
      </c>
      <c r="F250" s="70">
        <v>8.0704116271831716E-2</v>
      </c>
      <c r="G250" s="70"/>
      <c r="H250" s="70"/>
      <c r="I250" s="70">
        <v>1.66E-2</v>
      </c>
      <c r="J250" s="72">
        <v>1.8604651162790697</v>
      </c>
      <c r="K250" s="72">
        <v>4.7777777777777777</v>
      </c>
      <c r="L250" s="72">
        <v>0.32034453781512606</v>
      </c>
      <c r="M250" s="72">
        <v>0.12087394957983193</v>
      </c>
      <c r="N250" s="72">
        <v>0</v>
      </c>
      <c r="O250" s="72">
        <v>0</v>
      </c>
      <c r="P250" s="72">
        <v>0.40026346455895012</v>
      </c>
      <c r="Q250" s="73" t="s">
        <v>3</v>
      </c>
      <c r="R250" s="101">
        <v>0</v>
      </c>
      <c r="S250" s="75">
        <f t="shared" si="616"/>
        <v>0.48220287377913756</v>
      </c>
      <c r="T250" s="59">
        <f t="shared" si="594"/>
        <v>1.1071789824530627</v>
      </c>
      <c r="U250" s="59">
        <f t="shared" si="595"/>
        <v>0.8041329776853946</v>
      </c>
      <c r="V250" s="59">
        <f t="shared" si="596"/>
        <v>1.5250080140807929</v>
      </c>
      <c r="W250" s="59">
        <f t="shared" si="597"/>
        <v>1.3773816503470733</v>
      </c>
      <c r="X250" s="59">
        <f t="shared" si="598"/>
        <v>1.8964624712573721</v>
      </c>
      <c r="Y250" s="100">
        <v>111500</v>
      </c>
      <c r="Z250" s="57">
        <f t="shared" si="599"/>
        <v>211455.56554519699</v>
      </c>
      <c r="AA250" s="57">
        <f t="shared" si="600"/>
        <v>153578.05401369868</v>
      </c>
      <c r="AB250" s="57">
        <f t="shared" si="713"/>
        <v>0</v>
      </c>
      <c r="AC250" s="57">
        <f t="shared" si="601"/>
        <v>0.19232558139534886</v>
      </c>
      <c r="AD250" s="57">
        <f t="shared" si="602"/>
        <v>1.8604651162790697</v>
      </c>
      <c r="AE250" s="57">
        <f t="shared" si="603"/>
        <v>276318</v>
      </c>
      <c r="AF250" s="57">
        <f t="shared" si="604"/>
        <v>49424.959972789904</v>
      </c>
      <c r="AG250" s="57">
        <f t="shared" si="708"/>
        <v>104153.09404090878</v>
      </c>
      <c r="AH250" s="57">
        <f t="shared" si="714"/>
        <v>0</v>
      </c>
      <c r="AI250" s="57">
        <f t="shared" si="715"/>
        <v>0</v>
      </c>
      <c r="AJ250" s="77">
        <v>553000</v>
      </c>
      <c r="AK250" s="77">
        <v>35.700000000000003</v>
      </c>
      <c r="AL250" s="78">
        <f t="shared" si="605"/>
        <v>3.2818379953517196</v>
      </c>
      <c r="AM250" s="57">
        <f t="shared" si="606"/>
        <v>1</v>
      </c>
      <c r="AN250" s="57">
        <f t="shared" si="607"/>
        <v>0.8</v>
      </c>
      <c r="AO250" s="77">
        <v>430</v>
      </c>
      <c r="AP250" s="79">
        <v>0</v>
      </c>
      <c r="AQ250" s="57">
        <f t="shared" si="608"/>
        <v>94.744657883690593</v>
      </c>
      <c r="AR250" s="78">
        <f t="shared" si="726"/>
        <v>430</v>
      </c>
      <c r="AS250" s="57">
        <f t="shared" si="609"/>
        <v>335.25534211630941</v>
      </c>
      <c r="AT250" s="77">
        <v>90</v>
      </c>
      <c r="AU250" s="77">
        <v>725</v>
      </c>
      <c r="AV250" s="78">
        <f t="shared" si="610"/>
        <v>38700</v>
      </c>
      <c r="AW250" s="77">
        <v>0</v>
      </c>
      <c r="AX250" s="77">
        <f t="shared" si="611"/>
        <v>38700</v>
      </c>
      <c r="AY250" s="77">
        <v>38700</v>
      </c>
      <c r="AZ250" s="77">
        <v>372</v>
      </c>
      <c r="BA250" s="77">
        <v>393</v>
      </c>
      <c r="BB250" s="77">
        <v>0</v>
      </c>
      <c r="BC250" s="77">
        <v>372</v>
      </c>
      <c r="BD250" s="77">
        <f>PI()*10*10/4*8*2/(430*90)</f>
        <v>3.247124189756892E-2</v>
      </c>
      <c r="BE250" s="77">
        <f>PI()*6*6/4*2/(90*BH250)</f>
        <v>1.1599012935535511E-2</v>
      </c>
      <c r="BF250" s="77">
        <v>0</v>
      </c>
      <c r="BG250" s="77">
        <v>0</v>
      </c>
      <c r="BH250" s="79">
        <v>54.17</v>
      </c>
      <c r="BI250" s="79">
        <f>PI()*6*6/4</f>
        <v>28.274333882308138</v>
      </c>
      <c r="BJ250" s="79">
        <v>2</v>
      </c>
      <c r="BK250" s="57">
        <f t="shared" si="709"/>
        <v>56.548667764616276</v>
      </c>
      <c r="BL250" s="57" t="b">
        <f t="shared" si="643"/>
        <v>0</v>
      </c>
      <c r="BM250" s="80"/>
      <c r="BN250" s="80"/>
      <c r="BO250" s="57"/>
      <c r="BP250" s="57">
        <f t="shared" si="612"/>
        <v>170038.3935700084</v>
      </c>
      <c r="BQ250" s="77">
        <f t="shared" si="613"/>
        <v>-4.636240191757679E-8</v>
      </c>
      <c r="BR250" s="57">
        <f t="shared" si="664"/>
        <v>123277835.33825609</v>
      </c>
      <c r="BS250" s="57">
        <v>189.48931576738119</v>
      </c>
      <c r="BT250" s="57">
        <f t="shared" si="617"/>
        <v>127.26600073991858</v>
      </c>
      <c r="BU250" s="57"/>
      <c r="BV250" s="57">
        <v>3.3E-3</v>
      </c>
      <c r="BW250" s="57">
        <v>30000</v>
      </c>
      <c r="BX250" s="57">
        <v>200000</v>
      </c>
      <c r="BY250" s="77">
        <f>19</f>
        <v>19</v>
      </c>
      <c r="BZ250" s="77">
        <f>BY250+56*1</f>
        <v>75</v>
      </c>
      <c r="CA250" s="77">
        <f>BY250+56*2</f>
        <v>131</v>
      </c>
      <c r="CB250" s="77">
        <f>BY250+56*3</f>
        <v>187</v>
      </c>
      <c r="CC250" s="77">
        <f>BY250+56*4</f>
        <v>243</v>
      </c>
      <c r="CD250" s="77">
        <f>BY250+56*5</f>
        <v>299</v>
      </c>
      <c r="CE250" s="77">
        <f>BY250+56*6</f>
        <v>355</v>
      </c>
      <c r="CF250" s="77">
        <f>BY250+56*7</f>
        <v>411</v>
      </c>
      <c r="DM250" s="77">
        <f t="shared" si="766"/>
        <v>157.07963267948966</v>
      </c>
      <c r="DN250" s="77">
        <f t="shared" si="766"/>
        <v>157.07963267948966</v>
      </c>
      <c r="DO250" s="77">
        <f t="shared" si="766"/>
        <v>157.07963267948966</v>
      </c>
      <c r="DP250" s="77">
        <f t="shared" si="766"/>
        <v>157.07963267948966</v>
      </c>
      <c r="DQ250" s="77">
        <f t="shared" si="766"/>
        <v>157.07963267948966</v>
      </c>
      <c r="DR250" s="77">
        <f t="shared" si="766"/>
        <v>157.07963267948966</v>
      </c>
      <c r="DS250" s="77">
        <f t="shared" si="766"/>
        <v>157.07963267948966</v>
      </c>
      <c r="DT250" s="77">
        <f t="shared" si="766"/>
        <v>157.07963267948966</v>
      </c>
      <c r="FA250" s="77">
        <f t="shared" si="767"/>
        <v>-61732.295643039441</v>
      </c>
      <c r="FB250" s="77">
        <f t="shared" si="767"/>
        <v>-61732.295643039441</v>
      </c>
      <c r="FC250" s="77">
        <f t="shared" si="755"/>
        <v>-32000.416126246117</v>
      </c>
      <c r="FD250" s="77">
        <f t="shared" si="727"/>
        <v>-1361.9434486571408</v>
      </c>
      <c r="FE250" s="77">
        <f t="shared" si="728"/>
        <v>29276.529228931831</v>
      </c>
      <c r="FF250" s="77">
        <f t="shared" si="753"/>
        <v>59915.001906520811</v>
      </c>
      <c r="FG250" s="77">
        <f t="shared" si="754"/>
        <v>61732.295643039441</v>
      </c>
      <c r="FH250" s="77">
        <f t="shared" si="756"/>
        <v>61732.295643039441</v>
      </c>
      <c r="GO250" s="77">
        <f t="shared" si="696"/>
        <v>12099529.94603573</v>
      </c>
      <c r="GP250" s="77">
        <f t="shared" si="697"/>
        <v>8642521.3900255226</v>
      </c>
      <c r="GQ250" s="77">
        <f t="shared" si="698"/>
        <v>2688034.9546046737</v>
      </c>
      <c r="GR250" s="77">
        <f t="shared" si="699"/>
        <v>38134.416562399943</v>
      </c>
      <c r="GS250" s="77">
        <f t="shared" si="712"/>
        <v>819742.81841009133</v>
      </c>
      <c r="GT250" s="77">
        <f t="shared" si="724"/>
        <v>5032860.160147748</v>
      </c>
      <c r="GU250" s="77">
        <f t="shared" si="725"/>
        <v>8642521.3900255226</v>
      </c>
      <c r="GV250" s="77">
        <f t="shared" si="729"/>
        <v>12099529.94603573</v>
      </c>
      <c r="IC250" s="82">
        <v>266</v>
      </c>
    </row>
    <row r="251" spans="1:237" s="77" customFormat="1">
      <c r="A251" s="77">
        <v>251</v>
      </c>
      <c r="B251" s="69">
        <v>375</v>
      </c>
      <c r="C251" s="69" t="s">
        <v>271</v>
      </c>
      <c r="D251" s="70" t="s">
        <v>272</v>
      </c>
      <c r="E251" s="70">
        <v>1</v>
      </c>
      <c r="F251" s="70">
        <v>1.9565053803897961E-2</v>
      </c>
      <c r="G251" s="70">
        <v>2.5714285999999999E-3</v>
      </c>
      <c r="H251" s="70">
        <v>6.0000000000000001E-3</v>
      </c>
      <c r="I251" s="70">
        <v>1.37142857E-2</v>
      </c>
      <c r="J251" s="72">
        <v>1.7010309278350515</v>
      </c>
      <c r="K251" s="72">
        <v>19.399999999999999</v>
      </c>
      <c r="L251" s="72">
        <v>3.0238442822384425E-2</v>
      </c>
      <c r="M251" s="72">
        <v>3.0238442822384425E-2</v>
      </c>
      <c r="N251" s="72">
        <v>0</v>
      </c>
      <c r="O251" s="72">
        <v>0</v>
      </c>
      <c r="P251" s="72">
        <v>5.1094890510948905E-2</v>
      </c>
      <c r="Q251" s="73" t="s">
        <v>3</v>
      </c>
      <c r="R251" s="101">
        <v>0</v>
      </c>
      <c r="S251" s="75">
        <f t="shared" si="616"/>
        <v>0.12543015457760245</v>
      </c>
      <c r="T251" s="59">
        <f t="shared" si="594"/>
        <v>0.2684742401621158</v>
      </c>
      <c r="U251" s="59">
        <f t="shared" si="595"/>
        <v>0.31277533238138905</v>
      </c>
      <c r="V251" s="59">
        <f t="shared" si="596"/>
        <v>1.0266028738127002</v>
      </c>
      <c r="W251" s="59">
        <f t="shared" si="597"/>
        <v>3.8238412489510911</v>
      </c>
      <c r="X251" s="59">
        <f t="shared" si="598"/>
        <v>3.2822373362899691</v>
      </c>
      <c r="Y251" s="100">
        <v>39000</v>
      </c>
      <c r="Z251" s="57">
        <f t="shared" si="599"/>
        <v>128007.25611530879</v>
      </c>
      <c r="AA251" s="57">
        <f t="shared" si="600"/>
        <v>149129.80870909255</v>
      </c>
      <c r="AB251" s="57">
        <f t="shared" si="713"/>
        <v>0</v>
      </c>
      <c r="AC251" s="57">
        <f t="shared" si="601"/>
        <v>0.21783505154639177</v>
      </c>
      <c r="AD251" s="57">
        <f t="shared" si="602"/>
        <v>1.7010309278350515</v>
      </c>
      <c r="AE251" s="57">
        <f t="shared" si="603"/>
        <v>101850</v>
      </c>
      <c r="AF251" s="57">
        <f t="shared" si="604"/>
        <v>63601.555225478667</v>
      </c>
      <c r="AG251" s="57">
        <f t="shared" si="708"/>
        <v>85528.253483613895</v>
      </c>
      <c r="AH251" s="57">
        <f t="shared" si="714"/>
        <v>0</v>
      </c>
      <c r="AI251" s="57">
        <f t="shared" si="715"/>
        <v>0</v>
      </c>
      <c r="AJ251" s="77">
        <v>101849.99999999999</v>
      </c>
      <c r="AK251" s="77">
        <v>41.1</v>
      </c>
      <c r="AL251" s="78">
        <f t="shared" si="605"/>
        <v>3.5461950716379524</v>
      </c>
      <c r="AM251" s="57">
        <f t="shared" si="606"/>
        <v>0.99184210526315786</v>
      </c>
      <c r="AN251" s="57">
        <f t="shared" si="607"/>
        <v>0.7918421052631579</v>
      </c>
      <c r="AO251" s="77">
        <v>970</v>
      </c>
      <c r="AP251" s="79">
        <v>0</v>
      </c>
      <c r="AQ251" s="57">
        <f t="shared" si="608"/>
        <v>36.570880241640822</v>
      </c>
      <c r="AR251" s="78">
        <f t="shared" si="726"/>
        <v>970</v>
      </c>
      <c r="AS251" s="57">
        <f t="shared" si="609"/>
        <v>933.42911975835921</v>
      </c>
      <c r="AT251" s="77">
        <v>50</v>
      </c>
      <c r="AU251" s="77">
        <v>1785</v>
      </c>
      <c r="AV251" s="78">
        <f t="shared" si="610"/>
        <v>48500</v>
      </c>
      <c r="AW251" s="77">
        <v>0</v>
      </c>
      <c r="AX251" s="77">
        <f t="shared" si="611"/>
        <v>48500</v>
      </c>
      <c r="AY251" s="77">
        <v>48500</v>
      </c>
      <c r="AZ251" s="77">
        <v>478</v>
      </c>
      <c r="BA251" s="77">
        <v>478</v>
      </c>
      <c r="BB251" s="77">
        <v>478</v>
      </c>
      <c r="BC251" s="77">
        <v>0</v>
      </c>
      <c r="BD251" s="77">
        <v>2.5999999999999999E-3</v>
      </c>
      <c r="BE251" s="77">
        <v>2.5999999999999999E-3</v>
      </c>
      <c r="BF251" s="77">
        <v>0</v>
      </c>
      <c r="BG251" s="77">
        <v>0</v>
      </c>
      <c r="BH251" s="79">
        <v>59</v>
      </c>
      <c r="BI251" s="79">
        <f t="shared" ref="BI251:BI256" si="768">PI()*3*3/4</f>
        <v>7.0685834705770345</v>
      </c>
      <c r="BJ251" s="79">
        <v>2</v>
      </c>
      <c r="BK251" s="57">
        <f t="shared" si="709"/>
        <v>14.137166941154069</v>
      </c>
      <c r="BL251" s="57" t="b">
        <f t="shared" si="643"/>
        <v>0</v>
      </c>
      <c r="BM251" s="80"/>
      <c r="BN251" s="80"/>
      <c r="BO251" s="57"/>
      <c r="BP251" s="57">
        <f t="shared" si="612"/>
        <v>40037.512078695305</v>
      </c>
      <c r="BQ251" s="77">
        <f t="shared" si="613"/>
        <v>0</v>
      </c>
      <c r="BR251" s="57">
        <f t="shared" si="664"/>
        <v>71466959.060471117</v>
      </c>
      <c r="BS251" s="57">
        <v>73.141760483281644</v>
      </c>
      <c r="BT251" s="57">
        <f t="shared" si="617"/>
        <v>77.083665293416217</v>
      </c>
      <c r="BU251" s="57"/>
      <c r="BV251" s="57">
        <v>3.3E-3</v>
      </c>
      <c r="BW251" s="57">
        <v>30000</v>
      </c>
      <c r="BX251" s="57">
        <v>200000</v>
      </c>
      <c r="BY251" s="77">
        <f>13</f>
        <v>13</v>
      </c>
      <c r="BZ251" s="77">
        <f>BY251+59*1</f>
        <v>72</v>
      </c>
      <c r="CA251" s="77">
        <f>BY251+59*2</f>
        <v>131</v>
      </c>
      <c r="CB251" s="77">
        <f>BY251+59*3</f>
        <v>190</v>
      </c>
      <c r="CC251" s="77">
        <f>BY251+59*4</f>
        <v>249</v>
      </c>
      <c r="CD251" s="77">
        <f>BY251+59*5</f>
        <v>308</v>
      </c>
      <c r="CE251" s="77">
        <f>BY251+59*6</f>
        <v>367</v>
      </c>
      <c r="CF251" s="77">
        <f>BY251+59*7</f>
        <v>426</v>
      </c>
      <c r="CG251" s="77">
        <f>BY251+59*8</f>
        <v>485</v>
      </c>
      <c r="CH251" s="77">
        <f>BY251+59*9</f>
        <v>544</v>
      </c>
      <c r="CI251" s="77">
        <f>BY251+59*10</f>
        <v>603</v>
      </c>
      <c r="CJ251" s="77">
        <f>BY251+59*11</f>
        <v>662</v>
      </c>
      <c r="CK251" s="77">
        <f>BY251+59*12</f>
        <v>721</v>
      </c>
      <c r="CL251" s="77">
        <f>BY251+59*13</f>
        <v>780</v>
      </c>
      <c r="CM251" s="77">
        <f>BY251+59*14</f>
        <v>839</v>
      </c>
      <c r="CN251" s="77">
        <f>BY251+59*15</f>
        <v>898</v>
      </c>
      <c r="CO251" s="77">
        <f>BY251+59*16</f>
        <v>957</v>
      </c>
      <c r="DM251" s="77">
        <f t="shared" ref="DM251:DV252" si="769">PI()*3*3/4</f>
        <v>7.0685834705770345</v>
      </c>
      <c r="DN251" s="77">
        <f t="shared" si="769"/>
        <v>7.0685834705770345</v>
      </c>
      <c r="DO251" s="77">
        <f t="shared" si="769"/>
        <v>7.0685834705770345</v>
      </c>
      <c r="DP251" s="77">
        <f t="shared" si="769"/>
        <v>7.0685834705770345</v>
      </c>
      <c r="DQ251" s="77">
        <f t="shared" si="769"/>
        <v>7.0685834705770345</v>
      </c>
      <c r="DR251" s="77">
        <f t="shared" si="769"/>
        <v>7.0685834705770345</v>
      </c>
      <c r="DS251" s="77">
        <f t="shared" si="769"/>
        <v>7.0685834705770345</v>
      </c>
      <c r="DT251" s="77">
        <f t="shared" si="769"/>
        <v>7.0685834705770345</v>
      </c>
      <c r="DU251" s="77">
        <f t="shared" si="769"/>
        <v>7.0685834705770345</v>
      </c>
      <c r="DV251" s="77">
        <f t="shared" si="769"/>
        <v>7.0685834705770345</v>
      </c>
      <c r="DW251" s="77">
        <f t="shared" ref="DW251:EC252" si="770">PI()*3*3/4</f>
        <v>7.0685834705770345</v>
      </c>
      <c r="DX251" s="77">
        <f t="shared" si="770"/>
        <v>7.0685834705770345</v>
      </c>
      <c r="DY251" s="77">
        <f t="shared" si="770"/>
        <v>7.0685834705770345</v>
      </c>
      <c r="DZ251" s="77">
        <f t="shared" si="770"/>
        <v>7.0685834705770345</v>
      </c>
      <c r="EA251" s="77">
        <f t="shared" si="770"/>
        <v>7.0685834705770345</v>
      </c>
      <c r="EB251" s="77">
        <f t="shared" si="770"/>
        <v>7.0685834705770345</v>
      </c>
      <c r="EC251" s="77">
        <f t="shared" si="770"/>
        <v>7.0685834705770345</v>
      </c>
      <c r="FA251" s="77">
        <f t="shared" si="767"/>
        <v>-3378.7828989358227</v>
      </c>
      <c r="FB251" s="77">
        <f t="shared" si="767"/>
        <v>-72.825910796556414</v>
      </c>
      <c r="FC251" s="77">
        <f t="shared" si="755"/>
        <v>3378.7828989358227</v>
      </c>
      <c r="FD251" s="77">
        <f t="shared" si="727"/>
        <v>3378.7828989358227</v>
      </c>
      <c r="FE251" s="77">
        <f t="shared" si="728"/>
        <v>3378.7828989358227</v>
      </c>
      <c r="FF251" s="77">
        <f t="shared" si="753"/>
        <v>3378.7828989358227</v>
      </c>
      <c r="FG251" s="77">
        <f t="shared" si="754"/>
        <v>3378.7828989358227</v>
      </c>
      <c r="FH251" s="77">
        <f t="shared" si="756"/>
        <v>3378.7828989358227</v>
      </c>
      <c r="FI251" s="77">
        <f t="shared" ref="FI251:FQ252" si="771">IF(ABS(-$BV251*($BS251-CG251)/$BS251*$BX251)&gt;$BA251,$BA251*SIGN(-($BS251-CG251)),-$BV251*($BS251-CG251)/$BS251*$BX251)*DU251</f>
        <v>3378.7828989358227</v>
      </c>
      <c r="FJ251" s="77">
        <f t="shared" si="771"/>
        <v>3378.7828989358227</v>
      </c>
      <c r="FK251" s="77">
        <f t="shared" si="771"/>
        <v>3378.7828989358227</v>
      </c>
      <c r="FL251" s="77">
        <f t="shared" si="771"/>
        <v>3378.7828989358227</v>
      </c>
      <c r="FM251" s="77">
        <f t="shared" si="771"/>
        <v>3378.7828989358227</v>
      </c>
      <c r="FN251" s="77">
        <f t="shared" si="771"/>
        <v>3378.7828989358227</v>
      </c>
      <c r="FO251" s="77">
        <f t="shared" si="771"/>
        <v>3378.7828989358227</v>
      </c>
      <c r="FP251" s="77">
        <f t="shared" si="771"/>
        <v>3378.7828989358227</v>
      </c>
      <c r="FQ251" s="77">
        <f t="shared" si="771"/>
        <v>3378.7828989358227</v>
      </c>
      <c r="GO251" s="77">
        <f t="shared" si="696"/>
        <v>1594785.5282977084</v>
      </c>
      <c r="GP251" s="77">
        <f t="shared" si="697"/>
        <v>30077.101158977799</v>
      </c>
      <c r="GQ251" s="77">
        <f t="shared" si="698"/>
        <v>-1196089.1462232813</v>
      </c>
      <c r="GR251" s="77">
        <f t="shared" si="699"/>
        <v>-996740.95518606773</v>
      </c>
      <c r="GS251" s="77">
        <f t="shared" si="712"/>
        <v>-797392.76414885418</v>
      </c>
      <c r="GT251" s="77">
        <f t="shared" si="724"/>
        <v>-598044.57311164064</v>
      </c>
      <c r="GU251" s="77">
        <f t="shared" si="725"/>
        <v>-398696.38207442709</v>
      </c>
      <c r="GV251" s="77">
        <f t="shared" si="729"/>
        <v>-199348.19103721355</v>
      </c>
      <c r="GW251" s="77">
        <f t="shared" ref="GW251:GW260" si="772">FI251*(CG251-0.5*$AO251)</f>
        <v>0</v>
      </c>
      <c r="GX251" s="77">
        <f t="shared" ref="GX251:GX260" si="773">FJ251*(CH251-0.5*$AO251)</f>
        <v>199348.19103721355</v>
      </c>
      <c r="GY251" s="77">
        <f t="shared" ref="GY251:GY260" si="774">FK251*(CI251-0.5*$AO251)</f>
        <v>398696.38207442709</v>
      </c>
      <c r="GZ251" s="77">
        <f t="shared" ref="GZ251:GZ260" si="775">FL251*(CJ251-0.5*$AO251)</f>
        <v>598044.57311164064</v>
      </c>
      <c r="HA251" s="77">
        <f t="shared" ref="HA251:HA260" si="776">FM251*(CK251-0.5*$AO251)</f>
        <v>797392.76414885418</v>
      </c>
      <c r="HB251" s="77">
        <f t="shared" ref="HB251:HB260" si="777">FN251*(CL251-0.5*$AO251)</f>
        <v>996740.95518606773</v>
      </c>
      <c r="HC251" s="77">
        <f t="shared" ref="HC251:HC260" si="778">FO251*(CM251-0.5*$AO251)</f>
        <v>1196089.1462232813</v>
      </c>
      <c r="HD251" s="77">
        <f t="shared" ref="HD251:HD260" si="779">FP251*(CN251-0.5*$AO251)</f>
        <v>1395437.3372604947</v>
      </c>
      <c r="HE251" s="77">
        <f t="shared" ref="HE251:HE260" si="780">FQ251*(CO251-0.5*$AO251)</f>
        <v>1594785.5282977084</v>
      </c>
      <c r="IC251" s="82">
        <v>267</v>
      </c>
    </row>
    <row r="252" spans="1:237" s="77" customFormat="1">
      <c r="A252" s="77">
        <v>252</v>
      </c>
      <c r="B252" s="69">
        <v>376</v>
      </c>
      <c r="C252" s="69" t="s">
        <v>271</v>
      </c>
      <c r="D252" s="70" t="s">
        <v>273</v>
      </c>
      <c r="E252" s="70">
        <v>1</v>
      </c>
      <c r="F252" s="70">
        <v>3.1354252890862119E-2</v>
      </c>
      <c r="G252" s="70">
        <v>1.7142857000000001E-3</v>
      </c>
      <c r="H252" s="70">
        <v>4.7857142999999996E-3</v>
      </c>
      <c r="I252" s="70">
        <v>6.0714285999999996E-3</v>
      </c>
      <c r="J252" s="72">
        <v>1.7010309278350515</v>
      </c>
      <c r="K252" s="72">
        <v>19.399999999999999</v>
      </c>
      <c r="L252" s="72">
        <v>3.0238442822384425E-2</v>
      </c>
      <c r="M252" s="72">
        <v>3.0238442822384425E-2</v>
      </c>
      <c r="N252" s="72">
        <v>0</v>
      </c>
      <c r="O252" s="72">
        <v>0</v>
      </c>
      <c r="P252" s="72">
        <v>0.10218978102189781</v>
      </c>
      <c r="Q252" s="73" t="s">
        <v>3</v>
      </c>
      <c r="R252" s="101">
        <v>0</v>
      </c>
      <c r="S252" s="75">
        <f t="shared" si="616"/>
        <v>0.20100986310513214</v>
      </c>
      <c r="T252" s="59">
        <f t="shared" si="594"/>
        <v>0.40325902962503302</v>
      </c>
      <c r="U252" s="59">
        <f t="shared" si="595"/>
        <v>0.4852915769256162</v>
      </c>
      <c r="V252" s="59">
        <f t="shared" si="596"/>
        <v>0.99393349084991089</v>
      </c>
      <c r="W252" s="59">
        <f t="shared" si="597"/>
        <v>2.4647519778394336</v>
      </c>
      <c r="X252" s="59">
        <f t="shared" si="598"/>
        <v>2.0481160978449404</v>
      </c>
      <c r="Y252" s="100">
        <v>62500</v>
      </c>
      <c r="Z252" s="57">
        <f t="shared" si="599"/>
        <v>128007.25611530879</v>
      </c>
      <c r="AA252" s="57">
        <f t="shared" si="600"/>
        <v>154046.9986149646</v>
      </c>
      <c r="AB252" s="57">
        <f t="shared" si="713"/>
        <v>0</v>
      </c>
      <c r="AC252" s="57">
        <f t="shared" si="601"/>
        <v>0.21783505154639177</v>
      </c>
      <c r="AD252" s="57">
        <f t="shared" si="602"/>
        <v>1.7010309278350515</v>
      </c>
      <c r="AE252" s="57">
        <f t="shared" si="603"/>
        <v>203700</v>
      </c>
      <c r="AF252" s="57">
        <f t="shared" si="604"/>
        <v>70685.401071316766</v>
      </c>
      <c r="AG252" s="57">
        <f t="shared" si="708"/>
        <v>83361.597543647847</v>
      </c>
      <c r="AH252" s="57">
        <f t="shared" si="714"/>
        <v>0</v>
      </c>
      <c r="AI252" s="57">
        <f t="shared" si="715"/>
        <v>0</v>
      </c>
      <c r="AJ252" s="77">
        <v>203699.99999999997</v>
      </c>
      <c r="AK252" s="77">
        <v>41.1</v>
      </c>
      <c r="AL252" s="78">
        <f t="shared" si="605"/>
        <v>3.5461950716379524</v>
      </c>
      <c r="AM252" s="57">
        <f t="shared" si="606"/>
        <v>0.99184210526315786</v>
      </c>
      <c r="AN252" s="57">
        <f t="shared" si="607"/>
        <v>0.7918421052631579</v>
      </c>
      <c r="AO252" s="77">
        <v>970</v>
      </c>
      <c r="AP252" s="79">
        <v>0</v>
      </c>
      <c r="AQ252" s="57">
        <f t="shared" si="608"/>
        <v>60.217098473481556</v>
      </c>
      <c r="AR252" s="78">
        <f t="shared" si="726"/>
        <v>970</v>
      </c>
      <c r="AS252" s="57">
        <f t="shared" si="609"/>
        <v>909.78290152651846</v>
      </c>
      <c r="AT252" s="77">
        <v>50</v>
      </c>
      <c r="AU252" s="77">
        <v>1785</v>
      </c>
      <c r="AV252" s="78">
        <f t="shared" si="610"/>
        <v>48500</v>
      </c>
      <c r="AW252" s="77">
        <v>0</v>
      </c>
      <c r="AX252" s="77">
        <f t="shared" si="611"/>
        <v>48500</v>
      </c>
      <c r="AY252" s="77">
        <v>48500</v>
      </c>
      <c r="AZ252" s="77">
        <v>478</v>
      </c>
      <c r="BA252" s="77">
        <v>478</v>
      </c>
      <c r="BB252" s="77">
        <v>478</v>
      </c>
      <c r="BC252" s="77">
        <v>0</v>
      </c>
      <c r="BD252" s="77">
        <v>2.5999999999999999E-3</v>
      </c>
      <c r="BE252" s="77">
        <v>2.5999999999999999E-3</v>
      </c>
      <c r="BF252" s="77">
        <v>0</v>
      </c>
      <c r="BG252" s="77">
        <v>0</v>
      </c>
      <c r="BH252" s="79">
        <v>59</v>
      </c>
      <c r="BI252" s="79">
        <f t="shared" si="768"/>
        <v>7.0685834705770345</v>
      </c>
      <c r="BJ252" s="79">
        <v>2</v>
      </c>
      <c r="BK252" s="57">
        <f t="shared" si="709"/>
        <v>14.137166941154069</v>
      </c>
      <c r="BL252" s="57" t="b">
        <f t="shared" si="643"/>
        <v>0</v>
      </c>
      <c r="BM252" s="80"/>
      <c r="BN252" s="80"/>
      <c r="BO252" s="57"/>
      <c r="BP252" s="57">
        <f t="shared" si="612"/>
        <v>62120.84317811943</v>
      </c>
      <c r="BQ252" s="77">
        <f t="shared" si="613"/>
        <v>8.7311491370201111E-11</v>
      </c>
      <c r="BR252" s="57">
        <f t="shared" si="664"/>
        <v>110885705.07294318</v>
      </c>
      <c r="BS252" s="57">
        <v>120.43419694696311</v>
      </c>
      <c r="BT252" s="57">
        <f t="shared" si="617"/>
        <v>154.16733058683243</v>
      </c>
      <c r="BU252" s="57"/>
      <c r="BV252" s="57">
        <v>3.3E-3</v>
      </c>
      <c r="BW252" s="57">
        <v>30000</v>
      </c>
      <c r="BX252" s="57">
        <v>200000</v>
      </c>
      <c r="BY252" s="77">
        <f>13</f>
        <v>13</v>
      </c>
      <c r="BZ252" s="77">
        <f>BY252+59*1</f>
        <v>72</v>
      </c>
      <c r="CA252" s="77">
        <f>BY252+59*2</f>
        <v>131</v>
      </c>
      <c r="CB252" s="77">
        <f>BY252+59*3</f>
        <v>190</v>
      </c>
      <c r="CC252" s="77">
        <f>BY252+59*4</f>
        <v>249</v>
      </c>
      <c r="CD252" s="77">
        <f>BY252+59*5</f>
        <v>308</v>
      </c>
      <c r="CE252" s="77">
        <f>BY252+59*6</f>
        <v>367</v>
      </c>
      <c r="CF252" s="77">
        <f>BY252+59*7</f>
        <v>426</v>
      </c>
      <c r="CG252" s="77">
        <f>BY252+59*8</f>
        <v>485</v>
      </c>
      <c r="CH252" s="77">
        <f>BY252+59*9</f>
        <v>544</v>
      </c>
      <c r="CI252" s="77">
        <f>BY252+59*10</f>
        <v>603</v>
      </c>
      <c r="CJ252" s="77">
        <f>BY252+59*11</f>
        <v>662</v>
      </c>
      <c r="CK252" s="77">
        <f>BY252+59*12</f>
        <v>721</v>
      </c>
      <c r="CL252" s="77">
        <f>BY252+59*13</f>
        <v>780</v>
      </c>
      <c r="CM252" s="77">
        <f>BY252+59*14</f>
        <v>839</v>
      </c>
      <c r="CN252" s="77">
        <f>BY252+59*15</f>
        <v>898</v>
      </c>
      <c r="CO252" s="77">
        <f>BY252+59*16</f>
        <v>957</v>
      </c>
      <c r="DM252" s="77">
        <f t="shared" si="769"/>
        <v>7.0685834705770345</v>
      </c>
      <c r="DN252" s="77">
        <f t="shared" si="769"/>
        <v>7.0685834705770345</v>
      </c>
      <c r="DO252" s="77">
        <f t="shared" si="769"/>
        <v>7.0685834705770345</v>
      </c>
      <c r="DP252" s="77">
        <f t="shared" si="769"/>
        <v>7.0685834705770345</v>
      </c>
      <c r="DQ252" s="77">
        <f t="shared" si="769"/>
        <v>7.0685834705770345</v>
      </c>
      <c r="DR252" s="77">
        <f t="shared" si="769"/>
        <v>7.0685834705770345</v>
      </c>
      <c r="DS252" s="77">
        <f t="shared" si="769"/>
        <v>7.0685834705770345</v>
      </c>
      <c r="DT252" s="77">
        <f t="shared" si="769"/>
        <v>7.0685834705770345</v>
      </c>
      <c r="DU252" s="77">
        <f t="shared" si="769"/>
        <v>7.0685834705770345</v>
      </c>
      <c r="DV252" s="77">
        <f t="shared" si="769"/>
        <v>7.0685834705770345</v>
      </c>
      <c r="DW252" s="77">
        <f t="shared" si="770"/>
        <v>7.0685834705770345</v>
      </c>
      <c r="DX252" s="77">
        <f t="shared" si="770"/>
        <v>7.0685834705770345</v>
      </c>
      <c r="DY252" s="77">
        <f t="shared" si="770"/>
        <v>7.0685834705770345</v>
      </c>
      <c r="DZ252" s="77">
        <f t="shared" si="770"/>
        <v>7.0685834705770345</v>
      </c>
      <c r="EA252" s="77">
        <f t="shared" si="770"/>
        <v>7.0685834705770345</v>
      </c>
      <c r="EB252" s="77">
        <f t="shared" si="770"/>
        <v>7.0685834705770345</v>
      </c>
      <c r="EC252" s="77">
        <f t="shared" si="770"/>
        <v>7.0685834705770345</v>
      </c>
      <c r="FA252" s="77">
        <f t="shared" si="767"/>
        <v>-3378.7828989358227</v>
      </c>
      <c r="FB252" s="77">
        <f t="shared" si="767"/>
        <v>-1876.1977406341814</v>
      </c>
      <c r="FC252" s="77">
        <f t="shared" si="755"/>
        <v>409.2880044609991</v>
      </c>
      <c r="FD252" s="77">
        <f t="shared" si="727"/>
        <v>2694.7737495561796</v>
      </c>
      <c r="FE252" s="77">
        <f t="shared" si="728"/>
        <v>3378.7828989358227</v>
      </c>
      <c r="FF252" s="77">
        <f t="shared" si="753"/>
        <v>3378.7828989358227</v>
      </c>
      <c r="FG252" s="77">
        <f t="shared" si="754"/>
        <v>3378.7828989358227</v>
      </c>
      <c r="FH252" s="77">
        <f t="shared" si="756"/>
        <v>3378.7828989358227</v>
      </c>
      <c r="FI252" s="77">
        <f t="shared" si="771"/>
        <v>3378.7828989358227</v>
      </c>
      <c r="FJ252" s="77">
        <f t="shared" si="771"/>
        <v>3378.7828989358227</v>
      </c>
      <c r="FK252" s="77">
        <f t="shared" si="771"/>
        <v>3378.7828989358227</v>
      </c>
      <c r="FL252" s="77">
        <f t="shared" si="771"/>
        <v>3378.7828989358227</v>
      </c>
      <c r="FM252" s="77">
        <f t="shared" si="771"/>
        <v>3378.7828989358227</v>
      </c>
      <c r="FN252" s="77">
        <f t="shared" si="771"/>
        <v>3378.7828989358227</v>
      </c>
      <c r="FO252" s="77">
        <f t="shared" si="771"/>
        <v>3378.7828989358227</v>
      </c>
      <c r="FP252" s="77">
        <f t="shared" si="771"/>
        <v>3378.7828989358227</v>
      </c>
      <c r="FQ252" s="77">
        <f t="shared" si="771"/>
        <v>3378.7828989358227</v>
      </c>
      <c r="GO252" s="77">
        <f t="shared" si="696"/>
        <v>1594785.5282977084</v>
      </c>
      <c r="GP252" s="77">
        <f t="shared" si="697"/>
        <v>774869.66688191693</v>
      </c>
      <c r="GQ252" s="77">
        <f t="shared" si="698"/>
        <v>-144887.95357919368</v>
      </c>
      <c r="GR252" s="77">
        <f t="shared" si="699"/>
        <v>-794958.25611907302</v>
      </c>
      <c r="GS252" s="77">
        <f t="shared" si="712"/>
        <v>-797392.76414885418</v>
      </c>
      <c r="GT252" s="77">
        <f t="shared" si="724"/>
        <v>-598044.57311164064</v>
      </c>
      <c r="GU252" s="77">
        <f t="shared" si="725"/>
        <v>-398696.38207442709</v>
      </c>
      <c r="GV252" s="77">
        <f t="shared" si="729"/>
        <v>-199348.19103721355</v>
      </c>
      <c r="GW252" s="77">
        <f t="shared" si="772"/>
        <v>0</v>
      </c>
      <c r="GX252" s="77">
        <f t="shared" si="773"/>
        <v>199348.19103721355</v>
      </c>
      <c r="GY252" s="77">
        <f t="shared" si="774"/>
        <v>398696.38207442709</v>
      </c>
      <c r="GZ252" s="77">
        <f t="shared" si="775"/>
        <v>598044.57311164064</v>
      </c>
      <c r="HA252" s="77">
        <f t="shared" si="776"/>
        <v>797392.76414885418</v>
      </c>
      <c r="HB252" s="77">
        <f t="shared" si="777"/>
        <v>996740.95518606773</v>
      </c>
      <c r="HC252" s="77">
        <f t="shared" si="778"/>
        <v>1196089.1462232813</v>
      </c>
      <c r="HD252" s="77">
        <f t="shared" si="779"/>
        <v>1395437.3372604947</v>
      </c>
      <c r="HE252" s="77">
        <f t="shared" si="780"/>
        <v>1594785.5282977084</v>
      </c>
      <c r="IC252" s="82">
        <v>268</v>
      </c>
    </row>
    <row r="253" spans="1:237" s="77" customFormat="1">
      <c r="A253" s="77">
        <v>253</v>
      </c>
      <c r="B253" s="69">
        <v>377</v>
      </c>
      <c r="C253" s="69" t="s">
        <v>271</v>
      </c>
      <c r="D253" s="70" t="s">
        <v>274</v>
      </c>
      <c r="E253" s="70">
        <v>1</v>
      </c>
      <c r="F253" s="70">
        <v>2.4117691323651141E-2</v>
      </c>
      <c r="G253" s="70">
        <v>2.5714285999999999E-3</v>
      </c>
      <c r="H253" s="70">
        <v>5.5714286E-3</v>
      </c>
      <c r="I253" s="70">
        <v>1.6214285700000001E-2</v>
      </c>
      <c r="J253" s="72">
        <v>1.7010309278350515</v>
      </c>
      <c r="K253" s="72">
        <v>19.399999999999999</v>
      </c>
      <c r="L253" s="72">
        <v>2.2678832116788322E-2</v>
      </c>
      <c r="M253" s="72">
        <v>2.2678832116788322E-2</v>
      </c>
      <c r="N253" s="72">
        <v>0.22580291970802921</v>
      </c>
      <c r="O253" s="72">
        <v>0</v>
      </c>
      <c r="P253" s="72">
        <v>3.8321167883211681E-2</v>
      </c>
      <c r="Q253" s="73" t="s">
        <v>3</v>
      </c>
      <c r="R253" s="101">
        <v>0</v>
      </c>
      <c r="S253" s="75">
        <f t="shared" si="616"/>
        <v>0.17853608684549988</v>
      </c>
      <c r="T253" s="59">
        <f t="shared" si="594"/>
        <v>0.425195319531668</v>
      </c>
      <c r="U253" s="59">
        <f t="shared" si="595"/>
        <v>0.48751950349619139</v>
      </c>
      <c r="V253" s="59">
        <f t="shared" si="596"/>
        <v>1.0532653433499701</v>
      </c>
      <c r="W253" s="59">
        <f t="shared" si="597"/>
        <v>2.4771329668212028</v>
      </c>
      <c r="X253" s="59">
        <f t="shared" si="598"/>
        <v>2.16045786024271</v>
      </c>
      <c r="Y253" s="100">
        <v>64100</v>
      </c>
      <c r="Z253" s="57">
        <f t="shared" si="599"/>
        <v>138485.34884155772</v>
      </c>
      <c r="AA253" s="57">
        <f t="shared" si="600"/>
        <v>158784.22317323909</v>
      </c>
      <c r="AB253" s="57">
        <f t="shared" si="713"/>
        <v>160457.97827646104</v>
      </c>
      <c r="AC253" s="57">
        <f t="shared" si="601"/>
        <v>0.21783505154639177</v>
      </c>
      <c r="AD253" s="57">
        <f t="shared" si="602"/>
        <v>1.7010309278350515</v>
      </c>
      <c r="AE253" s="57">
        <f t="shared" si="603"/>
        <v>101850</v>
      </c>
      <c r="AF253" s="57">
        <f t="shared" si="604"/>
        <v>73139.176140979383</v>
      </c>
      <c r="AG253" s="57">
        <f t="shared" si="708"/>
        <v>85645.047032259696</v>
      </c>
      <c r="AH253" s="57">
        <f t="shared" si="714"/>
        <v>231691810.55456796</v>
      </c>
      <c r="AI253" s="57">
        <f t="shared" si="715"/>
        <v>54725680.668914996</v>
      </c>
      <c r="AJ253" s="77">
        <v>101849.99999999999</v>
      </c>
      <c r="AK253" s="77">
        <v>54.8</v>
      </c>
      <c r="AL253" s="78">
        <f t="shared" si="605"/>
        <v>4.1541189401760796</v>
      </c>
      <c r="AM253" s="57">
        <f t="shared" si="606"/>
        <v>0.95578947368421052</v>
      </c>
      <c r="AN253" s="57">
        <f t="shared" si="607"/>
        <v>0.75578947368421057</v>
      </c>
      <c r="AO253" s="77">
        <v>970</v>
      </c>
      <c r="AP253" s="79">
        <v>100</v>
      </c>
      <c r="AQ253" s="57">
        <f t="shared" si="608"/>
        <v>35.296231282197233</v>
      </c>
      <c r="AR253" s="78">
        <f t="shared" si="726"/>
        <v>770</v>
      </c>
      <c r="AS253" s="57">
        <f t="shared" si="609"/>
        <v>934.70376871780275</v>
      </c>
      <c r="AT253" s="77">
        <v>50</v>
      </c>
      <c r="AU253" s="77">
        <v>1785</v>
      </c>
      <c r="AV253" s="78">
        <f t="shared" si="610"/>
        <v>48500</v>
      </c>
      <c r="AW253" s="77">
        <v>0</v>
      </c>
      <c r="AX253" s="77">
        <f t="shared" si="611"/>
        <v>48500</v>
      </c>
      <c r="AY253" s="77">
        <v>48500</v>
      </c>
      <c r="AZ253" s="77">
        <v>478</v>
      </c>
      <c r="BA253" s="77">
        <v>478</v>
      </c>
      <c r="BB253" s="77">
        <v>538</v>
      </c>
      <c r="BC253" s="77">
        <v>0</v>
      </c>
      <c r="BD253" s="77">
        <v>2.5999999999999999E-3</v>
      </c>
      <c r="BE253" s="77">
        <v>2.5999999999999999E-3</v>
      </c>
      <c r="BF253" s="77">
        <v>2.3E-2</v>
      </c>
      <c r="BG253" s="77">
        <v>0</v>
      </c>
      <c r="BH253" s="79">
        <v>59</v>
      </c>
      <c r="BI253" s="79">
        <f t="shared" si="768"/>
        <v>7.0685834705770345</v>
      </c>
      <c r="BJ253" s="79">
        <v>2</v>
      </c>
      <c r="BK253" s="57">
        <f t="shared" si="709"/>
        <v>14.137166941154069</v>
      </c>
      <c r="BL253" s="57">
        <f t="shared" si="643"/>
        <v>100.1</v>
      </c>
      <c r="BM253" s="80">
        <f>PI()*6*6/4</f>
        <v>28.274333882308138</v>
      </c>
      <c r="BN253" s="80">
        <v>4</v>
      </c>
      <c r="BO253" s="57">
        <f t="shared" ref="BO253:BO266" si="781">BM253*BN253</f>
        <v>113.09733552923255</v>
      </c>
      <c r="BP253" s="57">
        <f t="shared" si="612"/>
        <v>67514.308508733084</v>
      </c>
      <c r="BQ253" s="77">
        <f t="shared" si="613"/>
        <v>1.7607817426323891E-9</v>
      </c>
      <c r="BR253" s="57">
        <f t="shared" si="664"/>
        <v>120513040.68808855</v>
      </c>
      <c r="BS253" s="57">
        <v>70.592462564394467</v>
      </c>
      <c r="BT253" s="57">
        <f t="shared" si="617"/>
        <v>70.454488301329363</v>
      </c>
      <c r="BU253" s="57"/>
      <c r="BV253" s="57">
        <v>3.3E-3</v>
      </c>
      <c r="BW253" s="57">
        <v>30000</v>
      </c>
      <c r="BX253" s="57">
        <v>200000</v>
      </c>
      <c r="BY253" s="77">
        <f>13</f>
        <v>13</v>
      </c>
      <c r="BZ253" s="77">
        <f>BY253+74</f>
        <v>87</v>
      </c>
      <c r="CA253" s="77">
        <f>BZ253+44</f>
        <v>131</v>
      </c>
      <c r="CB253" s="77">
        <f>CA253+59*1</f>
        <v>190</v>
      </c>
      <c r="CC253" s="77">
        <f>CA253+59*2</f>
        <v>249</v>
      </c>
      <c r="CD253" s="77">
        <f>CA253+59*3</f>
        <v>308</v>
      </c>
      <c r="CE253" s="77">
        <f>CA253+59*4</f>
        <v>367</v>
      </c>
      <c r="CF253" s="77">
        <f>CA253+59*5</f>
        <v>426</v>
      </c>
      <c r="CG253" s="77">
        <f>CA253+59*6</f>
        <v>485</v>
      </c>
      <c r="CH253" s="77">
        <f>CA253+59*7</f>
        <v>544</v>
      </c>
      <c r="CI253" s="77">
        <f>CA253+59*8</f>
        <v>603</v>
      </c>
      <c r="CJ253" s="77">
        <f>CA253+59*9</f>
        <v>662</v>
      </c>
      <c r="CK253" s="77">
        <f>CA253+59*10</f>
        <v>721</v>
      </c>
      <c r="CL253" s="77">
        <f>CA253+59*11</f>
        <v>780</v>
      </c>
      <c r="CM253" s="77">
        <f>CA253+59*12</f>
        <v>839</v>
      </c>
      <c r="CN253" s="77">
        <f>CM253+44</f>
        <v>883</v>
      </c>
      <c r="CO253" s="77">
        <f>CN253+74</f>
        <v>957</v>
      </c>
      <c r="DM253" s="77">
        <f t="shared" ref="DM253:DN256" si="782">PI()*6*6/4*2</f>
        <v>56.548667764616276</v>
      </c>
      <c r="DN253" s="77">
        <f t="shared" si="782"/>
        <v>56.548667764616276</v>
      </c>
      <c r="DO253" s="77">
        <f t="shared" ref="DO253:EA256" si="783">PI()*3*3/4</f>
        <v>7.0685834705770345</v>
      </c>
      <c r="DP253" s="77">
        <f t="shared" si="783"/>
        <v>7.0685834705770345</v>
      </c>
      <c r="DQ253" s="77">
        <f t="shared" si="783"/>
        <v>7.0685834705770345</v>
      </c>
      <c r="DR253" s="77">
        <f t="shared" si="783"/>
        <v>7.0685834705770345</v>
      </c>
      <c r="DS253" s="77">
        <f t="shared" si="783"/>
        <v>7.0685834705770345</v>
      </c>
      <c r="DT253" s="77">
        <f t="shared" si="783"/>
        <v>7.0685834705770345</v>
      </c>
      <c r="DU253" s="77">
        <f t="shared" si="783"/>
        <v>7.0685834705770345</v>
      </c>
      <c r="DV253" s="77">
        <f t="shared" si="783"/>
        <v>7.0685834705770345</v>
      </c>
      <c r="DW253" s="77">
        <f t="shared" si="783"/>
        <v>7.0685834705770345</v>
      </c>
      <c r="DX253" s="77">
        <f t="shared" si="783"/>
        <v>7.0685834705770345</v>
      </c>
      <c r="DY253" s="77">
        <f t="shared" si="783"/>
        <v>7.0685834705770345</v>
      </c>
      <c r="DZ253" s="77">
        <f t="shared" si="783"/>
        <v>7.0685834705770345</v>
      </c>
      <c r="EA253" s="77">
        <f t="shared" si="783"/>
        <v>7.0685834705770345</v>
      </c>
      <c r="EB253" s="77">
        <f t="shared" ref="EB253:EC256" si="784">PI()*6*6/4*2</f>
        <v>56.548667764616276</v>
      </c>
      <c r="EC253" s="77">
        <f t="shared" si="784"/>
        <v>56.548667764616276</v>
      </c>
      <c r="FA253" s="77">
        <f t="shared" ref="FA253:FA266" si="785">IF(ABS(-$BV253*($BS253-BY253)/$BS253*$BX253)&gt;$BB253,$BB253*SIGN(-($BS253-BY253)),-$BV253*($BS253-BY253)/$BS253*$BX253)*DM253</f>
        <v>-30423.183257363555</v>
      </c>
      <c r="FB253" s="77">
        <f t="shared" ref="FB253:FB266" si="786">IF(ABS(-$BV253*($BS253-BZ253)/$BS253*$BX253)&gt;$BB253,$BB253*SIGN(-($BS253-BZ253)),-$BV253*($BS253-BZ253)/$BS253*$BX253)*DN253</f>
        <v>8674.6384914286245</v>
      </c>
      <c r="FC253" s="77">
        <f t="shared" si="755"/>
        <v>3378.7828989358227</v>
      </c>
      <c r="FD253" s="77">
        <f t="shared" si="727"/>
        <v>3378.7828989358227</v>
      </c>
      <c r="FE253" s="77">
        <f t="shared" si="728"/>
        <v>3378.7828989358227</v>
      </c>
      <c r="FF253" s="77">
        <f t="shared" si="753"/>
        <v>3378.7828989358227</v>
      </c>
      <c r="FG253" s="77">
        <f t="shared" si="754"/>
        <v>3378.7828989358227</v>
      </c>
      <c r="FH253" s="77">
        <f t="shared" si="756"/>
        <v>3378.7828989358227</v>
      </c>
      <c r="FI253" s="77">
        <f t="shared" ref="FI253:FO260" si="787">IF(ABS(-$BV253*($BS253-CG253)/$BS253*$BX253)&gt;$BA253,$BA253*SIGN(-($BS253-CG253)),-$BV253*($BS253-CG253)/$BS253*$BX253)*DU253</f>
        <v>3378.7828989358227</v>
      </c>
      <c r="FJ253" s="77">
        <f t="shared" si="787"/>
        <v>3378.7828989358227</v>
      </c>
      <c r="FK253" s="77">
        <f t="shared" si="787"/>
        <v>3378.7828989358227</v>
      </c>
      <c r="FL253" s="77">
        <f t="shared" si="787"/>
        <v>3378.7828989358227</v>
      </c>
      <c r="FM253" s="77">
        <f t="shared" si="787"/>
        <v>3378.7828989358227</v>
      </c>
      <c r="FN253" s="77">
        <f t="shared" si="787"/>
        <v>3378.7828989358227</v>
      </c>
      <c r="FO253" s="77">
        <f t="shared" si="787"/>
        <v>3378.7828989358227</v>
      </c>
      <c r="FP253" s="77">
        <f t="shared" ref="FP253:FQ256" si="788">IF(ABS(-$BV253*($BS253-CN253)/$BS253*$BX253)&gt;$BB253,$BB253*SIGN(-($BS253-CN253)),-$BV253*($BS253-CN253)/$BS253*$BX253)*EB253</f>
        <v>30423.183257363555</v>
      </c>
      <c r="FQ253" s="77">
        <f t="shared" si="788"/>
        <v>30423.183257363555</v>
      </c>
      <c r="GO253" s="77">
        <f t="shared" si="696"/>
        <v>14359742.497475598</v>
      </c>
      <c r="GP253" s="77">
        <f t="shared" si="697"/>
        <v>-3452506.1195885926</v>
      </c>
      <c r="GQ253" s="77">
        <f t="shared" si="698"/>
        <v>-1196089.1462232813</v>
      </c>
      <c r="GR253" s="77">
        <f t="shared" si="699"/>
        <v>-996740.95518606773</v>
      </c>
      <c r="GS253" s="77">
        <f t="shared" si="712"/>
        <v>-797392.76414885418</v>
      </c>
      <c r="GT253" s="77">
        <f t="shared" si="724"/>
        <v>-598044.57311164064</v>
      </c>
      <c r="GU253" s="77">
        <f t="shared" si="725"/>
        <v>-398696.38207442709</v>
      </c>
      <c r="GV253" s="77">
        <f t="shared" si="729"/>
        <v>-199348.19103721355</v>
      </c>
      <c r="GW253" s="77">
        <f t="shared" si="772"/>
        <v>0</v>
      </c>
      <c r="GX253" s="77">
        <f t="shared" si="773"/>
        <v>199348.19103721355</v>
      </c>
      <c r="GY253" s="77">
        <f t="shared" si="774"/>
        <v>398696.38207442709</v>
      </c>
      <c r="GZ253" s="77">
        <f t="shared" si="775"/>
        <v>598044.57311164064</v>
      </c>
      <c r="HA253" s="77">
        <f t="shared" si="776"/>
        <v>797392.76414885418</v>
      </c>
      <c r="HB253" s="77">
        <f t="shared" si="777"/>
        <v>996740.95518606773</v>
      </c>
      <c r="HC253" s="77">
        <f t="shared" si="778"/>
        <v>1196089.1462232813</v>
      </c>
      <c r="HD253" s="77">
        <f t="shared" si="779"/>
        <v>12108426.936430695</v>
      </c>
      <c r="HE253" s="77">
        <f t="shared" si="780"/>
        <v>14359742.497475598</v>
      </c>
      <c r="IC253" s="82">
        <v>269</v>
      </c>
    </row>
    <row r="254" spans="1:237" s="77" customFormat="1">
      <c r="A254" s="77">
        <v>254</v>
      </c>
      <c r="B254" s="69">
        <v>378</v>
      </c>
      <c r="C254" s="69" t="s">
        <v>271</v>
      </c>
      <c r="D254" s="70" t="s">
        <v>275</v>
      </c>
      <c r="E254" s="70">
        <v>1</v>
      </c>
      <c r="F254" s="70">
        <v>3.2207088569493565E-2</v>
      </c>
      <c r="G254" s="70">
        <v>1.7142857000000001E-3</v>
      </c>
      <c r="H254" s="70">
        <v>5.1428571000000003E-3</v>
      </c>
      <c r="I254" s="70">
        <v>6.0000000000000001E-3</v>
      </c>
      <c r="J254" s="72">
        <v>1.7010309278350515</v>
      </c>
      <c r="K254" s="72">
        <v>19.399999999999999</v>
      </c>
      <c r="L254" s="72">
        <v>2.2678832116788322E-2</v>
      </c>
      <c r="M254" s="72">
        <v>2.2678832116788322E-2</v>
      </c>
      <c r="N254" s="72">
        <v>0.22580291970802921</v>
      </c>
      <c r="O254" s="72">
        <v>0</v>
      </c>
      <c r="P254" s="72">
        <v>7.6642335766423361E-2</v>
      </c>
      <c r="Q254" s="73" t="s">
        <v>3</v>
      </c>
      <c r="R254" s="101">
        <v>0</v>
      </c>
      <c r="S254" s="75">
        <f t="shared" si="616"/>
        <v>0.23841948570943511</v>
      </c>
      <c r="T254" s="59">
        <f t="shared" si="594"/>
        <v>0.54770173392868704</v>
      </c>
      <c r="U254" s="59">
        <f t="shared" si="595"/>
        <v>0.6511740318735012</v>
      </c>
      <c r="V254" s="59">
        <f t="shared" si="596"/>
        <v>1.0534820439318393</v>
      </c>
      <c r="W254" s="59">
        <f t="shared" si="597"/>
        <v>1.9234593916202698</v>
      </c>
      <c r="X254" s="59">
        <f t="shared" si="598"/>
        <v>1.6178194958125902</v>
      </c>
      <c r="Y254" s="100">
        <v>85600</v>
      </c>
      <c r="Z254" s="57">
        <f t="shared" si="599"/>
        <v>138485.34884155772</v>
      </c>
      <c r="AA254" s="57">
        <f t="shared" si="600"/>
        <v>164648.12392269509</v>
      </c>
      <c r="AB254" s="57">
        <f t="shared" si="713"/>
        <v>156961.66831995104</v>
      </c>
      <c r="AC254" s="57">
        <f t="shared" si="601"/>
        <v>0.21783505154639177</v>
      </c>
      <c r="AD254" s="57">
        <f t="shared" si="602"/>
        <v>1.7010309278350515</v>
      </c>
      <c r="AE254" s="57">
        <f t="shared" si="603"/>
        <v>203700</v>
      </c>
      <c r="AF254" s="57">
        <f t="shared" si="604"/>
        <v>80493.884249699229</v>
      </c>
      <c r="AG254" s="57">
        <f t="shared" si="708"/>
        <v>84154.239672995856</v>
      </c>
      <c r="AH254" s="57">
        <f t="shared" si="714"/>
        <v>227430864.1105555</v>
      </c>
      <c r="AI254" s="57">
        <f t="shared" si="715"/>
        <v>52745713.840557136</v>
      </c>
      <c r="AJ254" s="77">
        <v>203699.99999999997</v>
      </c>
      <c r="AK254" s="77">
        <v>54.8</v>
      </c>
      <c r="AL254" s="78">
        <f t="shared" si="605"/>
        <v>4.1541189401760796</v>
      </c>
      <c r="AM254" s="57">
        <f t="shared" si="606"/>
        <v>0.95578947368421052</v>
      </c>
      <c r="AN254" s="57">
        <f t="shared" si="607"/>
        <v>0.75578947368421057</v>
      </c>
      <c r="AO254" s="77">
        <v>970</v>
      </c>
      <c r="AP254" s="79">
        <v>100</v>
      </c>
      <c r="AQ254" s="57">
        <f t="shared" si="608"/>
        <v>51.566445444275701</v>
      </c>
      <c r="AR254" s="78">
        <f t="shared" si="726"/>
        <v>770</v>
      </c>
      <c r="AS254" s="57">
        <f t="shared" si="609"/>
        <v>918.4335545557243</v>
      </c>
      <c r="AT254" s="77">
        <v>50</v>
      </c>
      <c r="AU254" s="77">
        <v>1785</v>
      </c>
      <c r="AV254" s="78">
        <f t="shared" si="610"/>
        <v>48500</v>
      </c>
      <c r="AW254" s="77">
        <v>0</v>
      </c>
      <c r="AX254" s="77">
        <f t="shared" si="611"/>
        <v>48500</v>
      </c>
      <c r="AY254" s="77">
        <v>48500</v>
      </c>
      <c r="AZ254" s="77">
        <v>478</v>
      </c>
      <c r="BA254" s="77">
        <v>478</v>
      </c>
      <c r="BB254" s="77">
        <v>538</v>
      </c>
      <c r="BC254" s="77">
        <v>0</v>
      </c>
      <c r="BD254" s="77">
        <v>2.5999999999999999E-3</v>
      </c>
      <c r="BE254" s="77">
        <v>2.5999999999999999E-3</v>
      </c>
      <c r="BF254" s="77">
        <v>2.3E-2</v>
      </c>
      <c r="BG254" s="77">
        <v>0</v>
      </c>
      <c r="BH254" s="79">
        <v>59</v>
      </c>
      <c r="BI254" s="79">
        <f t="shared" si="768"/>
        <v>7.0685834705770345</v>
      </c>
      <c r="BJ254" s="79">
        <v>2</v>
      </c>
      <c r="BK254" s="57">
        <f t="shared" si="709"/>
        <v>14.137166941154069</v>
      </c>
      <c r="BL254" s="57">
        <f t="shared" si="643"/>
        <v>100.1</v>
      </c>
      <c r="BM254" s="80">
        <f>PI()*6*6/4</f>
        <v>28.274333882308138</v>
      </c>
      <c r="BN254" s="80">
        <v>4</v>
      </c>
      <c r="BO254" s="57">
        <f t="shared" si="781"/>
        <v>113.09733552923255</v>
      </c>
      <c r="BP254" s="57">
        <f t="shared" si="612"/>
        <v>90178.062960565439</v>
      </c>
      <c r="BQ254" s="77">
        <f t="shared" si="613"/>
        <v>0</v>
      </c>
      <c r="BR254" s="57">
        <f t="shared" si="664"/>
        <v>160967842.38460931</v>
      </c>
      <c r="BS254" s="57">
        <v>103.1328908885514</v>
      </c>
      <c r="BT254" s="57">
        <f t="shared" si="617"/>
        <v>136.85763489492572</v>
      </c>
      <c r="BU254" s="57"/>
      <c r="BV254" s="57">
        <v>3.3E-3</v>
      </c>
      <c r="BW254" s="57">
        <v>30000</v>
      </c>
      <c r="BX254" s="57">
        <v>200000</v>
      </c>
      <c r="BY254" s="77">
        <f>13</f>
        <v>13</v>
      </c>
      <c r="BZ254" s="77">
        <f>BY254+74</f>
        <v>87</v>
      </c>
      <c r="CA254" s="77">
        <f>BZ254+44</f>
        <v>131</v>
      </c>
      <c r="CB254" s="77">
        <f>CA254+59*1</f>
        <v>190</v>
      </c>
      <c r="CC254" s="77">
        <f>CA254+59*2</f>
        <v>249</v>
      </c>
      <c r="CD254" s="77">
        <f>CA254+59*3</f>
        <v>308</v>
      </c>
      <c r="CE254" s="77">
        <f>CA254+59*4</f>
        <v>367</v>
      </c>
      <c r="CF254" s="77">
        <f>CA254+59*5</f>
        <v>426</v>
      </c>
      <c r="CG254" s="77">
        <f>CA254+59*6</f>
        <v>485</v>
      </c>
      <c r="CH254" s="77">
        <f>CA254+59*7</f>
        <v>544</v>
      </c>
      <c r="CI254" s="77">
        <f>CA254+59*8</f>
        <v>603</v>
      </c>
      <c r="CJ254" s="77">
        <f>CA254+59*9</f>
        <v>662</v>
      </c>
      <c r="CK254" s="77">
        <f>CA254+59*10</f>
        <v>721</v>
      </c>
      <c r="CL254" s="77">
        <f>CA254+59*11</f>
        <v>780</v>
      </c>
      <c r="CM254" s="77">
        <f>CA254+59*12</f>
        <v>839</v>
      </c>
      <c r="CN254" s="77">
        <f>CM254+44</f>
        <v>883</v>
      </c>
      <c r="CO254" s="77">
        <f>CN254+74</f>
        <v>957</v>
      </c>
      <c r="DM254" s="77">
        <f t="shared" si="782"/>
        <v>56.548667764616276</v>
      </c>
      <c r="DN254" s="77">
        <f t="shared" si="782"/>
        <v>56.548667764616276</v>
      </c>
      <c r="DO254" s="77">
        <f t="shared" si="783"/>
        <v>7.0685834705770345</v>
      </c>
      <c r="DP254" s="77">
        <f t="shared" si="783"/>
        <v>7.0685834705770345</v>
      </c>
      <c r="DQ254" s="77">
        <f t="shared" si="783"/>
        <v>7.0685834705770345</v>
      </c>
      <c r="DR254" s="77">
        <f t="shared" si="783"/>
        <v>7.0685834705770345</v>
      </c>
      <c r="DS254" s="77">
        <f t="shared" si="783"/>
        <v>7.0685834705770345</v>
      </c>
      <c r="DT254" s="77">
        <f t="shared" si="783"/>
        <v>7.0685834705770345</v>
      </c>
      <c r="DU254" s="77">
        <f t="shared" si="783"/>
        <v>7.0685834705770345</v>
      </c>
      <c r="DV254" s="77">
        <f t="shared" si="783"/>
        <v>7.0685834705770345</v>
      </c>
      <c r="DW254" s="77">
        <f t="shared" si="783"/>
        <v>7.0685834705770345</v>
      </c>
      <c r="DX254" s="77">
        <f t="shared" si="783"/>
        <v>7.0685834705770345</v>
      </c>
      <c r="DY254" s="77">
        <f t="shared" si="783"/>
        <v>7.0685834705770345</v>
      </c>
      <c r="DZ254" s="77">
        <f t="shared" si="783"/>
        <v>7.0685834705770345</v>
      </c>
      <c r="EA254" s="77">
        <f t="shared" si="783"/>
        <v>7.0685834705770345</v>
      </c>
      <c r="EB254" s="77">
        <f t="shared" si="784"/>
        <v>56.548667764616276</v>
      </c>
      <c r="EC254" s="77">
        <f t="shared" si="784"/>
        <v>56.548667764616276</v>
      </c>
      <c r="FA254" s="77">
        <f t="shared" si="785"/>
        <v>-30423.183257363555</v>
      </c>
      <c r="FB254" s="77">
        <f t="shared" si="786"/>
        <v>-5838.2315883177516</v>
      </c>
      <c r="FC254" s="77">
        <f t="shared" si="755"/>
        <v>1260.5818589293551</v>
      </c>
      <c r="FD254" s="77">
        <f t="shared" si="727"/>
        <v>3378.7828989358227</v>
      </c>
      <c r="FE254" s="77">
        <f t="shared" si="728"/>
        <v>3378.7828989358227</v>
      </c>
      <c r="FF254" s="77">
        <f t="shared" si="753"/>
        <v>3378.7828989358227</v>
      </c>
      <c r="FG254" s="77">
        <f t="shared" si="754"/>
        <v>3378.7828989358227</v>
      </c>
      <c r="FH254" s="77">
        <f t="shared" si="756"/>
        <v>3378.7828989358227</v>
      </c>
      <c r="FI254" s="77">
        <f t="shared" si="787"/>
        <v>3378.7828989358227</v>
      </c>
      <c r="FJ254" s="77">
        <f t="shared" si="787"/>
        <v>3378.7828989358227</v>
      </c>
      <c r="FK254" s="77">
        <f t="shared" si="787"/>
        <v>3378.7828989358227</v>
      </c>
      <c r="FL254" s="77">
        <f t="shared" si="787"/>
        <v>3378.7828989358227</v>
      </c>
      <c r="FM254" s="77">
        <f t="shared" si="787"/>
        <v>3378.7828989358227</v>
      </c>
      <c r="FN254" s="77">
        <f t="shared" si="787"/>
        <v>3378.7828989358227</v>
      </c>
      <c r="FO254" s="77">
        <f t="shared" si="787"/>
        <v>3378.7828989358227</v>
      </c>
      <c r="FP254" s="77">
        <f t="shared" si="788"/>
        <v>30423.183257363555</v>
      </c>
      <c r="FQ254" s="77">
        <f t="shared" si="788"/>
        <v>30423.183257363555</v>
      </c>
      <c r="GO254" s="77">
        <f t="shared" si="696"/>
        <v>14359742.497475598</v>
      </c>
      <c r="GP254" s="77">
        <f t="shared" si="697"/>
        <v>2323616.1721504652</v>
      </c>
      <c r="GQ254" s="77">
        <f t="shared" si="698"/>
        <v>-446245.97806099174</v>
      </c>
      <c r="GR254" s="77">
        <f t="shared" si="699"/>
        <v>-996740.95518606773</v>
      </c>
      <c r="GS254" s="77">
        <f t="shared" si="712"/>
        <v>-797392.76414885418</v>
      </c>
      <c r="GT254" s="77">
        <f t="shared" si="724"/>
        <v>-598044.57311164064</v>
      </c>
      <c r="GU254" s="77">
        <f t="shared" si="725"/>
        <v>-398696.38207442709</v>
      </c>
      <c r="GV254" s="77">
        <f t="shared" si="729"/>
        <v>-199348.19103721355</v>
      </c>
      <c r="GW254" s="77">
        <f t="shared" si="772"/>
        <v>0</v>
      </c>
      <c r="GX254" s="77">
        <f t="shared" si="773"/>
        <v>199348.19103721355</v>
      </c>
      <c r="GY254" s="77">
        <f t="shared" si="774"/>
        <v>398696.38207442709</v>
      </c>
      <c r="GZ254" s="77">
        <f t="shared" si="775"/>
        <v>598044.57311164064</v>
      </c>
      <c r="HA254" s="77">
        <f t="shared" si="776"/>
        <v>797392.76414885418</v>
      </c>
      <c r="HB254" s="77">
        <f t="shared" si="777"/>
        <v>996740.95518606773</v>
      </c>
      <c r="HC254" s="77">
        <f t="shared" si="778"/>
        <v>1196089.1462232813</v>
      </c>
      <c r="HD254" s="77">
        <f t="shared" si="779"/>
        <v>12108426.936430695</v>
      </c>
      <c r="HE254" s="77">
        <f t="shared" si="780"/>
        <v>14359742.497475598</v>
      </c>
      <c r="IC254" s="82">
        <v>270</v>
      </c>
    </row>
    <row r="255" spans="1:237" s="77" customFormat="1">
      <c r="A255" s="77">
        <v>255</v>
      </c>
      <c r="B255" s="69">
        <v>379</v>
      </c>
      <c r="C255" s="69" t="s">
        <v>271</v>
      </c>
      <c r="D255" s="70" t="s">
        <v>276</v>
      </c>
      <c r="E255" s="70">
        <v>1</v>
      </c>
      <c r="F255" s="70">
        <v>3.2207088569493565E-2</v>
      </c>
      <c r="G255" s="70">
        <v>2.5714285999999999E-3</v>
      </c>
      <c r="H255" s="70">
        <v>6.8571429E-3</v>
      </c>
      <c r="I255" s="70">
        <v>1.21428571E-2</v>
      </c>
      <c r="J255" s="72">
        <v>1.7010309278350515</v>
      </c>
      <c r="K255" s="72">
        <v>19.399999999999999</v>
      </c>
      <c r="L255" s="72">
        <v>3.0238442822384425E-2</v>
      </c>
      <c r="M255" s="72">
        <v>3.0238442822384425E-2</v>
      </c>
      <c r="N255" s="72">
        <v>0.30107055961070561</v>
      </c>
      <c r="O255" s="72">
        <v>1.7445255474452553E-2</v>
      </c>
      <c r="P255" s="72">
        <v>5.1094890510948905E-2</v>
      </c>
      <c r="Q255" s="73" t="s">
        <v>3</v>
      </c>
      <c r="R255" s="101">
        <v>0</v>
      </c>
      <c r="S255" s="75">
        <f t="shared" si="616"/>
        <v>0.20647733138159172</v>
      </c>
      <c r="T255" s="59">
        <f t="shared" ref="T255:T318" si="789">BP255/AA255</f>
        <v>0.44858127106735857</v>
      </c>
      <c r="U255" s="59">
        <f t="shared" ref="U255:U318" si="790">BP255/Z255</f>
        <v>0.51916529240246001</v>
      </c>
      <c r="V255" s="59">
        <f t="shared" ref="V255:V318" si="791">BP255/Y255</f>
        <v>1.0351545880177706</v>
      </c>
      <c r="W255" s="59">
        <f t="shared" ref="W255:W318" si="792">AA255/Y255</f>
        <v>2.3076188302617138</v>
      </c>
      <c r="X255" s="59">
        <f t="shared" ref="X255:X318" si="793">Z255/Y255</f>
        <v>1.9938824940079249</v>
      </c>
      <c r="Y255" s="100">
        <v>64200</v>
      </c>
      <c r="Z255" s="57">
        <f t="shared" ref="Z255:Z318" si="794">(AC255*1*AK255^0.5+BE255*AZ255)*AX255</f>
        <v>128007.25611530879</v>
      </c>
      <c r="AA255" s="57">
        <f t="shared" ref="AA255:AA318" si="795">IF(AF255&lt;0,AG255,AF255+AG255)</f>
        <v>148149.12890280201</v>
      </c>
      <c r="AB255" s="57">
        <f t="shared" si="713"/>
        <v>130260.872185795</v>
      </c>
      <c r="AC255" s="57">
        <f t="shared" ref="AC255:AC318" si="796">IF(J255&lt;=1.5,0.25,IF(J255&gt;=2,0.17,0.25-(J255-1.5)/(2-1.5)*(0.25-0.17)))</f>
        <v>0.21783505154639177</v>
      </c>
      <c r="AD255" s="57">
        <f t="shared" ref="AD255:AD318" si="797">IF(J255&lt;1.5,1.5,IF(J255&gt;2.2,2.2,J255))</f>
        <v>1.7010309278350515</v>
      </c>
      <c r="AE255" s="57">
        <f t="shared" ref="AE255:AE318" si="798">IF(P255&gt;0.2,0.2*AY255*AK255,P255*AY255*AK255)</f>
        <v>101850</v>
      </c>
      <c r="AF255" s="57">
        <f t="shared" ref="AF255:AF318" si="799">(1/(AD255-0.5))*(0.4*AL255*AT255*AS255+0.1*AE255*AV255/AY255)</f>
        <v>63217.221477528081</v>
      </c>
      <c r="AG255" s="57">
        <f t="shared" si="708"/>
        <v>84931.907425273923</v>
      </c>
      <c r="AH255" s="57">
        <f t="shared" si="714"/>
        <v>178737109.12854257</v>
      </c>
      <c r="AI255" s="57">
        <f t="shared" si="715"/>
        <v>53778547.723101504</v>
      </c>
      <c r="AJ255" s="77">
        <v>101849.99999999999</v>
      </c>
      <c r="AK255" s="77">
        <v>41.1</v>
      </c>
      <c r="AL255" s="78">
        <f t="shared" ref="AL255:AL318" si="800">0.395*(AK255/0.76)^0.55</f>
        <v>3.5461950716379524</v>
      </c>
      <c r="AM255" s="57">
        <f t="shared" ref="AM255:AM318" si="801">IF(AK255&lt;=38,1,IF(AK255&gt;=60.8,0.94,(1-(AK255-38)*(1-0.94)/(60.8-38))))</f>
        <v>0.99184210526315786</v>
      </c>
      <c r="AN255" s="57">
        <f t="shared" ref="AN255:AN318" si="802">IF(AK255&lt;=38,0.8,IF(AK255&gt;=60.8,0.74,0.8-(AK255-38)*(0.8-0.74)/(60.8-38)))</f>
        <v>0.7918421052631579</v>
      </c>
      <c r="AO255" s="77">
        <v>970</v>
      </c>
      <c r="AP255" s="79">
        <v>100</v>
      </c>
      <c r="AQ255" s="57">
        <f t="shared" ref="AQ255:AQ318" si="803">0.5*BS255</f>
        <v>43.079218172501143</v>
      </c>
      <c r="AR255" s="78">
        <f t="shared" si="726"/>
        <v>770</v>
      </c>
      <c r="AS255" s="57">
        <f t="shared" ref="AS255:AS318" si="804">AO255-AQ255</f>
        <v>926.9207818274989</v>
      </c>
      <c r="AT255" s="77">
        <v>50</v>
      </c>
      <c r="AU255" s="77">
        <v>1785</v>
      </c>
      <c r="AV255" s="78">
        <f t="shared" ref="AV255:AV318" si="805">IF(Q255="R",AY255,AR255*AT255)</f>
        <v>48500</v>
      </c>
      <c r="AW255" s="77">
        <v>0</v>
      </c>
      <c r="AX255" s="77">
        <f t="shared" ref="AX255:AX318" si="806">AO255*AT255</f>
        <v>48500</v>
      </c>
      <c r="AY255" s="77">
        <v>48500</v>
      </c>
      <c r="AZ255" s="77">
        <v>478</v>
      </c>
      <c r="BA255" s="77">
        <v>478</v>
      </c>
      <c r="BB255" s="77">
        <v>538</v>
      </c>
      <c r="BC255" s="77">
        <v>427</v>
      </c>
      <c r="BD255" s="77">
        <v>2.5999999999999999E-3</v>
      </c>
      <c r="BE255" s="77">
        <v>2.5999999999999999E-3</v>
      </c>
      <c r="BF255" s="77">
        <v>2.3E-2</v>
      </c>
      <c r="BG255" s="77">
        <f>PI()*14*14/4*2/(AT255*100)</f>
        <v>6.1575216010359944E-2</v>
      </c>
      <c r="BH255" s="79">
        <v>59</v>
      </c>
      <c r="BI255" s="79">
        <f t="shared" si="768"/>
        <v>7.0685834705770345</v>
      </c>
      <c r="BJ255" s="79">
        <v>2</v>
      </c>
      <c r="BK255" s="57">
        <f t="shared" si="709"/>
        <v>14.137166941154069</v>
      </c>
      <c r="BL255" s="57">
        <f t="shared" si="643"/>
        <v>100.1</v>
      </c>
      <c r="BM255" s="80">
        <f>PI()*6*6/4</f>
        <v>28.274333882308138</v>
      </c>
      <c r="BN255" s="80">
        <v>4</v>
      </c>
      <c r="BO255" s="57">
        <f t="shared" si="781"/>
        <v>113.09733552923255</v>
      </c>
      <c r="BP255" s="57">
        <f t="shared" ref="BP255:BP318" si="807">BR255/AU255</f>
        <v>66456.924550740878</v>
      </c>
      <c r="BQ255" s="77">
        <f t="shared" ref="BQ255:BQ318" si="808">AJ255-AM255*AT255*BS255*AK255+SUM(FA255:GN255)</f>
        <v>0</v>
      </c>
      <c r="BR255" s="57">
        <f t="shared" si="664"/>
        <v>118625610.32307246</v>
      </c>
      <c r="BS255" s="57">
        <v>86.158436345002286</v>
      </c>
      <c r="BT255" s="57">
        <f t="shared" si="617"/>
        <v>81.786639236796574</v>
      </c>
      <c r="BU255" s="57"/>
      <c r="BV255" s="57">
        <v>3.3E-3</v>
      </c>
      <c r="BW255" s="57">
        <v>30000</v>
      </c>
      <c r="BX255" s="57">
        <v>200000</v>
      </c>
      <c r="BY255" s="77">
        <f>13</f>
        <v>13</v>
      </c>
      <c r="BZ255" s="77">
        <f>BY255+74</f>
        <v>87</v>
      </c>
      <c r="CA255" s="77">
        <f>BZ255+44</f>
        <v>131</v>
      </c>
      <c r="CB255" s="77">
        <f>CA255+59*1</f>
        <v>190</v>
      </c>
      <c r="CC255" s="77">
        <f>CA255+59*2</f>
        <v>249</v>
      </c>
      <c r="CD255" s="77">
        <f>CA255+59*3</f>
        <v>308</v>
      </c>
      <c r="CE255" s="77">
        <f>CA255+59*4</f>
        <v>367</v>
      </c>
      <c r="CF255" s="77">
        <f>CA255+59*5</f>
        <v>426</v>
      </c>
      <c r="CG255" s="77">
        <f>CA255+59*6</f>
        <v>485</v>
      </c>
      <c r="CH255" s="77">
        <f>CA255+59*7</f>
        <v>544</v>
      </c>
      <c r="CI255" s="77">
        <f>CA255+59*8</f>
        <v>603</v>
      </c>
      <c r="CJ255" s="77">
        <f>CA255+59*9</f>
        <v>662</v>
      </c>
      <c r="CK255" s="77">
        <f>CA255+59*10</f>
        <v>721</v>
      </c>
      <c r="CL255" s="77">
        <f>CA255+59*11</f>
        <v>780</v>
      </c>
      <c r="CM255" s="77">
        <f>CA255+59*12</f>
        <v>839</v>
      </c>
      <c r="CN255" s="77">
        <f>CM255+44</f>
        <v>883</v>
      </c>
      <c r="CO255" s="77">
        <f>CN255+74</f>
        <v>957</v>
      </c>
      <c r="DM255" s="77">
        <f t="shared" si="782"/>
        <v>56.548667764616276</v>
      </c>
      <c r="DN255" s="77">
        <f t="shared" si="782"/>
        <v>56.548667764616276</v>
      </c>
      <c r="DO255" s="77">
        <f t="shared" si="783"/>
        <v>7.0685834705770345</v>
      </c>
      <c r="DP255" s="77">
        <f t="shared" si="783"/>
        <v>7.0685834705770345</v>
      </c>
      <c r="DQ255" s="77">
        <f t="shared" si="783"/>
        <v>7.0685834705770345</v>
      </c>
      <c r="DR255" s="77">
        <f t="shared" si="783"/>
        <v>7.0685834705770345</v>
      </c>
      <c r="DS255" s="77">
        <f t="shared" si="783"/>
        <v>7.0685834705770345</v>
      </c>
      <c r="DT255" s="77">
        <f t="shared" si="783"/>
        <v>7.0685834705770345</v>
      </c>
      <c r="DU255" s="77">
        <f t="shared" si="783"/>
        <v>7.0685834705770345</v>
      </c>
      <c r="DV255" s="77">
        <f t="shared" si="783"/>
        <v>7.0685834705770345</v>
      </c>
      <c r="DW255" s="77">
        <f t="shared" si="783"/>
        <v>7.0685834705770345</v>
      </c>
      <c r="DX255" s="77">
        <f t="shared" si="783"/>
        <v>7.0685834705770345</v>
      </c>
      <c r="DY255" s="77">
        <f t="shared" si="783"/>
        <v>7.0685834705770345</v>
      </c>
      <c r="DZ255" s="77">
        <f t="shared" si="783"/>
        <v>7.0685834705770345</v>
      </c>
      <c r="EA255" s="77">
        <f t="shared" si="783"/>
        <v>7.0685834705770345</v>
      </c>
      <c r="EB255" s="77">
        <f t="shared" si="784"/>
        <v>56.548667764616276</v>
      </c>
      <c r="EC255" s="77">
        <f t="shared" si="784"/>
        <v>56.548667764616276</v>
      </c>
      <c r="FA255" s="77">
        <f t="shared" si="785"/>
        <v>-30423.183257363555</v>
      </c>
      <c r="FB255" s="77">
        <f t="shared" si="786"/>
        <v>364.54863460531618</v>
      </c>
      <c r="FC255" s="77">
        <f t="shared" si="755"/>
        <v>2428.0591710025187</v>
      </c>
      <c r="FD255" s="77">
        <f t="shared" si="727"/>
        <v>3378.7828989358227</v>
      </c>
      <c r="FE255" s="77">
        <f t="shared" si="728"/>
        <v>3378.7828989358227</v>
      </c>
      <c r="FF255" s="77">
        <f t="shared" si="753"/>
        <v>3378.7828989358227</v>
      </c>
      <c r="FG255" s="77">
        <f t="shared" si="754"/>
        <v>3378.7828989358227</v>
      </c>
      <c r="FH255" s="77">
        <f t="shared" si="756"/>
        <v>3378.7828989358227</v>
      </c>
      <c r="FI255" s="77">
        <f t="shared" si="787"/>
        <v>3378.7828989358227</v>
      </c>
      <c r="FJ255" s="77">
        <f t="shared" si="787"/>
        <v>3378.7828989358227</v>
      </c>
      <c r="FK255" s="77">
        <f t="shared" si="787"/>
        <v>3378.7828989358227</v>
      </c>
      <c r="FL255" s="77">
        <f t="shared" si="787"/>
        <v>3378.7828989358227</v>
      </c>
      <c r="FM255" s="77">
        <f t="shared" si="787"/>
        <v>3378.7828989358227</v>
      </c>
      <c r="FN255" s="77">
        <f t="shared" si="787"/>
        <v>3378.7828989358227</v>
      </c>
      <c r="FO255" s="77">
        <f t="shared" si="787"/>
        <v>3378.7828989358227</v>
      </c>
      <c r="FP255" s="77">
        <f t="shared" si="788"/>
        <v>30423.183257363555</v>
      </c>
      <c r="FQ255" s="77">
        <f t="shared" si="788"/>
        <v>30423.183257363555</v>
      </c>
      <c r="GO255" s="77">
        <f t="shared" si="696"/>
        <v>14359742.497475598</v>
      </c>
      <c r="GP255" s="77">
        <f t="shared" si="697"/>
        <v>-145090.35657291583</v>
      </c>
      <c r="GQ255" s="77">
        <f t="shared" si="698"/>
        <v>-859532.94653489161</v>
      </c>
      <c r="GR255" s="77">
        <f t="shared" si="699"/>
        <v>-996740.95518606773</v>
      </c>
      <c r="GS255" s="77">
        <f t="shared" si="712"/>
        <v>-797392.76414885418</v>
      </c>
      <c r="GT255" s="77">
        <f t="shared" si="724"/>
        <v>-598044.57311164064</v>
      </c>
      <c r="GU255" s="77">
        <f t="shared" si="725"/>
        <v>-398696.38207442709</v>
      </c>
      <c r="GV255" s="77">
        <f t="shared" si="729"/>
        <v>-199348.19103721355</v>
      </c>
      <c r="GW255" s="77">
        <f t="shared" si="772"/>
        <v>0</v>
      </c>
      <c r="GX255" s="77">
        <f t="shared" si="773"/>
        <v>199348.19103721355</v>
      </c>
      <c r="GY255" s="77">
        <f t="shared" si="774"/>
        <v>398696.38207442709</v>
      </c>
      <c r="GZ255" s="77">
        <f t="shared" si="775"/>
        <v>598044.57311164064</v>
      </c>
      <c r="HA255" s="77">
        <f t="shared" si="776"/>
        <v>797392.76414885418</v>
      </c>
      <c r="HB255" s="77">
        <f t="shared" si="777"/>
        <v>996740.95518606773</v>
      </c>
      <c r="HC255" s="77">
        <f t="shared" si="778"/>
        <v>1196089.1462232813</v>
      </c>
      <c r="HD255" s="77">
        <f t="shared" si="779"/>
        <v>12108426.936430695</v>
      </c>
      <c r="HE255" s="77">
        <f t="shared" si="780"/>
        <v>14359742.497475598</v>
      </c>
      <c r="IC255" s="82">
        <v>271</v>
      </c>
    </row>
    <row r="256" spans="1:237" s="77" customFormat="1">
      <c r="A256" s="77">
        <v>256</v>
      </c>
      <c r="B256" s="69">
        <v>380</v>
      </c>
      <c r="C256" s="69" t="s">
        <v>271</v>
      </c>
      <c r="D256" s="70" t="s">
        <v>277</v>
      </c>
      <c r="E256" s="70">
        <v>1</v>
      </c>
      <c r="F256" s="70">
        <v>4.1839115057566406E-2</v>
      </c>
      <c r="G256" s="70">
        <v>1.7142857000000001E-3</v>
      </c>
      <c r="H256" s="70">
        <v>6.0000000000000001E-3</v>
      </c>
      <c r="I256" s="70">
        <v>7.7142857000000002E-3</v>
      </c>
      <c r="J256" s="72">
        <v>1.7010309278350515</v>
      </c>
      <c r="K256" s="72">
        <v>19.399999999999999</v>
      </c>
      <c r="L256" s="72">
        <v>3.0238442822384425E-2</v>
      </c>
      <c r="M256" s="72">
        <v>3.0238442822384425E-2</v>
      </c>
      <c r="N256" s="72">
        <v>0.30107055961070561</v>
      </c>
      <c r="O256" s="72">
        <v>1.7445255474452553E-2</v>
      </c>
      <c r="P256" s="72">
        <v>0.10218978102189781</v>
      </c>
      <c r="Q256" s="73" t="s">
        <v>3</v>
      </c>
      <c r="R256" s="101">
        <v>0</v>
      </c>
      <c r="S256" s="75">
        <f t="shared" ref="S256:S319" si="809">Y256/AY256/SQRT(AK256)</f>
        <v>0.26822756132748832</v>
      </c>
      <c r="T256" s="59">
        <f t="shared" si="789"/>
        <v>0.57391374989201593</v>
      </c>
      <c r="U256" s="59">
        <f t="shared" si="790"/>
        <v>0.68798837311400673</v>
      </c>
      <c r="V256" s="59">
        <f t="shared" si="791"/>
        <v>1.055965274359224</v>
      </c>
      <c r="W256" s="59">
        <f t="shared" si="792"/>
        <v>1.8399372284736304</v>
      </c>
      <c r="X256" s="59">
        <f t="shared" si="793"/>
        <v>1.5348591860348775</v>
      </c>
      <c r="Y256" s="100">
        <v>83400</v>
      </c>
      <c r="Z256" s="57">
        <f t="shared" si="794"/>
        <v>128007.25611530879</v>
      </c>
      <c r="AA256" s="57">
        <f t="shared" si="795"/>
        <v>153450.76485470077</v>
      </c>
      <c r="AB256" s="57">
        <f t="shared" si="713"/>
        <v>126413.97726524156</v>
      </c>
      <c r="AC256" s="57">
        <f t="shared" si="796"/>
        <v>0.21783505154639177</v>
      </c>
      <c r="AD256" s="57">
        <f t="shared" si="797"/>
        <v>1.7010309278350515</v>
      </c>
      <c r="AE256" s="57">
        <f t="shared" si="798"/>
        <v>203700</v>
      </c>
      <c r="AF256" s="57">
        <f t="shared" si="799"/>
        <v>70451.733819001616</v>
      </c>
      <c r="AG256" s="57">
        <f t="shared" si="708"/>
        <v>82999.031035699139</v>
      </c>
      <c r="AH256" s="57">
        <f t="shared" si="714"/>
        <v>174437487.98647946</v>
      </c>
      <c r="AI256" s="57">
        <f t="shared" si="715"/>
        <v>51211461.431976698</v>
      </c>
      <c r="AJ256" s="77">
        <v>203699.99999999997</v>
      </c>
      <c r="AK256" s="77">
        <v>41.1</v>
      </c>
      <c r="AL256" s="78">
        <f t="shared" si="800"/>
        <v>3.5461950716379524</v>
      </c>
      <c r="AM256" s="57">
        <f t="shared" si="801"/>
        <v>0.99184210526315786</v>
      </c>
      <c r="AN256" s="57">
        <f t="shared" si="802"/>
        <v>0.7918421052631579</v>
      </c>
      <c r="AO256" s="77">
        <v>970</v>
      </c>
      <c r="AP256" s="79">
        <v>100</v>
      </c>
      <c r="AQ256" s="57">
        <f t="shared" si="803"/>
        <v>64.174038111366926</v>
      </c>
      <c r="AR256" s="78">
        <f t="shared" si="726"/>
        <v>770</v>
      </c>
      <c r="AS256" s="57">
        <f t="shared" si="804"/>
        <v>905.82596188863306</v>
      </c>
      <c r="AT256" s="77">
        <v>50</v>
      </c>
      <c r="AU256" s="77">
        <v>1785</v>
      </c>
      <c r="AV256" s="78">
        <f t="shared" si="805"/>
        <v>48500</v>
      </c>
      <c r="AW256" s="77">
        <v>0</v>
      </c>
      <c r="AX256" s="77">
        <f t="shared" si="806"/>
        <v>48500</v>
      </c>
      <c r="AY256" s="77">
        <v>48500</v>
      </c>
      <c r="AZ256" s="77">
        <v>478</v>
      </c>
      <c r="BA256" s="77">
        <v>478</v>
      </c>
      <c r="BB256" s="77">
        <v>538</v>
      </c>
      <c r="BC256" s="77">
        <v>427</v>
      </c>
      <c r="BD256" s="77">
        <v>2.5999999999999999E-3</v>
      </c>
      <c r="BE256" s="77">
        <v>2.5999999999999999E-3</v>
      </c>
      <c r="BF256" s="77">
        <v>2.3E-2</v>
      </c>
      <c r="BG256" s="77">
        <f>PI()*14*14/4*2/(AT256*100)</f>
        <v>6.1575216010359944E-2</v>
      </c>
      <c r="BH256" s="79">
        <v>59</v>
      </c>
      <c r="BI256" s="79">
        <f t="shared" si="768"/>
        <v>7.0685834705770345</v>
      </c>
      <c r="BJ256" s="79">
        <v>2</v>
      </c>
      <c r="BK256" s="57">
        <f t="shared" si="709"/>
        <v>14.137166941154069</v>
      </c>
      <c r="BL256" s="57">
        <f t="shared" si="643"/>
        <v>100.1</v>
      </c>
      <c r="BM256" s="80">
        <f>PI()*6*6/4</f>
        <v>28.274333882308138</v>
      </c>
      <c r="BN256" s="80">
        <v>4</v>
      </c>
      <c r="BO256" s="57">
        <f t="shared" si="781"/>
        <v>113.09733552923255</v>
      </c>
      <c r="BP256" s="57">
        <f t="shared" si="807"/>
        <v>88067.503881559285</v>
      </c>
      <c r="BQ256" s="77">
        <f t="shared" si="808"/>
        <v>0</v>
      </c>
      <c r="BR256" s="57">
        <f t="shared" si="664"/>
        <v>157200494.42858332</v>
      </c>
      <c r="BS256" s="57">
        <v>128.34807622273385</v>
      </c>
      <c r="BT256" s="57">
        <f t="shared" ref="BT256:BT319" si="810">(AE256 + BD256*MAX(AW256/2,AT256*AP256) * BA256)/(0.85 * AK256  * AT256 * (1.05 - AK256/140))</f>
        <v>158.87030453021279</v>
      </c>
      <c r="BU256" s="57"/>
      <c r="BV256" s="57">
        <v>3.3E-3</v>
      </c>
      <c r="BW256" s="57">
        <v>30000</v>
      </c>
      <c r="BX256" s="57">
        <v>200000</v>
      </c>
      <c r="BY256" s="77">
        <f>13</f>
        <v>13</v>
      </c>
      <c r="BZ256" s="77">
        <f>BY256+74</f>
        <v>87</v>
      </c>
      <c r="CA256" s="77">
        <f>BZ256+44</f>
        <v>131</v>
      </c>
      <c r="CB256" s="77">
        <f>CA256+59*1</f>
        <v>190</v>
      </c>
      <c r="CC256" s="77">
        <f>CA256+59*2</f>
        <v>249</v>
      </c>
      <c r="CD256" s="77">
        <f>CA256+59*3</f>
        <v>308</v>
      </c>
      <c r="CE256" s="77">
        <f>CA256+59*4</f>
        <v>367</v>
      </c>
      <c r="CF256" s="77">
        <f>CA256+59*5</f>
        <v>426</v>
      </c>
      <c r="CG256" s="77">
        <f>CA256+59*6</f>
        <v>485</v>
      </c>
      <c r="CH256" s="77">
        <f>CA256+59*7</f>
        <v>544</v>
      </c>
      <c r="CI256" s="77">
        <f>CA256+59*8</f>
        <v>603</v>
      </c>
      <c r="CJ256" s="77">
        <f>CA256+59*9</f>
        <v>662</v>
      </c>
      <c r="CK256" s="77">
        <f>CA256+59*10</f>
        <v>721</v>
      </c>
      <c r="CL256" s="77">
        <f>CA256+59*11</f>
        <v>780</v>
      </c>
      <c r="CM256" s="77">
        <f>CA256+59*12</f>
        <v>839</v>
      </c>
      <c r="CN256" s="77">
        <f>CM256+44</f>
        <v>883</v>
      </c>
      <c r="CO256" s="77">
        <f>CN256+74</f>
        <v>957</v>
      </c>
      <c r="DM256" s="77">
        <f t="shared" si="782"/>
        <v>56.548667764616276</v>
      </c>
      <c r="DN256" s="77">
        <f t="shared" si="782"/>
        <v>56.548667764616276</v>
      </c>
      <c r="DO256" s="77">
        <f t="shared" si="783"/>
        <v>7.0685834705770345</v>
      </c>
      <c r="DP256" s="77">
        <f t="shared" si="783"/>
        <v>7.0685834705770345</v>
      </c>
      <c r="DQ256" s="77">
        <f t="shared" si="783"/>
        <v>7.0685834705770345</v>
      </c>
      <c r="DR256" s="77">
        <f t="shared" si="783"/>
        <v>7.0685834705770345</v>
      </c>
      <c r="DS256" s="77">
        <f t="shared" si="783"/>
        <v>7.0685834705770345</v>
      </c>
      <c r="DT256" s="77">
        <f t="shared" si="783"/>
        <v>7.0685834705770345</v>
      </c>
      <c r="DU256" s="77">
        <f t="shared" si="783"/>
        <v>7.0685834705770345</v>
      </c>
      <c r="DV256" s="77">
        <f t="shared" si="783"/>
        <v>7.0685834705770345</v>
      </c>
      <c r="DW256" s="77">
        <f t="shared" si="783"/>
        <v>7.0685834705770345</v>
      </c>
      <c r="DX256" s="77">
        <f t="shared" si="783"/>
        <v>7.0685834705770345</v>
      </c>
      <c r="DY256" s="77">
        <f t="shared" si="783"/>
        <v>7.0685834705770345</v>
      </c>
      <c r="DZ256" s="77">
        <f t="shared" si="783"/>
        <v>7.0685834705770345</v>
      </c>
      <c r="EA256" s="77">
        <f t="shared" si="783"/>
        <v>7.0685834705770345</v>
      </c>
      <c r="EB256" s="77">
        <f t="shared" si="784"/>
        <v>56.548667764616276</v>
      </c>
      <c r="EC256" s="77">
        <f t="shared" si="784"/>
        <v>56.548667764616276</v>
      </c>
      <c r="FA256" s="77">
        <f t="shared" si="785"/>
        <v>-30423.183257363555</v>
      </c>
      <c r="FB256" s="77">
        <f t="shared" si="786"/>
        <v>-12023.537383129293</v>
      </c>
      <c r="FC256" s="77">
        <f t="shared" si="755"/>
        <v>96.393555595573858</v>
      </c>
      <c r="FD256" s="77">
        <f t="shared" si="727"/>
        <v>2240.9573733391508</v>
      </c>
      <c r="FE256" s="77">
        <f t="shared" si="728"/>
        <v>3378.7828989358227</v>
      </c>
      <c r="FF256" s="77">
        <f t="shared" si="753"/>
        <v>3378.7828989358227</v>
      </c>
      <c r="FG256" s="77">
        <f t="shared" si="754"/>
        <v>3378.7828989358227</v>
      </c>
      <c r="FH256" s="77">
        <f t="shared" si="756"/>
        <v>3378.7828989358227</v>
      </c>
      <c r="FI256" s="77">
        <f t="shared" si="787"/>
        <v>3378.7828989358227</v>
      </c>
      <c r="FJ256" s="77">
        <f t="shared" si="787"/>
        <v>3378.7828989358227</v>
      </c>
      <c r="FK256" s="77">
        <f t="shared" si="787"/>
        <v>3378.7828989358227</v>
      </c>
      <c r="FL256" s="77">
        <f t="shared" si="787"/>
        <v>3378.7828989358227</v>
      </c>
      <c r="FM256" s="77">
        <f t="shared" si="787"/>
        <v>3378.7828989358227</v>
      </c>
      <c r="FN256" s="77">
        <f t="shared" si="787"/>
        <v>3378.7828989358227</v>
      </c>
      <c r="FO256" s="77">
        <f t="shared" si="787"/>
        <v>3378.7828989358227</v>
      </c>
      <c r="FP256" s="77">
        <f t="shared" si="788"/>
        <v>30423.183257363555</v>
      </c>
      <c r="FQ256" s="77">
        <f t="shared" si="788"/>
        <v>30423.183257363555</v>
      </c>
      <c r="GO256" s="77">
        <f t="shared" si="696"/>
        <v>14359742.497475598</v>
      </c>
      <c r="GP256" s="77">
        <f t="shared" si="697"/>
        <v>4785367.8784854589</v>
      </c>
      <c r="GQ256" s="77">
        <f t="shared" si="698"/>
        <v>-34123.318680833145</v>
      </c>
      <c r="GR256" s="77">
        <f t="shared" si="699"/>
        <v>-661082.4251350495</v>
      </c>
      <c r="GS256" s="77">
        <f t="shared" si="712"/>
        <v>-797392.76414885418</v>
      </c>
      <c r="GT256" s="77">
        <f t="shared" si="724"/>
        <v>-598044.57311164064</v>
      </c>
      <c r="GU256" s="77">
        <f t="shared" si="725"/>
        <v>-398696.38207442709</v>
      </c>
      <c r="GV256" s="77">
        <f t="shared" si="729"/>
        <v>-199348.19103721355</v>
      </c>
      <c r="GW256" s="77">
        <f t="shared" si="772"/>
        <v>0</v>
      </c>
      <c r="GX256" s="77">
        <f t="shared" si="773"/>
        <v>199348.19103721355</v>
      </c>
      <c r="GY256" s="77">
        <f t="shared" si="774"/>
        <v>398696.38207442709</v>
      </c>
      <c r="GZ256" s="77">
        <f t="shared" si="775"/>
        <v>598044.57311164064</v>
      </c>
      <c r="HA256" s="77">
        <f t="shared" si="776"/>
        <v>797392.76414885418</v>
      </c>
      <c r="HB256" s="77">
        <f t="shared" si="777"/>
        <v>996740.95518606773</v>
      </c>
      <c r="HC256" s="77">
        <f t="shared" si="778"/>
        <v>1196089.1462232813</v>
      </c>
      <c r="HD256" s="77">
        <f t="shared" si="779"/>
        <v>12108426.936430695</v>
      </c>
      <c r="HE256" s="77">
        <f t="shared" si="780"/>
        <v>14359742.497475598</v>
      </c>
      <c r="IC256" s="82">
        <v>272</v>
      </c>
    </row>
    <row r="257" spans="1:237" s="77" customFormat="1">
      <c r="A257" s="77">
        <v>257</v>
      </c>
      <c r="B257" s="69">
        <v>381</v>
      </c>
      <c r="C257" s="69" t="s">
        <v>271</v>
      </c>
      <c r="D257" s="70" t="s">
        <v>278</v>
      </c>
      <c r="E257" s="70">
        <v>1</v>
      </c>
      <c r="F257" s="70">
        <v>5.2725311661273727E-2</v>
      </c>
      <c r="G257" s="70">
        <v>4.2857143E-3</v>
      </c>
      <c r="H257" s="70">
        <v>1.11428571E-2</v>
      </c>
      <c r="I257" s="70">
        <v>1.28571429E-2</v>
      </c>
      <c r="J257" s="72">
        <v>1.7010309278350515</v>
      </c>
      <c r="K257" s="72">
        <v>19.399999999999999</v>
      </c>
      <c r="L257" s="72">
        <v>4.3362530413625304E-2</v>
      </c>
      <c r="M257" s="72">
        <v>4.3362530413625304E-2</v>
      </c>
      <c r="N257" s="72">
        <v>0.67883211678832112</v>
      </c>
      <c r="O257" s="72">
        <v>0</v>
      </c>
      <c r="P257" s="72">
        <v>5.1094890510948905E-2</v>
      </c>
      <c r="Q257" s="73" t="s">
        <v>3</v>
      </c>
      <c r="R257" s="101">
        <v>0</v>
      </c>
      <c r="S257" s="75">
        <f t="shared" si="809"/>
        <v>0.33801818579759019</v>
      </c>
      <c r="T257" s="59">
        <f t="shared" si="789"/>
        <v>0.56559774745089686</v>
      </c>
      <c r="U257" s="59">
        <f t="shared" si="790"/>
        <v>0.71530402866626608</v>
      </c>
      <c r="V257" s="59">
        <f t="shared" si="791"/>
        <v>1.0492588312210296</v>
      </c>
      <c r="W257" s="59">
        <f t="shared" si="792"/>
        <v>1.8551326202233904</v>
      </c>
      <c r="X257" s="59">
        <f t="shared" si="793"/>
        <v>1.4668711333521292</v>
      </c>
      <c r="Y257" s="100">
        <v>105100</v>
      </c>
      <c r="Z257" s="57">
        <f t="shared" si="794"/>
        <v>154168.15611530878</v>
      </c>
      <c r="AA257" s="57">
        <f t="shared" si="795"/>
        <v>194974.43838547834</v>
      </c>
      <c r="AB257" s="57">
        <f t="shared" si="713"/>
        <v>166976.34716044288</v>
      </c>
      <c r="AC257" s="57">
        <f t="shared" si="796"/>
        <v>0.21783505154639177</v>
      </c>
      <c r="AD257" s="57">
        <f t="shared" si="797"/>
        <v>1.7010309278350515</v>
      </c>
      <c r="AE257" s="57">
        <f t="shared" si="798"/>
        <v>101850</v>
      </c>
      <c r="AF257" s="57">
        <f t="shared" si="799"/>
        <v>62652.078238201226</v>
      </c>
      <c r="AG257" s="57">
        <f t="shared" si="708"/>
        <v>132322.3601472771</v>
      </c>
      <c r="AH257" s="57">
        <f t="shared" si="714"/>
        <v>176786481.02416128</v>
      </c>
      <c r="AI257" s="57">
        <f t="shared" si="715"/>
        <v>121266298.65722926</v>
      </c>
      <c r="AJ257" s="77">
        <v>101849.99999999999</v>
      </c>
      <c r="AK257" s="77">
        <v>41.1</v>
      </c>
      <c r="AL257" s="78">
        <f t="shared" si="800"/>
        <v>3.5461950716379524</v>
      </c>
      <c r="AM257" s="57">
        <f t="shared" si="801"/>
        <v>0.99184210526315786</v>
      </c>
      <c r="AN257" s="57">
        <f t="shared" si="802"/>
        <v>0.7918421052631579</v>
      </c>
      <c r="AO257" s="77">
        <v>970</v>
      </c>
      <c r="AP257" s="79">
        <v>100</v>
      </c>
      <c r="AQ257" s="57">
        <f t="shared" si="803"/>
        <v>52.649398258151692</v>
      </c>
      <c r="AR257" s="78">
        <f t="shared" si="726"/>
        <v>770</v>
      </c>
      <c r="AS257" s="57">
        <f t="shared" si="804"/>
        <v>917.35060174184832</v>
      </c>
      <c r="AT257" s="77">
        <v>50</v>
      </c>
      <c r="AU257" s="77">
        <v>1785</v>
      </c>
      <c r="AV257" s="78">
        <f t="shared" si="805"/>
        <v>48500</v>
      </c>
      <c r="AW257" s="77">
        <v>0</v>
      </c>
      <c r="AX257" s="77">
        <f t="shared" si="806"/>
        <v>48500</v>
      </c>
      <c r="AY257" s="77">
        <v>48500</v>
      </c>
      <c r="AZ257" s="77">
        <v>469</v>
      </c>
      <c r="BA257" s="77">
        <v>469</v>
      </c>
      <c r="BB257" s="77">
        <v>465</v>
      </c>
      <c r="BC257" s="77">
        <v>0</v>
      </c>
      <c r="BD257" s="77">
        <v>3.8E-3</v>
      </c>
      <c r="BE257" s="77">
        <v>3.8E-3</v>
      </c>
      <c r="BF257" s="77">
        <v>0.06</v>
      </c>
      <c r="BG257" s="77">
        <v>0</v>
      </c>
      <c r="BH257" s="79">
        <v>59</v>
      </c>
      <c r="BI257" s="79">
        <f>PI()*3.8*3.8/4</f>
        <v>11.341149479459153</v>
      </c>
      <c r="BJ257" s="79">
        <v>2</v>
      </c>
      <c r="BK257" s="57">
        <f t="shared" si="709"/>
        <v>22.682298958918306</v>
      </c>
      <c r="BL257" s="57">
        <f t="shared" si="643"/>
        <v>146.30000000000001</v>
      </c>
      <c r="BM257" s="80">
        <f>PI()*8*8/4</f>
        <v>50.26548245743669</v>
      </c>
      <c r="BN257" s="80">
        <v>6</v>
      </c>
      <c r="BO257" s="57">
        <f t="shared" si="781"/>
        <v>301.59289474462014</v>
      </c>
      <c r="BP257" s="57">
        <f t="shared" si="807"/>
        <v>110277.10316133022</v>
      </c>
      <c r="BQ257" s="77">
        <f t="shared" si="808"/>
        <v>0</v>
      </c>
      <c r="BR257" s="57">
        <f t="shared" si="664"/>
        <v>196844629.14297444</v>
      </c>
      <c r="BS257" s="57">
        <v>105.29879651630338</v>
      </c>
      <c r="BT257" s="57">
        <f t="shared" si="810"/>
        <v>83.827823775788644</v>
      </c>
      <c r="BU257" s="57"/>
      <c r="BV257" s="57">
        <v>3.3E-3</v>
      </c>
      <c r="BW257" s="57">
        <v>30000</v>
      </c>
      <c r="BX257" s="57">
        <v>200000</v>
      </c>
      <c r="BY257" s="77">
        <f>13</f>
        <v>13</v>
      </c>
      <c r="BZ257" s="77">
        <f>BY257+74/2*1</f>
        <v>50</v>
      </c>
      <c r="CA257" s="77">
        <f>BY257+74/2*2</f>
        <v>87</v>
      </c>
      <c r="CB257" s="77">
        <f>CA257+44</f>
        <v>131</v>
      </c>
      <c r="CC257" s="77">
        <f>CB257+59*1</f>
        <v>190</v>
      </c>
      <c r="CD257" s="77">
        <f>CB257+59*2</f>
        <v>249</v>
      </c>
      <c r="CE257" s="77">
        <f>CB257+59*3</f>
        <v>308</v>
      </c>
      <c r="CF257" s="77">
        <f>CB257+59*4</f>
        <v>367</v>
      </c>
      <c r="CG257" s="77">
        <f>CB257+59*5</f>
        <v>426</v>
      </c>
      <c r="CH257" s="77">
        <f>CB257+59*6</f>
        <v>485</v>
      </c>
      <c r="CI257" s="77">
        <f>CB257+59*7</f>
        <v>544</v>
      </c>
      <c r="CJ257" s="77">
        <f>CB257+59*8</f>
        <v>603</v>
      </c>
      <c r="CK257" s="77">
        <f>CB257+59*9</f>
        <v>662</v>
      </c>
      <c r="CL257" s="77">
        <f>CB257+59*10</f>
        <v>721</v>
      </c>
      <c r="CM257" s="77">
        <f>CB257+59*11</f>
        <v>780</v>
      </c>
      <c r="CN257" s="77">
        <f>CB257+59*12</f>
        <v>839</v>
      </c>
      <c r="CO257" s="77">
        <f>CN257+44</f>
        <v>883</v>
      </c>
      <c r="CP257" s="77">
        <f>CO257+74/2*1</f>
        <v>920</v>
      </c>
      <c r="CQ257" s="77">
        <f>CO257+74/2*2</f>
        <v>957</v>
      </c>
      <c r="DM257" s="77">
        <f t="shared" ref="DM257:DO260" si="811">PI()*8*8/4*2</f>
        <v>100.53096491487338</v>
      </c>
      <c r="DN257" s="77">
        <f t="shared" si="811"/>
        <v>100.53096491487338</v>
      </c>
      <c r="DO257" s="77">
        <f t="shared" si="811"/>
        <v>100.53096491487338</v>
      </c>
      <c r="DP257" s="77">
        <f t="shared" ref="DP257:EB260" si="812">PI()*3.8*3.8/4</f>
        <v>11.341149479459153</v>
      </c>
      <c r="DQ257" s="77">
        <f t="shared" si="812"/>
        <v>11.341149479459153</v>
      </c>
      <c r="DR257" s="77">
        <f t="shared" si="812"/>
        <v>11.341149479459153</v>
      </c>
      <c r="DS257" s="77">
        <f t="shared" si="812"/>
        <v>11.341149479459153</v>
      </c>
      <c r="DT257" s="77">
        <f t="shared" si="812"/>
        <v>11.341149479459153</v>
      </c>
      <c r="DU257" s="77">
        <f t="shared" si="812"/>
        <v>11.341149479459153</v>
      </c>
      <c r="DV257" s="77">
        <f t="shared" si="812"/>
        <v>11.341149479459153</v>
      </c>
      <c r="DW257" s="77">
        <f t="shared" si="812"/>
        <v>11.341149479459153</v>
      </c>
      <c r="DX257" s="77">
        <f t="shared" si="812"/>
        <v>11.341149479459153</v>
      </c>
      <c r="DY257" s="77">
        <f t="shared" si="812"/>
        <v>11.341149479459153</v>
      </c>
      <c r="DZ257" s="77">
        <f t="shared" si="812"/>
        <v>11.341149479459153</v>
      </c>
      <c r="EA257" s="77">
        <f t="shared" si="812"/>
        <v>11.341149479459153</v>
      </c>
      <c r="EB257" s="77">
        <f t="shared" si="812"/>
        <v>11.341149479459153</v>
      </c>
      <c r="EC257" s="77">
        <f t="shared" ref="EC257:EE260" si="813">PI()*8*8/4*2</f>
        <v>100.53096491487338</v>
      </c>
      <c r="ED257" s="77">
        <f t="shared" si="813"/>
        <v>100.53096491487338</v>
      </c>
      <c r="EE257" s="77">
        <f t="shared" si="813"/>
        <v>100.53096491487338</v>
      </c>
      <c r="FA257" s="77">
        <f t="shared" si="785"/>
        <v>-46746.898685416119</v>
      </c>
      <c r="FB257" s="77">
        <f t="shared" si="786"/>
        <v>-34844.646161040961</v>
      </c>
      <c r="FC257" s="77">
        <f>IF(ABS(-$BV257*($BS257-CA257)/$BS257*$BX257)&gt;$BB257,$BB257*SIGN(-($BS257-CA257)),-$BV257*($BS257-CA257)/$BS257*$BX257)*DO257</f>
        <v>-11530.361055787105</v>
      </c>
      <c r="FD257" s="77">
        <f t="shared" si="727"/>
        <v>1826.9685134265519</v>
      </c>
      <c r="FE257" s="77">
        <f t="shared" si="728"/>
        <v>5318.9991058663427</v>
      </c>
      <c r="FF257" s="77">
        <f t="shared" si="753"/>
        <v>5318.9991058663427</v>
      </c>
      <c r="FG257" s="77">
        <f t="shared" si="754"/>
        <v>5318.9991058663427</v>
      </c>
      <c r="FH257" s="77">
        <f t="shared" si="756"/>
        <v>5318.9991058663427</v>
      </c>
      <c r="FI257" s="77">
        <f t="shared" si="787"/>
        <v>5318.9991058663427</v>
      </c>
      <c r="FJ257" s="77">
        <f t="shared" si="787"/>
        <v>5318.9991058663427</v>
      </c>
      <c r="FK257" s="77">
        <f t="shared" si="787"/>
        <v>5318.9991058663427</v>
      </c>
      <c r="FL257" s="77">
        <f t="shared" si="787"/>
        <v>5318.9991058663427</v>
      </c>
      <c r="FM257" s="77">
        <f t="shared" si="787"/>
        <v>5318.9991058663427</v>
      </c>
      <c r="FN257" s="77">
        <f t="shared" si="787"/>
        <v>5318.9991058663427</v>
      </c>
      <c r="FO257" s="77">
        <f t="shared" si="787"/>
        <v>5318.9991058663427</v>
      </c>
      <c r="FP257" s="77">
        <f>IF(ABS(-$BV257*($BS257-CN257)/$BS257*$BX257)&gt;$BA257,$BA257*SIGN(-($BS257-CN257)),-$BV257*($BS257-CN257)/$BS257*$BX257)*EB257</f>
        <v>5318.9991058663427</v>
      </c>
      <c r="FQ257" s="77">
        <f t="shared" ref="FQ257:FS260" si="814">IF(ABS(-$BV257*($BS257-CO257)/$BS257*$BX257)&gt;$BB257,$BB257*SIGN(-($BS257-CO257)),-$BV257*($BS257-CO257)/$BS257*$BX257)*EC257</f>
        <v>46746.898685416119</v>
      </c>
      <c r="FR257" s="77">
        <f t="shared" si="814"/>
        <v>46746.898685416119</v>
      </c>
      <c r="FS257" s="77">
        <f t="shared" si="814"/>
        <v>46746.898685416119</v>
      </c>
      <c r="GO257" s="77">
        <f t="shared" si="696"/>
        <v>22064536.179516409</v>
      </c>
      <c r="GP257" s="77">
        <f t="shared" si="697"/>
        <v>15157421.080052817</v>
      </c>
      <c r="GQ257" s="77">
        <f t="shared" si="698"/>
        <v>4589083.7002032679</v>
      </c>
      <c r="GR257" s="77">
        <f t="shared" si="699"/>
        <v>-646746.85375299933</v>
      </c>
      <c r="GS257" s="77">
        <f t="shared" si="712"/>
        <v>-1569104.7362305711</v>
      </c>
      <c r="GT257" s="77">
        <f t="shared" si="724"/>
        <v>-1255283.7889844568</v>
      </c>
      <c r="GU257" s="77">
        <f t="shared" si="725"/>
        <v>-941462.84173834266</v>
      </c>
      <c r="GV257" s="77">
        <f t="shared" si="729"/>
        <v>-627641.8944922284</v>
      </c>
      <c r="GW257" s="77">
        <f t="shared" si="772"/>
        <v>-313820.9472461142</v>
      </c>
      <c r="GX257" s="77">
        <f t="shared" si="773"/>
        <v>0</v>
      </c>
      <c r="GY257" s="77">
        <f t="shared" si="774"/>
        <v>313820.9472461142</v>
      </c>
      <c r="GZ257" s="77">
        <f t="shared" si="775"/>
        <v>627641.8944922284</v>
      </c>
      <c r="HA257" s="77">
        <f t="shared" si="776"/>
        <v>941462.84173834266</v>
      </c>
      <c r="HB257" s="77">
        <f t="shared" si="777"/>
        <v>1255283.7889844568</v>
      </c>
      <c r="HC257" s="77">
        <f t="shared" si="778"/>
        <v>1569104.7362305711</v>
      </c>
      <c r="HD257" s="77">
        <f t="shared" si="779"/>
        <v>1882925.6834766853</v>
      </c>
      <c r="HE257" s="77">
        <f t="shared" si="780"/>
        <v>18605265.676795617</v>
      </c>
      <c r="HF257" s="77">
        <f t="shared" ref="HF257:HG260" si="815">FR257*(CP257-0.5*$AO257)</f>
        <v>20334900.928156011</v>
      </c>
      <c r="HG257" s="77">
        <f t="shared" si="815"/>
        <v>22064536.179516409</v>
      </c>
      <c r="IC257" s="82">
        <v>273</v>
      </c>
    </row>
    <row r="258" spans="1:237" s="77" customFormat="1">
      <c r="A258" s="77">
        <v>258</v>
      </c>
      <c r="B258" s="69">
        <v>382</v>
      </c>
      <c r="C258" s="69" t="s">
        <v>271</v>
      </c>
      <c r="D258" s="70" t="s">
        <v>279</v>
      </c>
      <c r="E258" s="70">
        <v>1</v>
      </c>
      <c r="F258" s="70">
        <v>5.5283818697168079E-2</v>
      </c>
      <c r="G258" s="70">
        <v>2.5714285999999999E-3</v>
      </c>
      <c r="H258" s="70">
        <v>6.4285714000000002E-3</v>
      </c>
      <c r="I258" s="70">
        <v>6.4285714000000002E-3</v>
      </c>
      <c r="J258" s="72">
        <v>1.7010309278350515</v>
      </c>
      <c r="K258" s="72">
        <v>19.399999999999999</v>
      </c>
      <c r="L258" s="72">
        <v>4.3362530413625304E-2</v>
      </c>
      <c r="M258" s="72">
        <v>4.3362530413625304E-2</v>
      </c>
      <c r="N258" s="72">
        <v>0.67883211678832112</v>
      </c>
      <c r="O258" s="72">
        <v>0</v>
      </c>
      <c r="P258" s="72">
        <v>0.10218978102189781</v>
      </c>
      <c r="Q258" s="73" t="s">
        <v>3</v>
      </c>
      <c r="R258" s="101">
        <v>0</v>
      </c>
      <c r="S258" s="75">
        <f t="shared" si="809"/>
        <v>0.35442059062696896</v>
      </c>
      <c r="T258" s="59">
        <f t="shared" si="789"/>
        <v>0.65790149098312456</v>
      </c>
      <c r="U258" s="59">
        <f t="shared" si="790"/>
        <v>0.85238492039870539</v>
      </c>
      <c r="V258" s="59">
        <f t="shared" si="791"/>
        <v>1.1924737883698973</v>
      </c>
      <c r="W258" s="59">
        <f t="shared" si="792"/>
        <v>1.8125415502371685</v>
      </c>
      <c r="X258" s="59">
        <f t="shared" si="793"/>
        <v>1.3989850827160506</v>
      </c>
      <c r="Y258" s="100">
        <v>110200</v>
      </c>
      <c r="Z258" s="57">
        <f t="shared" si="794"/>
        <v>154168.15611530878</v>
      </c>
      <c r="AA258" s="57">
        <f t="shared" si="795"/>
        <v>199742.07883613597</v>
      </c>
      <c r="AB258" s="57">
        <f t="shared" si="713"/>
        <v>162021.55110416125</v>
      </c>
      <c r="AC258" s="57">
        <f t="shared" si="796"/>
        <v>0.21783505154639177</v>
      </c>
      <c r="AD258" s="57">
        <f t="shared" si="797"/>
        <v>1.7010309278350515</v>
      </c>
      <c r="AE258" s="57">
        <f t="shared" si="798"/>
        <v>203700</v>
      </c>
      <c r="AF258" s="57">
        <f t="shared" si="799"/>
        <v>70053.883772627116</v>
      </c>
      <c r="AG258" s="57">
        <f t="shared" si="708"/>
        <v>129688.19506350886</v>
      </c>
      <c r="AH258" s="57">
        <f t="shared" si="714"/>
        <v>173064283.05756295</v>
      </c>
      <c r="AI258" s="57">
        <f t="shared" si="715"/>
        <v>116144185.66336492</v>
      </c>
      <c r="AJ258" s="77">
        <v>203699.99999999997</v>
      </c>
      <c r="AK258" s="77">
        <v>41.1</v>
      </c>
      <c r="AL258" s="78">
        <f t="shared" si="800"/>
        <v>3.5461950716379524</v>
      </c>
      <c r="AM258" s="57">
        <f t="shared" si="801"/>
        <v>0.99184210526315786</v>
      </c>
      <c r="AN258" s="57">
        <f t="shared" si="802"/>
        <v>0.7918421052631579</v>
      </c>
      <c r="AO258" s="77">
        <v>970</v>
      </c>
      <c r="AP258" s="79">
        <v>100</v>
      </c>
      <c r="AQ258" s="57">
        <f t="shared" si="803"/>
        <v>70.911262103329463</v>
      </c>
      <c r="AR258" s="78">
        <f t="shared" si="726"/>
        <v>770</v>
      </c>
      <c r="AS258" s="57">
        <f t="shared" si="804"/>
        <v>899.08873789667052</v>
      </c>
      <c r="AT258" s="77">
        <v>50</v>
      </c>
      <c r="AU258" s="77">
        <v>1785</v>
      </c>
      <c r="AV258" s="78">
        <f t="shared" si="805"/>
        <v>48500</v>
      </c>
      <c r="AW258" s="77">
        <v>0</v>
      </c>
      <c r="AX258" s="77">
        <f t="shared" si="806"/>
        <v>48500</v>
      </c>
      <c r="AY258" s="77">
        <v>48500</v>
      </c>
      <c r="AZ258" s="77">
        <v>469</v>
      </c>
      <c r="BA258" s="77">
        <v>469</v>
      </c>
      <c r="BB258" s="77">
        <v>465</v>
      </c>
      <c r="BC258" s="77">
        <v>0</v>
      </c>
      <c r="BD258" s="77">
        <v>3.8E-3</v>
      </c>
      <c r="BE258" s="77">
        <v>3.8E-3</v>
      </c>
      <c r="BF258" s="77">
        <v>0.06</v>
      </c>
      <c r="BG258" s="77">
        <v>0</v>
      </c>
      <c r="BH258" s="79">
        <v>59</v>
      </c>
      <c r="BI258" s="79">
        <f>PI()*3.8*3.8/4</f>
        <v>11.341149479459153</v>
      </c>
      <c r="BJ258" s="79">
        <v>2</v>
      </c>
      <c r="BK258" s="57">
        <f t="shared" si="709"/>
        <v>22.682298958918306</v>
      </c>
      <c r="BL258" s="57">
        <f t="shared" si="643"/>
        <v>146.30000000000001</v>
      </c>
      <c r="BM258" s="80">
        <f>PI()*8*8/4</f>
        <v>50.26548245743669</v>
      </c>
      <c r="BN258" s="80">
        <v>6</v>
      </c>
      <c r="BO258" s="57">
        <f t="shared" si="781"/>
        <v>301.59289474462014</v>
      </c>
      <c r="BP258" s="57">
        <f t="shared" si="807"/>
        <v>131410.61147836267</v>
      </c>
      <c r="BQ258" s="77">
        <f t="shared" si="808"/>
        <v>6.9849193096160889E-10</v>
      </c>
      <c r="BR258" s="57">
        <f t="shared" si="664"/>
        <v>234567941.48887739</v>
      </c>
      <c r="BS258" s="57">
        <v>141.82252420665893</v>
      </c>
      <c r="BT258" s="57">
        <f t="shared" si="810"/>
        <v>160.91148906920486</v>
      </c>
      <c r="BU258" s="57"/>
      <c r="BV258" s="57">
        <v>3.3E-3</v>
      </c>
      <c r="BW258" s="57">
        <v>30000</v>
      </c>
      <c r="BX258" s="57">
        <v>200000</v>
      </c>
      <c r="BY258" s="77">
        <f>13</f>
        <v>13</v>
      </c>
      <c r="BZ258" s="77">
        <f>BY258+74/2*1</f>
        <v>50</v>
      </c>
      <c r="CA258" s="77">
        <f>BY258+74/2*2</f>
        <v>87</v>
      </c>
      <c r="CB258" s="77">
        <f>CA258+44</f>
        <v>131</v>
      </c>
      <c r="CC258" s="77">
        <f>CB258+59*1</f>
        <v>190</v>
      </c>
      <c r="CD258" s="77">
        <f>CB258+59*2</f>
        <v>249</v>
      </c>
      <c r="CE258" s="77">
        <f>CB258+59*3</f>
        <v>308</v>
      </c>
      <c r="CF258" s="77">
        <f>CB258+59*4</f>
        <v>367</v>
      </c>
      <c r="CG258" s="77">
        <f>CB258+59*5</f>
        <v>426</v>
      </c>
      <c r="CH258" s="77">
        <f>CB258+59*6</f>
        <v>485</v>
      </c>
      <c r="CI258" s="77">
        <f>CB258+59*7</f>
        <v>544</v>
      </c>
      <c r="CJ258" s="77">
        <f>CB258+59*8</f>
        <v>603</v>
      </c>
      <c r="CK258" s="77">
        <f>CB258+59*9</f>
        <v>662</v>
      </c>
      <c r="CL258" s="77">
        <f>CB258+59*10</f>
        <v>721</v>
      </c>
      <c r="CM258" s="77">
        <f>CB258+59*11</f>
        <v>780</v>
      </c>
      <c r="CN258" s="77">
        <f>CB258+59*12</f>
        <v>839</v>
      </c>
      <c r="CO258" s="77">
        <f>CN258+44</f>
        <v>883</v>
      </c>
      <c r="CP258" s="77">
        <f>CO258+74/2*1</f>
        <v>920</v>
      </c>
      <c r="CQ258" s="77">
        <f>CO258+74/2*2</f>
        <v>957</v>
      </c>
      <c r="DM258" s="77">
        <f t="shared" si="811"/>
        <v>100.53096491487338</v>
      </c>
      <c r="DN258" s="77">
        <f t="shared" si="811"/>
        <v>100.53096491487338</v>
      </c>
      <c r="DO258" s="77">
        <f t="shared" si="811"/>
        <v>100.53096491487338</v>
      </c>
      <c r="DP258" s="77">
        <f t="shared" si="812"/>
        <v>11.341149479459153</v>
      </c>
      <c r="DQ258" s="77">
        <f t="shared" si="812"/>
        <v>11.341149479459153</v>
      </c>
      <c r="DR258" s="77">
        <f t="shared" si="812"/>
        <v>11.341149479459153</v>
      </c>
      <c r="DS258" s="77">
        <f t="shared" si="812"/>
        <v>11.341149479459153</v>
      </c>
      <c r="DT258" s="77">
        <f t="shared" si="812"/>
        <v>11.341149479459153</v>
      </c>
      <c r="DU258" s="77">
        <f t="shared" si="812"/>
        <v>11.341149479459153</v>
      </c>
      <c r="DV258" s="77">
        <f t="shared" si="812"/>
        <v>11.341149479459153</v>
      </c>
      <c r="DW258" s="77">
        <f t="shared" si="812"/>
        <v>11.341149479459153</v>
      </c>
      <c r="DX258" s="77">
        <f t="shared" si="812"/>
        <v>11.341149479459153</v>
      </c>
      <c r="DY258" s="77">
        <f t="shared" si="812"/>
        <v>11.341149479459153</v>
      </c>
      <c r="DZ258" s="77">
        <f t="shared" si="812"/>
        <v>11.341149479459153</v>
      </c>
      <c r="EA258" s="77">
        <f t="shared" si="812"/>
        <v>11.341149479459153</v>
      </c>
      <c r="EB258" s="77">
        <f t="shared" si="812"/>
        <v>11.341149479459153</v>
      </c>
      <c r="EC258" s="77">
        <f t="shared" si="813"/>
        <v>100.53096491487338</v>
      </c>
      <c r="ED258" s="77">
        <f t="shared" si="813"/>
        <v>100.53096491487338</v>
      </c>
      <c r="EE258" s="77">
        <f t="shared" si="813"/>
        <v>100.53096491487338</v>
      </c>
      <c r="FA258" s="77">
        <f t="shared" si="785"/>
        <v>-46746.898685416119</v>
      </c>
      <c r="FB258" s="77">
        <f t="shared" si="786"/>
        <v>-42958.370874403539</v>
      </c>
      <c r="FC258" s="77">
        <f>IF(ABS(-$BV258*($BS258-CA258)/$BS258*$BX258)&gt;$BB258,$BB258*SIGN(-($BS258-CA258)),-$BV258*($BS258-CA258)/$BS258*$BX258)*DO258</f>
        <v>-25648.242057038009</v>
      </c>
      <c r="FD258" s="77">
        <f t="shared" si="727"/>
        <v>-571.19495794613613</v>
      </c>
      <c r="FE258" s="77">
        <f t="shared" si="728"/>
        <v>2542.7276238196455</v>
      </c>
      <c r="FF258" s="77">
        <f t="shared" si="753"/>
        <v>5318.9991058663427</v>
      </c>
      <c r="FG258" s="77">
        <f t="shared" si="754"/>
        <v>5318.9991058663427</v>
      </c>
      <c r="FH258" s="77">
        <f t="shared" si="756"/>
        <v>5318.9991058663427</v>
      </c>
      <c r="FI258" s="77">
        <f t="shared" si="787"/>
        <v>5318.9991058663427</v>
      </c>
      <c r="FJ258" s="77">
        <f t="shared" si="787"/>
        <v>5318.9991058663427</v>
      </c>
      <c r="FK258" s="77">
        <f t="shared" si="787"/>
        <v>5318.9991058663427</v>
      </c>
      <c r="FL258" s="77">
        <f t="shared" si="787"/>
        <v>5318.9991058663427</v>
      </c>
      <c r="FM258" s="77">
        <f t="shared" si="787"/>
        <v>5318.9991058663427</v>
      </c>
      <c r="FN258" s="77">
        <f t="shared" si="787"/>
        <v>5318.9991058663427</v>
      </c>
      <c r="FO258" s="77">
        <f t="shared" si="787"/>
        <v>5318.9991058663427</v>
      </c>
      <c r="FP258" s="77">
        <f>IF(ABS(-$BV258*($BS258-CN258)/$BS258*$BX258)&gt;$BA258,$BA258*SIGN(-($BS258-CN258)),-$BV258*($BS258-CN258)/$BS258*$BX258)*EB258</f>
        <v>5318.9991058663427</v>
      </c>
      <c r="FQ258" s="77">
        <f t="shared" si="814"/>
        <v>46746.898685416119</v>
      </c>
      <c r="FR258" s="77">
        <f t="shared" si="814"/>
        <v>46746.898685416119</v>
      </c>
      <c r="FS258" s="77">
        <f t="shared" si="814"/>
        <v>46746.898685416119</v>
      </c>
      <c r="GO258" s="77">
        <f t="shared" si="696"/>
        <v>22064536.179516409</v>
      </c>
      <c r="GP258" s="77">
        <f t="shared" si="697"/>
        <v>18686891.330365539</v>
      </c>
      <c r="GQ258" s="77">
        <f t="shared" si="698"/>
        <v>10208000.338701127</v>
      </c>
      <c r="GR258" s="77">
        <f t="shared" si="699"/>
        <v>202203.01511293219</v>
      </c>
      <c r="GS258" s="77">
        <f t="shared" si="712"/>
        <v>-750104.64902679541</v>
      </c>
      <c r="GT258" s="77">
        <f t="shared" si="724"/>
        <v>-1255283.7889844568</v>
      </c>
      <c r="GU258" s="77">
        <f t="shared" si="725"/>
        <v>-941462.84173834266</v>
      </c>
      <c r="GV258" s="77">
        <f t="shared" si="729"/>
        <v>-627641.8944922284</v>
      </c>
      <c r="GW258" s="77">
        <f t="shared" si="772"/>
        <v>-313820.9472461142</v>
      </c>
      <c r="GX258" s="77">
        <f t="shared" si="773"/>
        <v>0</v>
      </c>
      <c r="GY258" s="77">
        <f t="shared" si="774"/>
        <v>313820.9472461142</v>
      </c>
      <c r="GZ258" s="77">
        <f t="shared" si="775"/>
        <v>627641.8944922284</v>
      </c>
      <c r="HA258" s="77">
        <f t="shared" si="776"/>
        <v>941462.84173834266</v>
      </c>
      <c r="HB258" s="77">
        <f t="shared" si="777"/>
        <v>1255283.7889844568</v>
      </c>
      <c r="HC258" s="77">
        <f t="shared" si="778"/>
        <v>1569104.7362305711</v>
      </c>
      <c r="HD258" s="77">
        <f t="shared" si="779"/>
        <v>1882925.6834766853</v>
      </c>
      <c r="HE258" s="77">
        <f t="shared" si="780"/>
        <v>18605265.676795617</v>
      </c>
      <c r="HF258" s="77">
        <f t="shared" si="815"/>
        <v>20334900.928156011</v>
      </c>
      <c r="HG258" s="77">
        <f t="shared" si="815"/>
        <v>22064536.179516409</v>
      </c>
      <c r="IC258" s="82">
        <v>274</v>
      </c>
    </row>
    <row r="259" spans="1:237" s="77" customFormat="1">
      <c r="A259" s="77">
        <v>259</v>
      </c>
      <c r="B259" s="69">
        <v>383</v>
      </c>
      <c r="C259" s="69" t="s">
        <v>271</v>
      </c>
      <c r="D259" s="70" t="s">
        <v>280</v>
      </c>
      <c r="E259" s="70">
        <v>1</v>
      </c>
      <c r="F259" s="70">
        <v>5.5032984674041184E-2</v>
      </c>
      <c r="G259" s="70">
        <v>4.2857143E-3</v>
      </c>
      <c r="H259" s="70">
        <v>1.2E-2</v>
      </c>
      <c r="I259" s="70">
        <v>1.4E-2</v>
      </c>
      <c r="J259" s="72">
        <v>1.7010309278350515</v>
      </c>
      <c r="K259" s="72">
        <v>19.399999999999999</v>
      </c>
      <c r="L259" s="72">
        <v>4.3362530413625304E-2</v>
      </c>
      <c r="M259" s="72">
        <v>4.3362530413625304E-2</v>
      </c>
      <c r="N259" s="72">
        <v>0.67883211678832112</v>
      </c>
      <c r="O259" s="72">
        <v>1.7116788321167881E-2</v>
      </c>
      <c r="P259" s="72">
        <v>5.1094890510948905E-2</v>
      </c>
      <c r="Q259" s="73" t="s">
        <v>3</v>
      </c>
      <c r="R259" s="101">
        <v>0</v>
      </c>
      <c r="S259" s="75">
        <f t="shared" si="809"/>
        <v>0.35281251172212791</v>
      </c>
      <c r="T259" s="59">
        <f t="shared" si="789"/>
        <v>0.56559774745089686</v>
      </c>
      <c r="U259" s="59">
        <f t="shared" si="790"/>
        <v>0.71530402866626608</v>
      </c>
      <c r="V259" s="59">
        <f t="shared" si="791"/>
        <v>1.0052607398480422</v>
      </c>
      <c r="W259" s="59">
        <f t="shared" si="792"/>
        <v>1.7773421912987999</v>
      </c>
      <c r="X259" s="59">
        <f t="shared" si="793"/>
        <v>1.4053614960374547</v>
      </c>
      <c r="Y259" s="100">
        <v>109700</v>
      </c>
      <c r="Z259" s="57">
        <f t="shared" si="794"/>
        <v>154168.15611530878</v>
      </c>
      <c r="AA259" s="57">
        <f t="shared" si="795"/>
        <v>194974.43838547834</v>
      </c>
      <c r="AB259" s="57">
        <f t="shared" si="713"/>
        <v>166976.34716044288</v>
      </c>
      <c r="AC259" s="57">
        <f t="shared" si="796"/>
        <v>0.21783505154639177</v>
      </c>
      <c r="AD259" s="57">
        <f t="shared" si="797"/>
        <v>1.7010309278350515</v>
      </c>
      <c r="AE259" s="57">
        <f t="shared" si="798"/>
        <v>101850</v>
      </c>
      <c r="AF259" s="57">
        <f t="shared" si="799"/>
        <v>62652.078238201226</v>
      </c>
      <c r="AG259" s="57">
        <f t="shared" si="708"/>
        <v>132322.3601472771</v>
      </c>
      <c r="AH259" s="57">
        <f t="shared" si="714"/>
        <v>176786481.02416128</v>
      </c>
      <c r="AI259" s="57">
        <f t="shared" si="715"/>
        <v>121266298.65722926</v>
      </c>
      <c r="AJ259" s="77">
        <v>101849.99999999999</v>
      </c>
      <c r="AK259" s="77">
        <v>41.1</v>
      </c>
      <c r="AL259" s="78">
        <f t="shared" si="800"/>
        <v>3.5461950716379524</v>
      </c>
      <c r="AM259" s="57">
        <f t="shared" si="801"/>
        <v>0.99184210526315786</v>
      </c>
      <c r="AN259" s="57">
        <f t="shared" si="802"/>
        <v>0.7918421052631579</v>
      </c>
      <c r="AO259" s="77">
        <v>970</v>
      </c>
      <c r="AP259" s="79">
        <v>100</v>
      </c>
      <c r="AQ259" s="57">
        <f t="shared" si="803"/>
        <v>52.649398258151692</v>
      </c>
      <c r="AR259" s="78">
        <f t="shared" si="726"/>
        <v>770</v>
      </c>
      <c r="AS259" s="57">
        <f t="shared" si="804"/>
        <v>917.35060174184832</v>
      </c>
      <c r="AT259" s="77">
        <v>50</v>
      </c>
      <c r="AU259" s="77">
        <v>1785</v>
      </c>
      <c r="AV259" s="78">
        <f t="shared" si="805"/>
        <v>48500</v>
      </c>
      <c r="AW259" s="77">
        <v>0</v>
      </c>
      <c r="AX259" s="77">
        <f t="shared" si="806"/>
        <v>48500</v>
      </c>
      <c r="AY259" s="77">
        <v>48500</v>
      </c>
      <c r="AZ259" s="77">
        <v>469</v>
      </c>
      <c r="BA259" s="77">
        <v>469</v>
      </c>
      <c r="BB259" s="77">
        <v>465</v>
      </c>
      <c r="BC259" s="77">
        <v>427</v>
      </c>
      <c r="BD259" s="77">
        <v>3.8E-3</v>
      </c>
      <c r="BE259" s="77">
        <v>3.8E-3</v>
      </c>
      <c r="BF259" s="77">
        <v>0.06</v>
      </c>
      <c r="BG259" s="77">
        <f>PI()*14*14/4*2/(AT259*100)</f>
        <v>6.1575216010359944E-2</v>
      </c>
      <c r="BH259" s="79">
        <v>59</v>
      </c>
      <c r="BI259" s="79">
        <f>PI()*3.8*3.8/4</f>
        <v>11.341149479459153</v>
      </c>
      <c r="BJ259" s="79">
        <v>2</v>
      </c>
      <c r="BK259" s="57">
        <f t="shared" si="709"/>
        <v>22.682298958918306</v>
      </c>
      <c r="BL259" s="57">
        <f t="shared" si="643"/>
        <v>146.30000000000001</v>
      </c>
      <c r="BM259" s="80">
        <f>PI()*8*8/4</f>
        <v>50.26548245743669</v>
      </c>
      <c r="BN259" s="80">
        <v>6</v>
      </c>
      <c r="BO259" s="57">
        <f t="shared" si="781"/>
        <v>301.59289474462014</v>
      </c>
      <c r="BP259" s="57">
        <f t="shared" si="807"/>
        <v>110277.10316133022</v>
      </c>
      <c r="BQ259" s="77">
        <f t="shared" si="808"/>
        <v>0</v>
      </c>
      <c r="BR259" s="57">
        <f t="shared" si="664"/>
        <v>196844629.14297444</v>
      </c>
      <c r="BS259" s="57">
        <v>105.29879651630338</v>
      </c>
      <c r="BT259" s="57">
        <f t="shared" si="810"/>
        <v>83.827823775788644</v>
      </c>
      <c r="BU259" s="57"/>
      <c r="BV259" s="57">
        <v>3.3E-3</v>
      </c>
      <c r="BW259" s="57">
        <v>30000</v>
      </c>
      <c r="BX259" s="57">
        <v>200000</v>
      </c>
      <c r="BY259" s="77">
        <f>13</f>
        <v>13</v>
      </c>
      <c r="BZ259" s="77">
        <f>BY259+74/2*1</f>
        <v>50</v>
      </c>
      <c r="CA259" s="77">
        <f>BY259+74/2*2</f>
        <v>87</v>
      </c>
      <c r="CB259" s="77">
        <f>CA259+44</f>
        <v>131</v>
      </c>
      <c r="CC259" s="77">
        <f>CB259+59*1</f>
        <v>190</v>
      </c>
      <c r="CD259" s="77">
        <f>CB259+59*2</f>
        <v>249</v>
      </c>
      <c r="CE259" s="77">
        <f>CB259+59*3</f>
        <v>308</v>
      </c>
      <c r="CF259" s="77">
        <f>CB259+59*4</f>
        <v>367</v>
      </c>
      <c r="CG259" s="77">
        <f>CB259+59*5</f>
        <v>426</v>
      </c>
      <c r="CH259" s="77">
        <f>CB259+59*6</f>
        <v>485</v>
      </c>
      <c r="CI259" s="77">
        <f>CB259+59*7</f>
        <v>544</v>
      </c>
      <c r="CJ259" s="77">
        <f>CB259+59*8</f>
        <v>603</v>
      </c>
      <c r="CK259" s="77">
        <f>CB259+59*9</f>
        <v>662</v>
      </c>
      <c r="CL259" s="77">
        <f>CB259+59*10</f>
        <v>721</v>
      </c>
      <c r="CM259" s="77">
        <f>CB259+59*11</f>
        <v>780</v>
      </c>
      <c r="CN259" s="77">
        <f>CB259+59*12</f>
        <v>839</v>
      </c>
      <c r="CO259" s="77">
        <f>CN259+44</f>
        <v>883</v>
      </c>
      <c r="CP259" s="77">
        <f>CO259+74/2*1</f>
        <v>920</v>
      </c>
      <c r="CQ259" s="77">
        <f>CO259+74/2*2</f>
        <v>957</v>
      </c>
      <c r="DM259" s="77">
        <f t="shared" si="811"/>
        <v>100.53096491487338</v>
      </c>
      <c r="DN259" s="77">
        <f t="shared" si="811"/>
        <v>100.53096491487338</v>
      </c>
      <c r="DO259" s="77">
        <f t="shared" si="811"/>
        <v>100.53096491487338</v>
      </c>
      <c r="DP259" s="77">
        <f t="shared" si="812"/>
        <v>11.341149479459153</v>
      </c>
      <c r="DQ259" s="77">
        <f t="shared" si="812"/>
        <v>11.341149479459153</v>
      </c>
      <c r="DR259" s="77">
        <f t="shared" si="812"/>
        <v>11.341149479459153</v>
      </c>
      <c r="DS259" s="77">
        <f t="shared" si="812"/>
        <v>11.341149479459153</v>
      </c>
      <c r="DT259" s="77">
        <f t="shared" si="812"/>
        <v>11.341149479459153</v>
      </c>
      <c r="DU259" s="77">
        <f t="shared" si="812"/>
        <v>11.341149479459153</v>
      </c>
      <c r="DV259" s="77">
        <f t="shared" si="812"/>
        <v>11.341149479459153</v>
      </c>
      <c r="DW259" s="77">
        <f t="shared" si="812"/>
        <v>11.341149479459153</v>
      </c>
      <c r="DX259" s="77">
        <f t="shared" si="812"/>
        <v>11.341149479459153</v>
      </c>
      <c r="DY259" s="77">
        <f t="shared" si="812"/>
        <v>11.341149479459153</v>
      </c>
      <c r="DZ259" s="77">
        <f t="shared" si="812"/>
        <v>11.341149479459153</v>
      </c>
      <c r="EA259" s="77">
        <f t="shared" si="812"/>
        <v>11.341149479459153</v>
      </c>
      <c r="EB259" s="77">
        <f t="shared" si="812"/>
        <v>11.341149479459153</v>
      </c>
      <c r="EC259" s="77">
        <f t="shared" si="813"/>
        <v>100.53096491487338</v>
      </c>
      <c r="ED259" s="77">
        <f t="shared" si="813"/>
        <v>100.53096491487338</v>
      </c>
      <c r="EE259" s="77">
        <f t="shared" si="813"/>
        <v>100.53096491487338</v>
      </c>
      <c r="FA259" s="77">
        <f t="shared" si="785"/>
        <v>-46746.898685416119</v>
      </c>
      <c r="FB259" s="77">
        <f t="shared" si="786"/>
        <v>-34844.646161040961</v>
      </c>
      <c r="FC259" s="77">
        <f>IF(ABS(-$BV259*($BS259-CA259)/$BS259*$BX259)&gt;$BB259,$BB259*SIGN(-($BS259-CA259)),-$BV259*($BS259-CA259)/$BS259*$BX259)*DO259</f>
        <v>-11530.361055787105</v>
      </c>
      <c r="FD259" s="77">
        <f t="shared" si="727"/>
        <v>1826.9685134265519</v>
      </c>
      <c r="FE259" s="77">
        <f t="shared" si="728"/>
        <v>5318.9991058663427</v>
      </c>
      <c r="FF259" s="77">
        <f t="shared" si="753"/>
        <v>5318.9991058663427</v>
      </c>
      <c r="FG259" s="77">
        <f t="shared" si="754"/>
        <v>5318.9991058663427</v>
      </c>
      <c r="FH259" s="77">
        <f t="shared" si="756"/>
        <v>5318.9991058663427</v>
      </c>
      <c r="FI259" s="77">
        <f t="shared" si="787"/>
        <v>5318.9991058663427</v>
      </c>
      <c r="FJ259" s="77">
        <f t="shared" si="787"/>
        <v>5318.9991058663427</v>
      </c>
      <c r="FK259" s="77">
        <f t="shared" si="787"/>
        <v>5318.9991058663427</v>
      </c>
      <c r="FL259" s="77">
        <f t="shared" si="787"/>
        <v>5318.9991058663427</v>
      </c>
      <c r="FM259" s="77">
        <f t="shared" si="787"/>
        <v>5318.9991058663427</v>
      </c>
      <c r="FN259" s="77">
        <f t="shared" si="787"/>
        <v>5318.9991058663427</v>
      </c>
      <c r="FO259" s="77">
        <f t="shared" si="787"/>
        <v>5318.9991058663427</v>
      </c>
      <c r="FP259" s="77">
        <f>IF(ABS(-$BV259*($BS259-CN259)/$BS259*$BX259)&gt;$BA259,$BA259*SIGN(-($BS259-CN259)),-$BV259*($BS259-CN259)/$BS259*$BX259)*EB259</f>
        <v>5318.9991058663427</v>
      </c>
      <c r="FQ259" s="77">
        <f t="shared" si="814"/>
        <v>46746.898685416119</v>
      </c>
      <c r="FR259" s="77">
        <f t="shared" si="814"/>
        <v>46746.898685416119</v>
      </c>
      <c r="FS259" s="77">
        <f t="shared" si="814"/>
        <v>46746.898685416119</v>
      </c>
      <c r="GO259" s="77">
        <f t="shared" si="696"/>
        <v>22064536.179516409</v>
      </c>
      <c r="GP259" s="77">
        <f t="shared" si="697"/>
        <v>15157421.080052817</v>
      </c>
      <c r="GQ259" s="77">
        <f t="shared" si="698"/>
        <v>4589083.7002032679</v>
      </c>
      <c r="GR259" s="77">
        <f t="shared" si="699"/>
        <v>-646746.85375299933</v>
      </c>
      <c r="GS259" s="77">
        <f t="shared" si="712"/>
        <v>-1569104.7362305711</v>
      </c>
      <c r="GT259" s="77">
        <f t="shared" si="724"/>
        <v>-1255283.7889844568</v>
      </c>
      <c r="GU259" s="77">
        <f t="shared" si="725"/>
        <v>-941462.84173834266</v>
      </c>
      <c r="GV259" s="77">
        <f t="shared" si="729"/>
        <v>-627641.8944922284</v>
      </c>
      <c r="GW259" s="77">
        <f t="shared" si="772"/>
        <v>-313820.9472461142</v>
      </c>
      <c r="GX259" s="77">
        <f t="shared" si="773"/>
        <v>0</v>
      </c>
      <c r="GY259" s="77">
        <f t="shared" si="774"/>
        <v>313820.9472461142</v>
      </c>
      <c r="GZ259" s="77">
        <f t="shared" si="775"/>
        <v>627641.8944922284</v>
      </c>
      <c r="HA259" s="77">
        <f t="shared" si="776"/>
        <v>941462.84173834266</v>
      </c>
      <c r="HB259" s="77">
        <f t="shared" si="777"/>
        <v>1255283.7889844568</v>
      </c>
      <c r="HC259" s="77">
        <f t="shared" si="778"/>
        <v>1569104.7362305711</v>
      </c>
      <c r="HD259" s="77">
        <f t="shared" si="779"/>
        <v>1882925.6834766853</v>
      </c>
      <c r="HE259" s="77">
        <f t="shared" si="780"/>
        <v>18605265.676795617</v>
      </c>
      <c r="HF259" s="77">
        <f t="shared" si="815"/>
        <v>20334900.928156011</v>
      </c>
      <c r="HG259" s="77">
        <f t="shared" si="815"/>
        <v>22064536.179516409</v>
      </c>
      <c r="IC259" s="82">
        <v>275</v>
      </c>
    </row>
    <row r="260" spans="1:237" s="77" customFormat="1">
      <c r="A260" s="77">
        <v>260</v>
      </c>
      <c r="B260" s="69">
        <v>384</v>
      </c>
      <c r="C260" s="69" t="s">
        <v>271</v>
      </c>
      <c r="D260" s="70" t="s">
        <v>281</v>
      </c>
      <c r="E260" s="70">
        <v>1</v>
      </c>
      <c r="F260" s="70">
        <v>5.8745328216319254E-2</v>
      </c>
      <c r="G260" s="70">
        <v>2.5714285999999999E-3</v>
      </c>
      <c r="H260" s="70">
        <v>7.2857412999999998E-3</v>
      </c>
      <c r="I260" s="70">
        <v>7.8571429000000009E-3</v>
      </c>
      <c r="J260" s="72">
        <v>1.7010309278350515</v>
      </c>
      <c r="K260" s="72">
        <v>19.399999999999999</v>
      </c>
      <c r="L260" s="72">
        <v>4.3362530413625304E-2</v>
      </c>
      <c r="M260" s="72">
        <v>4.3362530413625304E-2</v>
      </c>
      <c r="N260" s="72">
        <v>0.67883211678832112</v>
      </c>
      <c r="O260" s="72">
        <v>1.7116788321167881E-2</v>
      </c>
      <c r="P260" s="72">
        <v>0.10218978102189781</v>
      </c>
      <c r="Q260" s="73" t="s">
        <v>3</v>
      </c>
      <c r="R260" s="101">
        <v>0</v>
      </c>
      <c r="S260" s="75">
        <f t="shared" si="809"/>
        <v>0.37661207951377557</v>
      </c>
      <c r="T260" s="59">
        <f t="shared" si="789"/>
        <v>0.65790149098312456</v>
      </c>
      <c r="U260" s="59">
        <f t="shared" si="790"/>
        <v>0.85238492039870539</v>
      </c>
      <c r="V260" s="59">
        <f t="shared" si="791"/>
        <v>1.1222084669373413</v>
      </c>
      <c r="W260" s="59">
        <f t="shared" si="792"/>
        <v>1.7057393581224249</v>
      </c>
      <c r="X260" s="59">
        <f t="shared" si="793"/>
        <v>1.3165512904808607</v>
      </c>
      <c r="Y260" s="100">
        <v>117100</v>
      </c>
      <c r="Z260" s="57">
        <f t="shared" si="794"/>
        <v>154168.15611530878</v>
      </c>
      <c r="AA260" s="57">
        <f t="shared" si="795"/>
        <v>199742.07883613597</v>
      </c>
      <c r="AB260" s="57">
        <f t="shared" si="713"/>
        <v>162021.55110416125</v>
      </c>
      <c r="AC260" s="57">
        <f t="shared" si="796"/>
        <v>0.21783505154639177</v>
      </c>
      <c r="AD260" s="57">
        <f t="shared" si="797"/>
        <v>1.7010309278350515</v>
      </c>
      <c r="AE260" s="57">
        <f t="shared" si="798"/>
        <v>203700</v>
      </c>
      <c r="AF260" s="57">
        <f t="shared" si="799"/>
        <v>70053.883772627116</v>
      </c>
      <c r="AG260" s="57">
        <f t="shared" si="708"/>
        <v>129688.19506350886</v>
      </c>
      <c r="AH260" s="57">
        <f t="shared" si="714"/>
        <v>173064283.05756295</v>
      </c>
      <c r="AI260" s="57">
        <f t="shared" si="715"/>
        <v>116144185.66336492</v>
      </c>
      <c r="AJ260" s="77">
        <v>203699.99999999997</v>
      </c>
      <c r="AK260" s="77">
        <v>41.1</v>
      </c>
      <c r="AL260" s="78">
        <f t="shared" si="800"/>
        <v>3.5461950716379524</v>
      </c>
      <c r="AM260" s="57">
        <f t="shared" si="801"/>
        <v>0.99184210526315786</v>
      </c>
      <c r="AN260" s="57">
        <f t="shared" si="802"/>
        <v>0.7918421052631579</v>
      </c>
      <c r="AO260" s="77">
        <v>970</v>
      </c>
      <c r="AP260" s="79">
        <v>100</v>
      </c>
      <c r="AQ260" s="57">
        <f t="shared" si="803"/>
        <v>70.911262103329463</v>
      </c>
      <c r="AR260" s="78">
        <f t="shared" si="726"/>
        <v>770</v>
      </c>
      <c r="AS260" s="57">
        <f t="shared" si="804"/>
        <v>899.08873789667052</v>
      </c>
      <c r="AT260" s="77">
        <v>50</v>
      </c>
      <c r="AU260" s="77">
        <v>1785</v>
      </c>
      <c r="AV260" s="78">
        <f t="shared" si="805"/>
        <v>48500</v>
      </c>
      <c r="AW260" s="77">
        <v>0</v>
      </c>
      <c r="AX260" s="77">
        <f t="shared" si="806"/>
        <v>48500</v>
      </c>
      <c r="AY260" s="77">
        <v>48500</v>
      </c>
      <c r="AZ260" s="77">
        <v>469</v>
      </c>
      <c r="BA260" s="77">
        <v>469</v>
      </c>
      <c r="BB260" s="77">
        <v>465</v>
      </c>
      <c r="BC260" s="77">
        <v>427</v>
      </c>
      <c r="BD260" s="77">
        <v>3.8E-3</v>
      </c>
      <c r="BE260" s="77">
        <v>3.8E-3</v>
      </c>
      <c r="BF260" s="77">
        <v>0.06</v>
      </c>
      <c r="BG260" s="77">
        <f>PI()*14*14/4*2/(AT260*100)</f>
        <v>6.1575216010359944E-2</v>
      </c>
      <c r="BH260" s="79">
        <v>59</v>
      </c>
      <c r="BI260" s="79">
        <f>PI()*3.8*3.8/4</f>
        <v>11.341149479459153</v>
      </c>
      <c r="BJ260" s="79">
        <v>2</v>
      </c>
      <c r="BK260" s="57">
        <f t="shared" si="709"/>
        <v>22.682298958918306</v>
      </c>
      <c r="BL260" s="57">
        <f t="shared" si="643"/>
        <v>146.30000000000001</v>
      </c>
      <c r="BM260" s="80">
        <f>PI()*8*8/4</f>
        <v>50.26548245743669</v>
      </c>
      <c r="BN260" s="80">
        <v>6</v>
      </c>
      <c r="BO260" s="57">
        <f t="shared" si="781"/>
        <v>301.59289474462014</v>
      </c>
      <c r="BP260" s="57">
        <f t="shared" si="807"/>
        <v>131410.61147836267</v>
      </c>
      <c r="BQ260" s="77">
        <f t="shared" si="808"/>
        <v>6.9849193096160889E-10</v>
      </c>
      <c r="BR260" s="57">
        <f t="shared" si="664"/>
        <v>234567941.48887739</v>
      </c>
      <c r="BS260" s="57">
        <v>141.82252420665893</v>
      </c>
      <c r="BT260" s="57">
        <f t="shared" si="810"/>
        <v>160.91148906920486</v>
      </c>
      <c r="BU260" s="57"/>
      <c r="BV260" s="57">
        <v>3.3E-3</v>
      </c>
      <c r="BW260" s="57">
        <v>30000</v>
      </c>
      <c r="BX260" s="57">
        <v>200000</v>
      </c>
      <c r="BY260" s="77">
        <f>13</f>
        <v>13</v>
      </c>
      <c r="BZ260" s="77">
        <f>BY260+74/2*1</f>
        <v>50</v>
      </c>
      <c r="CA260" s="77">
        <f>BY260+74/2*2</f>
        <v>87</v>
      </c>
      <c r="CB260" s="77">
        <f>CA260+44</f>
        <v>131</v>
      </c>
      <c r="CC260" s="77">
        <f>CB260+59*1</f>
        <v>190</v>
      </c>
      <c r="CD260" s="77">
        <f>CB260+59*2</f>
        <v>249</v>
      </c>
      <c r="CE260" s="77">
        <f>CB260+59*3</f>
        <v>308</v>
      </c>
      <c r="CF260" s="77">
        <f>CB260+59*4</f>
        <v>367</v>
      </c>
      <c r="CG260" s="77">
        <f>CB260+59*5</f>
        <v>426</v>
      </c>
      <c r="CH260" s="77">
        <f>CB260+59*6</f>
        <v>485</v>
      </c>
      <c r="CI260" s="77">
        <f>CB260+59*7</f>
        <v>544</v>
      </c>
      <c r="CJ260" s="77">
        <f>CB260+59*8</f>
        <v>603</v>
      </c>
      <c r="CK260" s="77">
        <f>CB260+59*9</f>
        <v>662</v>
      </c>
      <c r="CL260" s="77">
        <f>CB260+59*10</f>
        <v>721</v>
      </c>
      <c r="CM260" s="77">
        <f>CB260+59*11</f>
        <v>780</v>
      </c>
      <c r="CN260" s="77">
        <f>CB260+59*12</f>
        <v>839</v>
      </c>
      <c r="CO260" s="77">
        <f>CN260+44</f>
        <v>883</v>
      </c>
      <c r="CP260" s="77">
        <f>CO260+74/2*1</f>
        <v>920</v>
      </c>
      <c r="CQ260" s="77">
        <f>CO260+74/2*2</f>
        <v>957</v>
      </c>
      <c r="DM260" s="77">
        <f t="shared" si="811"/>
        <v>100.53096491487338</v>
      </c>
      <c r="DN260" s="77">
        <f t="shared" si="811"/>
        <v>100.53096491487338</v>
      </c>
      <c r="DO260" s="77">
        <f t="shared" si="811"/>
        <v>100.53096491487338</v>
      </c>
      <c r="DP260" s="77">
        <f t="shared" si="812"/>
        <v>11.341149479459153</v>
      </c>
      <c r="DQ260" s="77">
        <f t="shared" si="812"/>
        <v>11.341149479459153</v>
      </c>
      <c r="DR260" s="77">
        <f t="shared" si="812"/>
        <v>11.341149479459153</v>
      </c>
      <c r="DS260" s="77">
        <f t="shared" si="812"/>
        <v>11.341149479459153</v>
      </c>
      <c r="DT260" s="77">
        <f t="shared" si="812"/>
        <v>11.341149479459153</v>
      </c>
      <c r="DU260" s="77">
        <f t="shared" si="812"/>
        <v>11.341149479459153</v>
      </c>
      <c r="DV260" s="77">
        <f t="shared" si="812"/>
        <v>11.341149479459153</v>
      </c>
      <c r="DW260" s="77">
        <f t="shared" si="812"/>
        <v>11.341149479459153</v>
      </c>
      <c r="DX260" s="77">
        <f t="shared" si="812"/>
        <v>11.341149479459153</v>
      </c>
      <c r="DY260" s="77">
        <f t="shared" si="812"/>
        <v>11.341149479459153</v>
      </c>
      <c r="DZ260" s="77">
        <f t="shared" si="812"/>
        <v>11.341149479459153</v>
      </c>
      <c r="EA260" s="77">
        <f t="shared" si="812"/>
        <v>11.341149479459153</v>
      </c>
      <c r="EB260" s="77">
        <f t="shared" si="812"/>
        <v>11.341149479459153</v>
      </c>
      <c r="EC260" s="77">
        <f t="shared" si="813"/>
        <v>100.53096491487338</v>
      </c>
      <c r="ED260" s="77">
        <f t="shared" si="813"/>
        <v>100.53096491487338</v>
      </c>
      <c r="EE260" s="77">
        <f t="shared" si="813"/>
        <v>100.53096491487338</v>
      </c>
      <c r="FA260" s="77">
        <f t="shared" si="785"/>
        <v>-46746.898685416119</v>
      </c>
      <c r="FB260" s="77">
        <f t="shared" si="786"/>
        <v>-42958.370874403539</v>
      </c>
      <c r="FC260" s="77">
        <f>IF(ABS(-$BV260*($BS260-CA260)/$BS260*$BX260)&gt;$BB260,$BB260*SIGN(-($BS260-CA260)),-$BV260*($BS260-CA260)/$BS260*$BX260)*DO260</f>
        <v>-25648.242057038009</v>
      </c>
      <c r="FD260" s="77">
        <f t="shared" si="727"/>
        <v>-571.19495794613613</v>
      </c>
      <c r="FE260" s="77">
        <f t="shared" si="728"/>
        <v>2542.7276238196455</v>
      </c>
      <c r="FF260" s="77">
        <f t="shared" si="753"/>
        <v>5318.9991058663427</v>
      </c>
      <c r="FG260" s="77">
        <f t="shared" si="754"/>
        <v>5318.9991058663427</v>
      </c>
      <c r="FH260" s="77">
        <f t="shared" si="756"/>
        <v>5318.9991058663427</v>
      </c>
      <c r="FI260" s="77">
        <f t="shared" si="787"/>
        <v>5318.9991058663427</v>
      </c>
      <c r="FJ260" s="77">
        <f t="shared" si="787"/>
        <v>5318.9991058663427</v>
      </c>
      <c r="FK260" s="77">
        <f t="shared" si="787"/>
        <v>5318.9991058663427</v>
      </c>
      <c r="FL260" s="77">
        <f t="shared" si="787"/>
        <v>5318.9991058663427</v>
      </c>
      <c r="FM260" s="77">
        <f t="shared" si="787"/>
        <v>5318.9991058663427</v>
      </c>
      <c r="FN260" s="77">
        <f t="shared" si="787"/>
        <v>5318.9991058663427</v>
      </c>
      <c r="FO260" s="77">
        <f t="shared" si="787"/>
        <v>5318.9991058663427</v>
      </c>
      <c r="FP260" s="77">
        <f>IF(ABS(-$BV260*($BS260-CN260)/$BS260*$BX260)&gt;$BA260,$BA260*SIGN(-($BS260-CN260)),-$BV260*($BS260-CN260)/$BS260*$BX260)*EB260</f>
        <v>5318.9991058663427</v>
      </c>
      <c r="FQ260" s="77">
        <f t="shared" si="814"/>
        <v>46746.898685416119</v>
      </c>
      <c r="FR260" s="77">
        <f t="shared" si="814"/>
        <v>46746.898685416119</v>
      </c>
      <c r="FS260" s="77">
        <f t="shared" si="814"/>
        <v>46746.898685416119</v>
      </c>
      <c r="GO260" s="77">
        <f t="shared" si="696"/>
        <v>22064536.179516409</v>
      </c>
      <c r="GP260" s="77">
        <f t="shared" si="697"/>
        <v>18686891.330365539</v>
      </c>
      <c r="GQ260" s="77">
        <f t="shared" si="698"/>
        <v>10208000.338701127</v>
      </c>
      <c r="GR260" s="77">
        <f t="shared" si="699"/>
        <v>202203.01511293219</v>
      </c>
      <c r="GS260" s="77">
        <f t="shared" si="712"/>
        <v>-750104.64902679541</v>
      </c>
      <c r="GT260" s="77">
        <f t="shared" si="724"/>
        <v>-1255283.7889844568</v>
      </c>
      <c r="GU260" s="77">
        <f t="shared" si="725"/>
        <v>-941462.84173834266</v>
      </c>
      <c r="GV260" s="77">
        <f t="shared" si="729"/>
        <v>-627641.8944922284</v>
      </c>
      <c r="GW260" s="77">
        <f t="shared" si="772"/>
        <v>-313820.9472461142</v>
      </c>
      <c r="GX260" s="77">
        <f t="shared" si="773"/>
        <v>0</v>
      </c>
      <c r="GY260" s="77">
        <f t="shared" si="774"/>
        <v>313820.9472461142</v>
      </c>
      <c r="GZ260" s="77">
        <f t="shared" si="775"/>
        <v>627641.8944922284</v>
      </c>
      <c r="HA260" s="77">
        <f t="shared" si="776"/>
        <v>941462.84173834266</v>
      </c>
      <c r="HB260" s="77">
        <f t="shared" si="777"/>
        <v>1255283.7889844568</v>
      </c>
      <c r="HC260" s="77">
        <f t="shared" si="778"/>
        <v>1569104.7362305711</v>
      </c>
      <c r="HD260" s="77">
        <f t="shared" si="779"/>
        <v>1882925.6834766853</v>
      </c>
      <c r="HE260" s="77">
        <f t="shared" si="780"/>
        <v>18605265.676795617</v>
      </c>
      <c r="HF260" s="77">
        <f t="shared" si="815"/>
        <v>20334900.928156011</v>
      </c>
      <c r="HG260" s="77">
        <f t="shared" si="815"/>
        <v>22064536.179516409</v>
      </c>
      <c r="IC260" s="82">
        <v>276</v>
      </c>
    </row>
    <row r="261" spans="1:237" s="77" customFormat="1">
      <c r="A261" s="77">
        <v>261</v>
      </c>
      <c r="B261" s="69">
        <v>390</v>
      </c>
      <c r="C261" s="69" t="s">
        <v>282</v>
      </c>
      <c r="D261" s="70" t="s">
        <v>283</v>
      </c>
      <c r="E261" s="70">
        <v>3</v>
      </c>
      <c r="F261" s="70">
        <f t="shared" ref="F261:F292" si="816">Y261/AY261/AK261</f>
        <v>8.6089577950043059E-2</v>
      </c>
      <c r="G261" s="70"/>
      <c r="H261" s="70">
        <v>1.193E-2</v>
      </c>
      <c r="I261" s="118">
        <f>(11.99+11.93)/2/AU261</f>
        <v>1.0872727272727273E-2</v>
      </c>
      <c r="J261" s="72">
        <v>1.1000000000000001</v>
      </c>
      <c r="K261" s="72">
        <v>13.333333333333334</v>
      </c>
      <c r="L261" s="72">
        <v>3.1162790697674421E-2</v>
      </c>
      <c r="M261" s="72">
        <v>3.1162790697674421E-2</v>
      </c>
      <c r="N261" s="72">
        <v>0.40000581395348839</v>
      </c>
      <c r="O261" s="72">
        <v>6.2325581395348837E-3</v>
      </c>
      <c r="P261" s="72">
        <v>0.10335917312661498</v>
      </c>
      <c r="Q261" s="73" t="s">
        <v>243</v>
      </c>
      <c r="R261" s="101">
        <v>0.27777777777777779</v>
      </c>
      <c r="S261" s="75">
        <f t="shared" si="809"/>
        <v>0.79836190234693849</v>
      </c>
      <c r="T261" s="59">
        <f t="shared" si="789"/>
        <v>4.7054571995311294</v>
      </c>
      <c r="U261" s="59">
        <f t="shared" si="790"/>
        <v>4.0479944850573624</v>
      </c>
      <c r="V261" s="59">
        <f t="shared" si="791"/>
        <v>1.5182727127208759</v>
      </c>
      <c r="W261" s="59">
        <f t="shared" si="792"/>
        <v>0.32266210239297527</v>
      </c>
      <c r="X261" s="59">
        <f t="shared" si="793"/>
        <v>0.37506788073090991</v>
      </c>
      <c r="Y261" s="100">
        <f>(1007+992)/2*1000</f>
        <v>999500</v>
      </c>
      <c r="Z261" s="57">
        <f t="shared" si="794"/>
        <v>374880.34679054446</v>
      </c>
      <c r="AA261" s="57">
        <f t="shared" si="795"/>
        <v>322500.7713417788</v>
      </c>
      <c r="AB261" s="57">
        <f t="shared" si="713"/>
        <v>1357651.047685626</v>
      </c>
      <c r="AC261" s="57">
        <f t="shared" si="796"/>
        <v>0.25</v>
      </c>
      <c r="AD261" s="57">
        <f t="shared" si="797"/>
        <v>1.5</v>
      </c>
      <c r="AE261" s="57">
        <f t="shared" si="798"/>
        <v>1200000</v>
      </c>
      <c r="AF261" s="57">
        <f t="shared" si="799"/>
        <v>194309.05117706017</v>
      </c>
      <c r="AG261" s="57">
        <f t="shared" si="708"/>
        <v>128191.72016471862</v>
      </c>
      <c r="AH261" s="57">
        <f t="shared" si="714"/>
        <v>504972202.03742456</v>
      </c>
      <c r="AI261" s="57">
        <f t="shared" si="715"/>
        <v>988443950.41676402</v>
      </c>
      <c r="AJ261" s="77">
        <v>1200000</v>
      </c>
      <c r="AK261" s="77">
        <v>86</v>
      </c>
      <c r="AL261" s="78">
        <f t="shared" si="800"/>
        <v>5.3225992453720625</v>
      </c>
      <c r="AM261" s="57">
        <f t="shared" si="801"/>
        <v>0.94</v>
      </c>
      <c r="AN261" s="57">
        <f t="shared" si="802"/>
        <v>0.74</v>
      </c>
      <c r="AO261" s="77">
        <v>1000</v>
      </c>
      <c r="AP261" s="79">
        <v>100</v>
      </c>
      <c r="AQ261" s="57">
        <f t="shared" si="803"/>
        <v>117.12485232158228</v>
      </c>
      <c r="AR261" s="57">
        <f t="shared" si="726"/>
        <v>800</v>
      </c>
      <c r="AS261" s="57">
        <f t="shared" si="804"/>
        <v>882.87514767841776</v>
      </c>
      <c r="AT261" s="77">
        <v>75</v>
      </c>
      <c r="AU261" s="77">
        <f t="shared" ref="AU261:AU266" si="817">1000+100</f>
        <v>1100</v>
      </c>
      <c r="AV261" s="78">
        <f t="shared" si="805"/>
        <v>60000</v>
      </c>
      <c r="AW261" s="77">
        <f t="shared" ref="AW261:AW266" si="818">2*100*375</f>
        <v>75000</v>
      </c>
      <c r="AX261" s="77">
        <f t="shared" si="806"/>
        <v>75000</v>
      </c>
      <c r="AY261" s="77">
        <f t="shared" ref="AY261:AY266" si="819">800*75+AW261</f>
        <v>135000</v>
      </c>
      <c r="AZ261" s="77">
        <f t="shared" ref="AZ261:AZ307" si="820">BA261</f>
        <v>536</v>
      </c>
      <c r="BA261" s="77">
        <v>536</v>
      </c>
      <c r="BB261" s="77">
        <v>535</v>
      </c>
      <c r="BC261" s="77">
        <v>500</v>
      </c>
      <c r="BD261" s="77">
        <v>5.0000000000000001E-3</v>
      </c>
      <c r="BE261" s="77">
        <v>5.0000000000000001E-3</v>
      </c>
      <c r="BF261" s="77">
        <f t="shared" ref="BF261:BF266" si="821">BO261/(100*375)</f>
        <v>6.4339817545518957E-2</v>
      </c>
      <c r="BG261" s="77">
        <f t="shared" ref="BG261:BG266" si="822">PI()*4*4/4*2/(375*100)</f>
        <v>6.7020643276582254E-4</v>
      </c>
      <c r="BH261" s="79">
        <v>167</v>
      </c>
      <c r="BI261" s="79">
        <f>PI()*6*6/4</f>
        <v>28.274333882308138</v>
      </c>
      <c r="BJ261" s="79">
        <v>2</v>
      </c>
      <c r="BK261" s="57">
        <f t="shared" si="709"/>
        <v>56.548667764616276</v>
      </c>
      <c r="BL261" s="57">
        <f t="shared" si="643"/>
        <v>300</v>
      </c>
      <c r="BM261" s="80">
        <f t="shared" ref="BM261:BM266" si="823">PI()*16*16/4</f>
        <v>201.06192982974676</v>
      </c>
      <c r="BN261" s="80">
        <v>12</v>
      </c>
      <c r="BO261" s="57">
        <f t="shared" si="781"/>
        <v>2412.7431579569611</v>
      </c>
      <c r="BP261" s="57">
        <f t="shared" si="807"/>
        <v>1517513.5763645156</v>
      </c>
      <c r="BQ261" s="77">
        <f t="shared" si="808"/>
        <v>5.5879354476928711E-9</v>
      </c>
      <c r="BR261" s="57">
        <f t="shared" si="664"/>
        <v>1669264934.000967</v>
      </c>
      <c r="BS261" s="57">
        <v>234.24970464316456</v>
      </c>
      <c r="BT261" s="57">
        <f t="shared" si="810"/>
        <v>544.41479222264581</v>
      </c>
      <c r="BU261" s="57"/>
      <c r="BV261" s="57">
        <v>3.3E-3</v>
      </c>
      <c r="BW261" s="57">
        <v>30000</v>
      </c>
      <c r="BX261" s="57">
        <v>200000</v>
      </c>
      <c r="BY261" s="77">
        <f>20</f>
        <v>20</v>
      </c>
      <c r="BZ261" s="77">
        <f t="shared" ref="BZ261:BZ266" si="824">BY261+60</f>
        <v>80</v>
      </c>
      <c r="CA261" s="77">
        <f>100+160/2</f>
        <v>180</v>
      </c>
      <c r="CB261" s="77">
        <f>CA261+160*1</f>
        <v>340</v>
      </c>
      <c r="CC261" s="77">
        <f>CA261+160*2</f>
        <v>500</v>
      </c>
      <c r="CD261" s="77">
        <f>CA261+160*3</f>
        <v>660</v>
      </c>
      <c r="CE261" s="77">
        <f>CA261+160*4</f>
        <v>820</v>
      </c>
      <c r="CF261" s="77">
        <f>CE261+160/2+20</f>
        <v>920</v>
      </c>
      <c r="CG261" s="77">
        <f>CF261+60</f>
        <v>980</v>
      </c>
      <c r="DM261" s="77">
        <f t="shared" ref="DM261:DN266" si="825">PI()*16*16/4*6</f>
        <v>1206.3715789784806</v>
      </c>
      <c r="DN261" s="77">
        <f t="shared" si="825"/>
        <v>1206.3715789784806</v>
      </c>
      <c r="DO261" s="77">
        <f>PI()*6*6/4*2</f>
        <v>56.548667764616276</v>
      </c>
      <c r="DP261" s="77">
        <f>PI()*6*6/4*2</f>
        <v>56.548667764616276</v>
      </c>
      <c r="DQ261" s="77">
        <f>PI()*6*6/4*2</f>
        <v>56.548667764616276</v>
      </c>
      <c r="DR261" s="77">
        <f>PI()*6*6/4*2</f>
        <v>56.548667764616276</v>
      </c>
      <c r="DS261" s="77">
        <f>PI()*6*6/4*2</f>
        <v>56.548667764616276</v>
      </c>
      <c r="DT261" s="77">
        <f>PI()*16*16/4*6</f>
        <v>1206.3715789784806</v>
      </c>
      <c r="DU261" s="77">
        <f>PI()*16*16/4*6</f>
        <v>1206.3715789784806</v>
      </c>
      <c r="FA261" s="77">
        <f t="shared" si="785"/>
        <v>-645408.79475348711</v>
      </c>
      <c r="FB261" s="77">
        <f t="shared" si="786"/>
        <v>-524288.48787804553</v>
      </c>
      <c r="FC261" s="77">
        <f t="shared" ref="FC261:FC276" si="826">IF(ABS(-$BV261*($BS261-CA261)/$BS261*$BX261)&gt;$BA261,$BA261*SIGN(-($BS261-CA261)),-$BV261*($BS261-CA261)/$BS261*$BX261)*DO261</f>
        <v>-8643.40055007919</v>
      </c>
      <c r="FD261" s="77">
        <f t="shared" si="727"/>
        <v>16848.795160647518</v>
      </c>
      <c r="FE261" s="77">
        <f t="shared" si="728"/>
        <v>30310.085921834325</v>
      </c>
      <c r="FF261" s="77">
        <f t="shared" si="753"/>
        <v>30310.085921834325</v>
      </c>
      <c r="FG261" s="77">
        <f t="shared" si="754"/>
        <v>30310.085921834325</v>
      </c>
      <c r="FH261" s="77">
        <f>IF(ABS(-$BV261*($BS261-CF261)/$BS261*$BX261)&gt;$BB261,$BB261*SIGN(-($BS261-CF261)),-$BV261*($BS261-CF261)/$BS261*$BX261)*DT261</f>
        <v>645408.79475348711</v>
      </c>
      <c r="FI261" s="77">
        <f>IF(ABS(-$BV261*($BS261-CG261)/$BS261*$BX261)&gt;$BB261,$BB261*SIGN(-($BS261-CG261)),-$BV261*($BS261-CG261)/$BS261*$BX261)*DU261</f>
        <v>645408.79475348711</v>
      </c>
      <c r="GO261" s="77">
        <f t="shared" si="696"/>
        <v>309796221.48167384</v>
      </c>
      <c r="GP261" s="77">
        <f t="shared" si="697"/>
        <v>220201164.90877911</v>
      </c>
      <c r="GQ261" s="77">
        <f t="shared" si="698"/>
        <v>2765888.1760253408</v>
      </c>
      <c r="GR261" s="77">
        <f t="shared" si="699"/>
        <v>-2695807.2257036027</v>
      </c>
      <c r="GS261" s="77">
        <f t="shared" si="712"/>
        <v>0</v>
      </c>
      <c r="GT261" s="77">
        <f t="shared" si="724"/>
        <v>4849613.7474934924</v>
      </c>
      <c r="GU261" s="77">
        <f t="shared" si="725"/>
        <v>9699227.4949869849</v>
      </c>
      <c r="GV261" s="77">
        <f t="shared" si="729"/>
        <v>271071693.79646456</v>
      </c>
      <c r="GW261" s="77">
        <f t="shared" ref="GW261:GW266" si="827">FI261*(CG261-0.5*$AO261)</f>
        <v>309796221.48167384</v>
      </c>
      <c r="IC261" s="82">
        <v>277</v>
      </c>
    </row>
    <row r="262" spans="1:237" s="77" customFormat="1">
      <c r="A262" s="77">
        <v>262</v>
      </c>
      <c r="B262" s="69">
        <v>391</v>
      </c>
      <c r="C262" s="69" t="s">
        <v>282</v>
      </c>
      <c r="D262" s="70" t="s">
        <v>284</v>
      </c>
      <c r="E262" s="70">
        <v>3</v>
      </c>
      <c r="F262" s="70">
        <f t="shared" si="816"/>
        <v>0.10258397932816538</v>
      </c>
      <c r="G262" s="70"/>
      <c r="H262" s="70">
        <v>1.252E-2</v>
      </c>
      <c r="I262" s="118">
        <f>(17.53+12.52)/2/AU262</f>
        <v>1.3659090909090909E-2</v>
      </c>
      <c r="J262" s="72">
        <v>1.1000000000000001</v>
      </c>
      <c r="K262" s="72">
        <v>13.333333333333334</v>
      </c>
      <c r="L262" s="72">
        <v>7.527906976744185E-2</v>
      </c>
      <c r="M262" s="72">
        <v>7.527906976744185E-2</v>
      </c>
      <c r="N262" s="72">
        <v>0.40000581395348839</v>
      </c>
      <c r="O262" s="72">
        <v>1.2739534883720932E-2</v>
      </c>
      <c r="P262" s="72">
        <v>0.11240310077519379</v>
      </c>
      <c r="Q262" s="73" t="s">
        <v>243</v>
      </c>
      <c r="R262" s="101">
        <v>0.27777777777777779</v>
      </c>
      <c r="S262" s="75">
        <f t="shared" si="809"/>
        <v>0.95132468803922343</v>
      </c>
      <c r="T262" s="59">
        <f t="shared" si="789"/>
        <v>2.8922793083935576</v>
      </c>
      <c r="U262" s="59">
        <f t="shared" si="790"/>
        <v>2.3982448897566924</v>
      </c>
      <c r="V262" s="59">
        <f t="shared" si="791"/>
        <v>1.3278551295893422</v>
      </c>
      <c r="W262" s="59">
        <f t="shared" si="792"/>
        <v>0.4591033534471694</v>
      </c>
      <c r="X262" s="59">
        <f t="shared" si="793"/>
        <v>0.55367787303991967</v>
      </c>
      <c r="Y262" s="100">
        <f>(1192+1190)/2*1000</f>
        <v>1191000</v>
      </c>
      <c r="Z262" s="57">
        <f t="shared" si="794"/>
        <v>659430.34679054434</v>
      </c>
      <c r="AA262" s="57">
        <f t="shared" si="795"/>
        <v>546792.09395557875</v>
      </c>
      <c r="AB262" s="57">
        <f t="shared" si="713"/>
        <v>1327703.6707712531</v>
      </c>
      <c r="AC262" s="57">
        <f t="shared" si="796"/>
        <v>0.25</v>
      </c>
      <c r="AD262" s="57">
        <f t="shared" si="797"/>
        <v>1.5</v>
      </c>
      <c r="AE262" s="57">
        <f t="shared" si="798"/>
        <v>1305000</v>
      </c>
      <c r="AF262" s="57">
        <f t="shared" si="799"/>
        <v>197325.70617947387</v>
      </c>
      <c r="AG262" s="57">
        <f t="shared" si="708"/>
        <v>349466.38777610485</v>
      </c>
      <c r="AH262" s="57">
        <f t="shared" si="714"/>
        <v>498707079.64190573</v>
      </c>
      <c r="AI262" s="57">
        <f t="shared" si="715"/>
        <v>961766958.20647264</v>
      </c>
      <c r="AJ262" s="77">
        <v>1200000</v>
      </c>
      <c r="AK262" s="77">
        <v>86</v>
      </c>
      <c r="AL262" s="78">
        <f t="shared" si="800"/>
        <v>5.3225992453720625</v>
      </c>
      <c r="AM262" s="57">
        <f t="shared" si="801"/>
        <v>0.94</v>
      </c>
      <c r="AN262" s="57">
        <f t="shared" si="802"/>
        <v>0.74</v>
      </c>
      <c r="AO262" s="77">
        <v>1000</v>
      </c>
      <c r="AP262" s="79">
        <v>100</v>
      </c>
      <c r="AQ262" s="57">
        <f t="shared" si="803"/>
        <v>127.45822259293114</v>
      </c>
      <c r="AR262" s="57">
        <f t="shared" si="726"/>
        <v>800</v>
      </c>
      <c r="AS262" s="57">
        <f t="shared" si="804"/>
        <v>872.54177740706882</v>
      </c>
      <c r="AT262" s="77">
        <v>75</v>
      </c>
      <c r="AU262" s="77">
        <f t="shared" si="817"/>
        <v>1100</v>
      </c>
      <c r="AV262" s="78">
        <f t="shared" si="805"/>
        <v>60000</v>
      </c>
      <c r="AW262" s="77">
        <f t="shared" si="818"/>
        <v>75000</v>
      </c>
      <c r="AX262" s="77">
        <f t="shared" si="806"/>
        <v>75000</v>
      </c>
      <c r="AY262" s="77">
        <f t="shared" si="819"/>
        <v>135000</v>
      </c>
      <c r="AZ262" s="77">
        <f t="shared" si="820"/>
        <v>498</v>
      </c>
      <c r="BA262" s="77">
        <v>498</v>
      </c>
      <c r="BB262" s="77">
        <v>535</v>
      </c>
      <c r="BC262" s="77">
        <v>500</v>
      </c>
      <c r="BD262" s="77">
        <v>1.2999999999999999E-2</v>
      </c>
      <c r="BE262" s="77">
        <v>1.2999999999999999E-2</v>
      </c>
      <c r="BF262" s="77">
        <f t="shared" si="821"/>
        <v>6.4339817545518957E-2</v>
      </c>
      <c r="BG262" s="77">
        <f t="shared" si="822"/>
        <v>6.7020643276582254E-4</v>
      </c>
      <c r="BH262" s="79">
        <v>100</v>
      </c>
      <c r="BI262" s="79">
        <f>PI()*8*8/4</f>
        <v>50.26548245743669</v>
      </c>
      <c r="BJ262" s="79">
        <v>2</v>
      </c>
      <c r="BK262" s="57">
        <f t="shared" si="709"/>
        <v>100.53096491487338</v>
      </c>
      <c r="BL262" s="57">
        <f t="shared" si="643"/>
        <v>780</v>
      </c>
      <c r="BM262" s="80">
        <f t="shared" si="823"/>
        <v>201.06192982974676</v>
      </c>
      <c r="BN262" s="80">
        <v>12</v>
      </c>
      <c r="BO262" s="57">
        <f t="shared" si="781"/>
        <v>2412.7431579569611</v>
      </c>
      <c r="BP262" s="57">
        <f t="shared" si="807"/>
        <v>1581475.4593409065</v>
      </c>
      <c r="BQ262" s="77">
        <f t="shared" si="808"/>
        <v>-7.6834112405776978E-9</v>
      </c>
      <c r="BR262" s="57">
        <f t="shared" si="664"/>
        <v>1739623005.2749972</v>
      </c>
      <c r="BS262" s="57">
        <v>254.91644518586227</v>
      </c>
      <c r="BT262" s="57">
        <f t="shared" si="810"/>
        <v>647.92895427328381</v>
      </c>
      <c r="BU262" s="57"/>
      <c r="BV262" s="57">
        <v>3.3E-3</v>
      </c>
      <c r="BW262" s="57">
        <v>30000</v>
      </c>
      <c r="BX262" s="57">
        <v>200000</v>
      </c>
      <c r="BY262" s="77">
        <f>20</f>
        <v>20</v>
      </c>
      <c r="BZ262" s="77">
        <f t="shared" si="824"/>
        <v>80</v>
      </c>
      <c r="CA262" s="77">
        <f>100+100/2</f>
        <v>150</v>
      </c>
      <c r="CB262" s="77">
        <f>CA262+100*1</f>
        <v>250</v>
      </c>
      <c r="CC262" s="77">
        <f>CA262+100*2</f>
        <v>350</v>
      </c>
      <c r="CD262" s="77">
        <f>CA262+100*3</f>
        <v>450</v>
      </c>
      <c r="CE262" s="77">
        <f>CA262+100*4</f>
        <v>550</v>
      </c>
      <c r="CF262" s="77">
        <f>CA262+100*5</f>
        <v>650</v>
      </c>
      <c r="CG262" s="77">
        <f>CA262+100*6</f>
        <v>750</v>
      </c>
      <c r="CH262" s="77">
        <f>CA262+100*7</f>
        <v>850</v>
      </c>
      <c r="CI262" s="77">
        <f>CH262+100/2+20</f>
        <v>920</v>
      </c>
      <c r="CJ262" s="77">
        <f>CI262+60</f>
        <v>980</v>
      </c>
      <c r="DM262" s="77">
        <f t="shared" si="825"/>
        <v>1206.3715789784806</v>
      </c>
      <c r="DN262" s="77">
        <f t="shared" si="825"/>
        <v>1206.3715789784806</v>
      </c>
      <c r="DO262" s="77">
        <f t="shared" ref="DO262:DV262" si="828">PI()*8*8/4*2</f>
        <v>100.53096491487338</v>
      </c>
      <c r="DP262" s="77">
        <f t="shared" si="828"/>
        <v>100.53096491487338</v>
      </c>
      <c r="DQ262" s="77">
        <f t="shared" si="828"/>
        <v>100.53096491487338</v>
      </c>
      <c r="DR262" s="77">
        <f t="shared" si="828"/>
        <v>100.53096491487338</v>
      </c>
      <c r="DS262" s="77">
        <f t="shared" si="828"/>
        <v>100.53096491487338</v>
      </c>
      <c r="DT262" s="77">
        <f t="shared" si="828"/>
        <v>100.53096491487338</v>
      </c>
      <c r="DU262" s="77">
        <f t="shared" si="828"/>
        <v>100.53096491487338</v>
      </c>
      <c r="DV262" s="77">
        <f t="shared" si="828"/>
        <v>100.53096491487338</v>
      </c>
      <c r="DW262" s="77">
        <f>PI()*16*16/4*6</f>
        <v>1206.3715789784806</v>
      </c>
      <c r="DX262" s="77">
        <f>PI()*16*16/4*6</f>
        <v>1206.3715789784806</v>
      </c>
      <c r="FA262" s="77">
        <f t="shared" si="785"/>
        <v>-645408.79475348711</v>
      </c>
      <c r="FB262" s="77">
        <f t="shared" si="786"/>
        <v>-546333.48778047797</v>
      </c>
      <c r="FC262" s="77">
        <f t="shared" si="826"/>
        <v>-27307.975227360326</v>
      </c>
      <c r="FD262" s="77">
        <f t="shared" si="727"/>
        <v>-1279.6674830562547</v>
      </c>
      <c r="FE262" s="77">
        <f t="shared" si="728"/>
        <v>24748.64026124782</v>
      </c>
      <c r="FF262" s="77">
        <f t="shared" si="753"/>
        <v>50064.420527606941</v>
      </c>
      <c r="FG262" s="77">
        <f t="shared" si="754"/>
        <v>50064.420527606941</v>
      </c>
      <c r="FH262" s="77">
        <f>IF(ABS(-$BV262*($BS262-CF262)/$BS262*$BX262)&gt;$BA262,$BA262*SIGN(-($BS262-CF262)),-$BV262*($BS262-CF262)/$BS262*$BX262)*DT262</f>
        <v>50064.420527606941</v>
      </c>
      <c r="FI262" s="77">
        <f>IF(ABS(-$BV262*($BS262-CG262)/$BS262*$BX262)&gt;$BA262,$BA262*SIGN(-($BS262-CG262)),-$BV262*($BS262-CG262)/$BS262*$BX262)*DU262</f>
        <v>50064.420527606941</v>
      </c>
      <c r="FJ262" s="77">
        <f>IF(ABS(-$BV262*($BS262-CH262)/$BS262*$BX262)&gt;$BA262,$BA262*SIGN(-($BS262-CH262)),-$BV262*($BS262-CH262)/$BS262*$BX262)*DV262</f>
        <v>50064.420527606941</v>
      </c>
      <c r="FK262" s="77">
        <f>IF(ABS(-$BV262*($BS262-CI262)/$BS262*$BX262)&gt;$BB262,$BB262*SIGN(-($BS262-CI262)),-$BV262*($BS262-CI262)/$BS262*$BX262)*DW262</f>
        <v>645408.79475348711</v>
      </c>
      <c r="FL262" s="77">
        <f>IF(ABS(-$BV262*($BS262-CJ262)/$BS262*$BX262)&gt;$BB262,$BB262*SIGN(-($BS262-CJ262)),-$BV262*($BS262-CJ262)/$BS262*$BX262)*DX262</f>
        <v>645408.79475348711</v>
      </c>
      <c r="GO262" s="77">
        <f t="shared" si="696"/>
        <v>309796221.48167384</v>
      </c>
      <c r="GP262" s="77">
        <f t="shared" si="697"/>
        <v>229460064.86780074</v>
      </c>
      <c r="GQ262" s="77">
        <f t="shared" si="698"/>
        <v>9557791.3295761142</v>
      </c>
      <c r="GR262" s="77">
        <f t="shared" si="699"/>
        <v>319916.87076406367</v>
      </c>
      <c r="GS262" s="77">
        <f t="shared" si="712"/>
        <v>-3712296.0391871729</v>
      </c>
      <c r="GT262" s="77">
        <f t="shared" si="724"/>
        <v>-2503221.0263803471</v>
      </c>
      <c r="GU262" s="77">
        <f t="shared" si="725"/>
        <v>2503221.0263803471</v>
      </c>
      <c r="GV262" s="77">
        <f t="shared" si="729"/>
        <v>7509663.0791410413</v>
      </c>
      <c r="GW262" s="77">
        <f t="shared" si="827"/>
        <v>12516105.131901735</v>
      </c>
      <c r="GX262" s="77">
        <f>FJ262*(CH262-0.5*$AO262)</f>
        <v>17522547.184662428</v>
      </c>
      <c r="GY262" s="77">
        <f>FK262*(CI262-0.5*$AO262)</f>
        <v>271071693.79646456</v>
      </c>
      <c r="GZ262" s="77">
        <f>FL262*(CJ262-0.5*$AO262)</f>
        <v>309796221.48167384</v>
      </c>
      <c r="IC262" s="82">
        <v>278</v>
      </c>
    </row>
    <row r="263" spans="1:237" s="77" customFormat="1">
      <c r="A263" s="77">
        <v>263</v>
      </c>
      <c r="B263" s="69">
        <v>392</v>
      </c>
      <c r="C263" s="69" t="s">
        <v>282</v>
      </c>
      <c r="D263" s="70" t="s">
        <v>285</v>
      </c>
      <c r="E263" s="70">
        <v>3</v>
      </c>
      <c r="F263" s="70">
        <f t="shared" si="816"/>
        <v>8.476080246913581E-2</v>
      </c>
      <c r="G263" s="70"/>
      <c r="H263" s="70">
        <v>1.231E-2</v>
      </c>
      <c r="I263" s="118">
        <f>(12.12+12.31)/2/AU263</f>
        <v>1.1104545454545454E-2</v>
      </c>
      <c r="J263" s="72">
        <v>1.1000000000000001</v>
      </c>
      <c r="K263" s="72">
        <v>13.333333333333334</v>
      </c>
      <c r="L263" s="72">
        <v>4.1500000000000002E-2</v>
      </c>
      <c r="M263" s="72">
        <v>4.4666666666666667E-2</v>
      </c>
      <c r="N263" s="72">
        <v>0.35833854166666668</v>
      </c>
      <c r="O263" s="72">
        <v>7.8166666666666662E-3</v>
      </c>
      <c r="P263" s="72">
        <v>9.2592592592592587E-2</v>
      </c>
      <c r="Q263" s="73" t="s">
        <v>243</v>
      </c>
      <c r="R263" s="101">
        <v>0.27777777777777779</v>
      </c>
      <c r="S263" s="75">
        <f t="shared" si="809"/>
        <v>0.83048286495287704</v>
      </c>
      <c r="T263" s="59">
        <f t="shared" si="789"/>
        <v>3.8528132106043058</v>
      </c>
      <c r="U263" s="59">
        <f t="shared" si="790"/>
        <v>3.2281056081251598</v>
      </c>
      <c r="V263" s="59">
        <f t="shared" si="791"/>
        <v>1.4179324750906281</v>
      </c>
      <c r="W263" s="59">
        <f t="shared" si="792"/>
        <v>0.36802523184564884</v>
      </c>
      <c r="X263" s="59">
        <f t="shared" si="793"/>
        <v>0.43924599973485512</v>
      </c>
      <c r="Y263" s="100">
        <f>(1090+1107)/2*1000</f>
        <v>1098500</v>
      </c>
      <c r="Z263" s="57">
        <f t="shared" si="794"/>
        <v>482511.73070873832</v>
      </c>
      <c r="AA263" s="57">
        <f t="shared" si="795"/>
        <v>404275.71718244522</v>
      </c>
      <c r="AB263" s="57">
        <f t="shared" si="713"/>
        <v>1428068.0027082097</v>
      </c>
      <c r="AC263" s="57">
        <f t="shared" si="796"/>
        <v>0.25</v>
      </c>
      <c r="AD263" s="57">
        <f t="shared" si="797"/>
        <v>1.5</v>
      </c>
      <c r="AE263" s="57">
        <f t="shared" si="798"/>
        <v>1200000</v>
      </c>
      <c r="AF263" s="57">
        <f t="shared" si="799"/>
        <v>204077.11103227516</v>
      </c>
      <c r="AG263" s="57">
        <f t="shared" si="708"/>
        <v>200198.60615017009</v>
      </c>
      <c r="AH263" s="57">
        <f t="shared" si="714"/>
        <v>567582528.16812575</v>
      </c>
      <c r="AI263" s="57">
        <f t="shared" si="715"/>
        <v>1003292274.810905</v>
      </c>
      <c r="AJ263" s="77">
        <v>1200000</v>
      </c>
      <c r="AK263" s="77">
        <v>96</v>
      </c>
      <c r="AL263" s="78">
        <f t="shared" si="800"/>
        <v>5.6545597572584629</v>
      </c>
      <c r="AM263" s="57">
        <f t="shared" si="801"/>
        <v>0.94</v>
      </c>
      <c r="AN263" s="57">
        <f t="shared" si="802"/>
        <v>0.74</v>
      </c>
      <c r="AO263" s="77">
        <v>1000</v>
      </c>
      <c r="AP263" s="79">
        <v>100</v>
      </c>
      <c r="AQ263" s="57">
        <f t="shared" si="803"/>
        <v>111.3733330849207</v>
      </c>
      <c r="AR263" s="57">
        <f t="shared" si="726"/>
        <v>800</v>
      </c>
      <c r="AS263" s="57">
        <f t="shared" si="804"/>
        <v>888.62666691507934</v>
      </c>
      <c r="AT263" s="77">
        <v>75</v>
      </c>
      <c r="AU263" s="77">
        <f t="shared" si="817"/>
        <v>1100</v>
      </c>
      <c r="AV263" s="78">
        <f t="shared" si="805"/>
        <v>60000</v>
      </c>
      <c r="AW263" s="77">
        <f t="shared" si="818"/>
        <v>75000</v>
      </c>
      <c r="AX263" s="77">
        <f t="shared" si="806"/>
        <v>75000</v>
      </c>
      <c r="AY263" s="77">
        <f t="shared" si="819"/>
        <v>135000</v>
      </c>
      <c r="AZ263" s="77">
        <f t="shared" si="820"/>
        <v>498</v>
      </c>
      <c r="BA263" s="77">
        <v>498</v>
      </c>
      <c r="BB263" s="77">
        <v>535</v>
      </c>
      <c r="BC263" s="77">
        <v>500</v>
      </c>
      <c r="BD263" s="77">
        <v>8.0000000000000002E-3</v>
      </c>
      <c r="BE263" s="77">
        <v>8.0000000000000002E-3</v>
      </c>
      <c r="BF263" s="77">
        <f t="shared" si="821"/>
        <v>6.4339817545518957E-2</v>
      </c>
      <c r="BG263" s="77">
        <f t="shared" si="822"/>
        <v>6.7020643276582254E-4</v>
      </c>
      <c r="BH263" s="79">
        <v>100</v>
      </c>
      <c r="BI263" s="79">
        <f>PI()*6*6/4</f>
        <v>28.274333882308138</v>
      </c>
      <c r="BJ263" s="79">
        <v>2</v>
      </c>
      <c r="BK263" s="57">
        <f t="shared" si="709"/>
        <v>56.548667764616276</v>
      </c>
      <c r="BL263" s="57">
        <f t="shared" si="643"/>
        <v>480</v>
      </c>
      <c r="BM263" s="80">
        <f t="shared" si="823"/>
        <v>201.06192982974676</v>
      </c>
      <c r="BN263" s="80">
        <v>12</v>
      </c>
      <c r="BO263" s="57">
        <f t="shared" si="781"/>
        <v>2412.7431579569611</v>
      </c>
      <c r="BP263" s="57">
        <f t="shared" si="807"/>
        <v>1557598.823887055</v>
      </c>
      <c r="BQ263" s="77">
        <f t="shared" si="808"/>
        <v>4.6566128730773926E-10</v>
      </c>
      <c r="BR263" s="57">
        <f t="shared" si="664"/>
        <v>1713358706.2757607</v>
      </c>
      <c r="BS263" s="57">
        <v>222.7466661698414</v>
      </c>
      <c r="BT263" s="57">
        <f t="shared" si="810"/>
        <v>605.26720492118409</v>
      </c>
      <c r="BU263" s="57"/>
      <c r="BV263" s="57">
        <v>3.3E-3</v>
      </c>
      <c r="BW263" s="57">
        <v>30000</v>
      </c>
      <c r="BX263" s="57">
        <v>200000</v>
      </c>
      <c r="BY263" s="77">
        <f>20</f>
        <v>20</v>
      </c>
      <c r="BZ263" s="77">
        <f t="shared" si="824"/>
        <v>80</v>
      </c>
      <c r="CA263" s="77">
        <f>100+160/2</f>
        <v>180</v>
      </c>
      <c r="CB263" s="77">
        <f>CA263+160*1</f>
        <v>340</v>
      </c>
      <c r="CC263" s="77">
        <f>CA263+160*2</f>
        <v>500</v>
      </c>
      <c r="CD263" s="77">
        <f>CA263+160*3</f>
        <v>660</v>
      </c>
      <c r="CE263" s="77">
        <f>CA263+160*4</f>
        <v>820</v>
      </c>
      <c r="CF263" s="77">
        <f>CE263+160/2+20</f>
        <v>920</v>
      </c>
      <c r="CG263" s="77">
        <f>CF263+60</f>
        <v>980</v>
      </c>
      <c r="DM263" s="77">
        <f t="shared" si="825"/>
        <v>1206.3715789784806</v>
      </c>
      <c r="DN263" s="77">
        <f t="shared" si="825"/>
        <v>1206.3715789784806</v>
      </c>
      <c r="DO263" s="77">
        <f t="shared" ref="DO263:DS266" si="829">PI()*8*8/4*2</f>
        <v>100.53096491487338</v>
      </c>
      <c r="DP263" s="77">
        <f t="shared" si="829"/>
        <v>100.53096491487338</v>
      </c>
      <c r="DQ263" s="77">
        <f t="shared" si="829"/>
        <v>100.53096491487338</v>
      </c>
      <c r="DR263" s="77">
        <f t="shared" si="829"/>
        <v>100.53096491487338</v>
      </c>
      <c r="DS263" s="77">
        <f t="shared" si="829"/>
        <v>100.53096491487338</v>
      </c>
      <c r="DT263" s="77">
        <f>PI()*16*16/4*6</f>
        <v>1206.3715789784806</v>
      </c>
      <c r="DU263" s="77">
        <f>PI()*16*16/4*6</f>
        <v>1206.3715789784806</v>
      </c>
      <c r="FA263" s="77">
        <f t="shared" si="785"/>
        <v>-645408.79475348711</v>
      </c>
      <c r="FB263" s="77">
        <f t="shared" si="786"/>
        <v>-510246.21761902369</v>
      </c>
      <c r="FC263" s="77">
        <f t="shared" si="826"/>
        <v>-12733.1197487964</v>
      </c>
      <c r="FD263" s="77">
        <f t="shared" si="727"/>
        <v>34926.717668999183</v>
      </c>
      <c r="FE263" s="77">
        <f t="shared" si="728"/>
        <v>50064.420527606941</v>
      </c>
      <c r="FF263" s="77">
        <f t="shared" si="753"/>
        <v>50064.420527606941</v>
      </c>
      <c r="FG263" s="77">
        <f t="shared" si="754"/>
        <v>50064.420527606941</v>
      </c>
      <c r="FH263" s="77">
        <f>IF(ABS(-$BV263*($BS263-CF263)/$BS263*$BX263)&gt;$BB263,$BB263*SIGN(-($BS263-CF263)),-$BV263*($BS263-CF263)/$BS263*$BX263)*DT263</f>
        <v>645408.79475348711</v>
      </c>
      <c r="FI263" s="77">
        <f>IF(ABS(-$BV263*($BS263-CG263)/$BS263*$BX263)&gt;$BB263,$BB263*SIGN(-($BS263-CG263)),-$BV263*($BS263-CG263)/$BS263*$BX263)*DU263</f>
        <v>645408.79475348711</v>
      </c>
      <c r="GO263" s="77">
        <f t="shared" si="696"/>
        <v>309796221.48167384</v>
      </c>
      <c r="GP263" s="77">
        <f t="shared" si="697"/>
        <v>214303411.39998996</v>
      </c>
      <c r="GQ263" s="77">
        <f t="shared" si="698"/>
        <v>4074598.3196148481</v>
      </c>
      <c r="GR263" s="77">
        <f t="shared" si="699"/>
        <v>-5588274.8270398695</v>
      </c>
      <c r="GS263" s="77">
        <f t="shared" si="712"/>
        <v>0</v>
      </c>
      <c r="GT263" s="77">
        <f t="shared" si="724"/>
        <v>8010307.2844171105</v>
      </c>
      <c r="GU263" s="77">
        <f t="shared" si="725"/>
        <v>16020614.568834221</v>
      </c>
      <c r="GV263" s="77">
        <f t="shared" si="729"/>
        <v>271071693.79646456</v>
      </c>
      <c r="GW263" s="77">
        <f t="shared" si="827"/>
        <v>309796221.48167384</v>
      </c>
      <c r="IC263" s="82">
        <v>279</v>
      </c>
    </row>
    <row r="264" spans="1:237" s="77" customFormat="1">
      <c r="A264" s="77">
        <v>264</v>
      </c>
      <c r="B264" s="69">
        <v>393</v>
      </c>
      <c r="C264" s="69" t="s">
        <v>282</v>
      </c>
      <c r="D264" s="70" t="s">
        <v>21</v>
      </c>
      <c r="E264" s="70">
        <v>3</v>
      </c>
      <c r="F264" s="70">
        <f t="shared" si="816"/>
        <v>5.5401234567901241E-2</v>
      </c>
      <c r="G264" s="70"/>
      <c r="H264" s="70">
        <v>1.2319999999999999E-2</v>
      </c>
      <c r="I264" s="118">
        <f>(7.94+12.32)/2/AU264</f>
        <v>9.2090909090909098E-3</v>
      </c>
      <c r="J264" s="72">
        <v>1.1000000000000001</v>
      </c>
      <c r="K264" s="72">
        <v>13.333333333333334</v>
      </c>
      <c r="L264" s="72">
        <v>4.1500000000000002E-2</v>
      </c>
      <c r="M264" s="72">
        <v>4.4666666666666667E-2</v>
      </c>
      <c r="N264" s="72">
        <v>0.35833854166666668</v>
      </c>
      <c r="O264" s="72">
        <v>7.8166666666666662E-3</v>
      </c>
      <c r="P264" s="72">
        <v>0</v>
      </c>
      <c r="Q264" s="73" t="s">
        <v>243</v>
      </c>
      <c r="R264" s="101">
        <v>0.27777777777777779</v>
      </c>
      <c r="S264" s="75">
        <f t="shared" si="809"/>
        <v>0.54281902324639575</v>
      </c>
      <c r="T264" s="59">
        <f t="shared" si="789"/>
        <v>3.1240346842615767</v>
      </c>
      <c r="U264" s="59">
        <f t="shared" si="790"/>
        <v>2.4232549361822828</v>
      </c>
      <c r="V264" s="59">
        <f t="shared" si="791"/>
        <v>1.6284804083646329</v>
      </c>
      <c r="W264" s="59">
        <f t="shared" si="792"/>
        <v>0.52127475298807513</v>
      </c>
      <c r="X264" s="59">
        <f t="shared" si="793"/>
        <v>0.67202190906509518</v>
      </c>
      <c r="Y264" s="100">
        <f>(683+753)/2*1000</f>
        <v>718000</v>
      </c>
      <c r="Z264" s="57">
        <f t="shared" si="794"/>
        <v>482511.73070873832</v>
      </c>
      <c r="AA264" s="57">
        <f t="shared" si="795"/>
        <v>374275.27264543797</v>
      </c>
      <c r="AB264" s="57">
        <f t="shared" si="713"/>
        <v>1603080.2461815218</v>
      </c>
      <c r="AC264" s="57">
        <f t="shared" si="796"/>
        <v>0.25</v>
      </c>
      <c r="AD264" s="57">
        <f t="shared" si="797"/>
        <v>1.5</v>
      </c>
      <c r="AE264" s="57">
        <f t="shared" si="798"/>
        <v>0</v>
      </c>
      <c r="AF264" s="57">
        <f t="shared" si="799"/>
        <v>160766.18583104073</v>
      </c>
      <c r="AG264" s="57">
        <f t="shared" si="708"/>
        <v>213509.08681439728</v>
      </c>
      <c r="AH264" s="57">
        <f t="shared" si="714"/>
        <v>607568935.09749115</v>
      </c>
      <c r="AI264" s="57">
        <f t="shared" si="715"/>
        <v>1155819335.702183</v>
      </c>
      <c r="AJ264" s="77">
        <v>0</v>
      </c>
      <c r="AK264" s="77">
        <v>96</v>
      </c>
      <c r="AL264" s="78">
        <f t="shared" si="800"/>
        <v>5.6545597572584629</v>
      </c>
      <c r="AM264" s="57">
        <f t="shared" si="801"/>
        <v>0.94</v>
      </c>
      <c r="AN264" s="57">
        <f t="shared" si="802"/>
        <v>0.74</v>
      </c>
      <c r="AO264" s="77">
        <v>1000</v>
      </c>
      <c r="AP264" s="79">
        <v>100</v>
      </c>
      <c r="AQ264" s="57">
        <f t="shared" si="803"/>
        <v>52.291762562808593</v>
      </c>
      <c r="AR264" s="57">
        <f t="shared" si="726"/>
        <v>800</v>
      </c>
      <c r="AS264" s="57">
        <f t="shared" si="804"/>
        <v>947.70823743719143</v>
      </c>
      <c r="AT264" s="77">
        <v>75</v>
      </c>
      <c r="AU264" s="77">
        <f t="shared" si="817"/>
        <v>1100</v>
      </c>
      <c r="AV264" s="78">
        <f t="shared" si="805"/>
        <v>60000</v>
      </c>
      <c r="AW264" s="77">
        <f t="shared" si="818"/>
        <v>75000</v>
      </c>
      <c r="AX264" s="77">
        <f t="shared" si="806"/>
        <v>75000</v>
      </c>
      <c r="AY264" s="77">
        <f t="shared" si="819"/>
        <v>135000</v>
      </c>
      <c r="AZ264" s="77">
        <f t="shared" si="820"/>
        <v>498</v>
      </c>
      <c r="BA264" s="77">
        <v>498</v>
      </c>
      <c r="BB264" s="77">
        <v>535</v>
      </c>
      <c r="BC264" s="77">
        <v>500</v>
      </c>
      <c r="BD264" s="77">
        <v>8.0000000000000002E-3</v>
      </c>
      <c r="BE264" s="77">
        <v>8.0000000000000002E-3</v>
      </c>
      <c r="BF264" s="77">
        <f t="shared" si="821"/>
        <v>6.4339817545518957E-2</v>
      </c>
      <c r="BG264" s="77">
        <f t="shared" si="822"/>
        <v>6.7020643276582254E-4</v>
      </c>
      <c r="BH264" s="79">
        <v>100</v>
      </c>
      <c r="BI264" s="79">
        <f>PI()*6*6/4</f>
        <v>28.274333882308138</v>
      </c>
      <c r="BJ264" s="79">
        <v>2</v>
      </c>
      <c r="BK264" s="57">
        <f t="shared" si="709"/>
        <v>56.548667764616276</v>
      </c>
      <c r="BL264" s="57">
        <f t="shared" si="643"/>
        <v>480</v>
      </c>
      <c r="BM264" s="80">
        <f t="shared" si="823"/>
        <v>201.06192982974676</v>
      </c>
      <c r="BN264" s="80">
        <v>12</v>
      </c>
      <c r="BO264" s="57">
        <f t="shared" si="781"/>
        <v>2412.7431579569611</v>
      </c>
      <c r="BP264" s="57">
        <f t="shared" si="807"/>
        <v>1169248.9332058064</v>
      </c>
      <c r="BQ264" s="77">
        <f t="shared" si="808"/>
        <v>2.4447217583656311E-9</v>
      </c>
      <c r="BR264" s="57">
        <f t="shared" si="664"/>
        <v>1286173826.526387</v>
      </c>
      <c r="BS264" s="57">
        <v>104.58352512561719</v>
      </c>
      <c r="BT264" s="57">
        <f t="shared" si="810"/>
        <v>67.01268742791234</v>
      </c>
      <c r="BU264" s="57"/>
      <c r="BV264" s="57">
        <v>3.3E-3</v>
      </c>
      <c r="BW264" s="57">
        <v>30000</v>
      </c>
      <c r="BX264" s="57">
        <v>200000</v>
      </c>
      <c r="BY264" s="77">
        <f>20</f>
        <v>20</v>
      </c>
      <c r="BZ264" s="77">
        <f t="shared" si="824"/>
        <v>80</v>
      </c>
      <c r="CA264" s="77">
        <f>100+160/2</f>
        <v>180</v>
      </c>
      <c r="CB264" s="77">
        <f>CA264+160*1</f>
        <v>340</v>
      </c>
      <c r="CC264" s="77">
        <f>CA264+160*2</f>
        <v>500</v>
      </c>
      <c r="CD264" s="77">
        <f>CA264+160*3</f>
        <v>660</v>
      </c>
      <c r="CE264" s="77">
        <f>CA264+160*4</f>
        <v>820</v>
      </c>
      <c r="CF264" s="77">
        <f>CE264+160/2+20</f>
        <v>920</v>
      </c>
      <c r="CG264" s="77">
        <f>CF264+60</f>
        <v>980</v>
      </c>
      <c r="DM264" s="77">
        <f t="shared" si="825"/>
        <v>1206.3715789784806</v>
      </c>
      <c r="DN264" s="77">
        <f t="shared" si="825"/>
        <v>1206.3715789784806</v>
      </c>
      <c r="DO264" s="77">
        <f t="shared" si="829"/>
        <v>100.53096491487338</v>
      </c>
      <c r="DP264" s="77">
        <f t="shared" si="829"/>
        <v>100.53096491487338</v>
      </c>
      <c r="DQ264" s="77">
        <f t="shared" si="829"/>
        <v>100.53096491487338</v>
      </c>
      <c r="DR264" s="77">
        <f t="shared" si="829"/>
        <v>100.53096491487338</v>
      </c>
      <c r="DS264" s="77">
        <f t="shared" si="829"/>
        <v>100.53096491487338</v>
      </c>
      <c r="DT264" s="77">
        <f>PI()*16*16/4*6</f>
        <v>1206.3715789784806</v>
      </c>
      <c r="DU264" s="77">
        <f>PI()*16*16/4*6</f>
        <v>1206.3715789784806</v>
      </c>
      <c r="FA264" s="77">
        <f t="shared" si="785"/>
        <v>-643943.16429480794</v>
      </c>
      <c r="FB264" s="77">
        <f t="shared" si="786"/>
        <v>-187156.93080184018</v>
      </c>
      <c r="FC264" s="77">
        <f t="shared" si="826"/>
        <v>47846.121529425509</v>
      </c>
      <c r="FD264" s="77">
        <f t="shared" si="727"/>
        <v>50064.420527606941</v>
      </c>
      <c r="FE264" s="77">
        <f t="shared" si="728"/>
        <v>50064.420527606941</v>
      </c>
      <c r="FF264" s="77">
        <f t="shared" si="753"/>
        <v>50064.420527606941</v>
      </c>
      <c r="FG264" s="77">
        <f t="shared" si="754"/>
        <v>50064.420527606941</v>
      </c>
      <c r="FH264" s="77">
        <f>IF(ABS(-$BV264*($BS264-CF264)/$BS264*$BX264)&gt;$BB264,$BB264*SIGN(-($BS264-CF264)),-$BV264*($BS264-CF264)/$BS264*$BX264)*DT264</f>
        <v>645408.79475348711</v>
      </c>
      <c r="FI264" s="77">
        <f>IF(ABS(-$BV264*($BS264-CG264)/$BS264*$BX264)&gt;$BB264,$BB264*SIGN(-($BS264-CG264)),-$BV264*($BS264-CG264)/$BS264*$BX264)*DU264</f>
        <v>645408.79475348711</v>
      </c>
      <c r="GO264" s="77">
        <f t="shared" si="696"/>
        <v>309092718.86150783</v>
      </c>
      <c r="GP264" s="77">
        <f t="shared" si="697"/>
        <v>78605910.936772868</v>
      </c>
      <c r="GQ264" s="77">
        <f t="shared" si="698"/>
        <v>-15310758.889416162</v>
      </c>
      <c r="GR264" s="77">
        <f t="shared" si="699"/>
        <v>-8010307.2844171105</v>
      </c>
      <c r="GS264" s="77">
        <f t="shared" si="712"/>
        <v>0</v>
      </c>
      <c r="GT264" s="77">
        <f t="shared" si="724"/>
        <v>8010307.2844171105</v>
      </c>
      <c r="GU264" s="77">
        <f t="shared" si="725"/>
        <v>16020614.568834221</v>
      </c>
      <c r="GV264" s="77">
        <f t="shared" si="729"/>
        <v>271071693.79646456</v>
      </c>
      <c r="GW264" s="77">
        <f t="shared" si="827"/>
        <v>309796221.48167384</v>
      </c>
      <c r="IC264" s="82">
        <v>280</v>
      </c>
    </row>
    <row r="265" spans="1:237" s="77" customFormat="1">
      <c r="A265" s="77">
        <v>265</v>
      </c>
      <c r="B265" s="69">
        <v>394</v>
      </c>
      <c r="C265" s="69" t="s">
        <v>282</v>
      </c>
      <c r="D265" s="70" t="s">
        <v>23</v>
      </c>
      <c r="E265" s="70">
        <v>3</v>
      </c>
      <c r="F265" s="70">
        <f t="shared" si="816"/>
        <v>9.8482820169567151E-2</v>
      </c>
      <c r="G265" s="70"/>
      <c r="H265" s="70">
        <v>1.3509999999999999E-2</v>
      </c>
      <c r="I265" s="118">
        <f>(10.41+13.51)/2/AU265</f>
        <v>1.0872727272727273E-2</v>
      </c>
      <c r="J265" s="72">
        <v>1.1000000000000001</v>
      </c>
      <c r="K265" s="72">
        <v>13.333333333333334</v>
      </c>
      <c r="L265" s="72">
        <v>7.7999999999999986E-2</v>
      </c>
      <c r="M265" s="72">
        <v>3.2289156626506027E-2</v>
      </c>
      <c r="N265" s="72">
        <v>0.41446385542168673</v>
      </c>
      <c r="O265" s="72">
        <v>6.4578313253012051E-3</v>
      </c>
      <c r="P265" s="72">
        <v>0.107095046854083</v>
      </c>
      <c r="Q265" s="73" t="s">
        <v>243</v>
      </c>
      <c r="R265" s="101">
        <v>0.27777777777777779</v>
      </c>
      <c r="S265" s="75">
        <f t="shared" si="809"/>
        <v>0.89722119184165405</v>
      </c>
      <c r="T265" s="59">
        <f t="shared" si="789"/>
        <v>5.1377033360093334</v>
      </c>
      <c r="U265" s="59">
        <f t="shared" si="790"/>
        <v>4.4064709799250492</v>
      </c>
      <c r="V265" s="59">
        <f t="shared" si="791"/>
        <v>1.4278428660130418</v>
      </c>
      <c r="W265" s="59">
        <f t="shared" si="792"/>
        <v>0.27791461916563409</v>
      </c>
      <c r="X265" s="59">
        <f t="shared" si="793"/>
        <v>0.32403319402714603</v>
      </c>
      <c r="Y265" s="100">
        <f>(1134+1073)/2*1000</f>
        <v>1103500</v>
      </c>
      <c r="Z265" s="57">
        <f t="shared" si="794"/>
        <v>357570.62960895564</v>
      </c>
      <c r="AA265" s="57">
        <f t="shared" si="795"/>
        <v>306678.78224927722</v>
      </c>
      <c r="AB265" s="57">
        <f t="shared" si="713"/>
        <v>1302058.5854602009</v>
      </c>
      <c r="AC265" s="57">
        <f t="shared" si="796"/>
        <v>0.25</v>
      </c>
      <c r="AD265" s="57">
        <f t="shared" si="797"/>
        <v>1.5</v>
      </c>
      <c r="AE265" s="57">
        <f t="shared" si="798"/>
        <v>1200000</v>
      </c>
      <c r="AF265" s="57">
        <f t="shared" si="799"/>
        <v>189429.91898402665</v>
      </c>
      <c r="AG265" s="57">
        <f t="shared" si="708"/>
        <v>117248.86326525059</v>
      </c>
      <c r="AH265" s="57">
        <f t="shared" si="714"/>
        <v>479312354.59832245</v>
      </c>
      <c r="AI265" s="57">
        <f t="shared" si="715"/>
        <v>952952089.40789866</v>
      </c>
      <c r="AJ265" s="77">
        <v>1200000</v>
      </c>
      <c r="AK265" s="77">
        <v>83</v>
      </c>
      <c r="AL265" s="78">
        <f t="shared" si="800"/>
        <v>5.2196642783976941</v>
      </c>
      <c r="AM265" s="57">
        <f t="shared" si="801"/>
        <v>0.94</v>
      </c>
      <c r="AN265" s="57">
        <f t="shared" si="802"/>
        <v>0.74</v>
      </c>
      <c r="AO265" s="77">
        <v>1000</v>
      </c>
      <c r="AP265" s="79">
        <v>100</v>
      </c>
      <c r="AQ265" s="57">
        <f t="shared" si="803"/>
        <v>130.87267435986939</v>
      </c>
      <c r="AR265" s="57">
        <f t="shared" si="726"/>
        <v>800</v>
      </c>
      <c r="AS265" s="57">
        <f t="shared" si="804"/>
        <v>869.12732564013061</v>
      </c>
      <c r="AT265" s="77">
        <v>75</v>
      </c>
      <c r="AU265" s="77">
        <f t="shared" si="817"/>
        <v>1100</v>
      </c>
      <c r="AV265" s="78">
        <f t="shared" si="805"/>
        <v>60000</v>
      </c>
      <c r="AW265" s="77">
        <f t="shared" si="818"/>
        <v>75000</v>
      </c>
      <c r="AX265" s="77">
        <f t="shared" si="806"/>
        <v>75000</v>
      </c>
      <c r="AY265" s="77">
        <f t="shared" si="819"/>
        <v>135000</v>
      </c>
      <c r="AZ265" s="77">
        <f t="shared" si="820"/>
        <v>498</v>
      </c>
      <c r="BA265" s="77">
        <v>498</v>
      </c>
      <c r="BB265" s="77">
        <v>535</v>
      </c>
      <c r="BC265" s="77">
        <v>500</v>
      </c>
      <c r="BD265" s="77">
        <v>1.2999999999999999E-2</v>
      </c>
      <c r="BE265" s="77">
        <v>5.0000000000000001E-3</v>
      </c>
      <c r="BF265" s="77">
        <f t="shared" si="821"/>
        <v>6.4339817545518957E-2</v>
      </c>
      <c r="BG265" s="77">
        <f t="shared" si="822"/>
        <v>6.7020643276582254E-4</v>
      </c>
      <c r="BH265" s="79">
        <v>167</v>
      </c>
      <c r="BI265" s="79">
        <f>PI()*6*6/4</f>
        <v>28.274333882308138</v>
      </c>
      <c r="BJ265" s="79">
        <v>2</v>
      </c>
      <c r="BK265" s="57">
        <f t="shared" si="709"/>
        <v>56.548667764616276</v>
      </c>
      <c r="BL265" s="57">
        <f t="shared" si="643"/>
        <v>780</v>
      </c>
      <c r="BM265" s="80">
        <f t="shared" si="823"/>
        <v>201.06192982974676</v>
      </c>
      <c r="BN265" s="80">
        <v>12</v>
      </c>
      <c r="BO265" s="57">
        <f t="shared" si="781"/>
        <v>2412.7431579569611</v>
      </c>
      <c r="BP265" s="57">
        <f t="shared" si="807"/>
        <v>1575624.6026453916</v>
      </c>
      <c r="BQ265" s="77">
        <f t="shared" si="808"/>
        <v>-2.8172507882118225E-8</v>
      </c>
      <c r="BR265" s="57">
        <f t="shared" si="664"/>
        <v>1733187062.9099307</v>
      </c>
      <c r="BS265" s="57">
        <v>261.74534871973879</v>
      </c>
      <c r="BT265" s="57">
        <f t="shared" si="810"/>
        <v>596.46970233876675</v>
      </c>
      <c r="BU265" s="57"/>
      <c r="BV265" s="57">
        <v>3.3E-3</v>
      </c>
      <c r="BW265" s="57">
        <v>30000</v>
      </c>
      <c r="BX265" s="57">
        <v>200000</v>
      </c>
      <c r="BY265" s="77">
        <f>20</f>
        <v>20</v>
      </c>
      <c r="BZ265" s="77">
        <f t="shared" si="824"/>
        <v>80</v>
      </c>
      <c r="CA265" s="77">
        <f>100+100/2</f>
        <v>150</v>
      </c>
      <c r="CB265" s="77">
        <f>CA265+100*1</f>
        <v>250</v>
      </c>
      <c r="CC265" s="77">
        <f>CA265+100*2</f>
        <v>350</v>
      </c>
      <c r="CD265" s="77">
        <f>CA265+100*3</f>
        <v>450</v>
      </c>
      <c r="CE265" s="77">
        <f>CA265+100*4</f>
        <v>550</v>
      </c>
      <c r="CF265" s="77">
        <f>CA265+100*5</f>
        <v>650</v>
      </c>
      <c r="CG265" s="77">
        <f>CA265+100*6</f>
        <v>750</v>
      </c>
      <c r="CH265" s="77">
        <f>CA265+100*7</f>
        <v>850</v>
      </c>
      <c r="CI265" s="77">
        <f>CH265+100/2+20</f>
        <v>920</v>
      </c>
      <c r="CJ265" s="77">
        <f>CI265+60</f>
        <v>980</v>
      </c>
      <c r="DM265" s="77">
        <f t="shared" si="825"/>
        <v>1206.3715789784806</v>
      </c>
      <c r="DN265" s="77">
        <f t="shared" si="825"/>
        <v>1206.3715789784806</v>
      </c>
      <c r="DO265" s="77">
        <f t="shared" si="829"/>
        <v>100.53096491487338</v>
      </c>
      <c r="DP265" s="77">
        <f t="shared" si="829"/>
        <v>100.53096491487338</v>
      </c>
      <c r="DQ265" s="77">
        <f t="shared" si="829"/>
        <v>100.53096491487338</v>
      </c>
      <c r="DR265" s="77">
        <f t="shared" si="829"/>
        <v>100.53096491487338</v>
      </c>
      <c r="DS265" s="77">
        <f t="shared" si="829"/>
        <v>100.53096491487338</v>
      </c>
      <c r="DT265" s="77">
        <f>PI()*8*8/4*2</f>
        <v>100.53096491487338</v>
      </c>
      <c r="DU265" s="77">
        <f>PI()*8*8/4*2</f>
        <v>100.53096491487338</v>
      </c>
      <c r="DV265" s="77">
        <f>PI()*8*8/4*2</f>
        <v>100.53096491487338</v>
      </c>
      <c r="DW265" s="77">
        <f>PI()*16*16/4*6</f>
        <v>1206.3715789784806</v>
      </c>
      <c r="DX265" s="77">
        <f>PI()*16*16/4*6</f>
        <v>1206.3715789784806</v>
      </c>
      <c r="FA265" s="77">
        <f t="shared" si="785"/>
        <v>-645408.79475348711</v>
      </c>
      <c r="FB265" s="77">
        <f t="shared" si="786"/>
        <v>-552852.61071660998</v>
      </c>
      <c r="FC265" s="77">
        <f t="shared" si="826"/>
        <v>-28326.588186130921</v>
      </c>
      <c r="FD265" s="77">
        <f t="shared" si="727"/>
        <v>-2977.3557476739188</v>
      </c>
      <c r="FE265" s="77">
        <f t="shared" si="728"/>
        <v>22371.876690783087</v>
      </c>
      <c r="FF265" s="77">
        <f t="shared" si="753"/>
        <v>47721.109129240096</v>
      </c>
      <c r="FG265" s="77">
        <f t="shared" si="754"/>
        <v>50064.420527606941</v>
      </c>
      <c r="FH265" s="77">
        <f>IF(ABS(-$BV265*($BS265-CF265)/$BS265*$BX265)&gt;$BA265,$BA265*SIGN(-($BS265-CF265)),-$BV265*($BS265-CF265)/$BS265*$BX265)*DT265</f>
        <v>50064.420527606941</v>
      </c>
      <c r="FI265" s="77">
        <f>IF(ABS(-$BV265*($BS265-CG265)/$BS265*$BX265)&gt;$BA265,$BA265*SIGN(-($BS265-CG265)),-$BV265*($BS265-CG265)/$BS265*$BX265)*DU265</f>
        <v>50064.420527606941</v>
      </c>
      <c r="FJ265" s="77">
        <f>IF(ABS(-$BV265*($BS265-CH265)/$BS265*$BX265)&gt;$BA265,$BA265*SIGN(-($BS265-CH265)),-$BV265*($BS265-CH265)/$BS265*$BX265)*DV265</f>
        <v>50064.420527606941</v>
      </c>
      <c r="FK265" s="77">
        <f>IF(ABS(-$BV265*($BS265-CI265)/$BS265*$BX265)&gt;$BB265,$BB265*SIGN(-($BS265-CI265)),-$BV265*($BS265-CI265)/$BS265*$BX265)*DW265</f>
        <v>645408.79475348711</v>
      </c>
      <c r="FL265" s="77">
        <f>IF(ABS(-$BV265*($BS265-CJ265)/$BS265*$BX265)&gt;$BB265,$BB265*SIGN(-($BS265-CJ265)),-$BV265*($BS265-CJ265)/$BS265*$BX265)*DX265</f>
        <v>645408.79475348711</v>
      </c>
      <c r="GO265" s="77">
        <f t="shared" si="696"/>
        <v>309796221.48167384</v>
      </c>
      <c r="GP265" s="77">
        <f t="shared" si="697"/>
        <v>232198096.5009762</v>
      </c>
      <c r="GQ265" s="77">
        <f t="shared" si="698"/>
        <v>9914305.865145823</v>
      </c>
      <c r="GR265" s="77">
        <f t="shared" si="699"/>
        <v>744338.93691847974</v>
      </c>
      <c r="GS265" s="77">
        <f t="shared" si="712"/>
        <v>-3355781.5036174632</v>
      </c>
      <c r="GT265" s="77">
        <f t="shared" si="724"/>
        <v>-2386055.4564620047</v>
      </c>
      <c r="GU265" s="77">
        <f t="shared" si="725"/>
        <v>2503221.0263803471</v>
      </c>
      <c r="GV265" s="77">
        <f t="shared" si="729"/>
        <v>7509663.0791410413</v>
      </c>
      <c r="GW265" s="77">
        <f t="shared" si="827"/>
        <v>12516105.131901735</v>
      </c>
      <c r="GX265" s="77">
        <f>FJ265*(CH265-0.5*$AO265)</f>
        <v>17522547.184662428</v>
      </c>
      <c r="GY265" s="77">
        <f>FK265*(CI265-0.5*$AO265)</f>
        <v>271071693.79646456</v>
      </c>
      <c r="GZ265" s="77">
        <f>FL265*(CJ265-0.5*$AO265)</f>
        <v>309796221.48167384</v>
      </c>
      <c r="IC265" s="82">
        <v>281</v>
      </c>
    </row>
    <row r="266" spans="1:237" s="77" customFormat="1">
      <c r="A266" s="77">
        <v>266</v>
      </c>
      <c r="B266" s="69">
        <v>395</v>
      </c>
      <c r="C266" s="69" t="s">
        <v>282</v>
      </c>
      <c r="D266" s="70" t="s">
        <v>24</v>
      </c>
      <c r="E266" s="70">
        <v>3</v>
      </c>
      <c r="F266" s="70">
        <f t="shared" si="816"/>
        <v>0.10004462293618921</v>
      </c>
      <c r="G266" s="70"/>
      <c r="H266" s="70">
        <v>1.401E-2</v>
      </c>
      <c r="I266" s="118">
        <f>(16.82+14.01)/2/AU266</f>
        <v>1.4013636363636364E-2</v>
      </c>
      <c r="J266" s="72">
        <v>1.1000000000000001</v>
      </c>
      <c r="K266" s="72">
        <v>13.333333333333334</v>
      </c>
      <c r="L266" s="72">
        <v>6.0000000000000005E-2</v>
      </c>
      <c r="M266" s="72">
        <v>6.0000000000000005E-2</v>
      </c>
      <c r="N266" s="72">
        <v>0.41446385542168673</v>
      </c>
      <c r="O266" s="72">
        <v>1.0199999999999999E-2</v>
      </c>
      <c r="P266" s="72">
        <v>0.107095046854083</v>
      </c>
      <c r="Q266" s="73" t="s">
        <v>243</v>
      </c>
      <c r="R266" s="101">
        <v>0.27777777777777779</v>
      </c>
      <c r="S266" s="75">
        <f t="shared" si="809"/>
        <v>0.91144989221068795</v>
      </c>
      <c r="T266" s="59">
        <f t="shared" si="789"/>
        <v>3.5694137654428908</v>
      </c>
      <c r="U266" s="59">
        <f t="shared" si="790"/>
        <v>2.8495046066788299</v>
      </c>
      <c r="V266" s="59">
        <f t="shared" si="791"/>
        <v>1.3836254608216239</v>
      </c>
      <c r="W266" s="59">
        <f t="shared" si="792"/>
        <v>0.38763381096838023</v>
      </c>
      <c r="X266" s="59">
        <f t="shared" si="793"/>
        <v>0.48556702016855996</v>
      </c>
      <c r="Y266" s="100">
        <f>(1101+1141)/2*1000</f>
        <v>1121000</v>
      </c>
      <c r="Z266" s="57">
        <f t="shared" si="794"/>
        <v>544320.6296089557</v>
      </c>
      <c r="AA266" s="57">
        <f t="shared" si="795"/>
        <v>434537.50209555426</v>
      </c>
      <c r="AB266" s="57">
        <f t="shared" si="713"/>
        <v>1313146.5127209055</v>
      </c>
      <c r="AC266" s="57">
        <f t="shared" si="796"/>
        <v>0.25</v>
      </c>
      <c r="AD266" s="57">
        <f t="shared" si="797"/>
        <v>1.5</v>
      </c>
      <c r="AE266" s="57">
        <f t="shared" si="798"/>
        <v>1200000</v>
      </c>
      <c r="AF266" s="57">
        <f t="shared" si="799"/>
        <v>190033.01752115329</v>
      </c>
      <c r="AG266" s="57">
        <f t="shared" si="708"/>
        <v>244504.48457440094</v>
      </c>
      <c r="AH266" s="57">
        <f t="shared" si="714"/>
        <v>481566031.52833873</v>
      </c>
      <c r="AI266" s="57">
        <f t="shared" si="715"/>
        <v>962895132.46465731</v>
      </c>
      <c r="AJ266" s="77">
        <v>1200000</v>
      </c>
      <c r="AK266" s="77">
        <v>83</v>
      </c>
      <c r="AL266" s="78">
        <f t="shared" si="800"/>
        <v>5.2196642783976941</v>
      </c>
      <c r="AM266" s="57">
        <f t="shared" si="801"/>
        <v>0.94</v>
      </c>
      <c r="AN266" s="57">
        <f t="shared" si="802"/>
        <v>0.74</v>
      </c>
      <c r="AO266" s="77">
        <v>1000</v>
      </c>
      <c r="AP266" s="79">
        <v>100</v>
      </c>
      <c r="AQ266" s="57">
        <f t="shared" si="803"/>
        <v>127.02122271496411</v>
      </c>
      <c r="AR266" s="57">
        <f t="shared" si="726"/>
        <v>800</v>
      </c>
      <c r="AS266" s="57">
        <f t="shared" si="804"/>
        <v>872.9787772850359</v>
      </c>
      <c r="AT266" s="77">
        <v>75</v>
      </c>
      <c r="AU266" s="77">
        <f t="shared" si="817"/>
        <v>1100</v>
      </c>
      <c r="AV266" s="78">
        <f t="shared" si="805"/>
        <v>60000</v>
      </c>
      <c r="AW266" s="77">
        <f t="shared" si="818"/>
        <v>75000</v>
      </c>
      <c r="AX266" s="77">
        <f t="shared" si="806"/>
        <v>75000</v>
      </c>
      <c r="AY266" s="77">
        <f t="shared" si="819"/>
        <v>135000</v>
      </c>
      <c r="AZ266" s="77">
        <f t="shared" si="820"/>
        <v>498</v>
      </c>
      <c r="BA266" s="77">
        <v>498</v>
      </c>
      <c r="BB266" s="77">
        <v>535</v>
      </c>
      <c r="BC266" s="77">
        <v>500</v>
      </c>
      <c r="BD266" s="77">
        <v>0.01</v>
      </c>
      <c r="BE266" s="77">
        <v>0.01</v>
      </c>
      <c r="BF266" s="77">
        <f t="shared" si="821"/>
        <v>6.4339817545518957E-2</v>
      </c>
      <c r="BG266" s="77">
        <f t="shared" si="822"/>
        <v>6.7020643276582254E-4</v>
      </c>
      <c r="BH266" s="79">
        <v>143</v>
      </c>
      <c r="BI266" s="79">
        <f>PI()*8*8/4</f>
        <v>50.26548245743669</v>
      </c>
      <c r="BJ266" s="79">
        <v>2</v>
      </c>
      <c r="BK266" s="57">
        <f t="shared" si="709"/>
        <v>100.53096491487338</v>
      </c>
      <c r="BL266" s="57">
        <f t="shared" si="643"/>
        <v>600</v>
      </c>
      <c r="BM266" s="80">
        <f t="shared" si="823"/>
        <v>201.06192982974676</v>
      </c>
      <c r="BN266" s="80">
        <v>12</v>
      </c>
      <c r="BO266" s="57">
        <f t="shared" si="781"/>
        <v>2412.7431579569611</v>
      </c>
      <c r="BP266" s="57">
        <f t="shared" si="807"/>
        <v>1551044.1415810403</v>
      </c>
      <c r="BQ266" s="77">
        <f t="shared" si="808"/>
        <v>2.5611370801925659E-9</v>
      </c>
      <c r="BR266" s="57">
        <f t="shared" si="664"/>
        <v>1706148555.7391443</v>
      </c>
      <c r="BS266" s="57">
        <v>254.04244542992822</v>
      </c>
      <c r="BT266" s="57">
        <f t="shared" si="810"/>
        <v>573.30793763288443</v>
      </c>
      <c r="BU266" s="57"/>
      <c r="BV266" s="57">
        <v>3.3E-3</v>
      </c>
      <c r="BW266" s="57">
        <v>30000</v>
      </c>
      <c r="BX266" s="57">
        <v>200000</v>
      </c>
      <c r="BY266" s="77">
        <f>20</f>
        <v>20</v>
      </c>
      <c r="BZ266" s="77">
        <f t="shared" si="824"/>
        <v>80</v>
      </c>
      <c r="CA266" s="77">
        <f>100+67.5</f>
        <v>167.5</v>
      </c>
      <c r="CB266" s="77">
        <f>CA266+133*1</f>
        <v>300.5</v>
      </c>
      <c r="CC266" s="77">
        <f>CA266+133*2</f>
        <v>433.5</v>
      </c>
      <c r="CD266" s="77">
        <f>CA266+133*3</f>
        <v>566.5</v>
      </c>
      <c r="CE266" s="77">
        <f>CA266+133*4</f>
        <v>699.5</v>
      </c>
      <c r="CF266" s="77">
        <f>CA266+133*5</f>
        <v>832.5</v>
      </c>
      <c r="CG266" s="77">
        <f>CF266+67.5+20</f>
        <v>920</v>
      </c>
      <c r="CH266" s="77">
        <f>CG266+60</f>
        <v>980</v>
      </c>
      <c r="DM266" s="77">
        <f t="shared" si="825"/>
        <v>1206.3715789784806</v>
      </c>
      <c r="DN266" s="77">
        <f t="shared" si="825"/>
        <v>1206.3715789784806</v>
      </c>
      <c r="DO266" s="77">
        <f t="shared" si="829"/>
        <v>100.53096491487338</v>
      </c>
      <c r="DP266" s="77">
        <f t="shared" si="829"/>
        <v>100.53096491487338</v>
      </c>
      <c r="DQ266" s="77">
        <f t="shared" si="829"/>
        <v>100.53096491487338</v>
      </c>
      <c r="DR266" s="77">
        <f t="shared" si="829"/>
        <v>100.53096491487338</v>
      </c>
      <c r="DS266" s="77">
        <f t="shared" si="829"/>
        <v>100.53096491487338</v>
      </c>
      <c r="DT266" s="77">
        <f>PI()*8*8/4*2</f>
        <v>100.53096491487338</v>
      </c>
      <c r="DU266" s="77">
        <f>PI()*16*16/4*6</f>
        <v>1206.3715789784806</v>
      </c>
      <c r="DV266" s="77">
        <f>PI()*16*16/4*6</f>
        <v>1206.3715789784806</v>
      </c>
      <c r="FA266" s="77">
        <f t="shared" si="785"/>
        <v>-645408.79475348711</v>
      </c>
      <c r="FB266" s="77">
        <f t="shared" si="786"/>
        <v>-545473.83674089285</v>
      </c>
      <c r="FC266" s="77">
        <f t="shared" si="826"/>
        <v>-22603.030175096144</v>
      </c>
      <c r="FD266" s="77">
        <f t="shared" si="727"/>
        <v>12133.716612604147</v>
      </c>
      <c r="FE266" s="77">
        <f t="shared" si="728"/>
        <v>46870.463400304441</v>
      </c>
      <c r="FF266" s="77">
        <f t="shared" si="753"/>
        <v>50064.420527606941</v>
      </c>
      <c r="FG266" s="77">
        <f t="shared" si="754"/>
        <v>50064.420527606941</v>
      </c>
      <c r="FH266" s="77">
        <f>IF(ABS(-$BV266*($BS266-CF266)/$BS266*$BX266)&gt;$BA266,$BA266*SIGN(-($BS266-CF266)),-$BV266*($BS266-CF266)/$BS266*$BX266)*DT266</f>
        <v>50064.420527606941</v>
      </c>
      <c r="FI266" s="77">
        <f>IF(ABS(-$BV266*($BS266-CG266)/$BS266*$BX266)&gt;$BB266,$BB266*SIGN(-($BS266-CG266)),-$BV266*($BS266-CG266)/$BS266*$BX266)*DU266</f>
        <v>645408.79475348711</v>
      </c>
      <c r="FJ266" s="77">
        <f>IF(ABS(-$BV266*($BS266-CH266)/$BS266*$BX266)&gt;$BB266,$BB266*SIGN(-($BS266-CH266)),-$BV266*($BS266-CH266)/$BS266*$BX266)*DV266</f>
        <v>645408.79475348711</v>
      </c>
      <c r="GO266" s="77">
        <f t="shared" si="696"/>
        <v>309796221.48167384</v>
      </c>
      <c r="GP266" s="77">
        <f t="shared" si="697"/>
        <v>229099011.43117499</v>
      </c>
      <c r="GQ266" s="77">
        <f t="shared" si="698"/>
        <v>7515507.5332194678</v>
      </c>
      <c r="GR266" s="77">
        <f t="shared" si="699"/>
        <v>-2420676.464214527</v>
      </c>
      <c r="GS266" s="77">
        <f t="shared" si="712"/>
        <v>-3116885.8161202455</v>
      </c>
      <c r="GT266" s="77">
        <f t="shared" si="724"/>
        <v>3329283.9650858617</v>
      </c>
      <c r="GU266" s="77">
        <f t="shared" si="725"/>
        <v>9987851.8952575848</v>
      </c>
      <c r="GV266" s="77">
        <f t="shared" si="729"/>
        <v>16646419.825429307</v>
      </c>
      <c r="GW266" s="77">
        <f t="shared" si="827"/>
        <v>271071693.79646456</v>
      </c>
      <c r="GX266" s="77">
        <f>FJ266*(CH266-0.5*$AO266)</f>
        <v>309796221.48167384</v>
      </c>
      <c r="IC266" s="82">
        <v>282</v>
      </c>
    </row>
    <row r="267" spans="1:237" s="77" customFormat="1">
      <c r="A267" s="77">
        <v>267</v>
      </c>
      <c r="B267" s="69">
        <v>396</v>
      </c>
      <c r="C267" s="69" t="s">
        <v>607</v>
      </c>
      <c r="D267" s="70" t="s">
        <v>287</v>
      </c>
      <c r="E267" s="70">
        <v>1</v>
      </c>
      <c r="F267" s="70">
        <f t="shared" si="816"/>
        <v>4.5150501672240807E-2</v>
      </c>
      <c r="G267" s="70"/>
      <c r="H267" s="70"/>
      <c r="I267" s="118">
        <v>1.0999999999999999E-2</v>
      </c>
      <c r="J267" s="72">
        <v>1.3461538461538463</v>
      </c>
      <c r="K267" s="72">
        <v>8.6666666666666661</v>
      </c>
      <c r="L267" s="72">
        <v>5.760869565217392E-2</v>
      </c>
      <c r="M267" s="72">
        <v>5.1847826086956525E-2</v>
      </c>
      <c r="N267" s="72">
        <v>0</v>
      </c>
      <c r="O267" s="72">
        <v>0</v>
      </c>
      <c r="P267" s="72">
        <v>5.5741360089186183E-2</v>
      </c>
      <c r="Q267" s="73" t="s">
        <v>3</v>
      </c>
      <c r="R267" s="101">
        <v>0</v>
      </c>
      <c r="S267" s="75">
        <f t="shared" si="809"/>
        <v>0.19367407555760363</v>
      </c>
      <c r="T267" s="59">
        <f t="shared" si="789"/>
        <v>1.2014635289433746</v>
      </c>
      <c r="U267" s="59">
        <f t="shared" si="790"/>
        <v>0.86338409925767845</v>
      </c>
      <c r="V267" s="59">
        <f t="shared" si="791"/>
        <v>2.1059334691239067</v>
      </c>
      <c r="W267" s="59">
        <f t="shared" si="792"/>
        <v>1.7528068213406085</v>
      </c>
      <c r="X267" s="59">
        <f t="shared" si="793"/>
        <v>2.4391617484437678</v>
      </c>
      <c r="Y267" s="100">
        <v>162000</v>
      </c>
      <c r="Z267" s="57">
        <f t="shared" si="794"/>
        <v>395144.2032478904</v>
      </c>
      <c r="AA267" s="57">
        <f t="shared" si="795"/>
        <v>283954.70505717857</v>
      </c>
      <c r="AB267" s="57"/>
      <c r="AC267" s="57">
        <f t="shared" si="796"/>
        <v>0.25</v>
      </c>
      <c r="AD267" s="57">
        <f t="shared" si="797"/>
        <v>1.5</v>
      </c>
      <c r="AE267" s="57">
        <f t="shared" si="798"/>
        <v>200000</v>
      </c>
      <c r="AF267" s="57">
        <f t="shared" si="799"/>
        <v>166774.2627001892</v>
      </c>
      <c r="AG267" s="57">
        <f t="shared" si="708"/>
        <v>117180.44235698937</v>
      </c>
      <c r="AH267" s="112"/>
      <c r="AI267" s="112"/>
      <c r="AJ267" s="77">
        <v>1200000</v>
      </c>
      <c r="AK267" s="77">
        <v>18.399999999999999</v>
      </c>
      <c r="AL267" s="78">
        <f t="shared" si="800"/>
        <v>2.2792891467063137</v>
      </c>
      <c r="AM267" s="57">
        <f t="shared" si="801"/>
        <v>1</v>
      </c>
      <c r="AN267" s="57">
        <f t="shared" si="802"/>
        <v>0.8</v>
      </c>
      <c r="AO267" s="77">
        <v>1300</v>
      </c>
      <c r="AP267" s="79"/>
      <c r="AQ267" s="57">
        <f t="shared" si="803"/>
        <v>226.75410875151351</v>
      </c>
      <c r="AR267" s="57"/>
      <c r="AS267" s="57">
        <f t="shared" si="804"/>
        <v>1073.2458912484865</v>
      </c>
      <c r="AT267" s="77">
        <v>150</v>
      </c>
      <c r="AU267" s="77">
        <f>1600+150</f>
        <v>1750</v>
      </c>
      <c r="AV267" s="78">
        <f t="shared" si="805"/>
        <v>195000</v>
      </c>
      <c r="AW267" s="77">
        <v>0</v>
      </c>
      <c r="AX267" s="77">
        <f t="shared" si="806"/>
        <v>195000</v>
      </c>
      <c r="AY267" s="77">
        <f t="shared" ref="AY267:AY297" si="830">AO267*AT267</f>
        <v>195000</v>
      </c>
      <c r="AZ267" s="77">
        <f t="shared" si="820"/>
        <v>530</v>
      </c>
      <c r="BA267" s="77">
        <v>530</v>
      </c>
      <c r="BB267" s="77">
        <v>0</v>
      </c>
      <c r="BC267" s="77">
        <v>0</v>
      </c>
      <c r="BD267" s="77">
        <v>2E-3</v>
      </c>
      <c r="BE267" s="77">
        <v>1.8E-3</v>
      </c>
      <c r="BF267" s="77">
        <v>0</v>
      </c>
      <c r="BG267" s="77">
        <v>0</v>
      </c>
      <c r="BH267" s="79">
        <v>305</v>
      </c>
      <c r="BI267" s="79">
        <f t="shared" ref="BI267:BI282" si="831">PI()*10*10/4</f>
        <v>78.539816339744831</v>
      </c>
      <c r="BJ267" s="79">
        <v>1</v>
      </c>
      <c r="BK267" s="57">
        <f t="shared" si="709"/>
        <v>78.539816339744831</v>
      </c>
      <c r="BL267" s="57" t="b">
        <f t="shared" si="643"/>
        <v>0</v>
      </c>
      <c r="BM267" s="80"/>
      <c r="BN267" s="80"/>
      <c r="BO267" s="57"/>
      <c r="BP267" s="57">
        <f t="shared" si="807"/>
        <v>341161.22199807287</v>
      </c>
      <c r="BQ267" s="77">
        <f t="shared" si="808"/>
        <v>1.1641532182693481E-10</v>
      </c>
      <c r="BR267" s="57">
        <f t="shared" si="664"/>
        <v>597032138.49662757</v>
      </c>
      <c r="BS267" s="57">
        <v>453.50821750302703</v>
      </c>
      <c r="BT267" s="57">
        <f t="shared" si="810"/>
        <v>92.808778119402461</v>
      </c>
      <c r="BU267" s="57"/>
      <c r="BV267" s="57">
        <v>3.3E-3</v>
      </c>
      <c r="BW267" s="57">
        <v>30000</v>
      </c>
      <c r="BX267" s="57">
        <v>200000</v>
      </c>
      <c r="BY267" s="77">
        <v>40</v>
      </c>
      <c r="BZ267" s="77">
        <f t="shared" ref="BZ267:BZ272" si="832">40+305*1</f>
        <v>345</v>
      </c>
      <c r="CA267" s="77">
        <f t="shared" ref="CA267:CA272" si="833">40+305*2</f>
        <v>650</v>
      </c>
      <c r="CB267" s="77">
        <f t="shared" ref="CB267:CB272" si="834">40+305*3</f>
        <v>955</v>
      </c>
      <c r="CC267" s="77">
        <f t="shared" ref="CC267:CC272" si="835">40+305*4</f>
        <v>1260</v>
      </c>
      <c r="DM267" s="77">
        <f t="shared" ref="DM267:DQ268" si="836">PI()*10*10/4</f>
        <v>78.539816339744831</v>
      </c>
      <c r="DN267" s="77">
        <f t="shared" si="836"/>
        <v>78.539816339744831</v>
      </c>
      <c r="DO267" s="77">
        <f t="shared" si="836"/>
        <v>78.539816339744831</v>
      </c>
      <c r="DP267" s="77">
        <f t="shared" si="836"/>
        <v>78.539816339744831</v>
      </c>
      <c r="DQ267" s="77">
        <f t="shared" si="836"/>
        <v>78.539816339744831</v>
      </c>
      <c r="FA267" s="77">
        <f>IF(ABS(-$BV267*($BS267-BY267)/$BS267*$BX267)&gt;$BA267,$BA267*SIGN(-($BS267-BY267)),-$BV267*($BS267-BY267)/$BS267*$BX267)*DM267</f>
        <v>-41626.10266006476</v>
      </c>
      <c r="FB267" s="77">
        <f>IF(ABS(-$BV267*($BS267-BZ267)/$BS267*$BX267)&gt;$BA267,$BA267*SIGN(-($BS267-BZ267)),-$BV267*($BS267-BZ267)/$BS267*$BX267)*DN267</f>
        <v>-12402.558533196598</v>
      </c>
      <c r="FC267" s="77">
        <f t="shared" si="826"/>
        <v>22459.136181486509</v>
      </c>
      <c r="FD267" s="77">
        <f t="shared" si="727"/>
        <v>41626.10266006476</v>
      </c>
      <c r="FE267" s="77">
        <f t="shared" si="728"/>
        <v>41626.10266006476</v>
      </c>
      <c r="GO267" s="77">
        <f t="shared" si="696"/>
        <v>25391922.622639503</v>
      </c>
      <c r="GP267" s="77">
        <f t="shared" si="697"/>
        <v>3782780.3526249621</v>
      </c>
      <c r="GQ267" s="77">
        <f t="shared" si="698"/>
        <v>0</v>
      </c>
      <c r="GR267" s="77">
        <f t="shared" si="699"/>
        <v>12695961.311319752</v>
      </c>
      <c r="GS267" s="77">
        <f t="shared" si="712"/>
        <v>25391922.622639503</v>
      </c>
      <c r="IC267" s="82">
        <v>283</v>
      </c>
    </row>
    <row r="268" spans="1:237" s="77" customFormat="1">
      <c r="A268" s="77">
        <v>268</v>
      </c>
      <c r="B268" s="69">
        <v>397</v>
      </c>
      <c r="C268" s="69" t="s">
        <v>286</v>
      </c>
      <c r="D268" s="70" t="s">
        <v>288</v>
      </c>
      <c r="E268" s="70">
        <v>1</v>
      </c>
      <c r="F268" s="70">
        <f t="shared" si="816"/>
        <v>2.7844009537373381E-2</v>
      </c>
      <c r="G268" s="70"/>
      <c r="H268" s="70"/>
      <c r="I268" s="118">
        <v>9.7999999999999997E-3</v>
      </c>
      <c r="J268" s="72">
        <v>1.3461538461538463</v>
      </c>
      <c r="K268" s="72">
        <v>5.6521739130434785</v>
      </c>
      <c r="L268" s="72">
        <v>1.8660287081339714E-2</v>
      </c>
      <c r="M268" s="72">
        <v>1.7224880382775119E-2</v>
      </c>
      <c r="N268" s="72">
        <v>0</v>
      </c>
      <c r="O268" s="72">
        <v>0</v>
      </c>
      <c r="P268" s="72">
        <v>4.800691299547135E-2</v>
      </c>
      <c r="Q268" s="73" t="s">
        <v>3</v>
      </c>
      <c r="R268" s="101">
        <v>0</v>
      </c>
      <c r="S268" s="75">
        <f t="shared" si="809"/>
        <v>0.12729311577124822</v>
      </c>
      <c r="T268" s="59">
        <f t="shared" si="789"/>
        <v>0.37260894614818613</v>
      </c>
      <c r="U268" s="59">
        <f t="shared" si="790"/>
        <v>0.3247700111452001</v>
      </c>
      <c r="V268" s="59">
        <f t="shared" si="791"/>
        <v>0.83874836276959552</v>
      </c>
      <c r="W268" s="59">
        <f t="shared" si="792"/>
        <v>2.2510150962291346</v>
      </c>
      <c r="X268" s="59">
        <f t="shared" si="793"/>
        <v>2.5825917849126871</v>
      </c>
      <c r="Y268" s="100">
        <v>174000</v>
      </c>
      <c r="Z268" s="57">
        <f t="shared" si="794"/>
        <v>449370.97057480755</v>
      </c>
      <c r="AA268" s="57">
        <f t="shared" si="795"/>
        <v>391676.62674386939</v>
      </c>
      <c r="AB268" s="57"/>
      <c r="AC268" s="57">
        <f t="shared" si="796"/>
        <v>0.25</v>
      </c>
      <c r="AD268" s="57">
        <f t="shared" si="797"/>
        <v>1.5</v>
      </c>
      <c r="AE268" s="57">
        <f t="shared" si="798"/>
        <v>300000</v>
      </c>
      <c r="AF268" s="57">
        <f t="shared" si="799"/>
        <v>313717.14264180273</v>
      </c>
      <c r="AG268" s="57">
        <f t="shared" si="708"/>
        <v>77959.484102066664</v>
      </c>
      <c r="AH268" s="112"/>
      <c r="AI268" s="112"/>
      <c r="AJ268" s="77">
        <v>300000</v>
      </c>
      <c r="AK268" s="77">
        <v>20.9</v>
      </c>
      <c r="AL268" s="78">
        <f t="shared" si="800"/>
        <v>2.4447253577253663</v>
      </c>
      <c r="AM268" s="57">
        <f t="shared" si="801"/>
        <v>1</v>
      </c>
      <c r="AN268" s="57">
        <f t="shared" si="802"/>
        <v>0.8</v>
      </c>
      <c r="AO268" s="77">
        <v>1300</v>
      </c>
      <c r="AP268" s="79"/>
      <c r="AQ268" s="57">
        <f t="shared" si="803"/>
        <v>38.556878999976121</v>
      </c>
      <c r="AR268" s="57"/>
      <c r="AS268" s="57">
        <f t="shared" si="804"/>
        <v>1261.4431210000239</v>
      </c>
      <c r="AT268" s="77">
        <v>230</v>
      </c>
      <c r="AU268" s="77">
        <f>1600+150</f>
        <v>1750</v>
      </c>
      <c r="AV268" s="78">
        <f t="shared" si="805"/>
        <v>299000</v>
      </c>
      <c r="AW268" s="77">
        <v>0</v>
      </c>
      <c r="AX268" s="77">
        <f t="shared" si="806"/>
        <v>299000</v>
      </c>
      <c r="AY268" s="77">
        <f t="shared" si="830"/>
        <v>299000</v>
      </c>
      <c r="AZ268" s="77">
        <f t="shared" si="820"/>
        <v>300</v>
      </c>
      <c r="BA268" s="77">
        <v>300</v>
      </c>
      <c r="BB268" s="77">
        <v>0</v>
      </c>
      <c r="BC268" s="77">
        <v>0</v>
      </c>
      <c r="BD268" s="77">
        <v>1.2999999999999999E-3</v>
      </c>
      <c r="BE268" s="77">
        <v>1.1999999999999999E-3</v>
      </c>
      <c r="BF268" s="77">
        <v>0</v>
      </c>
      <c r="BG268" s="77">
        <v>0</v>
      </c>
      <c r="BH268" s="79">
        <v>305</v>
      </c>
      <c r="BI268" s="79">
        <f t="shared" si="831"/>
        <v>78.539816339744831</v>
      </c>
      <c r="BJ268" s="79">
        <v>1</v>
      </c>
      <c r="BK268" s="57">
        <f t="shared" si="709"/>
        <v>78.539816339744831</v>
      </c>
      <c r="BL268" s="57" t="b">
        <f t="shared" si="643"/>
        <v>0</v>
      </c>
      <c r="BM268" s="80"/>
      <c r="BN268" s="80"/>
      <c r="BO268" s="57"/>
      <c r="BP268" s="57">
        <f t="shared" si="807"/>
        <v>145942.21512190963</v>
      </c>
      <c r="BQ268" s="77">
        <f t="shared" si="808"/>
        <v>0</v>
      </c>
      <c r="BR268" s="57">
        <f t="shared" si="664"/>
        <v>255398876.46334183</v>
      </c>
      <c r="BS268" s="57">
        <v>77.113757999952242</v>
      </c>
      <c r="BT268" s="57">
        <f t="shared" si="810"/>
        <v>81.515680040824606</v>
      </c>
      <c r="BU268" s="57"/>
      <c r="BV268" s="57">
        <v>3.3E-3</v>
      </c>
      <c r="BW268" s="57">
        <v>30000</v>
      </c>
      <c r="BX268" s="57">
        <v>200000</v>
      </c>
      <c r="BY268" s="77">
        <v>40</v>
      </c>
      <c r="BZ268" s="77">
        <f t="shared" si="832"/>
        <v>345</v>
      </c>
      <c r="CA268" s="77">
        <f t="shared" si="833"/>
        <v>650</v>
      </c>
      <c r="CB268" s="77">
        <f t="shared" si="834"/>
        <v>955</v>
      </c>
      <c r="CC268" s="77">
        <f t="shared" si="835"/>
        <v>1260</v>
      </c>
      <c r="DM268" s="77">
        <f t="shared" si="836"/>
        <v>78.539816339744831</v>
      </c>
      <c r="DN268" s="77">
        <f t="shared" si="836"/>
        <v>78.539816339744831</v>
      </c>
      <c r="DO268" s="77">
        <f t="shared" si="836"/>
        <v>78.539816339744831</v>
      </c>
      <c r="DP268" s="77">
        <f t="shared" si="836"/>
        <v>78.539816339744831</v>
      </c>
      <c r="DQ268" s="77">
        <f t="shared" si="836"/>
        <v>78.539816339744831</v>
      </c>
      <c r="FA268" s="77">
        <f>IF(ABS(-$BV268*($BS268-BY268)/$BS268*$BX268)&gt;$BA268,$BA268*SIGN(-($BS268-BY268)),-$BV268*($BS268-BY268)/$BS268*$BX268)*DM268</f>
        <v>-23561.944901923449</v>
      </c>
      <c r="FB268" s="77">
        <f>IF(ABS(-$BV268*($BS268-BZ268)/$BS268*$BX268)&gt;$BA268,$BA268*SIGN(-($BS268-BZ268)),-$BV268*($BS268-BZ268)/$BS268*$BX268)*DN268</f>
        <v>23561.944901923449</v>
      </c>
      <c r="FC268" s="77">
        <f t="shared" si="826"/>
        <v>23561.944901923449</v>
      </c>
      <c r="FD268" s="77">
        <f t="shared" si="727"/>
        <v>23561.944901923449</v>
      </c>
      <c r="FE268" s="77">
        <f t="shared" si="728"/>
        <v>23561.944901923449</v>
      </c>
      <c r="GO268" s="77">
        <f t="shared" si="696"/>
        <v>14372786.390173303</v>
      </c>
      <c r="GP268" s="77">
        <f t="shared" si="697"/>
        <v>-7186393.1950866515</v>
      </c>
      <c r="GQ268" s="77">
        <f t="shared" si="698"/>
        <v>0</v>
      </c>
      <c r="GR268" s="77">
        <f t="shared" si="699"/>
        <v>7186393.1950866515</v>
      </c>
      <c r="GS268" s="77">
        <f t="shared" si="712"/>
        <v>14372786.390173303</v>
      </c>
      <c r="IC268" s="82">
        <v>284</v>
      </c>
    </row>
    <row r="269" spans="1:237" s="77" customFormat="1">
      <c r="A269" s="77">
        <v>269</v>
      </c>
      <c r="B269" s="69">
        <v>398</v>
      </c>
      <c r="C269" s="69" t="s">
        <v>286</v>
      </c>
      <c r="D269" s="70" t="s">
        <v>289</v>
      </c>
      <c r="E269" s="70">
        <v>1</v>
      </c>
      <c r="F269" s="70">
        <f t="shared" si="816"/>
        <v>4.1601255886970168E-2</v>
      </c>
      <c r="G269" s="70"/>
      <c r="H269" s="70"/>
      <c r="I269" s="118">
        <v>8.6999999999999994E-3</v>
      </c>
      <c r="J269" s="72">
        <v>0.92307692307692313</v>
      </c>
      <c r="K269" s="72">
        <v>8.6666666666666661</v>
      </c>
      <c r="L269" s="72">
        <v>3.5816326530612244E-2</v>
      </c>
      <c r="M269" s="72">
        <v>3.0443877551020408E-2</v>
      </c>
      <c r="N269" s="72">
        <v>0.27714285714285714</v>
      </c>
      <c r="O269" s="72">
        <v>0</v>
      </c>
      <c r="P269" s="72">
        <v>0</v>
      </c>
      <c r="Q269" s="73" t="s">
        <v>3</v>
      </c>
      <c r="R269" s="101">
        <v>0</v>
      </c>
      <c r="S269" s="75">
        <f t="shared" si="809"/>
        <v>0.18417661097683968</v>
      </c>
      <c r="T269" s="59">
        <f t="shared" si="789"/>
        <v>0.30690633794267869</v>
      </c>
      <c r="U269" s="59">
        <f t="shared" si="790"/>
        <v>0.25161761452614556</v>
      </c>
      <c r="V269" s="59">
        <f t="shared" si="791"/>
        <v>0.52567817562743457</v>
      </c>
      <c r="W269" s="59">
        <f t="shared" si="792"/>
        <v>1.7128293249050344</v>
      </c>
      <c r="X269" s="59">
        <f t="shared" si="793"/>
        <v>2.089194656015672</v>
      </c>
      <c r="Y269" s="100">
        <v>159000</v>
      </c>
      <c r="Z269" s="57">
        <f t="shared" si="794"/>
        <v>332181.95030649187</v>
      </c>
      <c r="AA269" s="57">
        <f t="shared" si="795"/>
        <v>272339.86265990045</v>
      </c>
      <c r="AB269" s="57"/>
      <c r="AC269" s="57">
        <f t="shared" si="796"/>
        <v>0.25</v>
      </c>
      <c r="AD269" s="57">
        <f t="shared" si="797"/>
        <v>1.5</v>
      </c>
      <c r="AE269" s="57">
        <f t="shared" si="798"/>
        <v>0</v>
      </c>
      <c r="AF269" s="57">
        <f t="shared" si="799"/>
        <v>180276.81991983249</v>
      </c>
      <c r="AG269" s="57">
        <f t="shared" si="708"/>
        <v>92063.042740067991</v>
      </c>
      <c r="AH269" s="112"/>
      <c r="AI269" s="112"/>
      <c r="AJ269" s="77">
        <v>0</v>
      </c>
      <c r="AK269" s="77">
        <v>19.600000000000001</v>
      </c>
      <c r="AL269" s="78">
        <f t="shared" si="800"/>
        <v>2.3598829314397931</v>
      </c>
      <c r="AM269" s="57">
        <f t="shared" si="801"/>
        <v>1</v>
      </c>
      <c r="AN269" s="57">
        <f t="shared" si="802"/>
        <v>0.8</v>
      </c>
      <c r="AO269" s="77">
        <v>1300</v>
      </c>
      <c r="AP269" s="79"/>
      <c r="AQ269" s="57">
        <f t="shared" si="803"/>
        <v>26.795458663964226</v>
      </c>
      <c r="AR269" s="57"/>
      <c r="AS269" s="57">
        <f t="shared" si="804"/>
        <v>1273.2045413360358</v>
      </c>
      <c r="AT269" s="77">
        <v>150</v>
      </c>
      <c r="AU269" s="77">
        <f>2400+150</f>
        <v>2550</v>
      </c>
      <c r="AV269" s="78">
        <f t="shared" si="805"/>
        <v>195000</v>
      </c>
      <c r="AW269" s="77">
        <v>0</v>
      </c>
      <c r="AX269" s="77">
        <f t="shared" si="806"/>
        <v>195000</v>
      </c>
      <c r="AY269" s="77">
        <f t="shared" si="830"/>
        <v>195000</v>
      </c>
      <c r="AZ269" s="77">
        <f t="shared" si="820"/>
        <v>351</v>
      </c>
      <c r="BA269" s="77">
        <v>351</v>
      </c>
      <c r="BB269" s="77">
        <v>388</v>
      </c>
      <c r="BC269" s="77">
        <v>0</v>
      </c>
      <c r="BD269" s="77">
        <v>2E-3</v>
      </c>
      <c r="BE269" s="77">
        <v>1.6999999999999999E-3</v>
      </c>
      <c r="BF269" s="77">
        <v>0</v>
      </c>
      <c r="BG269" s="77">
        <v>0</v>
      </c>
      <c r="BH269" s="79">
        <v>305</v>
      </c>
      <c r="BI269" s="79">
        <f t="shared" si="831"/>
        <v>78.539816339744831</v>
      </c>
      <c r="BJ269" s="79">
        <v>1</v>
      </c>
      <c r="BK269" s="57">
        <f t="shared" si="709"/>
        <v>78.539816339744831</v>
      </c>
      <c r="BL269" s="57" t="b">
        <f t="shared" si="643"/>
        <v>0</v>
      </c>
      <c r="BM269" s="80"/>
      <c r="BN269" s="80"/>
      <c r="BO269" s="57"/>
      <c r="BP269" s="57">
        <f t="shared" si="807"/>
        <v>83582.829924762103</v>
      </c>
      <c r="BQ269" s="77">
        <f t="shared" si="808"/>
        <v>1.650187186896801E-8</v>
      </c>
      <c r="BR269" s="57">
        <f t="shared" si="664"/>
        <v>213136216.30814335</v>
      </c>
      <c r="BS269" s="57">
        <v>53.590917327928452</v>
      </c>
      <c r="BT269" s="57">
        <f t="shared" si="810"/>
        <v>0</v>
      </c>
      <c r="BU269" s="57"/>
      <c r="BV269" s="57">
        <v>3.3E-3</v>
      </c>
      <c r="BW269" s="57">
        <v>30000</v>
      </c>
      <c r="BX269" s="57">
        <v>200000</v>
      </c>
      <c r="BY269" s="77">
        <v>40</v>
      </c>
      <c r="BZ269" s="77">
        <f t="shared" si="832"/>
        <v>345</v>
      </c>
      <c r="CA269" s="77">
        <f t="shared" si="833"/>
        <v>650</v>
      </c>
      <c r="CB269" s="77">
        <f t="shared" si="834"/>
        <v>955</v>
      </c>
      <c r="CC269" s="77">
        <f t="shared" si="835"/>
        <v>1260</v>
      </c>
      <c r="DM269" s="77">
        <f t="shared" ref="DM269:DM274" si="837">PI()*12*12/4*3</f>
        <v>339.29200658769764</v>
      </c>
      <c r="DN269" s="77">
        <f t="shared" ref="DN269:DP272" si="838">PI()*10*10/4</f>
        <v>78.539816339744831</v>
      </c>
      <c r="DO269" s="77">
        <f t="shared" si="838"/>
        <v>78.539816339744831</v>
      </c>
      <c r="DP269" s="77">
        <f t="shared" si="838"/>
        <v>78.539816339744831</v>
      </c>
      <c r="DQ269" s="77">
        <f>PI()*12*12/4*3</f>
        <v>339.29200658769764</v>
      </c>
      <c r="FA269" s="77">
        <f t="shared" ref="FA269:FA274" si="839">IF(ABS(-$BV269*($BS269-BY269)/$BS269*$BX269)&gt;$BB269,$BB269*SIGN(-($BS269-BY269)),-$BV269*($BS269-BY269)/$BS269*$BX269)*DM269</f>
        <v>-56790.428217651817</v>
      </c>
      <c r="FB269" s="77">
        <f t="shared" ref="FB269:FB276" si="840">IF(ABS(-$BV269*($BS269-BZ269)/$BS269*$BX269)&gt;$BA269,$BA269*SIGN(-($BS269-BZ269)),-$BV269*($BS269-BZ269)/$BS269*$BX269)*DN269</f>
        <v>27567.475535250436</v>
      </c>
      <c r="FC269" s="77">
        <f t="shared" si="826"/>
        <v>27567.475535250436</v>
      </c>
      <c r="FD269" s="77">
        <f>IF(ABS(-$BV269*($BS269-CB269)/$BS269*$BX269)&gt;$BA269,$BA269*SIGN(-($BS269-CB269)),-$BV269*($BS269-CB269)/$BS269*$BX269)*DP269</f>
        <v>27567.475535250436</v>
      </c>
      <c r="FE269" s="77">
        <f>IF(ABS(-$BV269*($BS269-CC269)/$BS269*$BX269)&gt;$BB269,$BB269*SIGN(-($BS269-CC269)),-$BV269*($BS269-CC269)/$BS269*$BX269)*DQ269</f>
        <v>131645.29855602668</v>
      </c>
      <c r="GO269" s="77">
        <f t="shared" si="696"/>
        <v>34642161.212767608</v>
      </c>
      <c r="GP269" s="77">
        <f t="shared" si="697"/>
        <v>-8408080.0382513832</v>
      </c>
      <c r="GQ269" s="77">
        <f t="shared" si="698"/>
        <v>0</v>
      </c>
      <c r="GR269" s="77">
        <f t="shared" si="699"/>
        <v>8408080.0382513832</v>
      </c>
      <c r="GS269" s="77">
        <f t="shared" si="712"/>
        <v>80303632.119176283</v>
      </c>
      <c r="IC269" s="82">
        <v>285</v>
      </c>
    </row>
    <row r="270" spans="1:237" s="77" customFormat="1">
      <c r="A270" s="77">
        <v>270</v>
      </c>
      <c r="B270" s="69">
        <v>399</v>
      </c>
      <c r="C270" s="69" t="s">
        <v>286</v>
      </c>
      <c r="D270" s="70" t="s">
        <v>290</v>
      </c>
      <c r="E270" s="70">
        <v>3</v>
      </c>
      <c r="F270" s="70">
        <f t="shared" si="816"/>
        <v>3.0760972789958298E-2</v>
      </c>
      <c r="G270" s="70"/>
      <c r="H270" s="70"/>
      <c r="I270" s="118">
        <v>1.0500000000000001E-2</v>
      </c>
      <c r="J270" s="72">
        <v>0.92307692307692313</v>
      </c>
      <c r="K270" s="72">
        <v>5.6521739130434785</v>
      </c>
      <c r="L270" s="72">
        <v>2.8166666666666666E-2</v>
      </c>
      <c r="M270" s="72">
        <v>2.3833333333333335E-2</v>
      </c>
      <c r="N270" s="72">
        <v>0.26358024691358029</v>
      </c>
      <c r="O270" s="72">
        <v>0</v>
      </c>
      <c r="P270" s="72">
        <v>0</v>
      </c>
      <c r="Q270" s="73" t="s">
        <v>3</v>
      </c>
      <c r="R270" s="101">
        <v>0</v>
      </c>
      <c r="S270" s="75">
        <f t="shared" si="809"/>
        <v>0.12381052718226261</v>
      </c>
      <c r="T270" s="59">
        <f t="shared" si="789"/>
        <v>0.20584725731733058</v>
      </c>
      <c r="U270" s="59">
        <f t="shared" si="790"/>
        <v>0.16922525245028872</v>
      </c>
      <c r="V270" s="59">
        <f t="shared" si="791"/>
        <v>0.47281631660527673</v>
      </c>
      <c r="W270" s="59">
        <f t="shared" si="792"/>
        <v>2.2969279395177526</v>
      </c>
      <c r="X270" s="59">
        <f t="shared" si="793"/>
        <v>2.7940056803529978</v>
      </c>
      <c r="Y270" s="100">
        <v>149000</v>
      </c>
      <c r="Z270" s="57">
        <f t="shared" si="794"/>
        <v>416306.84637259669</v>
      </c>
      <c r="AA270" s="57">
        <f t="shared" si="795"/>
        <v>342242.26298814511</v>
      </c>
      <c r="AB270" s="57"/>
      <c r="AC270" s="57">
        <f t="shared" si="796"/>
        <v>0.25</v>
      </c>
      <c r="AD270" s="57">
        <f t="shared" si="797"/>
        <v>1.5</v>
      </c>
      <c r="AE270" s="57">
        <f t="shared" si="798"/>
        <v>0</v>
      </c>
      <c r="AF270" s="57">
        <f t="shared" si="799"/>
        <v>249840.65172100364</v>
      </c>
      <c r="AG270" s="57">
        <f t="shared" si="708"/>
        <v>92401.611267141474</v>
      </c>
      <c r="AH270" s="112"/>
      <c r="AI270" s="112"/>
      <c r="AJ270" s="77">
        <v>0</v>
      </c>
      <c r="AK270" s="77">
        <v>16.2</v>
      </c>
      <c r="AL270" s="78">
        <f t="shared" si="800"/>
        <v>2.1251171585375825</v>
      </c>
      <c r="AM270" s="57">
        <f t="shared" si="801"/>
        <v>1</v>
      </c>
      <c r="AN270" s="57">
        <f t="shared" si="802"/>
        <v>0.8</v>
      </c>
      <c r="AO270" s="77">
        <v>1300</v>
      </c>
      <c r="AP270" s="79"/>
      <c r="AQ270" s="57">
        <f t="shared" si="803"/>
        <v>22.113156478487937</v>
      </c>
      <c r="AR270" s="57"/>
      <c r="AS270" s="57">
        <f t="shared" si="804"/>
        <v>1277.886843521512</v>
      </c>
      <c r="AT270" s="77">
        <v>230</v>
      </c>
      <c r="AU270" s="77">
        <f>2400+150</f>
        <v>2550</v>
      </c>
      <c r="AV270" s="78">
        <f t="shared" si="805"/>
        <v>299000</v>
      </c>
      <c r="AW270" s="77">
        <v>0</v>
      </c>
      <c r="AX270" s="77">
        <f t="shared" si="806"/>
        <v>299000</v>
      </c>
      <c r="AY270" s="77">
        <f t="shared" si="830"/>
        <v>299000</v>
      </c>
      <c r="AZ270" s="77">
        <f t="shared" si="820"/>
        <v>351</v>
      </c>
      <c r="BA270" s="77">
        <v>351</v>
      </c>
      <c r="BB270" s="77">
        <v>305</v>
      </c>
      <c r="BC270" s="77">
        <v>0</v>
      </c>
      <c r="BD270" s="77">
        <v>1.2999999999999999E-3</v>
      </c>
      <c r="BE270" s="77">
        <v>1.1000000000000001E-3</v>
      </c>
      <c r="BF270" s="77">
        <v>0</v>
      </c>
      <c r="BG270" s="77">
        <v>0</v>
      </c>
      <c r="BH270" s="79">
        <v>305</v>
      </c>
      <c r="BI270" s="79">
        <f t="shared" si="831"/>
        <v>78.539816339744831</v>
      </c>
      <c r="BJ270" s="79">
        <v>1</v>
      </c>
      <c r="BK270" s="57">
        <f t="shared" si="709"/>
        <v>78.539816339744831</v>
      </c>
      <c r="BL270" s="57" t="b">
        <f t="shared" ref="BL270:BL333" si="841">IF(BF270=0,FALSE,BD270*AR270*AT270)</f>
        <v>0</v>
      </c>
      <c r="BM270" s="80"/>
      <c r="BN270" s="80"/>
      <c r="BO270" s="57"/>
      <c r="BP270" s="57">
        <f t="shared" si="807"/>
        <v>70449.63117418623</v>
      </c>
      <c r="BQ270" s="77">
        <f t="shared" si="808"/>
        <v>1.4842953532934189E-9</v>
      </c>
      <c r="BR270" s="57">
        <f t="shared" si="664"/>
        <v>179646559.4941749</v>
      </c>
      <c r="BS270" s="57">
        <v>44.226312956975875</v>
      </c>
      <c r="BT270" s="57">
        <f t="shared" si="810"/>
        <v>0</v>
      </c>
      <c r="BU270" s="57"/>
      <c r="BV270" s="57">
        <v>3.3E-3</v>
      </c>
      <c r="BW270" s="57">
        <v>30000</v>
      </c>
      <c r="BX270" s="57">
        <v>200000</v>
      </c>
      <c r="BY270" s="77">
        <v>40</v>
      </c>
      <c r="BZ270" s="77">
        <f t="shared" si="832"/>
        <v>345</v>
      </c>
      <c r="CA270" s="77">
        <f t="shared" si="833"/>
        <v>650</v>
      </c>
      <c r="CB270" s="77">
        <f t="shared" si="834"/>
        <v>955</v>
      </c>
      <c r="CC270" s="77">
        <f t="shared" si="835"/>
        <v>1260</v>
      </c>
      <c r="DM270" s="77">
        <f t="shared" si="837"/>
        <v>339.29200658769764</v>
      </c>
      <c r="DN270" s="77">
        <f t="shared" si="838"/>
        <v>78.539816339744831</v>
      </c>
      <c r="DO270" s="77">
        <f t="shared" si="838"/>
        <v>78.539816339744831</v>
      </c>
      <c r="DP270" s="77">
        <f t="shared" si="838"/>
        <v>78.539816339744831</v>
      </c>
      <c r="DQ270" s="77">
        <f>PI()*12*12/4*3</f>
        <v>339.29200658769764</v>
      </c>
      <c r="FA270" s="77">
        <f t="shared" si="839"/>
        <v>-21399.246537305469</v>
      </c>
      <c r="FB270" s="77">
        <f t="shared" si="840"/>
        <v>27567.475535250436</v>
      </c>
      <c r="FC270" s="77">
        <f t="shared" si="826"/>
        <v>27567.475535250436</v>
      </c>
      <c r="FD270" s="77">
        <f>IF(ABS(-$BV270*($BS270-CB270)/$BS270*$BX270)&gt;$BA270,$BA270*SIGN(-($BS270-CB270)),-$BV270*($BS270-CB270)/$BS270*$BX270)*DP270</f>
        <v>27567.475535250436</v>
      </c>
      <c r="FE270" s="77">
        <f>IF(ABS(-$BV270*($BS270-CC270)/$BS270*$BX270)&gt;$BB270,$BB270*SIGN(-($BS270-CC270)),-$BV270*($BS270-CC270)/$BS270*$BX270)*DQ270</f>
        <v>103484.06200924778</v>
      </c>
      <c r="GO270" s="77">
        <f t="shared" si="696"/>
        <v>13053540.387756336</v>
      </c>
      <c r="GP270" s="77">
        <f t="shared" si="697"/>
        <v>-8408080.0382513832</v>
      </c>
      <c r="GQ270" s="77">
        <f t="shared" si="698"/>
        <v>0</v>
      </c>
      <c r="GR270" s="77">
        <f t="shared" si="699"/>
        <v>8408080.0382513832</v>
      </c>
      <c r="GS270" s="77">
        <f t="shared" si="712"/>
        <v>63125277.82564114</v>
      </c>
      <c r="IC270" s="82">
        <v>286</v>
      </c>
    </row>
    <row r="271" spans="1:237" s="77" customFormat="1">
      <c r="A271" s="77">
        <v>271</v>
      </c>
      <c r="B271" s="69">
        <v>404</v>
      </c>
      <c r="C271" s="69" t="s">
        <v>286</v>
      </c>
      <c r="D271" s="70" t="s">
        <v>291</v>
      </c>
      <c r="E271" s="70">
        <v>1</v>
      </c>
      <c r="F271" s="70">
        <f t="shared" si="816"/>
        <v>6.6006600660066E-2</v>
      </c>
      <c r="G271" s="70"/>
      <c r="H271" s="70"/>
      <c r="I271" s="118">
        <v>2E-3</v>
      </c>
      <c r="J271" s="72">
        <v>0.92307692307692313</v>
      </c>
      <c r="K271" s="72">
        <v>8.6666666666666661</v>
      </c>
      <c r="L271" s="72">
        <v>4.8514851485148516E-2</v>
      </c>
      <c r="M271" s="72">
        <v>4.123762376237624E-2</v>
      </c>
      <c r="N271" s="72">
        <v>0.20861386138613863</v>
      </c>
      <c r="O271" s="72">
        <v>0</v>
      </c>
      <c r="P271" s="72">
        <v>5.0774308200050779E-2</v>
      </c>
      <c r="Q271" s="73" t="s">
        <v>3</v>
      </c>
      <c r="R271" s="101">
        <v>0</v>
      </c>
      <c r="S271" s="75">
        <f t="shared" si="809"/>
        <v>0.29666277299332316</v>
      </c>
      <c r="T271" s="59">
        <f t="shared" si="789"/>
        <v>0.37721405200845204</v>
      </c>
      <c r="U271" s="59">
        <f t="shared" si="790"/>
        <v>0.32193523380455796</v>
      </c>
      <c r="V271" s="59">
        <f t="shared" si="791"/>
        <v>0.47242633437847575</v>
      </c>
      <c r="W271" s="59">
        <f t="shared" si="792"/>
        <v>1.2524091609606589</v>
      </c>
      <c r="X271" s="59">
        <f t="shared" si="793"/>
        <v>1.4674576895341587</v>
      </c>
      <c r="Y271" s="100">
        <v>260000</v>
      </c>
      <c r="Z271" s="57">
        <f t="shared" si="794"/>
        <v>381538.99927888124</v>
      </c>
      <c r="AA271" s="57">
        <f t="shared" si="795"/>
        <v>325626.38184977131</v>
      </c>
      <c r="AB271" s="57"/>
      <c r="AC271" s="57">
        <f t="shared" si="796"/>
        <v>0.25</v>
      </c>
      <c r="AD271" s="57">
        <f t="shared" si="797"/>
        <v>1.5</v>
      </c>
      <c r="AE271" s="57">
        <f t="shared" si="798"/>
        <v>200000</v>
      </c>
      <c r="AF271" s="57">
        <f t="shared" si="799"/>
        <v>199655.10216643012</v>
      </c>
      <c r="AG271" s="57">
        <f t="shared" si="708"/>
        <v>125971.27968334117</v>
      </c>
      <c r="AH271" s="112"/>
      <c r="AI271" s="112"/>
      <c r="AJ271" s="77">
        <v>200000</v>
      </c>
      <c r="AK271" s="77">
        <v>20.2</v>
      </c>
      <c r="AL271" s="78">
        <f t="shared" si="800"/>
        <v>2.3993459598346174</v>
      </c>
      <c r="AM271" s="57">
        <f t="shared" si="801"/>
        <v>1</v>
      </c>
      <c r="AN271" s="57">
        <f t="shared" si="802"/>
        <v>0.8</v>
      </c>
      <c r="AO271" s="77">
        <v>1300</v>
      </c>
      <c r="AP271" s="79"/>
      <c r="AQ271" s="57">
        <f t="shared" si="803"/>
        <v>52.055037957000806</v>
      </c>
      <c r="AR271" s="57"/>
      <c r="AS271" s="57">
        <f t="shared" si="804"/>
        <v>1247.9449620429991</v>
      </c>
      <c r="AT271" s="77">
        <v>150</v>
      </c>
      <c r="AU271" s="77">
        <f>2400+150</f>
        <v>2550</v>
      </c>
      <c r="AV271" s="78">
        <f t="shared" si="805"/>
        <v>195000</v>
      </c>
      <c r="AW271" s="77">
        <v>0</v>
      </c>
      <c r="AX271" s="77">
        <f t="shared" si="806"/>
        <v>195000</v>
      </c>
      <c r="AY271" s="77">
        <f t="shared" si="830"/>
        <v>195000</v>
      </c>
      <c r="AZ271" s="77">
        <f t="shared" si="820"/>
        <v>490</v>
      </c>
      <c r="BA271" s="77">
        <v>490</v>
      </c>
      <c r="BB271" s="77">
        <v>301</v>
      </c>
      <c r="BC271" s="77">
        <v>0</v>
      </c>
      <c r="BD271" s="77">
        <v>2E-3</v>
      </c>
      <c r="BE271" s="77">
        <v>1.6999999999999999E-3</v>
      </c>
      <c r="BF271" s="77">
        <v>0</v>
      </c>
      <c r="BG271" s="77">
        <v>0</v>
      </c>
      <c r="BH271" s="79">
        <v>305</v>
      </c>
      <c r="BI271" s="79">
        <f t="shared" si="831"/>
        <v>78.539816339744831</v>
      </c>
      <c r="BJ271" s="79">
        <v>1</v>
      </c>
      <c r="BK271" s="57">
        <f t="shared" si="709"/>
        <v>78.539816339744831</v>
      </c>
      <c r="BL271" s="57" t="b">
        <f t="shared" si="841"/>
        <v>0</v>
      </c>
      <c r="BM271" s="80"/>
      <c r="BN271" s="80"/>
      <c r="BO271" s="57"/>
      <c r="BP271" s="57">
        <f t="shared" si="807"/>
        <v>122830.8469384037</v>
      </c>
      <c r="BQ271" s="77">
        <f t="shared" si="808"/>
        <v>0</v>
      </c>
      <c r="BR271" s="57">
        <f t="shared" si="664"/>
        <v>313218659.69292945</v>
      </c>
      <c r="BS271" s="57">
        <v>104.11007591400161</v>
      </c>
      <c r="BT271" s="57">
        <f t="shared" si="810"/>
        <v>85.738765006580465</v>
      </c>
      <c r="BU271" s="57"/>
      <c r="BV271" s="57">
        <v>3.3E-3</v>
      </c>
      <c r="BW271" s="57">
        <v>30000</v>
      </c>
      <c r="BX271" s="57">
        <v>200000</v>
      </c>
      <c r="BY271" s="77">
        <v>40</v>
      </c>
      <c r="BZ271" s="77">
        <f t="shared" si="832"/>
        <v>345</v>
      </c>
      <c r="CA271" s="77">
        <f t="shared" si="833"/>
        <v>650</v>
      </c>
      <c r="CB271" s="77">
        <f t="shared" si="834"/>
        <v>955</v>
      </c>
      <c r="CC271" s="77">
        <f t="shared" si="835"/>
        <v>1260</v>
      </c>
      <c r="DM271" s="77">
        <f t="shared" si="837"/>
        <v>339.29200658769764</v>
      </c>
      <c r="DN271" s="77">
        <f t="shared" si="838"/>
        <v>78.539816339744831</v>
      </c>
      <c r="DO271" s="77">
        <f t="shared" si="838"/>
        <v>78.539816339744831</v>
      </c>
      <c r="DP271" s="77">
        <f t="shared" si="838"/>
        <v>78.539816339744831</v>
      </c>
      <c r="DQ271" s="77">
        <f>PI()*12*12/4*3</f>
        <v>339.29200658769764</v>
      </c>
      <c r="FA271" s="77">
        <f t="shared" si="839"/>
        <v>-102126.89398289699</v>
      </c>
      <c r="FB271" s="77">
        <f t="shared" si="840"/>
        <v>38484.510006474964</v>
      </c>
      <c r="FC271" s="77">
        <f t="shared" si="826"/>
        <v>38484.510006474964</v>
      </c>
      <c r="FD271" s="77">
        <f>IF(ABS(-$BV271*($BS271-CB271)/$BS271*$BX271)&gt;$BA271,$BA271*SIGN(-($BS271-CB271)),-$BV271*($BS271-CB271)/$BS271*$BX271)*DP271</f>
        <v>38484.510006474964</v>
      </c>
      <c r="FE271" s="77">
        <f>IF(ABS(-$BV271*($BS271-CC271)/$BS271*$BX271)&gt;$BB271,$BB271*SIGN(-($BS271-CC271)),-$BV271*($BS271-CC271)/$BS271*$BX271)*DQ271</f>
        <v>102126.89398289699</v>
      </c>
      <c r="GO271" s="77">
        <f t="shared" si="696"/>
        <v>62297405.329567164</v>
      </c>
      <c r="GP271" s="77">
        <f t="shared" si="697"/>
        <v>-11737775.551974865</v>
      </c>
      <c r="GQ271" s="77">
        <f t="shared" si="698"/>
        <v>0</v>
      </c>
      <c r="GR271" s="77">
        <f t="shared" si="699"/>
        <v>11737775.551974865</v>
      </c>
      <c r="GS271" s="77">
        <f t="shared" si="712"/>
        <v>62297405.329567164</v>
      </c>
      <c r="IC271" s="82">
        <v>287</v>
      </c>
    </row>
    <row r="272" spans="1:237" s="77" customFormat="1">
      <c r="A272" s="77">
        <v>272</v>
      </c>
      <c r="B272" s="69">
        <v>405</v>
      </c>
      <c r="C272" s="69" t="s">
        <v>286</v>
      </c>
      <c r="D272" s="70" t="s">
        <v>292</v>
      </c>
      <c r="E272" s="70">
        <v>3</v>
      </c>
      <c r="F272" s="70">
        <f t="shared" si="816"/>
        <v>5.3373074323738882E-2</v>
      </c>
      <c r="G272" s="70"/>
      <c r="H272" s="70"/>
      <c r="I272" s="118">
        <v>4.0000000000000001E-3</v>
      </c>
      <c r="J272" s="72">
        <v>0.92307692307692313</v>
      </c>
      <c r="K272" s="72">
        <v>5.6521739130434785</v>
      </c>
      <c r="L272" s="72">
        <v>3.3005181347150261E-2</v>
      </c>
      <c r="M272" s="72">
        <v>2.7927461139896373E-2</v>
      </c>
      <c r="N272" s="72">
        <v>0.21834196891191712</v>
      </c>
      <c r="O272" s="72">
        <v>0</v>
      </c>
      <c r="P272" s="72">
        <v>5.1986760704940474E-2</v>
      </c>
      <c r="Q272" s="73" t="s">
        <v>3</v>
      </c>
      <c r="R272" s="101">
        <v>0</v>
      </c>
      <c r="S272" s="75">
        <f t="shared" si="809"/>
        <v>0.23447733730876838</v>
      </c>
      <c r="T272" s="59">
        <f t="shared" si="789"/>
        <v>0.34515921809238626</v>
      </c>
      <c r="U272" s="59">
        <f t="shared" si="790"/>
        <v>0.30055403481795401</v>
      </c>
      <c r="V272" s="59">
        <f t="shared" si="791"/>
        <v>0.47771594770641157</v>
      </c>
      <c r="W272" s="59">
        <f t="shared" si="792"/>
        <v>1.3840451671742542</v>
      </c>
      <c r="X272" s="59">
        <f t="shared" si="793"/>
        <v>1.5894511214789209</v>
      </c>
      <c r="Y272" s="100">
        <v>308000</v>
      </c>
      <c r="Z272" s="57">
        <f t="shared" si="794"/>
        <v>489550.94541550759</v>
      </c>
      <c r="AA272" s="57">
        <f t="shared" si="795"/>
        <v>426285.91148967028</v>
      </c>
      <c r="AB272" s="57"/>
      <c r="AC272" s="57">
        <f t="shared" si="796"/>
        <v>0.25</v>
      </c>
      <c r="AD272" s="57">
        <f t="shared" si="797"/>
        <v>1.5</v>
      </c>
      <c r="AE272" s="57">
        <f t="shared" si="798"/>
        <v>300000</v>
      </c>
      <c r="AF272" s="57">
        <f t="shared" si="799"/>
        <v>299783.75341818418</v>
      </c>
      <c r="AG272" s="57">
        <f t="shared" si="708"/>
        <v>126502.15807148609</v>
      </c>
      <c r="AH272" s="112"/>
      <c r="AI272" s="112"/>
      <c r="AJ272" s="77">
        <v>300000</v>
      </c>
      <c r="AK272" s="77">
        <v>19.3</v>
      </c>
      <c r="AL272" s="78">
        <f t="shared" si="800"/>
        <v>2.3399476417667282</v>
      </c>
      <c r="AM272" s="57">
        <f t="shared" si="801"/>
        <v>1</v>
      </c>
      <c r="AN272" s="57">
        <f t="shared" si="802"/>
        <v>0.8</v>
      </c>
      <c r="AO272" s="77">
        <v>1300</v>
      </c>
      <c r="AP272" s="79"/>
      <c r="AQ272" s="57">
        <f t="shared" si="803"/>
        <v>46.795847039767132</v>
      </c>
      <c r="AR272" s="57"/>
      <c r="AS272" s="57">
        <f t="shared" si="804"/>
        <v>1253.2041529602329</v>
      </c>
      <c r="AT272" s="77">
        <v>230</v>
      </c>
      <c r="AU272" s="77">
        <f>2400+150</f>
        <v>2550</v>
      </c>
      <c r="AV272" s="78">
        <f t="shared" si="805"/>
        <v>299000</v>
      </c>
      <c r="AW272" s="77">
        <v>0</v>
      </c>
      <c r="AX272" s="77">
        <f t="shared" si="806"/>
        <v>299000</v>
      </c>
      <c r="AY272" s="77">
        <f t="shared" si="830"/>
        <v>299000</v>
      </c>
      <c r="AZ272" s="77">
        <f t="shared" si="820"/>
        <v>490</v>
      </c>
      <c r="BA272" s="77">
        <v>490</v>
      </c>
      <c r="BB272" s="77">
        <v>301</v>
      </c>
      <c r="BC272" s="77">
        <v>0</v>
      </c>
      <c r="BD272" s="77">
        <v>1.2999999999999999E-3</v>
      </c>
      <c r="BE272" s="77">
        <v>1.1000000000000001E-3</v>
      </c>
      <c r="BF272" s="77">
        <v>0</v>
      </c>
      <c r="BG272" s="77">
        <v>0</v>
      </c>
      <c r="BH272" s="79">
        <v>305</v>
      </c>
      <c r="BI272" s="79">
        <f t="shared" si="831"/>
        <v>78.539816339744831</v>
      </c>
      <c r="BJ272" s="79">
        <v>1</v>
      </c>
      <c r="BK272" s="57">
        <f t="shared" si="709"/>
        <v>78.539816339744831</v>
      </c>
      <c r="BL272" s="57" t="b">
        <f t="shared" si="841"/>
        <v>0</v>
      </c>
      <c r="BM272" s="80"/>
      <c r="BN272" s="80"/>
      <c r="BO272" s="57"/>
      <c r="BP272" s="57">
        <f t="shared" si="807"/>
        <v>147136.51189357476</v>
      </c>
      <c r="BQ272" s="77">
        <f t="shared" si="808"/>
        <v>3.722670953720808E-7</v>
      </c>
      <c r="BR272" s="57">
        <f t="shared" si="664"/>
        <v>375198105.32861561</v>
      </c>
      <c r="BS272" s="57">
        <v>93.591694079534264</v>
      </c>
      <c r="BT272" s="57">
        <f t="shared" si="810"/>
        <v>87.167446204792171</v>
      </c>
      <c r="BU272" s="57"/>
      <c r="BV272" s="57">
        <v>3.3E-3</v>
      </c>
      <c r="BW272" s="57">
        <v>30000</v>
      </c>
      <c r="BX272" s="57">
        <v>200000</v>
      </c>
      <c r="BY272" s="77">
        <v>40</v>
      </c>
      <c r="BZ272" s="77">
        <f t="shared" si="832"/>
        <v>345</v>
      </c>
      <c r="CA272" s="77">
        <f t="shared" si="833"/>
        <v>650</v>
      </c>
      <c r="CB272" s="77">
        <f t="shared" si="834"/>
        <v>955</v>
      </c>
      <c r="CC272" s="77">
        <f t="shared" si="835"/>
        <v>1260</v>
      </c>
      <c r="DM272" s="77">
        <f t="shared" si="837"/>
        <v>339.29200658769764</v>
      </c>
      <c r="DN272" s="77">
        <f t="shared" si="838"/>
        <v>78.539816339744831</v>
      </c>
      <c r="DO272" s="77">
        <f t="shared" si="838"/>
        <v>78.539816339744831</v>
      </c>
      <c r="DP272" s="77">
        <f t="shared" si="838"/>
        <v>78.539816339744831</v>
      </c>
      <c r="DQ272" s="77">
        <f>PI()*12*12/4*3</f>
        <v>339.29200658769764</v>
      </c>
      <c r="FA272" s="77">
        <f t="shared" si="839"/>
        <v>-102126.89398289699</v>
      </c>
      <c r="FB272" s="77">
        <f t="shared" si="840"/>
        <v>38484.510006474964</v>
      </c>
      <c r="FC272" s="77">
        <f t="shared" si="826"/>
        <v>38484.510006474964</v>
      </c>
      <c r="FD272" s="77">
        <f>IF(ABS(-$BV272*($BS272-CB272)/$BS272*$BX272)&gt;$BA272,$BA272*SIGN(-($BS272-CB272)),-$BV272*($BS272-CB272)/$BS272*$BX272)*DP272</f>
        <v>38484.510006474964</v>
      </c>
      <c r="FE272" s="77">
        <f>IF(ABS(-$BV272*($BS272-CC272)/$BS272*$BX272)&gt;$BB272,$BB272*SIGN(-($BS272-CC272)),-$BV272*($BS272-CC272)/$BS272*$BX272)*DQ272</f>
        <v>102126.89398289699</v>
      </c>
      <c r="GO272" s="77">
        <f t="shared" si="696"/>
        <v>62297405.329567164</v>
      </c>
      <c r="GP272" s="77">
        <f t="shared" si="697"/>
        <v>-11737775.551974865</v>
      </c>
      <c r="GQ272" s="77">
        <f t="shared" si="698"/>
        <v>0</v>
      </c>
      <c r="GR272" s="77">
        <f t="shared" si="699"/>
        <v>11737775.551974865</v>
      </c>
      <c r="GS272" s="77">
        <f t="shared" si="712"/>
        <v>62297405.329567164</v>
      </c>
      <c r="IC272" s="82">
        <v>288</v>
      </c>
    </row>
    <row r="273" spans="1:237" s="77" customFormat="1">
      <c r="A273" s="77">
        <v>273</v>
      </c>
      <c r="B273" s="69">
        <v>406</v>
      </c>
      <c r="C273" s="69" t="s">
        <v>286</v>
      </c>
      <c r="D273" s="70" t="s">
        <v>293</v>
      </c>
      <c r="E273" s="70">
        <v>1</v>
      </c>
      <c r="F273" s="70">
        <f t="shared" si="816"/>
        <v>5.7040998217468809E-2</v>
      </c>
      <c r="G273" s="70"/>
      <c r="H273" s="70"/>
      <c r="I273" s="118">
        <v>3.5000000000000001E-3</v>
      </c>
      <c r="J273" s="72">
        <v>0.8</v>
      </c>
      <c r="K273" s="72">
        <v>6.666666666666667</v>
      </c>
      <c r="L273" s="72">
        <v>3.7540106951871662E-2</v>
      </c>
      <c r="M273" s="72">
        <v>3.7540106951871662E-2</v>
      </c>
      <c r="N273" s="72">
        <v>0.24032085561497327</v>
      </c>
      <c r="O273" s="72">
        <v>0</v>
      </c>
      <c r="P273" s="72">
        <v>0</v>
      </c>
      <c r="Q273" s="73" t="s">
        <v>3</v>
      </c>
      <c r="R273" s="101">
        <v>0</v>
      </c>
      <c r="S273" s="75">
        <f t="shared" si="809"/>
        <v>0.24666522136686947</v>
      </c>
      <c r="T273" s="59">
        <f t="shared" si="789"/>
        <v>0.35469732518574221</v>
      </c>
      <c r="U273" s="59">
        <f t="shared" si="790"/>
        <v>0.27210464579086591</v>
      </c>
      <c r="V273" s="59">
        <f t="shared" si="791"/>
        <v>0.45486222151383715</v>
      </c>
      <c r="W273" s="59">
        <f t="shared" si="792"/>
        <v>1.2823954093131156</v>
      </c>
      <c r="X273" s="59">
        <f t="shared" si="793"/>
        <v>1.6716444520518587</v>
      </c>
      <c r="Y273" s="100">
        <v>160000</v>
      </c>
      <c r="Z273" s="57">
        <f t="shared" si="794"/>
        <v>267463.1123282974</v>
      </c>
      <c r="AA273" s="57">
        <f t="shared" si="795"/>
        <v>205183.26549009851</v>
      </c>
      <c r="AB273" s="57"/>
      <c r="AC273" s="57">
        <f t="shared" si="796"/>
        <v>0.25</v>
      </c>
      <c r="AD273" s="57">
        <f t="shared" si="797"/>
        <v>1.5</v>
      </c>
      <c r="AE273" s="57">
        <f t="shared" si="798"/>
        <v>0</v>
      </c>
      <c r="AF273" s="57">
        <f t="shared" si="799"/>
        <v>134630.20061397797</v>
      </c>
      <c r="AG273" s="57">
        <f t="shared" si="708"/>
        <v>70553.064876120552</v>
      </c>
      <c r="AH273" s="112"/>
      <c r="AI273" s="112"/>
      <c r="AJ273" s="77">
        <v>0</v>
      </c>
      <c r="AK273" s="77">
        <v>18.7</v>
      </c>
      <c r="AL273" s="78">
        <f t="shared" si="800"/>
        <v>2.2996540283827951</v>
      </c>
      <c r="AM273" s="57">
        <f t="shared" si="801"/>
        <v>1</v>
      </c>
      <c r="AN273" s="57">
        <f t="shared" si="802"/>
        <v>0.8</v>
      </c>
      <c r="AO273" s="77">
        <v>1000</v>
      </c>
      <c r="AP273" s="79"/>
      <c r="AQ273" s="57">
        <f t="shared" si="803"/>
        <v>24.272064751590111</v>
      </c>
      <c r="AR273" s="57"/>
      <c r="AS273" s="57">
        <f t="shared" si="804"/>
        <v>975.72793524840984</v>
      </c>
      <c r="AT273" s="77">
        <v>150</v>
      </c>
      <c r="AU273" s="77">
        <f>1600+150</f>
        <v>1750</v>
      </c>
      <c r="AV273" s="78">
        <f t="shared" si="805"/>
        <v>150000</v>
      </c>
      <c r="AW273" s="77">
        <v>0</v>
      </c>
      <c r="AX273" s="77">
        <f t="shared" si="806"/>
        <v>150000</v>
      </c>
      <c r="AY273" s="77">
        <f t="shared" si="830"/>
        <v>150000</v>
      </c>
      <c r="AZ273" s="77">
        <f t="shared" si="820"/>
        <v>351</v>
      </c>
      <c r="BA273" s="77">
        <v>351</v>
      </c>
      <c r="BB273" s="77">
        <v>321</v>
      </c>
      <c r="BC273" s="77">
        <v>0</v>
      </c>
      <c r="BD273" s="77">
        <v>2.0999999999999999E-3</v>
      </c>
      <c r="BE273" s="77">
        <v>2E-3</v>
      </c>
      <c r="BF273" s="77">
        <v>0</v>
      </c>
      <c r="BG273" s="77">
        <v>0</v>
      </c>
      <c r="BH273" s="79">
        <v>305</v>
      </c>
      <c r="BI273" s="79">
        <f t="shared" si="831"/>
        <v>78.539816339744831</v>
      </c>
      <c r="BJ273" s="79">
        <v>1</v>
      </c>
      <c r="BK273" s="57">
        <f t="shared" si="709"/>
        <v>78.539816339744831</v>
      </c>
      <c r="BL273" s="57" t="b">
        <f t="shared" si="841"/>
        <v>0</v>
      </c>
      <c r="BM273" s="80"/>
      <c r="BN273" s="80"/>
      <c r="BO273" s="57"/>
      <c r="BP273" s="57">
        <f t="shared" si="807"/>
        <v>72777.955442213948</v>
      </c>
      <c r="BQ273" s="77">
        <f t="shared" si="808"/>
        <v>0</v>
      </c>
      <c r="BR273" s="57">
        <f t="shared" si="664"/>
        <v>127361422.02387442</v>
      </c>
      <c r="BS273" s="57">
        <v>48.544129503180223</v>
      </c>
      <c r="BT273" s="57">
        <f t="shared" si="810"/>
        <v>0</v>
      </c>
      <c r="BU273" s="57"/>
      <c r="BV273" s="57">
        <v>3.3E-3</v>
      </c>
      <c r="BW273" s="57">
        <v>30000</v>
      </c>
      <c r="BX273" s="57">
        <v>200000</v>
      </c>
      <c r="BY273" s="77">
        <f>42.5</f>
        <v>42.5</v>
      </c>
      <c r="BZ273" s="77">
        <f>42.5+305*1</f>
        <v>347.5</v>
      </c>
      <c r="CA273" s="77">
        <f>42.5+305*2</f>
        <v>652.5</v>
      </c>
      <c r="CB273" s="77">
        <f>42.5+305*3</f>
        <v>957.5</v>
      </c>
      <c r="DM273" s="77">
        <f t="shared" si="837"/>
        <v>339.29200658769764</v>
      </c>
      <c r="DN273" s="77">
        <f>PI()*10*10/4</f>
        <v>78.539816339744831</v>
      </c>
      <c r="DO273" s="77">
        <f>PI()*10*10/4</f>
        <v>78.539816339744831</v>
      </c>
      <c r="DP273" s="77">
        <f>PI()*12*12/4*3</f>
        <v>339.29200658769764</v>
      </c>
      <c r="FA273" s="77">
        <f t="shared" si="839"/>
        <v>-27881.401928731244</v>
      </c>
      <c r="FB273" s="77">
        <f t="shared" si="840"/>
        <v>27567.475535250436</v>
      </c>
      <c r="FC273" s="77">
        <f t="shared" si="826"/>
        <v>27567.475535250436</v>
      </c>
      <c r="FD273" s="77">
        <f>IF(ABS(-$BV273*($BS273-CB273)/$BS273*$BX273)&gt;$BB273,$BB273*SIGN(-($BS273-CB273)),-$BV273*($BS273-CB273)/$BS273*$BX273)*DP273</f>
        <v>108912.73411465094</v>
      </c>
      <c r="GO273" s="77">
        <f t="shared" si="696"/>
        <v>12755741.382394545</v>
      </c>
      <c r="GP273" s="77">
        <f t="shared" si="697"/>
        <v>-4204040.0191256916</v>
      </c>
      <c r="GQ273" s="77">
        <f t="shared" si="698"/>
        <v>4204040.0191256916</v>
      </c>
      <c r="GR273" s="77">
        <f t="shared" si="699"/>
        <v>49827575.85745281</v>
      </c>
      <c r="IC273" s="82">
        <v>289</v>
      </c>
    </row>
    <row r="274" spans="1:237" s="77" customFormat="1" ht="15.75" thickBot="1">
      <c r="A274" s="77">
        <v>274</v>
      </c>
      <c r="B274" s="69">
        <v>407</v>
      </c>
      <c r="C274" s="113" t="s">
        <v>286</v>
      </c>
      <c r="D274" s="114" t="s">
        <v>294</v>
      </c>
      <c r="E274" s="114">
        <v>1</v>
      </c>
      <c r="F274" s="114">
        <f t="shared" si="816"/>
        <v>3.0475416497358798E-2</v>
      </c>
      <c r="G274" s="114"/>
      <c r="H274" s="114"/>
      <c r="I274" s="148">
        <v>3.5000000000000001E-3</v>
      </c>
      <c r="J274" s="115">
        <v>0.8</v>
      </c>
      <c r="K274" s="116">
        <f>AO274/AT274</f>
        <v>4.3478260869565215</v>
      </c>
      <c r="L274" s="115">
        <v>2.1322429906542057E-2</v>
      </c>
      <c r="M274" s="115">
        <v>2.1322429906542057E-2</v>
      </c>
      <c r="N274" s="115">
        <v>0.21</v>
      </c>
      <c r="O274" s="115">
        <v>0</v>
      </c>
      <c r="P274" s="115">
        <v>0</v>
      </c>
      <c r="Q274" s="117" t="s">
        <v>3</v>
      </c>
      <c r="R274" s="115">
        <v>0</v>
      </c>
      <c r="S274" s="75">
        <f t="shared" si="809"/>
        <v>0.14097968516319032</v>
      </c>
      <c r="T274" s="59">
        <f t="shared" si="789"/>
        <v>0.25091965551371781</v>
      </c>
      <c r="U274" s="59">
        <f t="shared" si="790"/>
        <v>0.19915375507507135</v>
      </c>
      <c r="V274" s="59">
        <f t="shared" si="791"/>
        <v>0.4925002933268548</v>
      </c>
      <c r="W274" s="59">
        <f t="shared" si="792"/>
        <v>1.9627808444043144</v>
      </c>
      <c r="X274" s="59">
        <f t="shared" si="793"/>
        <v>2.4729651376204576</v>
      </c>
      <c r="Y274" s="100">
        <v>150000</v>
      </c>
      <c r="Z274" s="57">
        <f t="shared" si="794"/>
        <v>370944.77064306865</v>
      </c>
      <c r="AA274" s="57">
        <f t="shared" si="795"/>
        <v>294417.12666064716</v>
      </c>
      <c r="AB274" s="57"/>
      <c r="AC274" s="57">
        <f t="shared" si="796"/>
        <v>0.25</v>
      </c>
      <c r="AD274" s="57">
        <f t="shared" si="797"/>
        <v>1.5</v>
      </c>
      <c r="AE274" s="57">
        <f t="shared" si="798"/>
        <v>0</v>
      </c>
      <c r="AF274" s="57">
        <f t="shared" si="799"/>
        <v>223493.98537137546</v>
      </c>
      <c r="AG274" s="57">
        <f t="shared" si="708"/>
        <v>70923.14128927172</v>
      </c>
      <c r="AH274" s="112"/>
      <c r="AI274" s="112"/>
      <c r="AJ274" s="77">
        <v>0</v>
      </c>
      <c r="AK274" s="77">
        <v>21.4</v>
      </c>
      <c r="AL274" s="78">
        <f t="shared" si="800"/>
        <v>2.4767216198255024</v>
      </c>
      <c r="AM274" s="57">
        <f t="shared" si="801"/>
        <v>1</v>
      </c>
      <c r="AN274" s="57">
        <f t="shared" si="802"/>
        <v>0.8</v>
      </c>
      <c r="AO274" s="77">
        <v>1000</v>
      </c>
      <c r="AP274" s="79"/>
      <c r="AQ274" s="57">
        <f t="shared" si="803"/>
        <v>19.154017858487222</v>
      </c>
      <c r="AR274" s="57"/>
      <c r="AS274" s="57">
        <f t="shared" si="804"/>
        <v>980.84598214151276</v>
      </c>
      <c r="AT274" s="77">
        <v>230</v>
      </c>
      <c r="AU274" s="77">
        <f>1600+150</f>
        <v>1750</v>
      </c>
      <c r="AV274" s="78">
        <f t="shared" si="805"/>
        <v>230000</v>
      </c>
      <c r="AW274" s="77">
        <v>0</v>
      </c>
      <c r="AX274" s="77">
        <f t="shared" si="806"/>
        <v>230000</v>
      </c>
      <c r="AY274" s="77">
        <f t="shared" si="830"/>
        <v>230000</v>
      </c>
      <c r="AZ274" s="77">
        <f t="shared" si="820"/>
        <v>351</v>
      </c>
      <c r="BA274" s="77">
        <v>351</v>
      </c>
      <c r="BB274" s="77">
        <v>321</v>
      </c>
      <c r="BC274" s="77">
        <v>0</v>
      </c>
      <c r="BD274" s="77">
        <v>1.4E-3</v>
      </c>
      <c r="BE274" s="77">
        <v>1.2999999999999999E-3</v>
      </c>
      <c r="BF274" s="77">
        <v>0</v>
      </c>
      <c r="BG274" s="77">
        <v>0</v>
      </c>
      <c r="BH274" s="79">
        <v>305</v>
      </c>
      <c r="BI274" s="79">
        <f t="shared" si="831"/>
        <v>78.539816339744831</v>
      </c>
      <c r="BJ274" s="79">
        <v>1</v>
      </c>
      <c r="BK274" s="57">
        <f t="shared" si="709"/>
        <v>78.539816339744831</v>
      </c>
      <c r="BL274" s="57" t="b">
        <f t="shared" si="841"/>
        <v>0</v>
      </c>
      <c r="BM274" s="80"/>
      <c r="BN274" s="80"/>
      <c r="BO274" s="57"/>
      <c r="BP274" s="57">
        <f t="shared" si="807"/>
        <v>73875.043999028218</v>
      </c>
      <c r="BQ274" s="77">
        <f t="shared" si="808"/>
        <v>5.2677933126688004E-9</v>
      </c>
      <c r="BR274" s="57">
        <f t="shared" si="664"/>
        <v>129281326.99829939</v>
      </c>
      <c r="BS274" s="57">
        <v>38.308035716974445</v>
      </c>
      <c r="BT274" s="57">
        <f t="shared" si="810"/>
        <v>0</v>
      </c>
      <c r="BU274" s="57"/>
      <c r="BV274" s="57">
        <v>3.3E-3</v>
      </c>
      <c r="BW274" s="57">
        <v>30000</v>
      </c>
      <c r="BX274" s="57">
        <v>200000</v>
      </c>
      <c r="BY274" s="77">
        <f>42.5</f>
        <v>42.5</v>
      </c>
      <c r="BZ274" s="77">
        <f>42.5+305*1</f>
        <v>347.5</v>
      </c>
      <c r="CA274" s="77">
        <f>42.5+305*2</f>
        <v>652.5</v>
      </c>
      <c r="CB274" s="77">
        <f>42.5+305*3</f>
        <v>957.5</v>
      </c>
      <c r="DM274" s="77">
        <f t="shared" si="837"/>
        <v>339.29200658769764</v>
      </c>
      <c r="DN274" s="77">
        <f>PI()*10*10/4</f>
        <v>78.539816339744831</v>
      </c>
      <c r="DO274" s="77">
        <f>PI()*10*10/4</f>
        <v>78.539816339744831</v>
      </c>
      <c r="DP274" s="77">
        <f>PI()*12*12/4*3</f>
        <v>339.29200658769764</v>
      </c>
      <c r="FA274" s="77">
        <f t="shared" si="839"/>
        <v>24504.466613801666</v>
      </c>
      <c r="FB274" s="77">
        <f t="shared" si="840"/>
        <v>27567.475535250436</v>
      </c>
      <c r="FC274" s="77">
        <f t="shared" si="826"/>
        <v>27567.475535250436</v>
      </c>
      <c r="FD274" s="77">
        <f>IF(ABS(-$BV274*($BS274-CB274)/$BS274*$BX274)&gt;$BB274,$BB274*SIGN(-($BS274-CB274)),-$BV274*($BS274-CB274)/$BS274*$BX274)*DP274</f>
        <v>108912.73411465094</v>
      </c>
      <c r="GO274" s="77">
        <f t="shared" si="696"/>
        <v>-11210793.475814262</v>
      </c>
      <c r="GP274" s="77">
        <f t="shared" si="697"/>
        <v>-4204040.0191256916</v>
      </c>
      <c r="GQ274" s="77">
        <f t="shared" si="698"/>
        <v>4204040.0191256916</v>
      </c>
      <c r="GR274" s="77">
        <f t="shared" si="699"/>
        <v>49827575.85745281</v>
      </c>
      <c r="IC274" s="82">
        <v>290</v>
      </c>
    </row>
    <row r="275" spans="1:237" s="77" customFormat="1">
      <c r="A275" s="77">
        <v>275</v>
      </c>
      <c r="B275" s="69">
        <v>414</v>
      </c>
      <c r="C275" s="107" t="s">
        <v>295</v>
      </c>
      <c r="D275" s="108" t="s">
        <v>479</v>
      </c>
      <c r="E275" s="108">
        <v>1</v>
      </c>
      <c r="F275" s="108">
        <f t="shared" si="816"/>
        <v>9.8684210526315791E-2</v>
      </c>
      <c r="G275" s="108">
        <v>3.1666667000000001E-3</v>
      </c>
      <c r="H275" s="108"/>
      <c r="I275" s="108">
        <f>3.8*3.1/AU275</f>
        <v>8.7259259259259252E-3</v>
      </c>
      <c r="J275" s="109">
        <v>1</v>
      </c>
      <c r="K275" s="109">
        <v>12</v>
      </c>
      <c r="L275" s="109">
        <v>0</v>
      </c>
      <c r="M275" s="109">
        <v>0.17960526315789474</v>
      </c>
      <c r="N275" s="109">
        <v>0.15736842105263157</v>
      </c>
      <c r="O275" s="109">
        <v>0</v>
      </c>
      <c r="P275" s="109">
        <v>0</v>
      </c>
      <c r="Q275" s="110" t="s">
        <v>3</v>
      </c>
      <c r="R275" s="111">
        <v>0</v>
      </c>
      <c r="S275" s="75">
        <f t="shared" si="809"/>
        <v>0.54410718758250876</v>
      </c>
      <c r="T275" s="59">
        <f t="shared" si="789"/>
        <v>0.35771709383005096</v>
      </c>
      <c r="U275" s="59">
        <f t="shared" si="790"/>
        <v>0.2738428574309813</v>
      </c>
      <c r="V275" s="59">
        <f t="shared" si="791"/>
        <v>0.62421611043239733</v>
      </c>
      <c r="W275" s="59">
        <f t="shared" si="792"/>
        <v>1.7449993897383005</v>
      </c>
      <c r="X275" s="59">
        <f t="shared" si="793"/>
        <v>2.2794682917363409</v>
      </c>
      <c r="Y275" s="100">
        <v>360000</v>
      </c>
      <c r="Z275" s="57">
        <f t="shared" si="794"/>
        <v>820608.58502508269</v>
      </c>
      <c r="AA275" s="57">
        <f t="shared" si="795"/>
        <v>628199.78030578815</v>
      </c>
      <c r="AB275" s="112"/>
      <c r="AC275" s="57">
        <f t="shared" si="796"/>
        <v>0.25</v>
      </c>
      <c r="AD275" s="57">
        <f t="shared" si="797"/>
        <v>1.5</v>
      </c>
      <c r="AE275" s="57">
        <f t="shared" si="798"/>
        <v>0</v>
      </c>
      <c r="AF275" s="57">
        <f t="shared" si="799"/>
        <v>135821.13189496982</v>
      </c>
      <c r="AG275" s="57">
        <f t="shared" si="708"/>
        <v>492378.64841081831</v>
      </c>
      <c r="AH275" s="112"/>
      <c r="AI275" s="112"/>
      <c r="AJ275" s="77">
        <v>0</v>
      </c>
      <c r="AK275" s="77">
        <v>30.4</v>
      </c>
      <c r="AL275" s="78">
        <f t="shared" si="800"/>
        <v>3.0042086403915436</v>
      </c>
      <c r="AM275" s="57">
        <f t="shared" si="801"/>
        <v>1</v>
      </c>
      <c r="AN275" s="57">
        <f t="shared" si="802"/>
        <v>0.8</v>
      </c>
      <c r="AO275" s="77">
        <v>1200</v>
      </c>
      <c r="AP275" s="79"/>
      <c r="AQ275" s="77">
        <f t="shared" si="803"/>
        <v>69.742849507382786</v>
      </c>
      <c r="AS275" s="77">
        <f t="shared" si="804"/>
        <v>1130.2571504926173</v>
      </c>
      <c r="AT275" s="77">
        <v>100</v>
      </c>
      <c r="AU275" s="77">
        <f t="shared" ref="AU275:AU282" si="842">1200+150</f>
        <v>1350</v>
      </c>
      <c r="AV275" s="78">
        <f t="shared" si="805"/>
        <v>120000</v>
      </c>
      <c r="AW275" s="77">
        <v>0</v>
      </c>
      <c r="AX275" s="77">
        <f t="shared" si="806"/>
        <v>120000</v>
      </c>
      <c r="AY275" s="77">
        <f t="shared" si="830"/>
        <v>120000</v>
      </c>
      <c r="AZ275" s="77">
        <f t="shared" si="820"/>
        <v>520</v>
      </c>
      <c r="BA275" s="77">
        <v>520</v>
      </c>
      <c r="BB275" s="77">
        <v>0</v>
      </c>
      <c r="BC275" s="77">
        <v>0</v>
      </c>
      <c r="BD275" s="77">
        <v>9.1999999999999998E-3</v>
      </c>
      <c r="BE275" s="77">
        <v>1.0500000000000001E-2</v>
      </c>
      <c r="BF275" s="77">
        <v>0</v>
      </c>
      <c r="BG275" s="77">
        <v>0</v>
      </c>
      <c r="BH275" s="79">
        <v>150</v>
      </c>
      <c r="BI275" s="79">
        <f t="shared" si="831"/>
        <v>78.539816339744831</v>
      </c>
      <c r="BJ275" s="79">
        <v>2</v>
      </c>
      <c r="BK275" s="57">
        <f t="shared" si="709"/>
        <v>157.07963267948966</v>
      </c>
      <c r="BL275" s="57" t="b">
        <f t="shared" si="841"/>
        <v>0</v>
      </c>
      <c r="BM275" s="80"/>
      <c r="BN275" s="80"/>
      <c r="BO275" s="57"/>
      <c r="BP275" s="57">
        <f t="shared" si="807"/>
        <v>224717.79975566303</v>
      </c>
      <c r="BQ275" s="77">
        <f t="shared" si="808"/>
        <v>6.9849193096160889E-10</v>
      </c>
      <c r="BR275" s="57">
        <f t="shared" ref="BR275:BR338" si="843">-AM275*AT275*BS275*AK275*(BS275/2-0.5*AO275)+SUM(GO275:IB275)</f>
        <v>303369029.67014509</v>
      </c>
      <c r="BS275" s="57">
        <v>139.48569901476557</v>
      </c>
      <c r="BT275" s="57">
        <f t="shared" si="810"/>
        <v>0</v>
      </c>
      <c r="BU275" s="57"/>
      <c r="BV275" s="57">
        <v>3.3E-3</v>
      </c>
      <c r="BW275" s="57">
        <v>30000</v>
      </c>
      <c r="BX275" s="57">
        <v>200000</v>
      </c>
      <c r="BY275" s="77">
        <v>60</v>
      </c>
      <c r="BZ275" s="77">
        <f>BY275+180*1</f>
        <v>240</v>
      </c>
      <c r="CA275" s="77">
        <f>BY275+180*2</f>
        <v>420</v>
      </c>
      <c r="CB275" s="77">
        <f>BY275+180*3</f>
        <v>600</v>
      </c>
      <c r="CC275" s="77">
        <f>BY275+180*4</f>
        <v>780</v>
      </c>
      <c r="CD275" s="77">
        <f>BY275+180*5</f>
        <v>960</v>
      </c>
      <c r="CE275" s="77">
        <f>BY275+180*6</f>
        <v>1140</v>
      </c>
      <c r="DM275" s="77">
        <f t="shared" ref="DM275:DS282" si="844">PI()*10*10/4*2</f>
        <v>157.07963267948966</v>
      </c>
      <c r="DN275" s="77">
        <f t="shared" si="844"/>
        <v>157.07963267948966</v>
      </c>
      <c r="DO275" s="77">
        <f t="shared" si="844"/>
        <v>157.07963267948966</v>
      </c>
      <c r="DP275" s="77">
        <f t="shared" si="844"/>
        <v>157.07963267948966</v>
      </c>
      <c r="DQ275" s="77">
        <f t="shared" si="844"/>
        <v>157.07963267948966</v>
      </c>
      <c r="DR275" s="77">
        <f t="shared" si="844"/>
        <v>157.07963267948966</v>
      </c>
      <c r="DS275" s="77">
        <f t="shared" si="844"/>
        <v>157.07963267948966</v>
      </c>
      <c r="FA275" s="77">
        <f>IF(ABS(-$BV275*($BS275-BY275)/$BS275*$BX275)&gt;$BA275,$BA275*SIGN(-($BS275-BY275)),-$BV275*($BS275-BY275)/$BS275*$BX275)*DM275</f>
        <v>-59077.638533434932</v>
      </c>
      <c r="FB275" s="77">
        <f t="shared" si="840"/>
        <v>74707.118571649829</v>
      </c>
      <c r="FC275" s="77">
        <f t="shared" si="826"/>
        <v>81681.408993334626</v>
      </c>
      <c r="FD275" s="77">
        <f t="shared" ref="FD275:FG276" si="845">IF(ABS(-$BV275*($BS275-CB275)/$BS275*$BX275)&gt;$BA275,$BA275*SIGN(-($BS275-CB275)),-$BV275*($BS275-CB275)/$BS275*$BX275)*DP275</f>
        <v>81681.408993334626</v>
      </c>
      <c r="FE275" s="77">
        <f t="shared" si="845"/>
        <v>81681.408993334626</v>
      </c>
      <c r="FF275" s="77">
        <f t="shared" si="845"/>
        <v>81681.408993334626</v>
      </c>
      <c r="FG275" s="77">
        <f t="shared" si="845"/>
        <v>81681.408993334626</v>
      </c>
      <c r="GO275" s="77">
        <f t="shared" si="696"/>
        <v>31901924.808054864</v>
      </c>
      <c r="GP275" s="77">
        <f t="shared" si="697"/>
        <v>-26894562.68579394</v>
      </c>
      <c r="GQ275" s="77">
        <f t="shared" si="698"/>
        <v>-14702653.618800232</v>
      </c>
      <c r="GR275" s="77">
        <f t="shared" si="699"/>
        <v>0</v>
      </c>
      <c r="GS275" s="77">
        <f t="shared" ref="GS275:GS290" si="846">FE275*(CC275-0.5*$AO275)</f>
        <v>14702653.618800232</v>
      </c>
      <c r="GT275" s="77">
        <f t="shared" ref="GT275:GT290" si="847">FF275*(CD275-0.5*$AO275)</f>
        <v>29405307.237600464</v>
      </c>
      <c r="GU275" s="77">
        <f t="shared" ref="GU275:GU290" si="848">FG275*(CE275-0.5*$AO275)</f>
        <v>44107960.856400698</v>
      </c>
      <c r="IC275" s="82">
        <v>291</v>
      </c>
    </row>
    <row r="276" spans="1:237" s="77" customFormat="1">
      <c r="A276" s="77">
        <v>276</v>
      </c>
      <c r="B276" s="69">
        <v>415</v>
      </c>
      <c r="C276" s="69" t="s">
        <v>295</v>
      </c>
      <c r="D276" s="70" t="s">
        <v>296</v>
      </c>
      <c r="E276" s="70">
        <v>1</v>
      </c>
      <c r="F276" s="70">
        <f t="shared" si="816"/>
        <v>6.6141356255969438E-2</v>
      </c>
      <c r="G276" s="70">
        <v>4.1666669999999998E-3</v>
      </c>
      <c r="H276" s="70"/>
      <c r="I276" s="70">
        <f>5*2.8/AU276</f>
        <v>1.037037037037037E-2</v>
      </c>
      <c r="J276" s="72">
        <v>1.5</v>
      </c>
      <c r="K276" s="72">
        <v>12</v>
      </c>
      <c r="L276" s="72">
        <v>0</v>
      </c>
      <c r="M276" s="72">
        <v>0.15644699140401147</v>
      </c>
      <c r="N276" s="72">
        <v>0.13707736389684813</v>
      </c>
      <c r="O276" s="72">
        <v>0</v>
      </c>
      <c r="P276" s="72">
        <v>0</v>
      </c>
      <c r="Q276" s="73" t="s">
        <v>3</v>
      </c>
      <c r="R276" s="101">
        <v>0</v>
      </c>
      <c r="S276" s="75">
        <f t="shared" si="809"/>
        <v>0.39073814423156772</v>
      </c>
      <c r="T276" s="59">
        <f t="shared" si="789"/>
        <v>0.35443014030720332</v>
      </c>
      <c r="U276" s="59">
        <f t="shared" si="790"/>
        <v>0.2737810026287375</v>
      </c>
      <c r="V276" s="59">
        <f t="shared" si="791"/>
        <v>0.82275507131447712</v>
      </c>
      <c r="W276" s="59">
        <f t="shared" si="792"/>
        <v>2.3213462337073021</v>
      </c>
      <c r="X276" s="59">
        <f t="shared" si="793"/>
        <v>3.005157638458134</v>
      </c>
      <c r="Y276" s="100">
        <v>277000</v>
      </c>
      <c r="Z276" s="57">
        <f t="shared" si="794"/>
        <v>832428.66585290316</v>
      </c>
      <c r="AA276" s="57">
        <f t="shared" si="795"/>
        <v>643012.90673692268</v>
      </c>
      <c r="AB276" s="112"/>
      <c r="AC276" s="57">
        <f t="shared" si="796"/>
        <v>0.25</v>
      </c>
      <c r="AD276" s="57">
        <f t="shared" si="797"/>
        <v>1.5</v>
      </c>
      <c r="AE276" s="57">
        <f t="shared" si="798"/>
        <v>0</v>
      </c>
      <c r="AF276" s="57">
        <f t="shared" si="799"/>
        <v>147475.03258818047</v>
      </c>
      <c r="AG276" s="57">
        <f t="shared" si="708"/>
        <v>495537.87414874224</v>
      </c>
      <c r="AH276" s="112"/>
      <c r="AI276" s="112"/>
      <c r="AJ276" s="77">
        <v>0</v>
      </c>
      <c r="AK276" s="77">
        <v>34.9</v>
      </c>
      <c r="AL276" s="78">
        <f t="shared" si="800"/>
        <v>3.2411833905621954</v>
      </c>
      <c r="AM276" s="57">
        <f t="shared" si="801"/>
        <v>1</v>
      </c>
      <c r="AN276" s="57">
        <f t="shared" si="802"/>
        <v>0.8</v>
      </c>
      <c r="AO276" s="77">
        <v>1200</v>
      </c>
      <c r="AP276" s="79"/>
      <c r="AQ276" s="77">
        <f t="shared" si="803"/>
        <v>62.490834230453942</v>
      </c>
      <c r="AS276" s="77">
        <f t="shared" si="804"/>
        <v>1137.5091657695461</v>
      </c>
      <c r="AT276" s="77">
        <v>100</v>
      </c>
      <c r="AU276" s="77">
        <f t="shared" si="842"/>
        <v>1350</v>
      </c>
      <c r="AV276" s="78">
        <f t="shared" si="805"/>
        <v>120000</v>
      </c>
      <c r="AW276" s="77">
        <v>0</v>
      </c>
      <c r="AX276" s="77">
        <f t="shared" si="806"/>
        <v>120000</v>
      </c>
      <c r="AY276" s="77">
        <f t="shared" si="830"/>
        <v>120000</v>
      </c>
      <c r="AZ276" s="77">
        <f t="shared" si="820"/>
        <v>520</v>
      </c>
      <c r="BA276" s="77">
        <v>520</v>
      </c>
      <c r="BB276" s="77">
        <v>0</v>
      </c>
      <c r="BC276" s="77">
        <v>0</v>
      </c>
      <c r="BD276" s="77">
        <v>9.1999999999999998E-3</v>
      </c>
      <c r="BE276" s="77">
        <v>1.0500000000000001E-2</v>
      </c>
      <c r="BF276" s="77">
        <v>0</v>
      </c>
      <c r="BG276" s="77">
        <v>0</v>
      </c>
      <c r="BH276" s="79">
        <v>150</v>
      </c>
      <c r="BI276" s="79">
        <f t="shared" si="831"/>
        <v>78.539816339744831</v>
      </c>
      <c r="BJ276" s="79">
        <v>2</v>
      </c>
      <c r="BK276" s="57">
        <f t="shared" si="709"/>
        <v>157.07963267948966</v>
      </c>
      <c r="BL276" s="57" t="b">
        <f t="shared" si="841"/>
        <v>0</v>
      </c>
      <c r="BM276" s="80"/>
      <c r="BN276" s="80"/>
      <c r="BO276" s="57"/>
      <c r="BP276" s="57">
        <f t="shared" si="807"/>
        <v>227903.15475411015</v>
      </c>
      <c r="BQ276" s="77">
        <f t="shared" si="808"/>
        <v>0</v>
      </c>
      <c r="BR276" s="57">
        <f t="shared" si="843"/>
        <v>307669258.91804868</v>
      </c>
      <c r="BS276" s="57">
        <v>124.98166846090788</v>
      </c>
      <c r="BT276" s="57">
        <f t="shared" si="810"/>
        <v>0</v>
      </c>
      <c r="BU276" s="57"/>
      <c r="BV276" s="57">
        <v>3.3E-3</v>
      </c>
      <c r="BW276" s="57">
        <v>30000</v>
      </c>
      <c r="BX276" s="57">
        <v>200000</v>
      </c>
      <c r="BY276" s="77">
        <v>60</v>
      </c>
      <c r="BZ276" s="77">
        <f>BY276+180*1</f>
        <v>240</v>
      </c>
      <c r="CA276" s="77">
        <f>BY276+180*2</f>
        <v>420</v>
      </c>
      <c r="CB276" s="77">
        <f>BY276+180*3</f>
        <v>600</v>
      </c>
      <c r="CC276" s="77">
        <f>BY276+180*4</f>
        <v>780</v>
      </c>
      <c r="CD276" s="77">
        <f>BY276+180*5</f>
        <v>960</v>
      </c>
      <c r="CE276" s="77">
        <f>BY276+180*6</f>
        <v>1140</v>
      </c>
      <c r="DM276" s="77">
        <f t="shared" si="844"/>
        <v>157.07963267948966</v>
      </c>
      <c r="DN276" s="77">
        <f t="shared" si="844"/>
        <v>157.07963267948966</v>
      </c>
      <c r="DO276" s="77">
        <f t="shared" si="844"/>
        <v>157.07963267948966</v>
      </c>
      <c r="DP276" s="77">
        <f t="shared" si="844"/>
        <v>157.07963267948966</v>
      </c>
      <c r="DQ276" s="77">
        <f t="shared" si="844"/>
        <v>157.07963267948966</v>
      </c>
      <c r="DR276" s="77">
        <f t="shared" si="844"/>
        <v>157.07963267948966</v>
      </c>
      <c r="DS276" s="77">
        <f t="shared" si="844"/>
        <v>157.07963267948966</v>
      </c>
      <c r="FA276" s="77">
        <f>IF(ABS(-$BV276*($BS276-BY276)/$BS276*$BX276)&gt;$BA276,$BA276*SIGN(-($BS276-BY276)),-$BV276*($BS276-BY276)/$BS276*$BX276)*DM276</f>
        <v>-53902.43103143898</v>
      </c>
      <c r="FB276" s="77">
        <f t="shared" si="840"/>
        <v>81681.408993334626</v>
      </c>
      <c r="FC276" s="77">
        <f t="shared" si="826"/>
        <v>81681.408993334626</v>
      </c>
      <c r="FD276" s="77">
        <f t="shared" si="845"/>
        <v>81681.408993334626</v>
      </c>
      <c r="FE276" s="77">
        <f t="shared" si="845"/>
        <v>81681.408993334626</v>
      </c>
      <c r="FF276" s="77">
        <f t="shared" si="845"/>
        <v>81681.408993334626</v>
      </c>
      <c r="FG276" s="77">
        <f t="shared" si="845"/>
        <v>81681.408993334626</v>
      </c>
      <c r="GO276" s="77">
        <f t="shared" si="696"/>
        <v>29107312.756977048</v>
      </c>
      <c r="GP276" s="77">
        <f t="shared" si="697"/>
        <v>-29405307.237600464</v>
      </c>
      <c r="GQ276" s="77">
        <f t="shared" si="698"/>
        <v>-14702653.618800232</v>
      </c>
      <c r="GR276" s="77">
        <f t="shared" si="699"/>
        <v>0</v>
      </c>
      <c r="GS276" s="77">
        <f t="shared" si="846"/>
        <v>14702653.618800232</v>
      </c>
      <c r="GT276" s="77">
        <f t="shared" si="847"/>
        <v>29405307.237600464</v>
      </c>
      <c r="GU276" s="77">
        <f t="shared" si="848"/>
        <v>44107960.856400698</v>
      </c>
      <c r="IC276" s="82">
        <v>292</v>
      </c>
    </row>
    <row r="277" spans="1:237" s="77" customFormat="1">
      <c r="A277" s="77">
        <v>277</v>
      </c>
      <c r="B277" s="69">
        <v>416</v>
      </c>
      <c r="C277" s="69" t="s">
        <v>295</v>
      </c>
      <c r="D277" s="70" t="s">
        <v>297</v>
      </c>
      <c r="E277" s="70">
        <v>1</v>
      </c>
      <c r="F277" s="70">
        <f t="shared" si="816"/>
        <v>0.10771780303030301</v>
      </c>
      <c r="G277" s="70">
        <v>4.0000000000000001E-3</v>
      </c>
      <c r="H277" s="70"/>
      <c r="I277" s="70">
        <f>4.8*3.1/AU277</f>
        <v>1.1022222222222221E-2</v>
      </c>
      <c r="J277" s="72">
        <v>1</v>
      </c>
      <c r="K277" s="72">
        <v>12</v>
      </c>
      <c r="L277" s="72">
        <v>0</v>
      </c>
      <c r="M277" s="72">
        <v>0.15511363636363634</v>
      </c>
      <c r="N277" s="72">
        <v>0.32499999999999996</v>
      </c>
      <c r="O277" s="72">
        <v>0</v>
      </c>
      <c r="P277" s="72">
        <v>0</v>
      </c>
      <c r="Q277" s="73" t="s">
        <v>3</v>
      </c>
      <c r="R277" s="101">
        <v>0</v>
      </c>
      <c r="S277" s="75">
        <f t="shared" si="809"/>
        <v>0.63908528629328154</v>
      </c>
      <c r="T277" s="59">
        <f t="shared" si="789"/>
        <v>0.39906526513419999</v>
      </c>
      <c r="U277" s="59">
        <f t="shared" si="790"/>
        <v>0.30900930392172471</v>
      </c>
      <c r="V277" s="59">
        <f t="shared" si="791"/>
        <v>0.56585292286448508</v>
      </c>
      <c r="W277" s="59">
        <f t="shared" si="792"/>
        <v>1.4179458156404485</v>
      </c>
      <c r="X277" s="59">
        <f t="shared" si="793"/>
        <v>1.8311840960226282</v>
      </c>
      <c r="Y277" s="100">
        <v>455000</v>
      </c>
      <c r="Z277" s="57">
        <f t="shared" si="794"/>
        <v>833188.76369029586</v>
      </c>
      <c r="AA277" s="57">
        <f t="shared" si="795"/>
        <v>645165.34611640405</v>
      </c>
      <c r="AB277" s="57">
        <f>(AH277+AI277)/AU277</f>
        <v>738449.591811224</v>
      </c>
      <c r="AC277" s="57">
        <f t="shared" si="796"/>
        <v>0.25</v>
      </c>
      <c r="AD277" s="57">
        <f t="shared" si="797"/>
        <v>1.5</v>
      </c>
      <c r="AE277" s="57">
        <f t="shared" si="798"/>
        <v>0</v>
      </c>
      <c r="AF277" s="57">
        <f t="shared" si="799"/>
        <v>148506.1946331092</v>
      </c>
      <c r="AG277" s="57">
        <f t="shared" si="708"/>
        <v>496659.1514832949</v>
      </c>
      <c r="AH277" s="57">
        <f>AM277*AK277*AT277*AP277*(AS277-0.5*AP277)</f>
        <v>732218475.90245032</v>
      </c>
      <c r="AI277" s="57">
        <f>BB277*BO277*(AS277-AQ277)</f>
        <v>264688473.04270208</v>
      </c>
      <c r="AJ277" s="77">
        <v>0</v>
      </c>
      <c r="AK277" s="77">
        <v>35.200000000000003</v>
      </c>
      <c r="AL277" s="78">
        <f t="shared" si="800"/>
        <v>3.2564775220305178</v>
      </c>
      <c r="AM277" s="57">
        <f t="shared" si="801"/>
        <v>1</v>
      </c>
      <c r="AN277" s="57">
        <f t="shared" si="802"/>
        <v>0.8</v>
      </c>
      <c r="AO277" s="77">
        <v>1200</v>
      </c>
      <c r="AP277" s="79">
        <v>200</v>
      </c>
      <c r="AQ277" s="57">
        <f t="shared" si="803"/>
        <v>59.916937638564988</v>
      </c>
      <c r="AR277" s="78">
        <f>AO277-2*AP277</f>
        <v>800</v>
      </c>
      <c r="AS277" s="57">
        <f t="shared" si="804"/>
        <v>1140.0830623614349</v>
      </c>
      <c r="AT277" s="77">
        <v>100</v>
      </c>
      <c r="AU277" s="77">
        <f t="shared" si="842"/>
        <v>1350</v>
      </c>
      <c r="AV277" s="78">
        <f t="shared" si="805"/>
        <v>120000</v>
      </c>
      <c r="AW277" s="77">
        <v>0</v>
      </c>
      <c r="AX277" s="77">
        <f t="shared" si="806"/>
        <v>120000</v>
      </c>
      <c r="AY277" s="77">
        <f t="shared" si="830"/>
        <v>120000</v>
      </c>
      <c r="AZ277" s="77">
        <f t="shared" si="820"/>
        <v>520</v>
      </c>
      <c r="BA277" s="77">
        <v>520</v>
      </c>
      <c r="BB277" s="77">
        <v>520</v>
      </c>
      <c r="BC277" s="77">
        <v>520</v>
      </c>
      <c r="BD277" s="77">
        <f>PI()*10*10/4*4/(100*800)</f>
        <v>3.9269908169872417E-3</v>
      </c>
      <c r="BE277" s="77">
        <v>1.0500000000000001E-2</v>
      </c>
      <c r="BF277" s="77">
        <f>PI()*10*10/4*6/(100*200)</f>
        <v>2.3561944901923447E-2</v>
      </c>
      <c r="BG277" s="77">
        <f>PI()*10*10/4*2/(100*150)</f>
        <v>1.0471975511965978E-2</v>
      </c>
      <c r="BH277" s="79">
        <v>150</v>
      </c>
      <c r="BI277" s="79">
        <f t="shared" si="831"/>
        <v>78.539816339744831</v>
      </c>
      <c r="BJ277" s="79">
        <v>2</v>
      </c>
      <c r="BK277" s="57">
        <f t="shared" si="709"/>
        <v>157.07963267948966</v>
      </c>
      <c r="BL277" s="57">
        <f t="shared" si="841"/>
        <v>314.15926535897938</v>
      </c>
      <c r="BM277" s="80">
        <f>PI()*10*10/4</f>
        <v>78.539816339744831</v>
      </c>
      <c r="BN277" s="80">
        <v>6</v>
      </c>
      <c r="BO277" s="57">
        <f>BM277*BN277</f>
        <v>471.23889803846896</v>
      </c>
      <c r="BP277" s="57">
        <f t="shared" si="807"/>
        <v>257463.07990334069</v>
      </c>
      <c r="BQ277" s="77">
        <f t="shared" si="808"/>
        <v>0</v>
      </c>
      <c r="BR277" s="57">
        <f t="shared" si="843"/>
        <v>347575157.86950994</v>
      </c>
      <c r="BS277" s="57">
        <v>119.83387527712998</v>
      </c>
      <c r="BT277" s="57">
        <f t="shared" si="810"/>
        <v>17.092983284983642</v>
      </c>
      <c r="BU277" s="57"/>
      <c r="BV277" s="57">
        <v>3.3E-3</v>
      </c>
      <c r="BW277" s="57">
        <v>30000</v>
      </c>
      <c r="BX277" s="57">
        <v>200000</v>
      </c>
      <c r="BY277" s="77">
        <f>50</f>
        <v>50</v>
      </c>
      <c r="BZ277" s="77">
        <f>BY277+75</f>
        <v>125</v>
      </c>
      <c r="CA277" s="77">
        <f>BY277+150</f>
        <v>200</v>
      </c>
      <c r="CB277" s="77">
        <f>CA277+250</f>
        <v>450</v>
      </c>
      <c r="CC277" s="77">
        <f>CB277+300</f>
        <v>750</v>
      </c>
      <c r="CD277" s="77">
        <f>CC277+250</f>
        <v>1000</v>
      </c>
      <c r="CE277" s="77">
        <f>CD277+75</f>
        <v>1075</v>
      </c>
      <c r="CF277" s="77">
        <f>CD277+150</f>
        <v>1150</v>
      </c>
      <c r="DM277" s="77">
        <f t="shared" si="844"/>
        <v>157.07963267948966</v>
      </c>
      <c r="DN277" s="77">
        <f t="shared" si="844"/>
        <v>157.07963267948966</v>
      </c>
      <c r="DO277" s="77">
        <f t="shared" si="844"/>
        <v>157.07963267948966</v>
      </c>
      <c r="DP277" s="77">
        <f t="shared" si="844"/>
        <v>157.07963267948966</v>
      </c>
      <c r="DQ277" s="77">
        <f t="shared" si="844"/>
        <v>157.07963267948966</v>
      </c>
      <c r="DR277" s="77">
        <f t="shared" si="844"/>
        <v>157.07963267948966</v>
      </c>
      <c r="DS277" s="77">
        <f t="shared" si="844"/>
        <v>157.07963267948966</v>
      </c>
      <c r="DT277" s="77">
        <f>PI()*10*10/4*2</f>
        <v>157.07963267948966</v>
      </c>
      <c r="FA277" s="77">
        <f t="shared" ref="FA277:FC278" si="849">IF(ABS(-$BV277*($BS277-BY277)/$BS277*$BX277)&gt;$BB277,$BB277*SIGN(-($BS277-BY277)),-$BV277*($BS277-BY277)/$BS277*$BX277)*DM277</f>
        <v>-60415.775073234618</v>
      </c>
      <c r="FB277" s="77">
        <f t="shared" si="849"/>
        <v>4469.398669608232</v>
      </c>
      <c r="FC277" s="77">
        <f t="shared" si="849"/>
        <v>69354.572412451089</v>
      </c>
      <c r="FD277" s="77">
        <f t="shared" ref="FD277:FE282" si="850">IF(ABS(-$BV277*($BS277-CB277)/$BS277*$BX277)&gt;$BA277,$BA277*SIGN(-($BS277-CB277)),-$BV277*($BS277-CB277)/$BS277*$BX277)*DP277</f>
        <v>81681.408993334626</v>
      </c>
      <c r="FE277" s="77">
        <f t="shared" si="850"/>
        <v>81681.408993334626</v>
      </c>
      <c r="FF277" s="77">
        <f t="shared" ref="FF277:FH278" si="851">IF(ABS(-$BV277*($BS277-CD277)/$BS277*$BX277)&gt;$BB277,$BB277*SIGN(-($BS277-CD277)),-$BV277*($BS277-CD277)/$BS277*$BX277)*DR277</f>
        <v>81681.408993334626</v>
      </c>
      <c r="FG277" s="77">
        <f t="shared" si="851"/>
        <v>81681.408993334626</v>
      </c>
      <c r="FH277" s="77">
        <f t="shared" si="851"/>
        <v>81681.408993334626</v>
      </c>
      <c r="GO277" s="77">
        <f t="shared" si="696"/>
        <v>33228676.290279038</v>
      </c>
      <c r="GP277" s="77">
        <f t="shared" si="697"/>
        <v>-2122964.3680639104</v>
      </c>
      <c r="GQ277" s="77">
        <f t="shared" si="698"/>
        <v>-27741828.964980435</v>
      </c>
      <c r="GR277" s="77">
        <f t="shared" si="699"/>
        <v>-12252211.349000193</v>
      </c>
      <c r="GS277" s="77">
        <f t="shared" si="846"/>
        <v>12252211.349000193</v>
      </c>
      <c r="GT277" s="77">
        <f t="shared" si="847"/>
        <v>32672563.597333848</v>
      </c>
      <c r="GU277" s="77">
        <f t="shared" si="848"/>
        <v>38798669.271833949</v>
      </c>
      <c r="GV277" s="77">
        <f>FH277*(CF277-0.5*$AO277)</f>
        <v>44924774.946334042</v>
      </c>
      <c r="IC277" s="82">
        <v>293</v>
      </c>
    </row>
    <row r="278" spans="1:237" s="77" customFormat="1">
      <c r="A278" s="77">
        <v>278</v>
      </c>
      <c r="B278" s="69">
        <v>417</v>
      </c>
      <c r="C278" s="69" t="s">
        <v>295</v>
      </c>
      <c r="D278" s="70" t="s">
        <v>298</v>
      </c>
      <c r="E278" s="70">
        <v>1</v>
      </c>
      <c r="F278" s="70">
        <f t="shared" si="816"/>
        <v>7.407407407407407E-2</v>
      </c>
      <c r="G278" s="70">
        <v>5.0833329999999998E-3</v>
      </c>
      <c r="H278" s="70"/>
      <c r="I278" s="70">
        <f>6.1*2.6/AU278</f>
        <v>1.1748148148148148E-2</v>
      </c>
      <c r="J278" s="72">
        <v>1.5</v>
      </c>
      <c r="K278" s="72">
        <v>12</v>
      </c>
      <c r="L278" s="72">
        <v>0</v>
      </c>
      <c r="M278" s="72">
        <v>0.15964912280701754</v>
      </c>
      <c r="N278" s="72">
        <v>0.33450292397660814</v>
      </c>
      <c r="O278" s="72">
        <v>0</v>
      </c>
      <c r="P278" s="72">
        <v>0</v>
      </c>
      <c r="Q278" s="73" t="s">
        <v>3</v>
      </c>
      <c r="R278" s="101">
        <v>0</v>
      </c>
      <c r="S278" s="75">
        <f t="shared" si="809"/>
        <v>0.43319085976928728</v>
      </c>
      <c r="T278" s="59">
        <f t="shared" si="789"/>
        <v>0.39981287273295923</v>
      </c>
      <c r="U278" s="59">
        <f t="shared" si="790"/>
        <v>0.30914587257303572</v>
      </c>
      <c r="V278" s="59">
        <f t="shared" si="791"/>
        <v>0.84470275682611573</v>
      </c>
      <c r="W278" s="59">
        <f t="shared" si="792"/>
        <v>2.1127452726873677</v>
      </c>
      <c r="X278" s="59">
        <f t="shared" si="793"/>
        <v>2.7323759809426362</v>
      </c>
      <c r="Y278" s="100">
        <v>304000</v>
      </c>
      <c r="Z278" s="57">
        <f t="shared" si="794"/>
        <v>830642.29820656136</v>
      </c>
      <c r="AA278" s="57">
        <f t="shared" si="795"/>
        <v>642274.56289695972</v>
      </c>
      <c r="AB278" s="57">
        <f>(AH278+AI278)/AU278</f>
        <v>722184.38530461641</v>
      </c>
      <c r="AC278" s="57">
        <f t="shared" si="796"/>
        <v>0.25</v>
      </c>
      <c r="AD278" s="57">
        <f t="shared" si="797"/>
        <v>1.5</v>
      </c>
      <c r="AE278" s="57">
        <f t="shared" si="798"/>
        <v>0</v>
      </c>
      <c r="AF278" s="57">
        <f t="shared" si="799"/>
        <v>146044.47041976175</v>
      </c>
      <c r="AG278" s="57">
        <f t="shared" si="708"/>
        <v>496230.09247719793</v>
      </c>
      <c r="AH278" s="57">
        <f>AM278*AK278*AT278*AP278*(AS278-0.5*AP278)</f>
        <v>710743138.5003891</v>
      </c>
      <c r="AI278" s="57">
        <f>BB278*BO278*(AS278-AQ278)</f>
        <v>264205781.66084301</v>
      </c>
      <c r="AJ278" s="77">
        <v>0</v>
      </c>
      <c r="AK278" s="77">
        <v>34.200000000000003</v>
      </c>
      <c r="AL278" s="78">
        <f t="shared" si="800"/>
        <v>3.2052652725461677</v>
      </c>
      <c r="AM278" s="57">
        <f t="shared" si="801"/>
        <v>1</v>
      </c>
      <c r="AN278" s="57">
        <f t="shared" si="802"/>
        <v>0.8</v>
      </c>
      <c r="AO278" s="77">
        <v>1200</v>
      </c>
      <c r="AP278" s="79">
        <v>200</v>
      </c>
      <c r="AQ278" s="57">
        <f t="shared" si="803"/>
        <v>60.901844297676895</v>
      </c>
      <c r="AR278" s="78">
        <f>AO278-2*AP278</f>
        <v>800</v>
      </c>
      <c r="AS278" s="57">
        <f t="shared" si="804"/>
        <v>1139.0981557023231</v>
      </c>
      <c r="AT278" s="77">
        <v>100</v>
      </c>
      <c r="AU278" s="77">
        <f t="shared" si="842"/>
        <v>1350</v>
      </c>
      <c r="AV278" s="78">
        <f t="shared" si="805"/>
        <v>120000</v>
      </c>
      <c r="AW278" s="77">
        <v>0</v>
      </c>
      <c r="AX278" s="77">
        <f t="shared" si="806"/>
        <v>120000</v>
      </c>
      <c r="AY278" s="77">
        <f t="shared" si="830"/>
        <v>120000</v>
      </c>
      <c r="AZ278" s="77">
        <f t="shared" si="820"/>
        <v>520</v>
      </c>
      <c r="BA278" s="77">
        <v>520</v>
      </c>
      <c r="BB278" s="77">
        <v>520</v>
      </c>
      <c r="BC278" s="77">
        <v>520</v>
      </c>
      <c r="BD278" s="77">
        <f>PI()*10*10/4*4/(100*800)</f>
        <v>3.9269908169872417E-3</v>
      </c>
      <c r="BE278" s="77">
        <v>1.0500000000000001E-2</v>
      </c>
      <c r="BF278" s="77">
        <f>PI()*10*10/4*6/(100*200)</f>
        <v>2.3561944901923447E-2</v>
      </c>
      <c r="BG278" s="77">
        <f>PI()*10*10/4*2/(100*150)</f>
        <v>1.0471975511965978E-2</v>
      </c>
      <c r="BH278" s="79">
        <v>150</v>
      </c>
      <c r="BI278" s="79">
        <f t="shared" si="831"/>
        <v>78.539816339744831</v>
      </c>
      <c r="BJ278" s="79">
        <v>2</v>
      </c>
      <c r="BK278" s="57">
        <f t="shared" si="709"/>
        <v>157.07963267948966</v>
      </c>
      <c r="BL278" s="57">
        <f t="shared" si="841"/>
        <v>314.15926535897938</v>
      </c>
      <c r="BM278" s="80">
        <f>PI()*10*10/4</f>
        <v>78.539816339744831</v>
      </c>
      <c r="BN278" s="80">
        <v>6</v>
      </c>
      <c r="BO278" s="57">
        <f>BM278*BN278</f>
        <v>471.23889803846896</v>
      </c>
      <c r="BP278" s="57">
        <f t="shared" si="807"/>
        <v>256789.63807513917</v>
      </c>
      <c r="BQ278" s="77">
        <f t="shared" si="808"/>
        <v>0</v>
      </c>
      <c r="BR278" s="57">
        <f t="shared" si="843"/>
        <v>346666011.40143788</v>
      </c>
      <c r="BS278" s="57">
        <v>121.80368859535379</v>
      </c>
      <c r="BT278" s="57">
        <f t="shared" si="810"/>
        <v>17.43681377286125</v>
      </c>
      <c r="BU278" s="57"/>
      <c r="BV278" s="57">
        <v>3.3E-3</v>
      </c>
      <c r="BW278" s="57">
        <v>30000</v>
      </c>
      <c r="BX278" s="57">
        <v>200000</v>
      </c>
      <c r="BY278" s="77">
        <f>50</f>
        <v>50</v>
      </c>
      <c r="BZ278" s="77">
        <f>BY278+75</f>
        <v>125</v>
      </c>
      <c r="CA278" s="77">
        <f>BY278+150</f>
        <v>200</v>
      </c>
      <c r="CB278" s="77">
        <f>CA278+250</f>
        <v>450</v>
      </c>
      <c r="CC278" s="77">
        <f>CB278+300</f>
        <v>750</v>
      </c>
      <c r="CD278" s="77">
        <f>CC278+250</f>
        <v>1000</v>
      </c>
      <c r="CE278" s="77">
        <f>CD278+75</f>
        <v>1075</v>
      </c>
      <c r="CF278" s="77">
        <f>CD278+150</f>
        <v>1150</v>
      </c>
      <c r="DM278" s="77">
        <f t="shared" si="844"/>
        <v>157.07963267948966</v>
      </c>
      <c r="DN278" s="77">
        <f t="shared" si="844"/>
        <v>157.07963267948966</v>
      </c>
      <c r="DO278" s="77">
        <f t="shared" si="844"/>
        <v>157.07963267948966</v>
      </c>
      <c r="DP278" s="77">
        <f t="shared" si="844"/>
        <v>157.07963267948966</v>
      </c>
      <c r="DQ278" s="77">
        <f t="shared" si="844"/>
        <v>157.07963267948966</v>
      </c>
      <c r="DR278" s="77">
        <f t="shared" si="844"/>
        <v>157.07963267948966</v>
      </c>
      <c r="DS278" s="77">
        <f t="shared" si="844"/>
        <v>157.07963267948966</v>
      </c>
      <c r="DT278" s="77">
        <f>PI()*10*10/4*2</f>
        <v>157.07963267948966</v>
      </c>
      <c r="FA278" s="77">
        <f t="shared" si="849"/>
        <v>-61115.325203819593</v>
      </c>
      <c r="FB278" s="77">
        <f t="shared" si="849"/>
        <v>2720.5233431457814</v>
      </c>
      <c r="FC278" s="77">
        <f t="shared" si="849"/>
        <v>66556.371890111157</v>
      </c>
      <c r="FD278" s="77">
        <f t="shared" si="850"/>
        <v>81681.408993334626</v>
      </c>
      <c r="FE278" s="77">
        <f t="shared" si="850"/>
        <v>81681.408993334626</v>
      </c>
      <c r="FF278" s="77">
        <f t="shared" si="851"/>
        <v>81681.408993334626</v>
      </c>
      <c r="FG278" s="77">
        <f t="shared" si="851"/>
        <v>81681.408993334626</v>
      </c>
      <c r="FH278" s="77">
        <f t="shared" si="851"/>
        <v>81681.408993334626</v>
      </c>
      <c r="GO278" s="77">
        <f t="shared" si="696"/>
        <v>33613428.86210078</v>
      </c>
      <c r="GP278" s="77">
        <f t="shared" si="697"/>
        <v>-1292248.587994246</v>
      </c>
      <c r="GQ278" s="77">
        <f t="shared" si="698"/>
        <v>-26622548.756044462</v>
      </c>
      <c r="GR278" s="77">
        <f t="shared" si="699"/>
        <v>-12252211.349000193</v>
      </c>
      <c r="GS278" s="77">
        <f t="shared" si="846"/>
        <v>12252211.349000193</v>
      </c>
      <c r="GT278" s="77">
        <f t="shared" si="847"/>
        <v>32672563.597333848</v>
      </c>
      <c r="GU278" s="77">
        <f t="shared" si="848"/>
        <v>38798669.271833949</v>
      </c>
      <c r="GV278" s="77">
        <f>FH278*(CF278-0.5*$AO278)</f>
        <v>44924774.946334042</v>
      </c>
      <c r="IC278" s="82">
        <v>294</v>
      </c>
    </row>
    <row r="279" spans="1:237" s="77" customFormat="1">
      <c r="A279" s="77">
        <v>279</v>
      </c>
      <c r="B279" s="69">
        <v>418</v>
      </c>
      <c r="C279" s="69" t="s">
        <v>295</v>
      </c>
      <c r="D279" s="70" t="s">
        <v>299</v>
      </c>
      <c r="E279" s="70">
        <v>1</v>
      </c>
      <c r="F279" s="70">
        <f t="shared" si="816"/>
        <v>0.11048988285410011</v>
      </c>
      <c r="G279" s="70">
        <v>3.7499999999999999E-3</v>
      </c>
      <c r="H279" s="70"/>
      <c r="I279" s="70">
        <f>4.5*3/AU279</f>
        <v>0.01</v>
      </c>
      <c r="J279" s="72">
        <v>1</v>
      </c>
      <c r="K279" s="72">
        <v>12</v>
      </c>
      <c r="L279" s="72">
        <v>0</v>
      </c>
      <c r="M279" s="72">
        <v>0.17444089456869008</v>
      </c>
      <c r="N279" s="72">
        <v>0.15284345047923323</v>
      </c>
      <c r="O279" s="72">
        <v>0.34888178913738016</v>
      </c>
      <c r="P279" s="72">
        <v>0</v>
      </c>
      <c r="Q279" s="73" t="s">
        <v>3</v>
      </c>
      <c r="R279" s="101">
        <v>0</v>
      </c>
      <c r="S279" s="75">
        <f t="shared" si="809"/>
        <v>0.6181511505048175</v>
      </c>
      <c r="T279" s="59">
        <f t="shared" si="789"/>
        <v>0.3573951508552547</v>
      </c>
      <c r="U279" s="59">
        <f t="shared" si="790"/>
        <v>0.27406186258050735</v>
      </c>
      <c r="V279" s="59">
        <f t="shared" si="791"/>
        <v>0.54352688802856053</v>
      </c>
      <c r="W279" s="59">
        <f t="shared" si="792"/>
        <v>1.5208009586248956</v>
      </c>
      <c r="X279" s="59">
        <f t="shared" si="793"/>
        <v>1.9832270090804633</v>
      </c>
      <c r="Y279" s="100">
        <v>415000</v>
      </c>
      <c r="Z279" s="57">
        <f t="shared" si="794"/>
        <v>823039.20876839233</v>
      </c>
      <c r="AA279" s="57">
        <f t="shared" si="795"/>
        <v>631132.39782933169</v>
      </c>
      <c r="AB279" s="57">
        <f>(AH279+AI279)/AU279</f>
        <v>691537.32799797074</v>
      </c>
      <c r="AC279" s="57">
        <f t="shared" si="796"/>
        <v>0.25</v>
      </c>
      <c r="AD279" s="57">
        <f t="shared" si="797"/>
        <v>1.5</v>
      </c>
      <c r="AE279" s="57">
        <f t="shared" si="798"/>
        <v>0</v>
      </c>
      <c r="AF279" s="57">
        <f t="shared" si="799"/>
        <v>138179.2155424706</v>
      </c>
      <c r="AG279" s="57">
        <f t="shared" si="708"/>
        <v>492953.18228686112</v>
      </c>
      <c r="AH279" s="57">
        <f>AM279*AK279*AT279*AP279*(AS279-0.5*AP279)</f>
        <v>759895887.66611779</v>
      </c>
      <c r="AI279" s="57">
        <f>BB279*BO279*(AS279-AQ279)</f>
        <v>173679505.13114274</v>
      </c>
      <c r="AJ279" s="77">
        <v>0</v>
      </c>
      <c r="AK279" s="77">
        <v>31.3</v>
      </c>
      <c r="AL279" s="78">
        <f t="shared" si="800"/>
        <v>3.0528045866323801</v>
      </c>
      <c r="AM279" s="57">
        <f t="shared" si="801"/>
        <v>1</v>
      </c>
      <c r="AN279" s="57">
        <f t="shared" si="802"/>
        <v>0.8</v>
      </c>
      <c r="AO279" s="77">
        <v>1200</v>
      </c>
      <c r="AP279" s="79">
        <f>180+60</f>
        <v>240</v>
      </c>
      <c r="AQ279" s="57">
        <f t="shared" si="803"/>
        <v>68.424004704316076</v>
      </c>
      <c r="AR279" s="78">
        <f>AO279-2*AP279</f>
        <v>720</v>
      </c>
      <c r="AS279" s="57">
        <f t="shared" si="804"/>
        <v>1131.5759952956839</v>
      </c>
      <c r="AT279" s="77">
        <v>100</v>
      </c>
      <c r="AU279" s="77">
        <f t="shared" si="842"/>
        <v>1350</v>
      </c>
      <c r="AV279" s="78">
        <f t="shared" si="805"/>
        <v>120000</v>
      </c>
      <c r="AW279" s="77">
        <v>0</v>
      </c>
      <c r="AX279" s="77">
        <f t="shared" si="806"/>
        <v>120000</v>
      </c>
      <c r="AY279" s="77">
        <f t="shared" si="830"/>
        <v>120000</v>
      </c>
      <c r="AZ279" s="77">
        <f t="shared" si="820"/>
        <v>520</v>
      </c>
      <c r="BA279" s="77">
        <v>520</v>
      </c>
      <c r="BB279" s="77">
        <v>520</v>
      </c>
      <c r="BC279" s="77">
        <v>520</v>
      </c>
      <c r="BD279" s="77">
        <v>9.1999999999999998E-3</v>
      </c>
      <c r="BE279" s="77">
        <v>1.0500000000000001E-2</v>
      </c>
      <c r="BF279" s="77">
        <v>9.1999999999999998E-3</v>
      </c>
      <c r="BG279" s="77">
        <v>0</v>
      </c>
      <c r="BH279" s="79">
        <v>150</v>
      </c>
      <c r="BI279" s="79">
        <f t="shared" si="831"/>
        <v>78.539816339744831</v>
      </c>
      <c r="BJ279" s="79">
        <v>2</v>
      </c>
      <c r="BK279" s="57">
        <f t="shared" si="709"/>
        <v>157.07963267948966</v>
      </c>
      <c r="BL279" s="57">
        <f t="shared" si="841"/>
        <v>662.4</v>
      </c>
      <c r="BM279" s="80">
        <f>PI()*10*10/4</f>
        <v>78.539816339744831</v>
      </c>
      <c r="BN279" s="80">
        <v>4</v>
      </c>
      <c r="BO279" s="57">
        <f>BM279*BN279</f>
        <v>314.15926535897933</v>
      </c>
      <c r="BP279" s="57">
        <f t="shared" si="807"/>
        <v>225563.65853185262</v>
      </c>
      <c r="BQ279" s="77">
        <f t="shared" si="808"/>
        <v>-7.3341652750968933E-9</v>
      </c>
      <c r="BR279" s="57">
        <f t="shared" si="843"/>
        <v>304510939.01800102</v>
      </c>
      <c r="BS279" s="57">
        <v>136.84800940863215</v>
      </c>
      <c r="BT279" s="57">
        <f t="shared" si="810"/>
        <v>52.219634308833548</v>
      </c>
      <c r="BU279" s="57"/>
      <c r="BV279" s="57">
        <v>3.3E-3</v>
      </c>
      <c r="BW279" s="57">
        <v>30000</v>
      </c>
      <c r="BX279" s="57">
        <v>200000</v>
      </c>
      <c r="BY279" s="77">
        <f>60</f>
        <v>60</v>
      </c>
      <c r="BZ279" s="77">
        <f>BY279+180</f>
        <v>240</v>
      </c>
      <c r="CA279" s="77">
        <f>BY279+180*2</f>
        <v>420</v>
      </c>
      <c r="CB279" s="77">
        <f>BY279+180*3</f>
        <v>600</v>
      </c>
      <c r="CC279" s="77">
        <f>BY279+180*4</f>
        <v>780</v>
      </c>
      <c r="CD279" s="77">
        <f>BY279+180*5</f>
        <v>960</v>
      </c>
      <c r="CE279" s="77">
        <f>BY279+180*6</f>
        <v>1140</v>
      </c>
      <c r="DM279" s="77">
        <f t="shared" si="844"/>
        <v>157.07963267948966</v>
      </c>
      <c r="DN279" s="77">
        <f t="shared" si="844"/>
        <v>157.07963267948966</v>
      </c>
      <c r="DO279" s="77">
        <f t="shared" si="844"/>
        <v>157.07963267948966</v>
      </c>
      <c r="DP279" s="77">
        <f t="shared" si="844"/>
        <v>157.07963267948966</v>
      </c>
      <c r="DQ279" s="77">
        <f t="shared" si="844"/>
        <v>157.07963267948966</v>
      </c>
      <c r="DR279" s="77">
        <f t="shared" si="844"/>
        <v>157.07963267948966</v>
      </c>
      <c r="DS279" s="77">
        <f t="shared" si="844"/>
        <v>157.07963267948966</v>
      </c>
      <c r="FA279" s="77">
        <f t="shared" ref="FA279:FB281" si="852">IF(ABS(-$BV279*($BS279-BY279)/$BS279*$BX279)&gt;$BB279,$BB279*SIGN(-($BS279-BY279)),-$BV279*($BS279-BY279)/$BS279*$BX279)*DM279</f>
        <v>-58218.089644610278</v>
      </c>
      <c r="FB279" s="77">
        <f t="shared" si="852"/>
        <v>78145.314126948448</v>
      </c>
      <c r="FC279" s="77">
        <f>IF(ABS(-$BV279*($BS279-CA279)/$BS279*$BX279)&gt;$BA279,$BA279*SIGN(-($BS279-CA279)),-$BV279*($BS279-CA279)/$BS279*$BX279)*DO279</f>
        <v>81681.408993334626</v>
      </c>
      <c r="FD279" s="77">
        <f t="shared" si="850"/>
        <v>81681.408993334626</v>
      </c>
      <c r="FE279" s="77">
        <f t="shared" si="850"/>
        <v>81681.408993334626</v>
      </c>
      <c r="FF279" s="77">
        <f t="shared" ref="FF279:FG281" si="853">IF(ABS(-$BV279*($BS279-CD279)/$BS279*$BX279)&gt;$BB279,$BB279*SIGN(-($BS279-CD279)),-$BV279*($BS279-CD279)/$BS279*$BX279)*DR279</f>
        <v>81681.408993334626</v>
      </c>
      <c r="FG279" s="77">
        <f t="shared" si="853"/>
        <v>81681.408993334626</v>
      </c>
      <c r="GO279" s="77">
        <f t="shared" ref="GO279:GO342" si="854">FA279*(BY279-0.5*$AO279)</f>
        <v>31437768.408089548</v>
      </c>
      <c r="GP279" s="77">
        <f t="shared" ref="GP279:GP342" si="855">FB279*(BZ279-0.5*$AO279)</f>
        <v>-28132313.08570144</v>
      </c>
      <c r="GQ279" s="77">
        <f t="shared" ref="GQ279:GQ342" si="856">FC279*(CA279-0.5*$AO279)</f>
        <v>-14702653.618800232</v>
      </c>
      <c r="GR279" s="77">
        <f t="shared" ref="GR279:GR342" si="857">FD279*(CB279-0.5*$AO279)</f>
        <v>0</v>
      </c>
      <c r="GS279" s="77">
        <f t="shared" si="846"/>
        <v>14702653.618800232</v>
      </c>
      <c r="GT279" s="77">
        <f t="shared" si="847"/>
        <v>29405307.237600464</v>
      </c>
      <c r="GU279" s="77">
        <f t="shared" si="848"/>
        <v>44107960.856400698</v>
      </c>
      <c r="IC279" s="82">
        <v>295</v>
      </c>
    </row>
    <row r="280" spans="1:237" s="77" customFormat="1">
      <c r="A280" s="77">
        <v>280</v>
      </c>
      <c r="B280" s="69">
        <v>419</v>
      </c>
      <c r="C280" s="69" t="s">
        <v>295</v>
      </c>
      <c r="D280" s="70" t="s">
        <v>300</v>
      </c>
      <c r="E280" s="70">
        <v>1</v>
      </c>
      <c r="F280" s="70">
        <f t="shared" si="816"/>
        <v>6.9033530571992116E-2</v>
      </c>
      <c r="G280" s="70">
        <v>4.0000000000000001E-3</v>
      </c>
      <c r="H280" s="70"/>
      <c r="I280" s="70">
        <f>4.8*3/AU280</f>
        <v>1.0666666666666666E-2</v>
      </c>
      <c r="J280" s="72">
        <v>1.5</v>
      </c>
      <c r="K280" s="72">
        <v>12</v>
      </c>
      <c r="L280" s="72">
        <v>0</v>
      </c>
      <c r="M280" s="72">
        <v>0.16153846153846155</v>
      </c>
      <c r="N280" s="72">
        <v>0.14153846153846156</v>
      </c>
      <c r="O280" s="72">
        <v>0.32307692307692309</v>
      </c>
      <c r="P280" s="72">
        <v>0</v>
      </c>
      <c r="Q280" s="73" t="s">
        <v>3</v>
      </c>
      <c r="R280" s="101">
        <v>0</v>
      </c>
      <c r="S280" s="75">
        <f t="shared" si="809"/>
        <v>0.40134553442303922</v>
      </c>
      <c r="T280" s="59">
        <f t="shared" si="789"/>
        <v>0.35551189883829698</v>
      </c>
      <c r="U280" s="59">
        <f t="shared" si="790"/>
        <v>0.27400484575865963</v>
      </c>
      <c r="V280" s="59">
        <f t="shared" si="791"/>
        <v>0.81185023186060368</v>
      </c>
      <c r="W280" s="59">
        <f t="shared" si="792"/>
        <v>2.2836091689574367</v>
      </c>
      <c r="X280" s="59">
        <f t="shared" si="793"/>
        <v>2.9629046508749415</v>
      </c>
      <c r="Y280" s="100">
        <v>280000</v>
      </c>
      <c r="Z280" s="57">
        <f t="shared" si="794"/>
        <v>829613.30224498361</v>
      </c>
      <c r="AA280" s="57">
        <f t="shared" si="795"/>
        <v>639410.56730808225</v>
      </c>
      <c r="AB280" s="57">
        <f>(AH280+AI280)/AU280</f>
        <v>739959.21326598711</v>
      </c>
      <c r="AC280" s="57">
        <f t="shared" si="796"/>
        <v>0.25</v>
      </c>
      <c r="AD280" s="57">
        <f t="shared" si="797"/>
        <v>1.5</v>
      </c>
      <c r="AE280" s="57">
        <f t="shared" si="798"/>
        <v>0</v>
      </c>
      <c r="AF280" s="57">
        <f t="shared" si="799"/>
        <v>144667.65169388679</v>
      </c>
      <c r="AG280" s="57">
        <f t="shared" si="708"/>
        <v>494742.91561419546</v>
      </c>
      <c r="AH280" s="57">
        <f>AM280*AK280*AT280*AP280*(AS280-0.5*AP280)</f>
        <v>823923132.78243899</v>
      </c>
      <c r="AI280" s="57">
        <f>BB280*BO280*(AS280-AQ280)</f>
        <v>175021805.12664351</v>
      </c>
      <c r="AJ280" s="77">
        <v>0</v>
      </c>
      <c r="AK280" s="77">
        <v>33.799999999999997</v>
      </c>
      <c r="AL280" s="78">
        <f t="shared" si="800"/>
        <v>3.1845920384580424</v>
      </c>
      <c r="AM280" s="57">
        <f t="shared" si="801"/>
        <v>1</v>
      </c>
      <c r="AN280" s="57">
        <f t="shared" si="802"/>
        <v>0.8</v>
      </c>
      <c r="AO280" s="77">
        <v>1200</v>
      </c>
      <c r="AP280" s="79">
        <f>180+60</f>
        <v>240</v>
      </c>
      <c r="AQ280" s="57">
        <f t="shared" si="803"/>
        <v>64.315664715928008</v>
      </c>
      <c r="AR280" s="78">
        <f>AO280-2*AP280</f>
        <v>720</v>
      </c>
      <c r="AS280" s="57">
        <f t="shared" si="804"/>
        <v>1135.6843352840719</v>
      </c>
      <c r="AT280" s="77">
        <v>100</v>
      </c>
      <c r="AU280" s="77">
        <f t="shared" si="842"/>
        <v>1350</v>
      </c>
      <c r="AV280" s="78">
        <f t="shared" si="805"/>
        <v>120000</v>
      </c>
      <c r="AW280" s="77">
        <v>0</v>
      </c>
      <c r="AX280" s="77">
        <f t="shared" si="806"/>
        <v>120000</v>
      </c>
      <c r="AY280" s="77">
        <f t="shared" si="830"/>
        <v>120000</v>
      </c>
      <c r="AZ280" s="77">
        <f t="shared" si="820"/>
        <v>520</v>
      </c>
      <c r="BA280" s="77">
        <v>520</v>
      </c>
      <c r="BB280" s="77">
        <v>520</v>
      </c>
      <c r="BC280" s="77">
        <v>520</v>
      </c>
      <c r="BD280" s="77">
        <v>9.1999999999999998E-3</v>
      </c>
      <c r="BE280" s="77">
        <v>1.0500000000000001E-2</v>
      </c>
      <c r="BF280" s="77">
        <v>9.1999999999999998E-3</v>
      </c>
      <c r="BG280" s="77">
        <v>0</v>
      </c>
      <c r="BH280" s="79">
        <v>150</v>
      </c>
      <c r="BI280" s="79">
        <f t="shared" si="831"/>
        <v>78.539816339744831</v>
      </c>
      <c r="BJ280" s="79">
        <v>2</v>
      </c>
      <c r="BK280" s="57">
        <f t="shared" si="709"/>
        <v>157.07963267948966</v>
      </c>
      <c r="BL280" s="57">
        <f t="shared" si="841"/>
        <v>662.4</v>
      </c>
      <c r="BM280" s="80">
        <f>PI()*10*10/4</f>
        <v>78.539816339744831</v>
      </c>
      <c r="BN280" s="80">
        <v>4</v>
      </c>
      <c r="BO280" s="57">
        <f>BM280*BN280</f>
        <v>314.15926535897933</v>
      </c>
      <c r="BP280" s="57">
        <f t="shared" si="807"/>
        <v>227318.06492096902</v>
      </c>
      <c r="BQ280" s="77">
        <f t="shared" si="808"/>
        <v>0</v>
      </c>
      <c r="BR280" s="57">
        <f t="shared" si="843"/>
        <v>306879387.64330816</v>
      </c>
      <c r="BS280" s="57">
        <v>128.63132943185602</v>
      </c>
      <c r="BT280" s="57">
        <f t="shared" si="810"/>
        <v>49.425195465519721</v>
      </c>
      <c r="BU280" s="57"/>
      <c r="BV280" s="57">
        <v>3.3E-3</v>
      </c>
      <c r="BW280" s="57">
        <v>30000</v>
      </c>
      <c r="BX280" s="57">
        <v>200000</v>
      </c>
      <c r="BY280" s="77">
        <f>60</f>
        <v>60</v>
      </c>
      <c r="BZ280" s="77">
        <f>BY280+180</f>
        <v>240</v>
      </c>
      <c r="CA280" s="77">
        <f>BY280+180*2</f>
        <v>420</v>
      </c>
      <c r="CB280" s="77">
        <f>BY280+180*3</f>
        <v>600</v>
      </c>
      <c r="CC280" s="77">
        <f>BY280+180*4</f>
        <v>780</v>
      </c>
      <c r="CD280" s="77">
        <f>BY280+180*5</f>
        <v>960</v>
      </c>
      <c r="CE280" s="77">
        <f>BY280+180*6</f>
        <v>1140</v>
      </c>
      <c r="DM280" s="77">
        <f t="shared" si="844"/>
        <v>157.07963267948966</v>
      </c>
      <c r="DN280" s="77">
        <f t="shared" si="844"/>
        <v>157.07963267948966</v>
      </c>
      <c r="DO280" s="77">
        <f t="shared" si="844"/>
        <v>157.07963267948966</v>
      </c>
      <c r="DP280" s="77">
        <f t="shared" si="844"/>
        <v>157.07963267948966</v>
      </c>
      <c r="DQ280" s="77">
        <f t="shared" si="844"/>
        <v>157.07963267948966</v>
      </c>
      <c r="DR280" s="77">
        <f t="shared" si="844"/>
        <v>157.07963267948966</v>
      </c>
      <c r="DS280" s="77">
        <f t="shared" si="844"/>
        <v>157.07963267948966</v>
      </c>
      <c r="FA280" s="77">
        <f t="shared" si="852"/>
        <v>-55314.56048033468</v>
      </c>
      <c r="FB280" s="77">
        <f t="shared" si="852"/>
        <v>81681.408993334626</v>
      </c>
      <c r="FC280" s="77">
        <f>IF(ABS(-$BV280*($BS280-CA280)/$BS280*$BX280)&gt;$BA280,$BA280*SIGN(-($BS280-CA280)),-$BV280*($BS280-CA280)/$BS280*$BX280)*DO280</f>
        <v>81681.408993334626</v>
      </c>
      <c r="FD280" s="77">
        <f t="shared" si="850"/>
        <v>81681.408993334626</v>
      </c>
      <c r="FE280" s="77">
        <f t="shared" si="850"/>
        <v>81681.408993334626</v>
      </c>
      <c r="FF280" s="77">
        <f t="shared" si="853"/>
        <v>81681.408993334626</v>
      </c>
      <c r="FG280" s="77">
        <f t="shared" si="853"/>
        <v>81681.408993334626</v>
      </c>
      <c r="GO280" s="77">
        <f t="shared" si="854"/>
        <v>29869862.659380727</v>
      </c>
      <c r="GP280" s="77">
        <f t="shared" si="855"/>
        <v>-29405307.237600464</v>
      </c>
      <c r="GQ280" s="77">
        <f t="shared" si="856"/>
        <v>-14702653.618800232</v>
      </c>
      <c r="GR280" s="77">
        <f t="shared" si="857"/>
        <v>0</v>
      </c>
      <c r="GS280" s="77">
        <f t="shared" si="846"/>
        <v>14702653.618800232</v>
      </c>
      <c r="GT280" s="77">
        <f t="shared" si="847"/>
        <v>29405307.237600464</v>
      </c>
      <c r="GU280" s="77">
        <f t="shared" si="848"/>
        <v>44107960.856400698</v>
      </c>
      <c r="IC280" s="82">
        <v>296</v>
      </c>
    </row>
    <row r="281" spans="1:237" s="77" customFormat="1">
      <c r="A281" s="77">
        <v>281</v>
      </c>
      <c r="B281" s="69">
        <v>420</v>
      </c>
      <c r="C281" s="69" t="s">
        <v>295</v>
      </c>
      <c r="D281" s="70" t="s">
        <v>301</v>
      </c>
      <c r="E281" s="70">
        <v>1</v>
      </c>
      <c r="F281" s="70">
        <f t="shared" si="816"/>
        <v>8.9931573802541548E-2</v>
      </c>
      <c r="G281" s="70">
        <v>3.0833330000000002E-3</v>
      </c>
      <c r="H281" s="70"/>
      <c r="I281" s="70">
        <f>3.7*4.4/AU281</f>
        <v>1.2059259259259261E-2</v>
      </c>
      <c r="J281" s="72">
        <v>1</v>
      </c>
      <c r="K281" s="72">
        <v>12</v>
      </c>
      <c r="L281" s="72">
        <v>0</v>
      </c>
      <c r="M281" s="72">
        <v>0.1601173020527859</v>
      </c>
      <c r="N281" s="72">
        <v>0.14029325513196481</v>
      </c>
      <c r="O281" s="72">
        <v>0.32023460410557181</v>
      </c>
      <c r="P281" s="72">
        <v>0</v>
      </c>
      <c r="Q281" s="73" t="s">
        <v>3</v>
      </c>
      <c r="R281" s="101">
        <v>0</v>
      </c>
      <c r="S281" s="75">
        <f t="shared" si="809"/>
        <v>0.525157271358902</v>
      </c>
      <c r="T281" s="59">
        <f t="shared" si="789"/>
        <v>0.35521568415133425</v>
      </c>
      <c r="U281" s="59">
        <f t="shared" si="790"/>
        <v>0.27394619387432051</v>
      </c>
      <c r="V281" s="59">
        <f t="shared" si="791"/>
        <v>0.61815483399323257</v>
      </c>
      <c r="W281" s="59">
        <f t="shared" si="792"/>
        <v>1.7402239303427747</v>
      </c>
      <c r="X281" s="59">
        <f t="shared" si="793"/>
        <v>2.2564826517605354</v>
      </c>
      <c r="Y281" s="100">
        <v>368000</v>
      </c>
      <c r="Z281" s="57">
        <f t="shared" si="794"/>
        <v>830385.61584787711</v>
      </c>
      <c r="AA281" s="57">
        <f t="shared" si="795"/>
        <v>640402.40636614105</v>
      </c>
      <c r="AB281" s="57">
        <f>(AH281+AI281)/AU281</f>
        <v>745808.152192957</v>
      </c>
      <c r="AC281" s="57">
        <f t="shared" si="796"/>
        <v>0.25</v>
      </c>
      <c r="AD281" s="57">
        <f t="shared" si="797"/>
        <v>1.5</v>
      </c>
      <c r="AE281" s="57">
        <f t="shared" si="798"/>
        <v>0</v>
      </c>
      <c r="AF281" s="57">
        <f t="shared" si="799"/>
        <v>145437.64971069311</v>
      </c>
      <c r="AG281" s="57">
        <f t="shared" si="708"/>
        <v>494964.756655448</v>
      </c>
      <c r="AH281" s="57">
        <f>AM281*AK281*AT281*AP281*(AS281-0.5*AP281)</f>
        <v>831652819.55290914</v>
      </c>
      <c r="AI281" s="57">
        <f>BB281*BO281*(AS281-AQ281)</f>
        <v>175188185.90758291</v>
      </c>
      <c r="AJ281" s="77">
        <v>0</v>
      </c>
      <c r="AK281" s="77">
        <v>34.1</v>
      </c>
      <c r="AL281" s="78">
        <f t="shared" si="800"/>
        <v>3.2001072101430403</v>
      </c>
      <c r="AM281" s="57">
        <f t="shared" si="801"/>
        <v>1</v>
      </c>
      <c r="AN281" s="57">
        <f t="shared" si="802"/>
        <v>0.8</v>
      </c>
      <c r="AO281" s="77">
        <v>1200</v>
      </c>
      <c r="AP281" s="79">
        <f>180+60</f>
        <v>240</v>
      </c>
      <c r="AQ281" s="57">
        <f t="shared" si="803"/>
        <v>63.806427721274353</v>
      </c>
      <c r="AR281" s="78">
        <f>AO281-2*AP281</f>
        <v>720</v>
      </c>
      <c r="AS281" s="57">
        <f t="shared" si="804"/>
        <v>1136.1935722787257</v>
      </c>
      <c r="AT281" s="77">
        <v>100</v>
      </c>
      <c r="AU281" s="77">
        <f t="shared" si="842"/>
        <v>1350</v>
      </c>
      <c r="AV281" s="78">
        <f t="shared" si="805"/>
        <v>120000</v>
      </c>
      <c r="AW281" s="77">
        <v>0</v>
      </c>
      <c r="AX281" s="77">
        <f t="shared" si="806"/>
        <v>120000</v>
      </c>
      <c r="AY281" s="77">
        <f t="shared" si="830"/>
        <v>120000</v>
      </c>
      <c r="AZ281" s="77">
        <f t="shared" si="820"/>
        <v>520</v>
      </c>
      <c r="BA281" s="77">
        <v>520</v>
      </c>
      <c r="BB281" s="77">
        <v>520</v>
      </c>
      <c r="BC281" s="77">
        <v>520</v>
      </c>
      <c r="BD281" s="77">
        <v>9.1999999999999998E-3</v>
      </c>
      <c r="BE281" s="77">
        <v>1.0500000000000001E-2</v>
      </c>
      <c r="BF281" s="77">
        <v>9.1999999999999998E-3</v>
      </c>
      <c r="BG281" s="77">
        <v>0</v>
      </c>
      <c r="BH281" s="79">
        <v>150</v>
      </c>
      <c r="BI281" s="79">
        <f t="shared" si="831"/>
        <v>78.539816339744831</v>
      </c>
      <c r="BJ281" s="79">
        <v>2</v>
      </c>
      <c r="BK281" s="57">
        <f t="shared" si="709"/>
        <v>157.07963267948966</v>
      </c>
      <c r="BL281" s="57">
        <f t="shared" si="841"/>
        <v>662.4</v>
      </c>
      <c r="BM281" s="80">
        <f>PI()*10*10/4</f>
        <v>78.539816339744831</v>
      </c>
      <c r="BN281" s="80">
        <v>4</v>
      </c>
      <c r="BO281" s="57">
        <f>BM281*BN281</f>
        <v>314.15926535897933</v>
      </c>
      <c r="BP281" s="57">
        <f t="shared" si="807"/>
        <v>227480.97890950958</v>
      </c>
      <c r="BQ281" s="77">
        <f t="shared" si="808"/>
        <v>0</v>
      </c>
      <c r="BR281" s="57">
        <f t="shared" si="843"/>
        <v>307099321.52783793</v>
      </c>
      <c r="BS281" s="57">
        <v>127.61285544254871</v>
      </c>
      <c r="BT281" s="57">
        <f t="shared" si="810"/>
        <v>49.120547829250427</v>
      </c>
      <c r="BU281" s="57"/>
      <c r="BV281" s="57">
        <v>3.3E-3</v>
      </c>
      <c r="BW281" s="57">
        <v>30000</v>
      </c>
      <c r="BX281" s="57">
        <v>200000</v>
      </c>
      <c r="BY281" s="77">
        <f>60</f>
        <v>60</v>
      </c>
      <c r="BZ281" s="77">
        <f>BY281+180</f>
        <v>240</v>
      </c>
      <c r="CA281" s="77">
        <f>BY281+180*2</f>
        <v>420</v>
      </c>
      <c r="CB281" s="77">
        <f>BY281+180*3</f>
        <v>600</v>
      </c>
      <c r="CC281" s="77">
        <f>BY281+180*4</f>
        <v>780</v>
      </c>
      <c r="CD281" s="77">
        <f>BY281+180*5</f>
        <v>960</v>
      </c>
      <c r="CE281" s="77">
        <f>BY281+180*6</f>
        <v>1140</v>
      </c>
      <c r="DM281" s="77">
        <f t="shared" si="844"/>
        <v>157.07963267948966</v>
      </c>
      <c r="DN281" s="77">
        <f t="shared" si="844"/>
        <v>157.07963267948966</v>
      </c>
      <c r="DO281" s="77">
        <f t="shared" si="844"/>
        <v>157.07963267948966</v>
      </c>
      <c r="DP281" s="77">
        <f t="shared" si="844"/>
        <v>157.07963267948966</v>
      </c>
      <c r="DQ281" s="77">
        <f t="shared" si="844"/>
        <v>157.07963267948966</v>
      </c>
      <c r="DR281" s="77">
        <f t="shared" si="844"/>
        <v>157.07963267948966</v>
      </c>
      <c r="DS281" s="77">
        <f t="shared" si="844"/>
        <v>157.07963267948966</v>
      </c>
      <c r="FA281" s="77">
        <f t="shared" si="852"/>
        <v>-54928.616900916619</v>
      </c>
      <c r="FB281" s="77">
        <f t="shared" si="852"/>
        <v>81681.408993334626</v>
      </c>
      <c r="FC281" s="77">
        <f>IF(ABS(-$BV281*($BS281-CA281)/$BS281*$BX281)&gt;$BA281,$BA281*SIGN(-($BS281-CA281)),-$BV281*($BS281-CA281)/$BS281*$BX281)*DO281</f>
        <v>81681.408993334626</v>
      </c>
      <c r="FD281" s="77">
        <f t="shared" si="850"/>
        <v>81681.408993334626</v>
      </c>
      <c r="FE281" s="77">
        <f t="shared" si="850"/>
        <v>81681.408993334626</v>
      </c>
      <c r="FF281" s="77">
        <f t="shared" si="853"/>
        <v>81681.408993334626</v>
      </c>
      <c r="FG281" s="77">
        <f t="shared" si="853"/>
        <v>81681.408993334626</v>
      </c>
      <c r="GO281" s="77">
        <f t="shared" si="854"/>
        <v>29661453.126494974</v>
      </c>
      <c r="GP281" s="77">
        <f t="shared" si="855"/>
        <v>-29405307.237600464</v>
      </c>
      <c r="GQ281" s="77">
        <f t="shared" si="856"/>
        <v>-14702653.618800232</v>
      </c>
      <c r="GR281" s="77">
        <f t="shared" si="857"/>
        <v>0</v>
      </c>
      <c r="GS281" s="77">
        <f t="shared" si="846"/>
        <v>14702653.618800232</v>
      </c>
      <c r="GT281" s="77">
        <f t="shared" si="847"/>
        <v>29405307.237600464</v>
      </c>
      <c r="GU281" s="77">
        <f t="shared" si="848"/>
        <v>44107960.856400698</v>
      </c>
      <c r="IC281" s="82">
        <v>297</v>
      </c>
    </row>
    <row r="282" spans="1:237" s="77" customFormat="1">
      <c r="A282" s="77">
        <v>282</v>
      </c>
      <c r="B282" s="69">
        <v>421</v>
      </c>
      <c r="C282" s="69" t="s">
        <v>295</v>
      </c>
      <c r="D282" s="70" t="s">
        <v>302</v>
      </c>
      <c r="E282" s="70">
        <v>1</v>
      </c>
      <c r="F282" s="70">
        <f t="shared" si="816"/>
        <v>8.3554376657824919E-2</v>
      </c>
      <c r="G282" s="70">
        <v>2.3333329999999999E-3</v>
      </c>
      <c r="H282" s="70"/>
      <c r="I282" s="70">
        <f>2.8*5/AU282</f>
        <v>1.037037037037037E-2</v>
      </c>
      <c r="J282" s="72">
        <v>1</v>
      </c>
      <c r="K282" s="72">
        <v>12</v>
      </c>
      <c r="L282" s="72">
        <v>0</v>
      </c>
      <c r="M282" s="72">
        <v>0.14482758620689654</v>
      </c>
      <c r="N282" s="72">
        <v>0.12689655172413791</v>
      </c>
      <c r="O282" s="72">
        <v>0</v>
      </c>
      <c r="P282" s="72">
        <v>0</v>
      </c>
      <c r="Q282" s="73" t="s">
        <v>3</v>
      </c>
      <c r="R282" s="101">
        <v>0</v>
      </c>
      <c r="S282" s="75">
        <f t="shared" si="809"/>
        <v>0.51302659431275932</v>
      </c>
      <c r="T282" s="59">
        <f t="shared" si="789"/>
        <v>0.3517322351311849</v>
      </c>
      <c r="U282" s="59">
        <f t="shared" si="790"/>
        <v>0.2731170238350748</v>
      </c>
      <c r="V282" s="59">
        <f t="shared" si="791"/>
        <v>0.6064939066033167</v>
      </c>
      <c r="W282" s="59">
        <f t="shared" si="792"/>
        <v>1.7243057247144657</v>
      </c>
      <c r="X282" s="59">
        <f t="shared" si="793"/>
        <v>2.2206375058098016</v>
      </c>
      <c r="Y282" s="100">
        <v>378000</v>
      </c>
      <c r="Z282" s="57">
        <f t="shared" si="794"/>
        <v>839400.97719610506</v>
      </c>
      <c r="AA282" s="57">
        <f t="shared" si="795"/>
        <v>651787.56394206802</v>
      </c>
      <c r="AB282" s="112"/>
      <c r="AC282" s="57">
        <f t="shared" si="796"/>
        <v>0.25</v>
      </c>
      <c r="AD282" s="57">
        <f t="shared" si="797"/>
        <v>1.5</v>
      </c>
      <c r="AE282" s="57">
        <f t="shared" si="798"/>
        <v>0</v>
      </c>
      <c r="AF282" s="57">
        <f t="shared" si="799"/>
        <v>154433.38115188672</v>
      </c>
      <c r="AG282" s="57">
        <f t="shared" si="708"/>
        <v>497354.18279018137</v>
      </c>
      <c r="AH282" s="112"/>
      <c r="AI282" s="112"/>
      <c r="AJ282" s="77">
        <v>0</v>
      </c>
      <c r="AK282" s="77">
        <v>37.700000000000003</v>
      </c>
      <c r="AL282" s="78">
        <f t="shared" si="800"/>
        <v>3.3817177924254431</v>
      </c>
      <c r="AM282" s="57">
        <f t="shared" si="801"/>
        <v>1</v>
      </c>
      <c r="AN282" s="57">
        <f t="shared" si="802"/>
        <v>0.8</v>
      </c>
      <c r="AO282" s="77">
        <v>1200</v>
      </c>
      <c r="AP282" s="79"/>
      <c r="AQ282" s="77">
        <f t="shared" si="803"/>
        <v>58.321490502585178</v>
      </c>
      <c r="AS282" s="77">
        <f t="shared" si="804"/>
        <v>1141.6785094974148</v>
      </c>
      <c r="AT282" s="77">
        <v>100</v>
      </c>
      <c r="AU282" s="77">
        <f t="shared" si="842"/>
        <v>1350</v>
      </c>
      <c r="AV282" s="78">
        <f t="shared" si="805"/>
        <v>120000</v>
      </c>
      <c r="AW282" s="77">
        <v>0</v>
      </c>
      <c r="AX282" s="77">
        <f t="shared" si="806"/>
        <v>120000</v>
      </c>
      <c r="AY282" s="77">
        <f t="shared" si="830"/>
        <v>120000</v>
      </c>
      <c r="AZ282" s="77">
        <f t="shared" si="820"/>
        <v>520</v>
      </c>
      <c r="BA282" s="77">
        <v>520</v>
      </c>
      <c r="BB282" s="77">
        <v>0</v>
      </c>
      <c r="BC282" s="77">
        <v>0</v>
      </c>
      <c r="BD282" s="77">
        <v>9.1999999999999998E-3</v>
      </c>
      <c r="BE282" s="77">
        <v>1.0500000000000001E-2</v>
      </c>
      <c r="BF282" s="77">
        <v>0</v>
      </c>
      <c r="BG282" s="77">
        <v>0</v>
      </c>
      <c r="BH282" s="79">
        <v>150</v>
      </c>
      <c r="BI282" s="79">
        <f t="shared" si="831"/>
        <v>78.539816339744831</v>
      </c>
      <c r="BJ282" s="79">
        <v>2</v>
      </c>
      <c r="BK282" s="57">
        <f t="shared" si="709"/>
        <v>157.07963267948966</v>
      </c>
      <c r="BL282" s="57" t="b">
        <f t="shared" si="841"/>
        <v>0</v>
      </c>
      <c r="BM282" s="80"/>
      <c r="BN282" s="80"/>
      <c r="BO282" s="57"/>
      <c r="BP282" s="57">
        <f t="shared" si="807"/>
        <v>229254.6966960537</v>
      </c>
      <c r="BQ282" s="77">
        <f t="shared" si="808"/>
        <v>1.3387762010097504E-9</v>
      </c>
      <c r="BR282" s="57">
        <f t="shared" si="843"/>
        <v>309493840.53967249</v>
      </c>
      <c r="BS282" s="57">
        <v>116.64298100517036</v>
      </c>
      <c r="BT282" s="57">
        <f t="shared" si="810"/>
        <v>0</v>
      </c>
      <c r="BU282" s="57"/>
      <c r="BV282" s="57">
        <v>3.3E-3</v>
      </c>
      <c r="BW282" s="57">
        <v>30000</v>
      </c>
      <c r="BX282" s="57">
        <v>200000</v>
      </c>
      <c r="BY282" s="77">
        <v>60</v>
      </c>
      <c r="BZ282" s="77">
        <f>BY282+180*1</f>
        <v>240</v>
      </c>
      <c r="CA282" s="77">
        <f>BY282+180*2</f>
        <v>420</v>
      </c>
      <c r="CB282" s="77">
        <f>BY282+180*3</f>
        <v>600</v>
      </c>
      <c r="CC282" s="77">
        <f>BY282+180*4</f>
        <v>780</v>
      </c>
      <c r="CD282" s="77">
        <f>BY282+180*5</f>
        <v>960</v>
      </c>
      <c r="CE282" s="77">
        <f>BY282+180*6</f>
        <v>1140</v>
      </c>
      <c r="DM282" s="77">
        <f t="shared" si="844"/>
        <v>157.07963267948966</v>
      </c>
      <c r="DN282" s="77">
        <f t="shared" si="844"/>
        <v>157.07963267948966</v>
      </c>
      <c r="DO282" s="77">
        <f t="shared" si="844"/>
        <v>157.07963267948966</v>
      </c>
      <c r="DP282" s="77">
        <f t="shared" si="844"/>
        <v>157.07963267948966</v>
      </c>
      <c r="DQ282" s="77">
        <f t="shared" si="844"/>
        <v>157.07963267948966</v>
      </c>
      <c r="DR282" s="77">
        <f t="shared" si="844"/>
        <v>157.07963267948966</v>
      </c>
      <c r="DS282" s="77">
        <f t="shared" si="844"/>
        <v>157.07963267948966</v>
      </c>
      <c r="FA282" s="77">
        <f>IF(ABS(-$BV282*($BS282-BY282)/$BS282*$BX282)&gt;$BA282,$BA282*SIGN(-($BS282-BY282)),-$BV282*($BS282-BY282)/$BS282*$BX282)*DM282</f>
        <v>-50344.415570514189</v>
      </c>
      <c r="FB282" s="77">
        <f>IF(ABS(-$BV282*($BS282-BZ282)/$BS282*$BX282)&gt;$BA282,$BA282*SIGN(-($BS282-BZ282)),-$BV282*($BS282-BZ282)/$BS282*$BX282)*DN282</f>
        <v>81681.408993334626</v>
      </c>
      <c r="FC282" s="77">
        <f>IF(ABS(-$BV282*($BS282-CA282)/$BS282*$BX282)&gt;$BA282,$BA282*SIGN(-($BS282-CA282)),-$BV282*($BS282-CA282)/$BS282*$BX282)*DO282</f>
        <v>81681.408993334626</v>
      </c>
      <c r="FD282" s="77">
        <f t="shared" si="850"/>
        <v>81681.408993334626</v>
      </c>
      <c r="FE282" s="77">
        <f t="shared" si="850"/>
        <v>81681.408993334626</v>
      </c>
      <c r="FF282" s="77">
        <f t="shared" ref="FF282:FG285" si="858">IF(ABS(-$BV282*($BS282-CD282)/$BS282*$BX282)&gt;$BA282,$BA282*SIGN(-($BS282-CD282)),-$BV282*($BS282-CD282)/$BS282*$BX282)*DR282</f>
        <v>81681.408993334626</v>
      </c>
      <c r="FG282" s="77">
        <f t="shared" si="858"/>
        <v>81681.408993334626</v>
      </c>
      <c r="GO282" s="77">
        <f t="shared" si="854"/>
        <v>27185984.408077661</v>
      </c>
      <c r="GP282" s="77">
        <f t="shared" si="855"/>
        <v>-29405307.237600464</v>
      </c>
      <c r="GQ282" s="77">
        <f t="shared" si="856"/>
        <v>-14702653.618800232</v>
      </c>
      <c r="GR282" s="77">
        <f t="shared" si="857"/>
        <v>0</v>
      </c>
      <c r="GS282" s="77">
        <f t="shared" si="846"/>
        <v>14702653.618800232</v>
      </c>
      <c r="GT282" s="77">
        <f t="shared" si="847"/>
        <v>29405307.237600464</v>
      </c>
      <c r="GU282" s="77">
        <f t="shared" si="848"/>
        <v>44107960.856400698</v>
      </c>
      <c r="IC282" s="82">
        <v>298</v>
      </c>
    </row>
    <row r="283" spans="1:237" s="77" customFormat="1">
      <c r="A283" s="77">
        <v>283</v>
      </c>
      <c r="B283" s="69">
        <v>430</v>
      </c>
      <c r="C283" s="69" t="s">
        <v>303</v>
      </c>
      <c r="D283" s="70" t="s">
        <v>304</v>
      </c>
      <c r="E283" s="70">
        <v>1</v>
      </c>
      <c r="F283" s="70">
        <f t="shared" si="816"/>
        <v>5.5572576252723313E-2</v>
      </c>
      <c r="G283" s="70">
        <v>5.0000000000000001E-3</v>
      </c>
      <c r="H283" s="70">
        <v>8.0000000000000002E-3</v>
      </c>
      <c r="I283" s="70">
        <v>0.03</v>
      </c>
      <c r="J283" s="72">
        <v>2</v>
      </c>
      <c r="K283" s="72">
        <v>6.4</v>
      </c>
      <c r="L283" s="72">
        <v>4.0189542483660134E-2</v>
      </c>
      <c r="M283" s="72">
        <v>3.911111111111111E-2</v>
      </c>
      <c r="N283" s="72">
        <v>3.8128540305010894E-2</v>
      </c>
      <c r="O283" s="72">
        <v>9.4814814814814824E-2</v>
      </c>
      <c r="P283" s="72">
        <v>0.129953022875817</v>
      </c>
      <c r="Q283" s="73" t="s">
        <v>3</v>
      </c>
      <c r="R283" s="101">
        <v>0</v>
      </c>
      <c r="S283" s="75">
        <f t="shared" si="809"/>
        <v>0.37650164079276188</v>
      </c>
      <c r="T283" s="59">
        <f t="shared" si="789"/>
        <v>0.88719616171375615</v>
      </c>
      <c r="U283" s="59">
        <f t="shared" si="790"/>
        <v>0.78527315896011729</v>
      </c>
      <c r="V283" s="59">
        <f t="shared" si="791"/>
        <v>0.90723364780567628</v>
      </c>
      <c r="W283" s="59">
        <f t="shared" si="792"/>
        <v>1.0225851812221713</v>
      </c>
      <c r="X283" s="59">
        <f t="shared" si="793"/>
        <v>1.1553096364672171</v>
      </c>
      <c r="Y283" s="100">
        <f>(656+650)/2*1000</f>
        <v>653000</v>
      </c>
      <c r="Z283" s="57">
        <f t="shared" si="794"/>
        <v>754417.19261309272</v>
      </c>
      <c r="AA283" s="57">
        <f t="shared" si="795"/>
        <v>667748.12333807792</v>
      </c>
      <c r="AB283" s="57">
        <f t="shared" ref="AB283:AB292" si="859">(AH283+AI283)/AU283</f>
        <v>886441.44079578854</v>
      </c>
      <c r="AC283" s="57">
        <f t="shared" si="796"/>
        <v>0.17</v>
      </c>
      <c r="AD283" s="57">
        <f t="shared" si="797"/>
        <v>2</v>
      </c>
      <c r="AE283" s="57">
        <f t="shared" si="798"/>
        <v>1527000</v>
      </c>
      <c r="AF283" s="57">
        <f t="shared" si="799"/>
        <v>337173.57336334774</v>
      </c>
      <c r="AG283" s="57">
        <f t="shared" si="708"/>
        <v>330574.54997473018</v>
      </c>
      <c r="AH283" s="57">
        <f t="shared" ref="AH283:AH292" si="860">AM283*AK283*AT283*AP283*(AS283-0.5*AP283)</f>
        <v>1713641091.7397368</v>
      </c>
      <c r="AI283" s="57">
        <f t="shared" ref="AI283:AI292" si="861">BB283*BO283*(AS283-AQ283)</f>
        <v>555648996.69748175</v>
      </c>
      <c r="AJ283" s="77">
        <v>1527000</v>
      </c>
      <c r="AK283" s="77">
        <v>45.9</v>
      </c>
      <c r="AL283" s="78">
        <f t="shared" si="800"/>
        <v>3.768309775217825</v>
      </c>
      <c r="AM283" s="57">
        <f t="shared" si="801"/>
        <v>0.97921052631578942</v>
      </c>
      <c r="AN283" s="57">
        <f t="shared" si="802"/>
        <v>0.77921052631578946</v>
      </c>
      <c r="AO283" s="77">
        <v>1280</v>
      </c>
      <c r="AP283" s="79">
        <f>136+40</f>
        <v>176</v>
      </c>
      <c r="AQ283" s="57">
        <f t="shared" si="803"/>
        <v>108.85039611488278</v>
      </c>
      <c r="AR283" s="78">
        <f t="shared" ref="AR283:AR292" si="862">AO283-2*AP283</f>
        <v>928</v>
      </c>
      <c r="AS283" s="57">
        <f t="shared" si="804"/>
        <v>1171.1496038851171</v>
      </c>
      <c r="AT283" s="77">
        <v>200</v>
      </c>
      <c r="AU283" s="77">
        <f>2360+200</f>
        <v>2560</v>
      </c>
      <c r="AV283" s="78">
        <f t="shared" si="805"/>
        <v>256000</v>
      </c>
      <c r="AW283" s="77">
        <v>0</v>
      </c>
      <c r="AX283" s="77">
        <f t="shared" si="806"/>
        <v>256000</v>
      </c>
      <c r="AY283" s="77">
        <f t="shared" si="830"/>
        <v>256000</v>
      </c>
      <c r="AZ283" s="77">
        <f t="shared" si="820"/>
        <v>544</v>
      </c>
      <c r="BA283" s="77">
        <v>544</v>
      </c>
      <c r="BB283" s="77">
        <v>473</v>
      </c>
      <c r="BC283" s="77">
        <v>490</v>
      </c>
      <c r="BD283" s="77">
        <v>3.8999999999999998E-3</v>
      </c>
      <c r="BE283" s="77">
        <v>3.3E-3</v>
      </c>
      <c r="BF283" s="77">
        <f>BO283/(176*200)</f>
        <v>3.1415926535897927E-2</v>
      </c>
      <c r="BG283" s="77">
        <f>PI()*6*6/4*4/(200*70)</f>
        <v>8.078381109230896E-3</v>
      </c>
      <c r="BH283" s="79">
        <v>155</v>
      </c>
      <c r="BI283" s="79">
        <f t="shared" ref="BI283:BI288" si="863">PI()*8*8/4</f>
        <v>50.26548245743669</v>
      </c>
      <c r="BJ283" s="79">
        <v>2</v>
      </c>
      <c r="BK283" s="57">
        <f t="shared" si="709"/>
        <v>100.53096491487338</v>
      </c>
      <c r="BL283" s="57">
        <f t="shared" si="841"/>
        <v>723.83999999999992</v>
      </c>
      <c r="BM283" s="80">
        <f>PI()*12*12/4*2+PI()*8*8/4</f>
        <v>276.46015351590177</v>
      </c>
      <c r="BN283" s="80">
        <v>4</v>
      </c>
      <c r="BO283" s="57">
        <f t="shared" ref="BO283:BO292" si="864">BM283*BN283</f>
        <v>1105.8406140636071</v>
      </c>
      <c r="BP283" s="57">
        <f t="shared" si="807"/>
        <v>592423.57201710658</v>
      </c>
      <c r="BQ283" s="77">
        <f t="shared" si="808"/>
        <v>7.0431269705295563E-9</v>
      </c>
      <c r="BR283" s="57">
        <f t="shared" si="843"/>
        <v>1516604344.3637929</v>
      </c>
      <c r="BS283" s="57">
        <v>217.70079222976557</v>
      </c>
      <c r="BT283" s="57">
        <f t="shared" si="810"/>
        <v>284.24387333335613</v>
      </c>
      <c r="BU283" s="57"/>
      <c r="BV283" s="57">
        <v>3.3E-3</v>
      </c>
      <c r="BW283" s="57">
        <v>30000</v>
      </c>
      <c r="BX283" s="57">
        <v>200000</v>
      </c>
      <c r="BY283" s="77">
        <f>40</f>
        <v>40</v>
      </c>
      <c r="BZ283" s="77">
        <f>BY283+136/3*1</f>
        <v>85.333333333333343</v>
      </c>
      <c r="CA283" s="77">
        <f>BY283+136/3*2</f>
        <v>130.66666666666669</v>
      </c>
      <c r="CB283" s="77">
        <f>BY283+136/3*3</f>
        <v>176</v>
      </c>
      <c r="CC283" s="77">
        <f>CB283+928/6*1</f>
        <v>330.66666666666663</v>
      </c>
      <c r="CD283" s="77">
        <f>CB283+928/6*2</f>
        <v>485.33333333333331</v>
      </c>
      <c r="CE283" s="77">
        <f>CB283+928/6*3</f>
        <v>640</v>
      </c>
      <c r="CF283" s="77">
        <f>CB283+928/6*4</f>
        <v>794.66666666666663</v>
      </c>
      <c r="CG283" s="77">
        <f>CB283+928/6*5</f>
        <v>949.33333333333326</v>
      </c>
      <c r="CH283" s="77">
        <f>CB283+928/6*6</f>
        <v>1104</v>
      </c>
      <c r="CI283" s="77">
        <f>CH283+136/3*1</f>
        <v>1149.3333333333333</v>
      </c>
      <c r="CJ283" s="77">
        <f>CH283+136/3*2</f>
        <v>1194.6666666666667</v>
      </c>
      <c r="CK283" s="77">
        <f>CH283+136/3*3</f>
        <v>1240</v>
      </c>
      <c r="DM283" s="77">
        <f>PI()*12*12/4*2+PI()*8*8/4*2</f>
        <v>326.72563597333851</v>
      </c>
      <c r="DN283" s="77">
        <f>PI()*12*12/4*2</f>
        <v>226.1946710584651</v>
      </c>
      <c r="DO283" s="77">
        <f>PI()*12*12/4*2</f>
        <v>226.1946710584651</v>
      </c>
      <c r="DP283" s="77">
        <f>PI()*12*12/4*2+PI()*8*8/4*2</f>
        <v>326.72563597333851</v>
      </c>
      <c r="DQ283" s="77">
        <f t="shared" ref="DQ283:DU284" si="865">PI()*8*8/4*2</f>
        <v>100.53096491487338</v>
      </c>
      <c r="DR283" s="77">
        <f t="shared" si="865"/>
        <v>100.53096491487338</v>
      </c>
      <c r="DS283" s="77">
        <f t="shared" si="865"/>
        <v>100.53096491487338</v>
      </c>
      <c r="DT283" s="77">
        <f t="shared" si="865"/>
        <v>100.53096491487338</v>
      </c>
      <c r="DU283" s="77">
        <f t="shared" si="865"/>
        <v>100.53096491487338</v>
      </c>
      <c r="DV283" s="77">
        <f>PI()*12*12/4*2+PI()*8*8/4*2</f>
        <v>326.72563597333851</v>
      </c>
      <c r="DW283" s="77">
        <f>PI()*12*12/4*2</f>
        <v>226.1946710584651</v>
      </c>
      <c r="DX283" s="77">
        <f>PI()*12*12/4*2</f>
        <v>226.1946710584651</v>
      </c>
      <c r="DY283" s="77">
        <f>PI()*12*12/4*2+PI()*8*8/4*2</f>
        <v>326.72563597333851</v>
      </c>
      <c r="FA283" s="77">
        <f t="shared" ref="FA283:FD284" si="866">IF(ABS(-$BV283*($BS283-BY283)/$BS283*$BX283)&gt;$BB283,$BB283*SIGN(-($BS283-BY283)),-$BV283*($BS283-BY283)/$BS283*$BX283)*DM283</f>
        <v>-154541.22581538913</v>
      </c>
      <c r="FB283" s="77">
        <f t="shared" si="866"/>
        <v>-90771.085035526034</v>
      </c>
      <c r="FC283" s="77">
        <f t="shared" si="866"/>
        <v>-59683.717420774912</v>
      </c>
      <c r="FD283" s="77">
        <f t="shared" si="866"/>
        <v>-41305.838608701066</v>
      </c>
      <c r="FE283" s="77">
        <f t="shared" ref="FE283:FE290" si="867">IF(ABS(-$BV283*($BS283-CC283)/$BS283*$BX283)&gt;$BA283,$BA283*SIGN(-($BS283-CC283)),-$BV283*($BS283-CC283)/$BS283*$BX283)*DQ283</f>
        <v>34429.526142566268</v>
      </c>
      <c r="FF283" s="77">
        <f t="shared" si="858"/>
        <v>54688.844913691122</v>
      </c>
      <c r="FG283" s="77">
        <f t="shared" si="858"/>
        <v>54688.844913691122</v>
      </c>
      <c r="FH283" s="77">
        <f>IF(ABS(-$BV283*($BS283-CF283)/$BS283*$BX283)&gt;$BA283,$BA283*SIGN(-($BS283-CF283)),-$BV283*($BS283-CF283)/$BS283*$BX283)*DT283</f>
        <v>54688.844913691122</v>
      </c>
      <c r="FI283" s="77">
        <f>IF(ABS(-$BV283*($BS283-CG283)/$BS283*$BX283)&gt;$BA283,$BA283*SIGN(-($BS283-CG283)),-$BV283*($BS283-CG283)/$BS283*$BX283)*DU283</f>
        <v>54688.844913691122</v>
      </c>
      <c r="FJ283" s="77">
        <f>IF(ABS(-$BV283*($BS283-CH283)/$BS283*$BX283)&gt;$BB283,$BB283*SIGN(-($BS283-CH283)),-$BV283*($BS283-CH283)/$BS283*$BX283)*DV283</f>
        <v>154541.22581538913</v>
      </c>
      <c r="FK283" s="77">
        <f>IF(ABS(-$BV283*($BS283-CI283)/$BS283*$BX283)&gt;$BB283,$BB283*SIGN(-($BS283-CI283)),-$BV283*($BS283-CI283)/$BS283*$BX283)*DW283</f>
        <v>106990.079410654</v>
      </c>
      <c r="FL283" s="77">
        <f>IF(ABS(-$BV283*($BS283-CJ283)/$BS283*$BX283)&gt;$BB283,$BB283*SIGN(-($BS283-CJ283)),-$BV283*($BS283-CJ283)/$BS283*$BX283)*DX283</f>
        <v>106990.079410654</v>
      </c>
      <c r="FM283" s="77">
        <f>IF(ABS(-$BV283*($BS283-CK283)/$BS283*$BX283)&gt;$BB283,$BB283*SIGN(-($BS283-CK283)),-$BV283*($BS283-CK283)/$BS283*$BX283)*DY283</f>
        <v>154541.22581538913</v>
      </c>
      <c r="GO283" s="77">
        <f t="shared" si="854"/>
        <v>92724735.489233479</v>
      </c>
      <c r="GP283" s="77">
        <f t="shared" si="855"/>
        <v>50347695.16637177</v>
      </c>
      <c r="GQ283" s="77">
        <f t="shared" si="856"/>
        <v>30398906.739648022</v>
      </c>
      <c r="GR283" s="77">
        <f t="shared" si="857"/>
        <v>19165909.114437293</v>
      </c>
      <c r="GS283" s="77">
        <f t="shared" si="846"/>
        <v>-10650200.086767167</v>
      </c>
      <c r="GT283" s="77">
        <f t="shared" si="847"/>
        <v>-8458541.3466508947</v>
      </c>
      <c r="GU283" s="77">
        <f t="shared" si="848"/>
        <v>0</v>
      </c>
      <c r="GV283" s="77">
        <f t="shared" ref="GV283:HA284" si="868">FH283*(CF283-0.5*$AO283)</f>
        <v>8458541.346650891</v>
      </c>
      <c r="GW283" s="77">
        <f t="shared" si="868"/>
        <v>16917082.693301782</v>
      </c>
      <c r="GX283" s="77">
        <f t="shared" si="868"/>
        <v>71707128.778340563</v>
      </c>
      <c r="GY283" s="77">
        <f t="shared" si="868"/>
        <v>54493613.779826425</v>
      </c>
      <c r="GZ283" s="77">
        <f t="shared" si="868"/>
        <v>59343830.713109426</v>
      </c>
      <c r="HA283" s="77">
        <f t="shared" si="868"/>
        <v>92724735.489233479</v>
      </c>
      <c r="IC283" s="82">
        <v>299</v>
      </c>
    </row>
    <row r="284" spans="1:237" s="77" customFormat="1">
      <c r="A284" s="77">
        <v>284</v>
      </c>
      <c r="B284" s="69">
        <v>431</v>
      </c>
      <c r="C284" s="69" t="s">
        <v>303</v>
      </c>
      <c r="D284" s="70" t="s">
        <v>305</v>
      </c>
      <c r="E284" s="70">
        <v>1</v>
      </c>
      <c r="F284" s="70">
        <f t="shared" si="816"/>
        <v>5.9317129629629629E-2</v>
      </c>
      <c r="G284" s="70">
        <v>8.0000000000000002E-3</v>
      </c>
      <c r="H284" s="70">
        <v>1.15E-2</v>
      </c>
      <c r="I284" s="70">
        <v>2.5000000000000001E-2</v>
      </c>
      <c r="J284" s="72">
        <v>2</v>
      </c>
      <c r="K284" s="72">
        <v>6.4</v>
      </c>
      <c r="L284" s="72">
        <v>7.3165577342047941E-2</v>
      </c>
      <c r="M284" s="72">
        <v>8.4148148148148152E-2</v>
      </c>
      <c r="N284" s="72">
        <v>3.8128540305010894E-2</v>
      </c>
      <c r="O284" s="72">
        <v>9.4814814814814824E-2</v>
      </c>
      <c r="P284" s="72">
        <v>0.129953022875817</v>
      </c>
      <c r="Q284" s="73" t="s">
        <v>3</v>
      </c>
      <c r="R284" s="101">
        <v>0</v>
      </c>
      <c r="S284" s="75">
        <f t="shared" si="809"/>
        <v>0.4018708172014625</v>
      </c>
      <c r="T284" s="59">
        <f t="shared" si="789"/>
        <v>0.63863537397891401</v>
      </c>
      <c r="U284" s="59">
        <f t="shared" si="790"/>
        <v>0.5214044059975278</v>
      </c>
      <c r="V284" s="59">
        <f t="shared" si="791"/>
        <v>0.96023719990924394</v>
      </c>
      <c r="W284" s="59">
        <f t="shared" si="792"/>
        <v>1.5035765932078613</v>
      </c>
      <c r="X284" s="59">
        <f t="shared" si="793"/>
        <v>1.8416361443516398</v>
      </c>
      <c r="Y284" s="100">
        <f>(740+654)/2*1000</f>
        <v>697000</v>
      </c>
      <c r="Z284" s="57">
        <f t="shared" si="794"/>
        <v>1283620.3926130929</v>
      </c>
      <c r="AA284" s="57">
        <f t="shared" si="795"/>
        <v>1047992.8854658793</v>
      </c>
      <c r="AB284" s="57">
        <f t="shared" si="859"/>
        <v>867744.00205457862</v>
      </c>
      <c r="AC284" s="57">
        <f t="shared" si="796"/>
        <v>0.17</v>
      </c>
      <c r="AD284" s="57">
        <f t="shared" si="797"/>
        <v>2</v>
      </c>
      <c r="AE284" s="57">
        <f t="shared" si="798"/>
        <v>1527000</v>
      </c>
      <c r="AF284" s="57">
        <f t="shared" si="799"/>
        <v>333513.36052134284</v>
      </c>
      <c r="AG284" s="57">
        <f t="shared" si="708"/>
        <v>714479.5249445365</v>
      </c>
      <c r="AH284" s="57">
        <f t="shared" si="860"/>
        <v>1684827829.0969329</v>
      </c>
      <c r="AI284" s="57">
        <f t="shared" si="861"/>
        <v>536596816.16278833</v>
      </c>
      <c r="AJ284" s="77">
        <v>1527000</v>
      </c>
      <c r="AK284" s="77">
        <v>45.9</v>
      </c>
      <c r="AL284" s="78">
        <f t="shared" si="800"/>
        <v>3.768309775217825</v>
      </c>
      <c r="AM284" s="57">
        <f t="shared" si="801"/>
        <v>0.97921052631578942</v>
      </c>
      <c r="AN284" s="57">
        <f t="shared" si="802"/>
        <v>0.77921052631578946</v>
      </c>
      <c r="AO284" s="77">
        <v>1280</v>
      </c>
      <c r="AP284" s="79">
        <f>136+40</f>
        <v>176</v>
      </c>
      <c r="AQ284" s="57">
        <f t="shared" si="803"/>
        <v>127.06253760041801</v>
      </c>
      <c r="AR284" s="78">
        <f t="shared" si="862"/>
        <v>928</v>
      </c>
      <c r="AS284" s="57">
        <f t="shared" si="804"/>
        <v>1152.937462399582</v>
      </c>
      <c r="AT284" s="77">
        <v>200</v>
      </c>
      <c r="AU284" s="77">
        <f>2360+200</f>
        <v>2560</v>
      </c>
      <c r="AV284" s="78">
        <f t="shared" si="805"/>
        <v>256000</v>
      </c>
      <c r="AW284" s="77">
        <v>0</v>
      </c>
      <c r="AX284" s="77">
        <f t="shared" si="806"/>
        <v>256000</v>
      </c>
      <c r="AY284" s="77">
        <f t="shared" si="830"/>
        <v>256000</v>
      </c>
      <c r="AZ284" s="77">
        <f t="shared" si="820"/>
        <v>544</v>
      </c>
      <c r="BA284" s="77">
        <v>544</v>
      </c>
      <c r="BB284" s="77">
        <v>473</v>
      </c>
      <c r="BC284" s="77">
        <v>490</v>
      </c>
      <c r="BD284" s="77">
        <v>7.1000000000000004E-3</v>
      </c>
      <c r="BE284" s="77">
        <v>7.1000000000000004E-3</v>
      </c>
      <c r="BF284" s="77">
        <f>BO284/(176*200)</f>
        <v>3.1415926535897927E-2</v>
      </c>
      <c r="BG284" s="77">
        <f>PI()*6*6/4*4/(200*70)</f>
        <v>8.078381109230896E-3</v>
      </c>
      <c r="BH284" s="79">
        <v>70.599999999999994</v>
      </c>
      <c r="BI284" s="79">
        <f t="shared" si="863"/>
        <v>50.26548245743669</v>
      </c>
      <c r="BJ284" s="79">
        <v>2</v>
      </c>
      <c r="BK284" s="57">
        <f t="shared" si="709"/>
        <v>100.53096491487338</v>
      </c>
      <c r="BL284" s="57">
        <f t="shared" si="841"/>
        <v>1317.76</v>
      </c>
      <c r="BM284" s="80">
        <f>PI()*12*12/4*2+PI()*8*8/4</f>
        <v>276.46015351590177</v>
      </c>
      <c r="BN284" s="80">
        <v>4</v>
      </c>
      <c r="BO284" s="57">
        <f t="shared" si="864"/>
        <v>1105.8406140636071</v>
      </c>
      <c r="BP284" s="57">
        <f t="shared" si="807"/>
        <v>669285.32833674306</v>
      </c>
      <c r="BQ284" s="77">
        <f t="shared" si="808"/>
        <v>3.4924596548080444E-9</v>
      </c>
      <c r="BR284" s="57">
        <f t="shared" si="843"/>
        <v>1713370440.5420623</v>
      </c>
      <c r="BS284" s="57">
        <v>254.12507520083602</v>
      </c>
      <c r="BT284" s="57">
        <f t="shared" si="810"/>
        <v>295.11831116211988</v>
      </c>
      <c r="BU284" s="57"/>
      <c r="BV284" s="57">
        <v>3.3E-3</v>
      </c>
      <c r="BW284" s="57">
        <v>30000</v>
      </c>
      <c r="BX284" s="57">
        <v>200000</v>
      </c>
      <c r="BY284" s="77">
        <f>40</f>
        <v>40</v>
      </c>
      <c r="BZ284" s="77">
        <f>BY284+136/3*1</f>
        <v>85.333333333333343</v>
      </c>
      <c r="CA284" s="77">
        <f>BY284+136/3*2</f>
        <v>130.66666666666669</v>
      </c>
      <c r="CB284" s="77">
        <f>BY284+136/3*3</f>
        <v>176</v>
      </c>
      <c r="CC284" s="77">
        <f>CB284+928/15*1</f>
        <v>237.86666666666667</v>
      </c>
      <c r="CD284" s="77">
        <f>CB284+928/15*2</f>
        <v>299.73333333333335</v>
      </c>
      <c r="CE284" s="77">
        <f>CB284+928/15*3</f>
        <v>361.6</v>
      </c>
      <c r="CF284" s="77">
        <f>CB284+928/15*4</f>
        <v>423.4666666666667</v>
      </c>
      <c r="CG284" s="77">
        <f>CB284+928/15*5</f>
        <v>485.33333333333331</v>
      </c>
      <c r="CH284" s="77">
        <f>CB284+928/15*6</f>
        <v>547.20000000000005</v>
      </c>
      <c r="CI284" s="77">
        <f>CB284+928/15*7</f>
        <v>609.06666666666661</v>
      </c>
      <c r="CJ284" s="77">
        <f>CB284+928/15*8</f>
        <v>670.93333333333339</v>
      </c>
      <c r="CK284" s="77">
        <f>CB284+928/15*9</f>
        <v>732.8</v>
      </c>
      <c r="CL284" s="77">
        <f>CB284+928/15*10</f>
        <v>794.66666666666663</v>
      </c>
      <c r="CM284" s="77">
        <f>CB284+928/15*11</f>
        <v>856.5333333333333</v>
      </c>
      <c r="CN284" s="77">
        <f>CB284+928/15*12</f>
        <v>918.4</v>
      </c>
      <c r="CO284" s="77">
        <f>CB284+928/15*13</f>
        <v>980.26666666666665</v>
      </c>
      <c r="CP284" s="77">
        <f>CB284+928/15*14</f>
        <v>1042.1333333333332</v>
      </c>
      <c r="CQ284" s="77">
        <f>CB284+928/15*15</f>
        <v>1104</v>
      </c>
      <c r="CR284" s="77">
        <f>CQ284+136/3*1</f>
        <v>1149.3333333333333</v>
      </c>
      <c r="CS284" s="77">
        <f>CQ284+136/3*2</f>
        <v>1194.6666666666667</v>
      </c>
      <c r="CT284" s="77">
        <f>CQ284+136/3*3</f>
        <v>1240</v>
      </c>
      <c r="DM284" s="77">
        <f>PI()*12*12/4*2+PI()*8*8/4*2</f>
        <v>326.72563597333851</v>
      </c>
      <c r="DN284" s="77">
        <f>PI()*12*12/4*2</f>
        <v>226.1946710584651</v>
      </c>
      <c r="DO284" s="77">
        <f>PI()*12*12/4*2</f>
        <v>226.1946710584651</v>
      </c>
      <c r="DP284" s="77">
        <f>PI()*12*12/4*2+PI()*8*8/4*2</f>
        <v>326.72563597333851</v>
      </c>
      <c r="DQ284" s="77">
        <f t="shared" si="865"/>
        <v>100.53096491487338</v>
      </c>
      <c r="DR284" s="77">
        <f t="shared" si="865"/>
        <v>100.53096491487338</v>
      </c>
      <c r="DS284" s="77">
        <f t="shared" si="865"/>
        <v>100.53096491487338</v>
      </c>
      <c r="DT284" s="77">
        <f t="shared" si="865"/>
        <v>100.53096491487338</v>
      </c>
      <c r="DU284" s="77">
        <f t="shared" si="865"/>
        <v>100.53096491487338</v>
      </c>
      <c r="DV284" s="77">
        <f t="shared" ref="DV284:ED284" si="869">PI()*8*8/4*2</f>
        <v>100.53096491487338</v>
      </c>
      <c r="DW284" s="77">
        <f t="shared" si="869"/>
        <v>100.53096491487338</v>
      </c>
      <c r="DX284" s="77">
        <f t="shared" si="869"/>
        <v>100.53096491487338</v>
      </c>
      <c r="DY284" s="77">
        <f t="shared" si="869"/>
        <v>100.53096491487338</v>
      </c>
      <c r="DZ284" s="77">
        <f t="shared" si="869"/>
        <v>100.53096491487338</v>
      </c>
      <c r="EA284" s="77">
        <f t="shared" si="869"/>
        <v>100.53096491487338</v>
      </c>
      <c r="EB284" s="77">
        <f t="shared" si="869"/>
        <v>100.53096491487338</v>
      </c>
      <c r="EC284" s="77">
        <f t="shared" si="869"/>
        <v>100.53096491487338</v>
      </c>
      <c r="ED284" s="77">
        <f t="shared" si="869"/>
        <v>100.53096491487338</v>
      </c>
      <c r="EE284" s="77">
        <f>PI()*12*12/4*2+PI()*8*8/4*2</f>
        <v>326.72563597333851</v>
      </c>
      <c r="EF284" s="77">
        <f>PI()*12*12/4*2</f>
        <v>226.1946710584651</v>
      </c>
      <c r="EG284" s="77">
        <f>PI()*12*12/4*2</f>
        <v>226.1946710584651</v>
      </c>
      <c r="EH284" s="77">
        <f>PI()*12*12/4*2+PI()*8*8/4*2</f>
        <v>326.72563597333851</v>
      </c>
      <c r="FA284" s="77">
        <f t="shared" si="866"/>
        <v>-154541.22581538913</v>
      </c>
      <c r="FB284" s="77">
        <f t="shared" si="866"/>
        <v>-99158.507082761425</v>
      </c>
      <c r="FC284" s="77">
        <f t="shared" si="866"/>
        <v>-72526.957430604118</v>
      </c>
      <c r="FD284" s="77">
        <f t="shared" si="866"/>
        <v>-66293.366791089851</v>
      </c>
      <c r="FE284" s="77">
        <f t="shared" si="867"/>
        <v>-4244.9668053214627</v>
      </c>
      <c r="FF284" s="77">
        <f t="shared" si="858"/>
        <v>11908.025402000099</v>
      </c>
      <c r="FG284" s="77">
        <f t="shared" si="858"/>
        <v>28061.017609321658</v>
      </c>
      <c r="FH284" s="77">
        <f>IF(ABS(-$BV284*($BS284-CF284)/$BS284*$BX284)&gt;$BA284,$BA284*SIGN(-($BS284-CF284)),-$BV284*($BS284-CF284)/$BS284*$BX284)*DT284</f>
        <v>44214.009816643229</v>
      </c>
      <c r="FI284" s="77">
        <f>IF(ABS(-$BV284*($BS284-CG284)/$BS284*$BX284)&gt;$BA284,$BA284*SIGN(-($BS284-CG284)),-$BV284*($BS284-CG284)/$BS284*$BX284)*DU284</f>
        <v>54688.844913691122</v>
      </c>
      <c r="FJ284" s="77">
        <f t="shared" ref="FJ284:FR284" si="870">IF(ABS(-$BV284*($BS284-CH284)/$BS284*$BX284)&gt;$BA284,$BA284*SIGN(-($BS284-CH284)),-$BV284*($BS284-CH284)/$BS284*$BX284)*DV284</f>
        <v>54688.844913691122</v>
      </c>
      <c r="FK284" s="77">
        <f t="shared" si="870"/>
        <v>54688.844913691122</v>
      </c>
      <c r="FL284" s="77">
        <f t="shared" si="870"/>
        <v>54688.844913691122</v>
      </c>
      <c r="FM284" s="77">
        <f t="shared" si="870"/>
        <v>54688.844913691122</v>
      </c>
      <c r="FN284" s="77">
        <f t="shared" si="870"/>
        <v>54688.844913691122</v>
      </c>
      <c r="FO284" s="77">
        <f t="shared" si="870"/>
        <v>54688.844913691122</v>
      </c>
      <c r="FP284" s="77">
        <f t="shared" si="870"/>
        <v>54688.844913691122</v>
      </c>
      <c r="FQ284" s="77">
        <f t="shared" si="870"/>
        <v>54688.844913691122</v>
      </c>
      <c r="FR284" s="77">
        <f t="shared" si="870"/>
        <v>54688.844913691122</v>
      </c>
      <c r="FS284" s="77">
        <f>IF(ABS(-$BV284*($BS284-CQ284)/$BS284*$BX284)&gt;$BB284,$BB284*SIGN(-($BS284-CQ284)),-$BV284*($BS284-CQ284)/$BS284*$BX284)*EE284</f>
        <v>154541.22581538913</v>
      </c>
      <c r="FT284" s="77">
        <f>IF(ABS(-$BV284*($BS284-CR284)/$BS284*$BX284)&gt;$BB284,$BB284*SIGN(-($BS284-CR284)),-$BV284*($BS284-CR284)/$BS284*$BX284)*EF284</f>
        <v>106990.079410654</v>
      </c>
      <c r="FU284" s="77">
        <f>IF(ABS(-$BV284*($BS284-CS284)/$BS284*$BX284)&gt;$BB284,$BB284*SIGN(-($BS284-CS284)),-$BV284*($BS284-CS284)/$BS284*$BX284)*EG284</f>
        <v>106990.079410654</v>
      </c>
      <c r="FV284" s="77">
        <f>IF(ABS(-$BV284*($BS284-CT284)/$BS284*$BX284)&gt;$BB284,$BB284*SIGN(-($BS284-CT284)),-$BV284*($BS284-CT284)/$BS284*$BX284)*EH284</f>
        <v>154541.22581538913</v>
      </c>
      <c r="GO284" s="77">
        <f t="shared" si="854"/>
        <v>92724735.489233479</v>
      </c>
      <c r="GP284" s="77">
        <f t="shared" si="855"/>
        <v>54999918.595238335</v>
      </c>
      <c r="GQ284" s="77">
        <f t="shared" si="856"/>
        <v>36940396.98465436</v>
      </c>
      <c r="GR284" s="77">
        <f t="shared" si="857"/>
        <v>30760122.191065691</v>
      </c>
      <c r="GS284" s="77">
        <f t="shared" si="846"/>
        <v>1707042.6513132709</v>
      </c>
      <c r="GT284" s="77">
        <f t="shared" si="847"/>
        <v>-4051904.110120567</v>
      </c>
      <c r="GU284" s="77">
        <f t="shared" si="848"/>
        <v>-7812187.3024351485</v>
      </c>
      <c r="GV284" s="77">
        <f t="shared" si="868"/>
        <v>-9573806.9256304801</v>
      </c>
      <c r="GW284" s="77">
        <f t="shared" si="868"/>
        <v>-8458541.3466508947</v>
      </c>
      <c r="GX284" s="77">
        <f t="shared" si="868"/>
        <v>-5075124.8079905333</v>
      </c>
      <c r="GY284" s="77">
        <f t="shared" si="868"/>
        <v>-1691708.2693301821</v>
      </c>
      <c r="GZ284" s="77">
        <f t="shared" si="868"/>
        <v>1691708.2693301821</v>
      </c>
      <c r="HA284" s="77">
        <f t="shared" si="868"/>
        <v>5075124.8079905333</v>
      </c>
      <c r="HB284" s="77">
        <f t="shared" ref="HB284:HJ284" si="871">FN284*(CL284-0.5*$AO284)</f>
        <v>8458541.346650891</v>
      </c>
      <c r="HC284" s="77">
        <f t="shared" si="871"/>
        <v>11841957.88531125</v>
      </c>
      <c r="HD284" s="77">
        <f t="shared" si="871"/>
        <v>15225374.423971606</v>
      </c>
      <c r="HE284" s="77">
        <f t="shared" si="871"/>
        <v>18608790.962631963</v>
      </c>
      <c r="HF284" s="77">
        <f t="shared" si="871"/>
        <v>21992207.501292318</v>
      </c>
      <c r="HG284" s="77">
        <f t="shared" si="871"/>
        <v>71707128.778340563</v>
      </c>
      <c r="HH284" s="77">
        <f t="shared" si="871"/>
        <v>54493613.779826425</v>
      </c>
      <c r="HI284" s="77">
        <f t="shared" si="871"/>
        <v>59343830.713109426</v>
      </c>
      <c r="HJ284" s="77">
        <f t="shared" si="871"/>
        <v>92724735.489233479</v>
      </c>
      <c r="IC284" s="82">
        <v>300</v>
      </c>
    </row>
    <row r="285" spans="1:237" s="77" customFormat="1">
      <c r="A285" s="77">
        <v>285</v>
      </c>
      <c r="B285" s="69">
        <v>434</v>
      </c>
      <c r="C285" s="69" t="s">
        <v>608</v>
      </c>
      <c r="D285" s="70" t="s">
        <v>307</v>
      </c>
      <c r="E285" s="118">
        <v>3</v>
      </c>
      <c r="F285" s="70">
        <f t="shared" si="816"/>
        <v>0.1434108527131783</v>
      </c>
      <c r="G285" s="70">
        <v>8.0000000000000002E-3</v>
      </c>
      <c r="H285" s="70"/>
      <c r="I285" s="70">
        <v>1.2E-2</v>
      </c>
      <c r="J285" s="72">
        <v>0.64666666666666661</v>
      </c>
      <c r="K285" s="72">
        <v>12.5</v>
      </c>
      <c r="L285" s="72">
        <v>0.11596899224806201</v>
      </c>
      <c r="M285" s="72">
        <v>0.12677519379844959</v>
      </c>
      <c r="N285" s="72">
        <v>0.87829457364341079</v>
      </c>
      <c r="O285" s="72">
        <v>0.12677519379844959</v>
      </c>
      <c r="P285" s="72">
        <v>0</v>
      </c>
      <c r="Q285" s="73" t="s">
        <v>3</v>
      </c>
      <c r="R285" s="101">
        <v>0</v>
      </c>
      <c r="S285" s="75">
        <f t="shared" si="809"/>
        <v>0.72843678863629591</v>
      </c>
      <c r="T285" s="59">
        <f t="shared" si="789"/>
        <v>1.0626156148666297</v>
      </c>
      <c r="U285" s="59">
        <f t="shared" si="790"/>
        <v>0.82705966829470567</v>
      </c>
      <c r="V285" s="59">
        <f t="shared" si="791"/>
        <v>1.0149681859727837</v>
      </c>
      <c r="W285" s="59">
        <f t="shared" si="792"/>
        <v>0.95516024023435198</v>
      </c>
      <c r="X285" s="59">
        <f t="shared" si="793"/>
        <v>1.2272006783567648</v>
      </c>
      <c r="Y285" s="100">
        <v>666000</v>
      </c>
      <c r="Z285" s="57">
        <f t="shared" si="794"/>
        <v>817315.65178560535</v>
      </c>
      <c r="AA285" s="57">
        <f t="shared" si="795"/>
        <v>636136.71999607841</v>
      </c>
      <c r="AB285" s="57">
        <f t="shared" si="859"/>
        <v>1517165.3090600974</v>
      </c>
      <c r="AC285" s="57">
        <f t="shared" si="796"/>
        <v>0.25</v>
      </c>
      <c r="AD285" s="57">
        <f t="shared" si="797"/>
        <v>1.5</v>
      </c>
      <c r="AE285" s="57">
        <f t="shared" si="798"/>
        <v>0</v>
      </c>
      <c r="AF285" s="57">
        <f t="shared" si="799"/>
        <v>189960.472374565</v>
      </c>
      <c r="AG285" s="57">
        <f t="shared" si="708"/>
        <v>446176.24762151338</v>
      </c>
      <c r="AH285" s="57">
        <f t="shared" si="860"/>
        <v>982092363.49170601</v>
      </c>
      <c r="AI285" s="57">
        <f t="shared" si="861"/>
        <v>489557986.29658854</v>
      </c>
      <c r="AJ285" s="77">
        <v>0</v>
      </c>
      <c r="AK285" s="77">
        <v>25.8</v>
      </c>
      <c r="AL285" s="78">
        <f t="shared" si="800"/>
        <v>2.7449880500902086</v>
      </c>
      <c r="AM285" s="57">
        <f t="shared" si="801"/>
        <v>1</v>
      </c>
      <c r="AN285" s="57">
        <f t="shared" si="802"/>
        <v>0.8</v>
      </c>
      <c r="AO285" s="77">
        <v>1500</v>
      </c>
      <c r="AP285" s="79">
        <v>240</v>
      </c>
      <c r="AQ285" s="57">
        <f t="shared" si="803"/>
        <v>58.277934577268908</v>
      </c>
      <c r="AR285" s="78">
        <f t="shared" si="862"/>
        <v>1020</v>
      </c>
      <c r="AS285" s="57">
        <f t="shared" si="804"/>
        <v>1441.722065422731</v>
      </c>
      <c r="AT285" s="77">
        <v>120</v>
      </c>
      <c r="AU285" s="77">
        <f>750+220</f>
        <v>970</v>
      </c>
      <c r="AV285" s="78">
        <f t="shared" si="805"/>
        <v>180000</v>
      </c>
      <c r="AW285" s="77">
        <v>0</v>
      </c>
      <c r="AX285" s="77">
        <f t="shared" si="806"/>
        <v>180000</v>
      </c>
      <c r="AY285" s="77">
        <f t="shared" si="830"/>
        <v>180000</v>
      </c>
      <c r="AZ285" s="77">
        <f t="shared" si="820"/>
        <v>481</v>
      </c>
      <c r="BA285" s="77">
        <v>481</v>
      </c>
      <c r="BB285" s="77">
        <v>440</v>
      </c>
      <c r="BC285" s="77">
        <f t="shared" ref="BC285:BC292" si="872">BA285</f>
        <v>481</v>
      </c>
      <c r="BD285" s="77">
        <v>6.7999999999999996E-3</v>
      </c>
      <c r="BE285" s="77">
        <v>6.7999999999999996E-3</v>
      </c>
      <c r="BF285" s="77">
        <v>5.1499999999999997E-2</v>
      </c>
      <c r="BG285" s="77">
        <f>PI()*8*8/4*2/(75*120)</f>
        <v>1.1170107212763708E-2</v>
      </c>
      <c r="BH285" s="79">
        <v>125</v>
      </c>
      <c r="BI285" s="79">
        <f t="shared" si="863"/>
        <v>50.26548245743669</v>
      </c>
      <c r="BJ285" s="79">
        <v>2</v>
      </c>
      <c r="BK285" s="57">
        <f t="shared" si="709"/>
        <v>100.53096491487338</v>
      </c>
      <c r="BL285" s="57">
        <f t="shared" si="841"/>
        <v>832.31999999999994</v>
      </c>
      <c r="BM285" s="80">
        <f>PI()*16*16/4</f>
        <v>201.06192982974676</v>
      </c>
      <c r="BN285" s="80">
        <v>4</v>
      </c>
      <c r="BO285" s="57">
        <f t="shared" si="864"/>
        <v>804.24771931898704</v>
      </c>
      <c r="BP285" s="57">
        <f t="shared" si="807"/>
        <v>675968.81185787392</v>
      </c>
      <c r="BQ285" s="77">
        <f t="shared" si="808"/>
        <v>9.8953023552894592E-9</v>
      </c>
      <c r="BR285" s="57">
        <f t="shared" si="843"/>
        <v>655689747.50213766</v>
      </c>
      <c r="BS285" s="57">
        <v>116.55586915453782</v>
      </c>
      <c r="BT285" s="57">
        <f t="shared" si="810"/>
        <v>41.347762683245058</v>
      </c>
      <c r="BU285" s="57"/>
      <c r="BV285" s="57">
        <v>3.3E-3</v>
      </c>
      <c r="BW285" s="57">
        <v>30000</v>
      </c>
      <c r="BX285" s="57">
        <v>200000</v>
      </c>
      <c r="BY285" s="77">
        <f>40</f>
        <v>40</v>
      </c>
      <c r="BZ285" s="77">
        <f>BY285+50</f>
        <v>90</v>
      </c>
      <c r="CA285" s="77">
        <f>BZ285+160</f>
        <v>250</v>
      </c>
      <c r="CB285" s="77">
        <f>CA285+250*1</f>
        <v>500</v>
      </c>
      <c r="CC285" s="77">
        <f>CA285+250*2</f>
        <v>750</v>
      </c>
      <c r="CD285" s="77">
        <f>CA285+250*3</f>
        <v>1000</v>
      </c>
      <c r="CE285" s="77">
        <f>CA285+250*4</f>
        <v>1250</v>
      </c>
      <c r="CF285" s="77">
        <f>CE285+160</f>
        <v>1410</v>
      </c>
      <c r="CG285" s="77">
        <f>CF285+50</f>
        <v>1460</v>
      </c>
      <c r="DM285" s="77">
        <f t="shared" ref="DM285:DN288" si="873">PI()*16*16/4*2</f>
        <v>402.12385965949352</v>
      </c>
      <c r="DN285" s="77">
        <f t="shared" si="873"/>
        <v>402.12385965949352</v>
      </c>
      <c r="DO285" s="77">
        <f>PI()*8*8/4*2</f>
        <v>100.53096491487338</v>
      </c>
      <c r="DP285" s="77">
        <f>PI()*8*8/4*2</f>
        <v>100.53096491487338</v>
      </c>
      <c r="DQ285" s="77">
        <f>PI()*8*8/4*2</f>
        <v>100.53096491487338</v>
      </c>
      <c r="DR285" s="77">
        <f>PI()*8*8/4*2</f>
        <v>100.53096491487338</v>
      </c>
      <c r="DS285" s="77">
        <f>PI()*8*8/4*2</f>
        <v>100.53096491487338</v>
      </c>
      <c r="DT285" s="77">
        <f t="shared" ref="DT285:DU288" si="874">PI()*16*16/4*2</f>
        <v>402.12385965949352</v>
      </c>
      <c r="DU285" s="77">
        <f t="shared" si="874"/>
        <v>402.12385965949352</v>
      </c>
      <c r="FA285" s="77">
        <f t="shared" ref="FA285:FB292" si="875">IF(ABS(-$BV285*($BS285-BY285)/$BS285*$BX285)&gt;$BB285,$BB285*SIGN(-($BS285-BY285)),-$BV285*($BS285-BY285)/$BS285*$BX285)*DM285</f>
        <v>-174320.36321146094</v>
      </c>
      <c r="FB285" s="77">
        <f t="shared" si="875"/>
        <v>-60468.633006704855</v>
      </c>
      <c r="FC285" s="77">
        <f>IF(ABS(-$BV285*($BS285-CA285)/$BS285*$BX285)&gt;$BA285,$BA285*SIGN(-($BS285-CA285)),-$BV285*($BS285-CA285)/$BS285*$BX285)*DO285</f>
        <v>48355.394124054095</v>
      </c>
      <c r="FD285" s="77">
        <f>IF(ABS(-$BV285*($BS285-CB285)/$BS285*$BX285)&gt;$BA285,$BA285*SIGN(-($BS285-CB285)),-$BV285*($BS285-CB285)/$BS285*$BX285)*DP285</f>
        <v>48355.394124054095</v>
      </c>
      <c r="FE285" s="77">
        <f t="shared" si="867"/>
        <v>48355.394124054095</v>
      </c>
      <c r="FF285" s="77">
        <f t="shared" si="858"/>
        <v>48355.394124054095</v>
      </c>
      <c r="FG285" s="77">
        <f t="shared" si="858"/>
        <v>48355.394124054095</v>
      </c>
      <c r="FH285" s="77">
        <f t="shared" ref="FH285:FI288" si="876">IF(ABS(-$BV285*($BS285-CF285)/$BS285*$BX285)&gt;$BB285,$BB285*SIGN(-($BS285-CF285)),-$BV285*($BS285-CF285)/$BS285*$BX285)*DT285</f>
        <v>176934.49825017716</v>
      </c>
      <c r="FI285" s="77">
        <f t="shared" si="876"/>
        <v>176934.49825017716</v>
      </c>
      <c r="GO285" s="77">
        <f t="shared" si="854"/>
        <v>123767457.88013726</v>
      </c>
      <c r="GP285" s="77">
        <f t="shared" si="855"/>
        <v>39909297.784425206</v>
      </c>
      <c r="GQ285" s="77">
        <f t="shared" si="856"/>
        <v>-24177697.062027048</v>
      </c>
      <c r="GR285" s="77">
        <f t="shared" si="857"/>
        <v>-12088848.531013524</v>
      </c>
      <c r="GS285" s="77">
        <f t="shared" si="846"/>
        <v>0</v>
      </c>
      <c r="GT285" s="77">
        <f t="shared" si="847"/>
        <v>12088848.531013524</v>
      </c>
      <c r="GU285" s="77">
        <f t="shared" si="848"/>
        <v>24177697.062027048</v>
      </c>
      <c r="GV285" s="77">
        <f t="shared" ref="GV285:GW288" si="877">FH285*(CF285-0.5*$AO285)</f>
        <v>116776768.84511693</v>
      </c>
      <c r="GW285" s="77">
        <f t="shared" si="877"/>
        <v>125623493.75762579</v>
      </c>
      <c r="IC285" s="82">
        <v>301</v>
      </c>
    </row>
    <row r="286" spans="1:237" s="77" customFormat="1">
      <c r="A286" s="77">
        <v>286</v>
      </c>
      <c r="B286" s="69">
        <v>435</v>
      </c>
      <c r="C286" s="69" t="s">
        <v>306</v>
      </c>
      <c r="D286" s="70" t="s">
        <v>308</v>
      </c>
      <c r="E286" s="118">
        <v>3</v>
      </c>
      <c r="F286" s="70">
        <f t="shared" si="816"/>
        <v>0.13032407407407406</v>
      </c>
      <c r="G286" s="70">
        <v>6.0000000000000001E-3</v>
      </c>
      <c r="H286" s="70"/>
      <c r="I286" s="70">
        <v>1.2E-2</v>
      </c>
      <c r="J286" s="72">
        <v>0.6333333333333333</v>
      </c>
      <c r="K286" s="72">
        <v>12.5</v>
      </c>
      <c r="L286" s="72">
        <v>6.7008333333333323E-2</v>
      </c>
      <c r="M286" s="72">
        <v>8.2733333333333325E-2</v>
      </c>
      <c r="N286" s="72">
        <v>1.0149791666666665</v>
      </c>
      <c r="O286" s="72">
        <v>8.2733333333333325E-2</v>
      </c>
      <c r="P286" s="72">
        <v>0</v>
      </c>
      <c r="Q286" s="73" t="s">
        <v>3</v>
      </c>
      <c r="R286" s="101">
        <v>0</v>
      </c>
      <c r="S286" s="75">
        <f t="shared" si="809"/>
        <v>0.63845496536431912</v>
      </c>
      <c r="T286" s="59">
        <f t="shared" si="789"/>
        <v>1.9933626173484589</v>
      </c>
      <c r="U286" s="59">
        <f t="shared" si="790"/>
        <v>1.5220060798539874</v>
      </c>
      <c r="V286" s="59">
        <f t="shared" si="791"/>
        <v>1.5621840040559358</v>
      </c>
      <c r="W286" s="59">
        <f t="shared" si="792"/>
        <v>0.78369283664701683</v>
      </c>
      <c r="X286" s="59">
        <f t="shared" si="793"/>
        <v>1.0263980050630301</v>
      </c>
      <c r="Y286" s="100">
        <v>563000</v>
      </c>
      <c r="Z286" s="57">
        <f t="shared" si="794"/>
        <v>577862.07685048599</v>
      </c>
      <c r="AA286" s="57">
        <f t="shared" si="795"/>
        <v>441219.06703227048</v>
      </c>
      <c r="AB286" s="57">
        <f t="shared" si="859"/>
        <v>875007.87982914608</v>
      </c>
      <c r="AC286" s="57">
        <f t="shared" si="796"/>
        <v>0.25</v>
      </c>
      <c r="AD286" s="57">
        <f t="shared" si="797"/>
        <v>1.5</v>
      </c>
      <c r="AE286" s="57">
        <f t="shared" si="798"/>
        <v>0</v>
      </c>
      <c r="AF286" s="57">
        <f t="shared" si="799"/>
        <v>177643.5469188772</v>
      </c>
      <c r="AG286" s="57">
        <f t="shared" si="708"/>
        <v>263575.52011339332</v>
      </c>
      <c r="AH286" s="57">
        <f t="shared" si="860"/>
        <v>351980809.42093003</v>
      </c>
      <c r="AI286" s="57">
        <f t="shared" si="861"/>
        <v>496776834.01334167</v>
      </c>
      <c r="AJ286" s="77">
        <v>0</v>
      </c>
      <c r="AK286" s="77">
        <v>24</v>
      </c>
      <c r="AL286" s="78">
        <f t="shared" si="800"/>
        <v>2.6379454030692528</v>
      </c>
      <c r="AM286" s="57">
        <f t="shared" si="801"/>
        <v>1</v>
      </c>
      <c r="AN286" s="57">
        <f t="shared" si="802"/>
        <v>0.8</v>
      </c>
      <c r="AO286" s="77">
        <v>1500</v>
      </c>
      <c r="AP286" s="79">
        <v>90</v>
      </c>
      <c r="AQ286" s="57">
        <f t="shared" si="803"/>
        <v>97.049346369868672</v>
      </c>
      <c r="AR286" s="78">
        <f t="shared" si="862"/>
        <v>1320</v>
      </c>
      <c r="AS286" s="57">
        <f t="shared" si="804"/>
        <v>1402.9506536301312</v>
      </c>
      <c r="AT286" s="77">
        <v>120</v>
      </c>
      <c r="AU286" s="77">
        <f>750+220</f>
        <v>970</v>
      </c>
      <c r="AV286" s="78">
        <f t="shared" si="805"/>
        <v>180000</v>
      </c>
      <c r="AW286" s="77">
        <v>0</v>
      </c>
      <c r="AX286" s="77">
        <f t="shared" si="806"/>
        <v>180000</v>
      </c>
      <c r="AY286" s="77">
        <f t="shared" si="830"/>
        <v>180000</v>
      </c>
      <c r="AZ286" s="77">
        <f t="shared" si="820"/>
        <v>584</v>
      </c>
      <c r="BA286" s="77">
        <v>584</v>
      </c>
      <c r="BB286" s="77">
        <v>473</v>
      </c>
      <c r="BC286" s="77">
        <f t="shared" si="872"/>
        <v>584</v>
      </c>
      <c r="BD286" s="77">
        <v>3.3999999999999998E-3</v>
      </c>
      <c r="BE286" s="77">
        <v>3.3999999999999998E-3</v>
      </c>
      <c r="BF286" s="77">
        <v>5.1499999999999997E-2</v>
      </c>
      <c r="BG286" s="77">
        <v>0</v>
      </c>
      <c r="BH286" s="79">
        <v>250</v>
      </c>
      <c r="BI286" s="79">
        <f t="shared" si="863"/>
        <v>50.26548245743669</v>
      </c>
      <c r="BJ286" s="79">
        <v>2</v>
      </c>
      <c r="BK286" s="57">
        <f t="shared" si="709"/>
        <v>100.53096491487338</v>
      </c>
      <c r="BL286" s="57">
        <f t="shared" si="841"/>
        <v>538.55999999999995</v>
      </c>
      <c r="BM286" s="80">
        <f>PI()*16*16/4</f>
        <v>201.06192982974676</v>
      </c>
      <c r="BN286" s="80">
        <v>4</v>
      </c>
      <c r="BO286" s="57">
        <f t="shared" si="864"/>
        <v>804.24771931898704</v>
      </c>
      <c r="BP286" s="57">
        <f t="shared" si="807"/>
        <v>879509.59428349184</v>
      </c>
      <c r="BQ286" s="77">
        <f t="shared" si="808"/>
        <v>5.8207660913467407E-9</v>
      </c>
      <c r="BR286" s="57">
        <f t="shared" si="843"/>
        <v>853124306.45498705</v>
      </c>
      <c r="BS286" s="57">
        <v>194.09869273973734</v>
      </c>
      <c r="BT286" s="57">
        <f t="shared" si="810"/>
        <v>9.9707317073170731</v>
      </c>
      <c r="BU286" s="57"/>
      <c r="BV286" s="57">
        <v>3.3E-3</v>
      </c>
      <c r="BW286" s="57">
        <v>30000</v>
      </c>
      <c r="BX286" s="57">
        <v>200000</v>
      </c>
      <c r="BY286" s="77">
        <f>40</f>
        <v>40</v>
      </c>
      <c r="BZ286" s="77">
        <f>BY286+100</f>
        <v>140</v>
      </c>
      <c r="CA286" s="77">
        <f>BZ286+110</f>
        <v>250</v>
      </c>
      <c r="CB286" s="77">
        <f>CA286+250*1</f>
        <v>500</v>
      </c>
      <c r="CC286" s="77">
        <f>CA286+250*2</f>
        <v>750</v>
      </c>
      <c r="CD286" s="77">
        <f>CA286+250*3</f>
        <v>1000</v>
      </c>
      <c r="CE286" s="77">
        <f>CA286+250*4</f>
        <v>1250</v>
      </c>
      <c r="CF286" s="77">
        <f>CE286+110</f>
        <v>1360</v>
      </c>
      <c r="CG286" s="77">
        <f>CF286+100</f>
        <v>1460</v>
      </c>
      <c r="DM286" s="77">
        <f t="shared" si="873"/>
        <v>402.12385965949352</v>
      </c>
      <c r="DN286" s="77">
        <f t="shared" si="873"/>
        <v>402.12385965949352</v>
      </c>
      <c r="DO286" s="77">
        <f>PI()*16*16/4*2</f>
        <v>402.12385965949352</v>
      </c>
      <c r="DP286" s="77">
        <f t="shared" ref="DP286:DR288" si="878">PI()*8*8/4*2</f>
        <v>100.53096491487338</v>
      </c>
      <c r="DQ286" s="77">
        <f t="shared" si="878"/>
        <v>100.53096491487338</v>
      </c>
      <c r="DR286" s="77">
        <f t="shared" si="878"/>
        <v>100.53096491487338</v>
      </c>
      <c r="DS286" s="77">
        <f>PI()*16*16/4*2</f>
        <v>402.12385965949352</v>
      </c>
      <c r="DT286" s="77">
        <f t="shared" si="874"/>
        <v>402.12385965949352</v>
      </c>
      <c r="DU286" s="77">
        <f t="shared" si="874"/>
        <v>402.12385965949352</v>
      </c>
      <c r="FA286" s="77">
        <f t="shared" si="875"/>
        <v>-190204.58561894044</v>
      </c>
      <c r="FB286" s="77">
        <f t="shared" si="875"/>
        <v>-73972.098323691782</v>
      </c>
      <c r="FC286" s="77">
        <f>IF(ABS(-$BV286*($BS286-CA286)/$BS286*$BX286)&gt;$BB286,$BB286*SIGN(-($BS286-CA286)),-$BV286*($BS286-CA286)/$BS286*$BX286)*DO286</f>
        <v>76436.911645402026</v>
      </c>
      <c r="FD286" s="77">
        <f>IF(ABS(-$BV286*($BS286-CB286)/$BS286*$BX286)&gt;$BA286,$BA286*SIGN(-($BS286-CB286)),-$BV286*($BS286-CB286)/$BS286*$BX286)*DP286</f>
        <v>58710.083510286051</v>
      </c>
      <c r="FE286" s="77">
        <f t="shared" si="867"/>
        <v>58710.083510286051</v>
      </c>
      <c r="FF286" s="77">
        <f>IF(ABS(-$BV286*($BS286-CD286)/$BS286*$BX286)&gt;$BA286,$BA286*SIGN(-($BS286-CD286)),-$BV286*($BS286-CD286)/$BS286*$BX286)*DR286</f>
        <v>58710.083510286051</v>
      </c>
      <c r="FG286" s="77">
        <f>IF(ABS(-$BV286*($BS286-CE286)/$BS286*$BX286)&gt;$BB286,$BB286*SIGN(-($BS286-CE286)),-$BV286*($BS286-CE286)/$BS286*$BX286)*DS286</f>
        <v>190204.58561894044</v>
      </c>
      <c r="FH286" s="77">
        <f t="shared" si="876"/>
        <v>190204.58561894044</v>
      </c>
      <c r="FI286" s="77">
        <f t="shared" si="876"/>
        <v>190204.58561894044</v>
      </c>
      <c r="GO286" s="77">
        <f t="shared" si="854"/>
        <v>135045255.78944772</v>
      </c>
      <c r="GP286" s="77">
        <f t="shared" si="855"/>
        <v>45122979.977451988</v>
      </c>
      <c r="GQ286" s="77">
        <f t="shared" si="856"/>
        <v>-38218455.822701015</v>
      </c>
      <c r="GR286" s="77">
        <f t="shared" si="857"/>
        <v>-14677520.877571512</v>
      </c>
      <c r="GS286" s="77">
        <f t="shared" si="846"/>
        <v>0</v>
      </c>
      <c r="GT286" s="77">
        <f t="shared" si="847"/>
        <v>14677520.877571512</v>
      </c>
      <c r="GU286" s="77">
        <f t="shared" si="848"/>
        <v>95102292.809470221</v>
      </c>
      <c r="GV286" s="77">
        <f t="shared" si="877"/>
        <v>116024797.22755367</v>
      </c>
      <c r="GW286" s="77">
        <f t="shared" si="877"/>
        <v>135045255.78944772</v>
      </c>
      <c r="IC286" s="82">
        <v>302</v>
      </c>
    </row>
    <row r="287" spans="1:237" s="77" customFormat="1">
      <c r="A287" s="77">
        <v>287</v>
      </c>
      <c r="B287" s="69">
        <v>436</v>
      </c>
      <c r="C287" s="69" t="s">
        <v>306</v>
      </c>
      <c r="D287" s="70" t="s">
        <v>309</v>
      </c>
      <c r="E287" s="118">
        <v>3</v>
      </c>
      <c r="F287" s="70">
        <f t="shared" si="816"/>
        <v>0.16316872427983539</v>
      </c>
      <c r="G287" s="70">
        <v>6.0000000000000001E-3</v>
      </c>
      <c r="H287" s="70"/>
      <c r="I287" s="70">
        <v>1.2E-2</v>
      </c>
      <c r="J287" s="72">
        <v>0.6333333333333333</v>
      </c>
      <c r="K287" s="72">
        <v>12.5</v>
      </c>
      <c r="L287" s="72">
        <v>5.9562962962962956E-2</v>
      </c>
      <c r="M287" s="72">
        <v>7.354074074074074E-2</v>
      </c>
      <c r="N287" s="72">
        <v>0.90220370370370362</v>
      </c>
      <c r="O287" s="72">
        <v>7.354074074074074E-2</v>
      </c>
      <c r="P287" s="72">
        <v>9.8765432098765427E-2</v>
      </c>
      <c r="Q287" s="73" t="s">
        <v>3</v>
      </c>
      <c r="R287" s="101">
        <v>0</v>
      </c>
      <c r="S287" s="75">
        <f t="shared" si="809"/>
        <v>0.84784956197661709</v>
      </c>
      <c r="T287" s="59">
        <f t="shared" si="789"/>
        <v>2.349657422382855</v>
      </c>
      <c r="U287" s="59">
        <f t="shared" si="790"/>
        <v>1.9412448275245451</v>
      </c>
      <c r="V287" s="59">
        <f t="shared" si="791"/>
        <v>1.447328640514842</v>
      </c>
      <c r="W287" s="59">
        <f t="shared" si="792"/>
        <v>0.61597432320455658</v>
      </c>
      <c r="X287" s="59">
        <f t="shared" si="793"/>
        <v>0.74556728754325141</v>
      </c>
      <c r="Y287" s="100">
        <v>793000</v>
      </c>
      <c r="Z287" s="57">
        <f t="shared" si="794"/>
        <v>591234.85902179836</v>
      </c>
      <c r="AA287" s="57">
        <f t="shared" si="795"/>
        <v>488467.63830121339</v>
      </c>
      <c r="AB287" s="57">
        <f t="shared" si="859"/>
        <v>877903.08710128453</v>
      </c>
      <c r="AC287" s="57">
        <f t="shared" si="796"/>
        <v>0.25</v>
      </c>
      <c r="AD287" s="57">
        <f t="shared" si="797"/>
        <v>1.5</v>
      </c>
      <c r="AE287" s="57">
        <f t="shared" si="798"/>
        <v>480000</v>
      </c>
      <c r="AF287" s="57">
        <f t="shared" si="799"/>
        <v>232245.00961324721</v>
      </c>
      <c r="AG287" s="57">
        <f t="shared" si="708"/>
        <v>256222.62868796621</v>
      </c>
      <c r="AH287" s="57">
        <f t="shared" si="860"/>
        <v>384565852.63438231</v>
      </c>
      <c r="AI287" s="57">
        <f t="shared" si="861"/>
        <v>467000141.85386372</v>
      </c>
      <c r="AJ287" s="77">
        <v>480000</v>
      </c>
      <c r="AK287" s="77">
        <v>27</v>
      </c>
      <c r="AL287" s="78">
        <f t="shared" si="800"/>
        <v>2.8144898718581284</v>
      </c>
      <c r="AM287" s="57">
        <f t="shared" si="801"/>
        <v>1</v>
      </c>
      <c r="AN287" s="57">
        <f t="shared" si="802"/>
        <v>0.8</v>
      </c>
      <c r="AO287" s="77">
        <v>1500</v>
      </c>
      <c r="AP287" s="79">
        <v>90</v>
      </c>
      <c r="AQ287" s="57">
        <f t="shared" si="803"/>
        <v>136.18706229635688</v>
      </c>
      <c r="AR287" s="78">
        <f t="shared" si="862"/>
        <v>1320</v>
      </c>
      <c r="AS287" s="57">
        <f t="shared" si="804"/>
        <v>1363.812937703643</v>
      </c>
      <c r="AT287" s="77">
        <v>120</v>
      </c>
      <c r="AU287" s="77">
        <f>750+220</f>
        <v>970</v>
      </c>
      <c r="AV287" s="78">
        <f t="shared" si="805"/>
        <v>180000</v>
      </c>
      <c r="AW287" s="77">
        <v>0</v>
      </c>
      <c r="AX287" s="77">
        <f t="shared" si="806"/>
        <v>180000</v>
      </c>
      <c r="AY287" s="77">
        <f t="shared" si="830"/>
        <v>180000</v>
      </c>
      <c r="AZ287" s="77">
        <f t="shared" si="820"/>
        <v>584</v>
      </c>
      <c r="BA287" s="77">
        <v>584</v>
      </c>
      <c r="BB287" s="77">
        <v>473</v>
      </c>
      <c r="BC287" s="77">
        <f t="shared" si="872"/>
        <v>584</v>
      </c>
      <c r="BD287" s="77">
        <v>3.3999999999999998E-3</v>
      </c>
      <c r="BE287" s="77">
        <v>3.3999999999999998E-3</v>
      </c>
      <c r="BF287" s="77">
        <v>5.1499999999999997E-2</v>
      </c>
      <c r="BG287" s="77">
        <v>0</v>
      </c>
      <c r="BH287" s="79">
        <v>250</v>
      </c>
      <c r="BI287" s="79">
        <f t="shared" si="863"/>
        <v>50.26548245743669</v>
      </c>
      <c r="BJ287" s="79">
        <v>2</v>
      </c>
      <c r="BK287" s="57">
        <f t="shared" si="709"/>
        <v>100.53096491487338</v>
      </c>
      <c r="BL287" s="57">
        <f t="shared" si="841"/>
        <v>538.55999999999995</v>
      </c>
      <c r="BM287" s="80">
        <f>PI()*16*16/4</f>
        <v>201.06192982974676</v>
      </c>
      <c r="BN287" s="80">
        <v>4</v>
      </c>
      <c r="BO287" s="57">
        <f t="shared" si="864"/>
        <v>804.24771931898704</v>
      </c>
      <c r="BP287" s="57">
        <f t="shared" si="807"/>
        <v>1147731.6119282697</v>
      </c>
      <c r="BQ287" s="77">
        <f t="shared" si="808"/>
        <v>-1.4668330550193787E-8</v>
      </c>
      <c r="BR287" s="57">
        <f t="shared" si="843"/>
        <v>1113299663.5704217</v>
      </c>
      <c r="BS287" s="57">
        <v>272.37412459271377</v>
      </c>
      <c r="BT287" s="57">
        <f t="shared" si="810"/>
        <v>212.42503994190264</v>
      </c>
      <c r="BU287" s="57"/>
      <c r="BV287" s="57">
        <v>3.3E-3</v>
      </c>
      <c r="BW287" s="57">
        <v>30000</v>
      </c>
      <c r="BX287" s="57">
        <v>200000</v>
      </c>
      <c r="BY287" s="77">
        <f>40</f>
        <v>40</v>
      </c>
      <c r="BZ287" s="77">
        <f>BY287+100</f>
        <v>140</v>
      </c>
      <c r="CA287" s="77">
        <f>BZ287+110</f>
        <v>250</v>
      </c>
      <c r="CB287" s="77">
        <f>CA287+250*1</f>
        <v>500</v>
      </c>
      <c r="CC287" s="77">
        <f>CA287+250*2</f>
        <v>750</v>
      </c>
      <c r="CD287" s="77">
        <f>CA287+250*3</f>
        <v>1000</v>
      </c>
      <c r="CE287" s="77">
        <f>CA287+250*4</f>
        <v>1250</v>
      </c>
      <c r="CF287" s="77">
        <f>CE287+110</f>
        <v>1360</v>
      </c>
      <c r="CG287" s="77">
        <f>CF287+100</f>
        <v>1460</v>
      </c>
      <c r="DM287" s="77">
        <f t="shared" si="873"/>
        <v>402.12385965949352</v>
      </c>
      <c r="DN287" s="77">
        <f t="shared" si="873"/>
        <v>402.12385965949352</v>
      </c>
      <c r="DO287" s="77">
        <f>PI()*16*16/4*2</f>
        <v>402.12385965949352</v>
      </c>
      <c r="DP287" s="77">
        <f t="shared" si="878"/>
        <v>100.53096491487338</v>
      </c>
      <c r="DQ287" s="77">
        <f t="shared" si="878"/>
        <v>100.53096491487338</v>
      </c>
      <c r="DR287" s="77">
        <f t="shared" si="878"/>
        <v>100.53096491487338</v>
      </c>
      <c r="DS287" s="77">
        <f>PI()*16*16/4*2</f>
        <v>402.12385965949352</v>
      </c>
      <c r="DT287" s="77">
        <f t="shared" si="874"/>
        <v>402.12385965949352</v>
      </c>
      <c r="DU287" s="77">
        <f t="shared" si="874"/>
        <v>402.12385965949352</v>
      </c>
      <c r="FA287" s="77">
        <f t="shared" si="875"/>
        <v>-190204.58561894044</v>
      </c>
      <c r="FB287" s="77">
        <f t="shared" si="875"/>
        <v>-128985.54158443429</v>
      </c>
      <c r="FC287" s="77">
        <f>IF(ABS(-$BV287*($BS287-CA287)/$BS287*$BX287)&gt;$BB287,$BB287*SIGN(-($BS287-CA287)),-$BV287*($BS287-CA287)/$BS287*$BX287)*DO287</f>
        <v>-21801.379891638171</v>
      </c>
      <c r="FD287" s="77">
        <f>IF(ABS(-$BV287*($BS287-CB287)/$BS287*$BX287)&gt;$BA287,$BA287*SIGN(-($BS287-CB287)),-$BV287*($BS287-CB287)/$BS287*$BX287)*DP287</f>
        <v>55449.746897997342</v>
      </c>
      <c r="FE287" s="77">
        <f t="shared" si="867"/>
        <v>58710.083510286051</v>
      </c>
      <c r="FF287" s="77">
        <f>IF(ABS(-$BV287*($BS287-CD287)/$BS287*$BX287)&gt;$BA287,$BA287*SIGN(-($BS287-CD287)),-$BV287*($BS287-CD287)/$BS287*$BX287)*DR287</f>
        <v>58710.083510286051</v>
      </c>
      <c r="FG287" s="77">
        <f>IF(ABS(-$BV287*($BS287-CE287)/$BS287*$BX287)&gt;$BB287,$BB287*SIGN(-($BS287-CE287)),-$BV287*($BS287-CE287)/$BS287*$BX287)*DS287</f>
        <v>190204.58561894044</v>
      </c>
      <c r="FH287" s="77">
        <f t="shared" si="876"/>
        <v>190204.58561894044</v>
      </c>
      <c r="FI287" s="77">
        <f t="shared" si="876"/>
        <v>190204.58561894044</v>
      </c>
      <c r="GO287" s="77">
        <f t="shared" si="854"/>
        <v>135045255.78944772</v>
      </c>
      <c r="GP287" s="77">
        <f t="shared" si="855"/>
        <v>78681180.366504923</v>
      </c>
      <c r="GQ287" s="77">
        <f t="shared" si="856"/>
        <v>10900689.945819085</v>
      </c>
      <c r="GR287" s="77">
        <f t="shared" si="857"/>
        <v>-13862436.724499336</v>
      </c>
      <c r="GS287" s="77">
        <f t="shared" si="846"/>
        <v>0</v>
      </c>
      <c r="GT287" s="77">
        <f t="shared" si="847"/>
        <v>14677520.877571512</v>
      </c>
      <c r="GU287" s="77">
        <f t="shared" si="848"/>
        <v>95102292.809470221</v>
      </c>
      <c r="GV287" s="77">
        <f t="shared" si="877"/>
        <v>116024797.22755367</v>
      </c>
      <c r="GW287" s="77">
        <f t="shared" si="877"/>
        <v>135045255.78944772</v>
      </c>
      <c r="IC287" s="82">
        <v>303</v>
      </c>
    </row>
    <row r="288" spans="1:237" s="77" customFormat="1">
      <c r="A288" s="77">
        <v>288</v>
      </c>
      <c r="B288" s="69">
        <v>437</v>
      </c>
      <c r="C288" s="69" t="s">
        <v>306</v>
      </c>
      <c r="D288" s="70" t="s">
        <v>310</v>
      </c>
      <c r="E288" s="118">
        <v>3</v>
      </c>
      <c r="F288" s="70">
        <f t="shared" si="816"/>
        <v>0.14885138302859821</v>
      </c>
      <c r="G288" s="70">
        <v>8.0000000000000002E-3</v>
      </c>
      <c r="H288" s="70"/>
      <c r="I288" s="70">
        <v>1.2E-2</v>
      </c>
      <c r="J288" s="72">
        <v>0.6333333333333333</v>
      </c>
      <c r="K288" s="72">
        <v>12.5</v>
      </c>
      <c r="L288" s="72">
        <v>6.3122362869198312E-2</v>
      </c>
      <c r="M288" s="72">
        <v>6.9004219409282697E-2</v>
      </c>
      <c r="N288" s="72">
        <v>0.95611814345991564</v>
      </c>
      <c r="O288" s="72">
        <v>6.9004219409282697E-2</v>
      </c>
      <c r="P288" s="72">
        <v>0</v>
      </c>
      <c r="Q288" s="73" t="s">
        <v>3</v>
      </c>
      <c r="R288" s="101">
        <v>0</v>
      </c>
      <c r="S288" s="75">
        <f t="shared" si="809"/>
        <v>0.72464791536288642</v>
      </c>
      <c r="T288" s="59">
        <f t="shared" si="789"/>
        <v>2.0557478063482781</v>
      </c>
      <c r="U288" s="59">
        <f t="shared" si="790"/>
        <v>1.5805082277730438</v>
      </c>
      <c r="V288" s="59">
        <f t="shared" si="791"/>
        <v>1.277956406202265</v>
      </c>
      <c r="W288" s="59">
        <f t="shared" si="792"/>
        <v>0.62165038058455191</v>
      </c>
      <c r="X288" s="59">
        <f t="shared" si="793"/>
        <v>0.80857308032044972</v>
      </c>
      <c r="Y288" s="100">
        <v>635000</v>
      </c>
      <c r="Z288" s="57">
        <f t="shared" si="794"/>
        <v>513443.90600348555</v>
      </c>
      <c r="AA288" s="57">
        <f t="shared" si="795"/>
        <v>394747.99167119048</v>
      </c>
      <c r="AB288" s="57">
        <f t="shared" si="859"/>
        <v>839135.07686807855</v>
      </c>
      <c r="AC288" s="57">
        <f t="shared" si="796"/>
        <v>0.25</v>
      </c>
      <c r="AD288" s="57">
        <f t="shared" si="797"/>
        <v>1.5</v>
      </c>
      <c r="AE288" s="57">
        <f t="shared" si="798"/>
        <v>0</v>
      </c>
      <c r="AF288" s="57">
        <f t="shared" si="799"/>
        <v>176974.91865509321</v>
      </c>
      <c r="AG288" s="57">
        <f t="shared" si="708"/>
        <v>217773.0730160973</v>
      </c>
      <c r="AH288" s="57">
        <f t="shared" si="860"/>
        <v>348713041.90006435</v>
      </c>
      <c r="AI288" s="57">
        <f t="shared" si="861"/>
        <v>465247982.66197181</v>
      </c>
      <c r="AJ288" s="77">
        <v>0</v>
      </c>
      <c r="AK288" s="77">
        <v>23.7</v>
      </c>
      <c r="AL288" s="78">
        <f t="shared" si="800"/>
        <v>2.6197582107275741</v>
      </c>
      <c r="AM288" s="57">
        <f t="shared" si="801"/>
        <v>1</v>
      </c>
      <c r="AN288" s="57">
        <f t="shared" si="802"/>
        <v>0.8</v>
      </c>
      <c r="AO288" s="77">
        <v>1500</v>
      </c>
      <c r="AP288" s="79">
        <v>90</v>
      </c>
      <c r="AQ288" s="57">
        <f t="shared" si="803"/>
        <v>92.626809266821425</v>
      </c>
      <c r="AR288" s="78">
        <f t="shared" si="862"/>
        <v>1320</v>
      </c>
      <c r="AS288" s="57">
        <f t="shared" si="804"/>
        <v>1407.3731907331785</v>
      </c>
      <c r="AT288" s="77">
        <v>120</v>
      </c>
      <c r="AU288" s="77">
        <f>750+220</f>
        <v>970</v>
      </c>
      <c r="AV288" s="78">
        <f t="shared" si="805"/>
        <v>180000</v>
      </c>
      <c r="AW288" s="77">
        <v>0</v>
      </c>
      <c r="AX288" s="77">
        <f t="shared" si="806"/>
        <v>180000</v>
      </c>
      <c r="AY288" s="77">
        <f t="shared" si="830"/>
        <v>180000</v>
      </c>
      <c r="AZ288" s="77">
        <f t="shared" si="820"/>
        <v>481</v>
      </c>
      <c r="BA288" s="77">
        <v>481</v>
      </c>
      <c r="BB288" s="77">
        <v>440</v>
      </c>
      <c r="BC288" s="77">
        <f t="shared" si="872"/>
        <v>481</v>
      </c>
      <c r="BD288" s="77">
        <v>3.3999999999999998E-3</v>
      </c>
      <c r="BE288" s="77">
        <v>3.3999999999999998E-3</v>
      </c>
      <c r="BF288" s="77">
        <v>5.1499999999999997E-2</v>
      </c>
      <c r="BG288" s="77">
        <v>0</v>
      </c>
      <c r="BH288" s="79">
        <v>250</v>
      </c>
      <c r="BI288" s="79">
        <f t="shared" si="863"/>
        <v>50.26548245743669</v>
      </c>
      <c r="BJ288" s="79">
        <v>2</v>
      </c>
      <c r="BK288" s="57">
        <f t="shared" si="709"/>
        <v>100.53096491487338</v>
      </c>
      <c r="BL288" s="57">
        <f t="shared" si="841"/>
        <v>538.55999999999995</v>
      </c>
      <c r="BM288" s="80">
        <f>PI()*16*16/4</f>
        <v>201.06192982974676</v>
      </c>
      <c r="BN288" s="80">
        <v>4</v>
      </c>
      <c r="BO288" s="57">
        <f t="shared" si="864"/>
        <v>804.24771931898704</v>
      </c>
      <c r="BP288" s="57">
        <f t="shared" si="807"/>
        <v>811502.31793843827</v>
      </c>
      <c r="BQ288" s="77">
        <f t="shared" si="808"/>
        <v>1.6065314412117004E-8</v>
      </c>
      <c r="BR288" s="57">
        <f t="shared" si="843"/>
        <v>787157248.40028512</v>
      </c>
      <c r="BS288" s="57">
        <v>185.25361853364285</v>
      </c>
      <c r="BT288" s="57">
        <f t="shared" si="810"/>
        <v>8.2959130247312824</v>
      </c>
      <c r="BU288" s="57"/>
      <c r="BV288" s="57">
        <v>3.3E-3</v>
      </c>
      <c r="BW288" s="57">
        <v>30000</v>
      </c>
      <c r="BX288" s="57">
        <v>200000</v>
      </c>
      <c r="BY288" s="77">
        <f>40</f>
        <v>40</v>
      </c>
      <c r="BZ288" s="77">
        <f>BY288+100</f>
        <v>140</v>
      </c>
      <c r="CA288" s="77">
        <f>BZ288+110</f>
        <v>250</v>
      </c>
      <c r="CB288" s="77">
        <f>CA288+250*1</f>
        <v>500</v>
      </c>
      <c r="CC288" s="77">
        <f>CA288+250*2</f>
        <v>750</v>
      </c>
      <c r="CD288" s="77">
        <f>CA288+250*3</f>
        <v>1000</v>
      </c>
      <c r="CE288" s="77">
        <f>CA288+250*4</f>
        <v>1250</v>
      </c>
      <c r="CF288" s="77">
        <f>CE288+110</f>
        <v>1360</v>
      </c>
      <c r="CG288" s="77">
        <f>CF288+100</f>
        <v>1460</v>
      </c>
      <c r="DM288" s="77">
        <f t="shared" si="873"/>
        <v>402.12385965949352</v>
      </c>
      <c r="DN288" s="77">
        <f t="shared" si="873"/>
        <v>402.12385965949352</v>
      </c>
      <c r="DO288" s="77">
        <f>PI()*16*16/4*2</f>
        <v>402.12385965949352</v>
      </c>
      <c r="DP288" s="77">
        <f t="shared" si="878"/>
        <v>100.53096491487338</v>
      </c>
      <c r="DQ288" s="77">
        <f t="shared" si="878"/>
        <v>100.53096491487338</v>
      </c>
      <c r="DR288" s="77">
        <f t="shared" si="878"/>
        <v>100.53096491487338</v>
      </c>
      <c r="DS288" s="77">
        <f>PI()*16*16/4*2</f>
        <v>402.12385965949352</v>
      </c>
      <c r="DT288" s="77">
        <f t="shared" si="874"/>
        <v>402.12385965949352</v>
      </c>
      <c r="DU288" s="77">
        <f t="shared" si="874"/>
        <v>402.12385965949352</v>
      </c>
      <c r="FA288" s="77">
        <f t="shared" si="875"/>
        <v>-176934.49825017716</v>
      </c>
      <c r="FB288" s="77">
        <f t="shared" si="875"/>
        <v>-64832.144866856579</v>
      </c>
      <c r="FC288" s="77">
        <f>IF(ABS(-$BV288*($BS288-CA288)/$BS288*$BX288)&gt;$BB288,$BB288*SIGN(-($BS288-CA288)),-$BV288*($BS288-CA288)/$BS288*$BX288)*DO288</f>
        <v>92758.257104036296</v>
      </c>
      <c r="FD288" s="77">
        <f>IF(ABS(-$BV288*($BS288-CB288)/$BS288*$BX288)&gt;$BA288,$BA288*SIGN(-($BS288-CB288)),-$BV288*($BS288-CB288)/$BS288*$BX288)*DP288</f>
        <v>48355.394124054095</v>
      </c>
      <c r="FE288" s="77">
        <f t="shared" si="867"/>
        <v>48355.394124054095</v>
      </c>
      <c r="FF288" s="77">
        <f>IF(ABS(-$BV288*($BS288-CD288)/$BS288*$BX288)&gt;$BA288,$BA288*SIGN(-($BS288-CD288)),-$BV288*($BS288-CD288)/$BS288*$BX288)*DR288</f>
        <v>48355.394124054095</v>
      </c>
      <c r="FG288" s="77">
        <f>IF(ABS(-$BV288*($BS288-CE288)/$BS288*$BX288)&gt;$BB288,$BB288*SIGN(-($BS288-CE288)),-$BV288*($BS288-CE288)/$BS288*$BX288)*DS288</f>
        <v>176934.49825017716</v>
      </c>
      <c r="FH288" s="77">
        <f t="shared" si="876"/>
        <v>176934.49825017716</v>
      </c>
      <c r="FI288" s="77">
        <f t="shared" si="876"/>
        <v>176934.49825017716</v>
      </c>
      <c r="GO288" s="77">
        <f t="shared" si="854"/>
        <v>125623493.75762579</v>
      </c>
      <c r="GP288" s="77">
        <f t="shared" si="855"/>
        <v>39547608.368782513</v>
      </c>
      <c r="GQ288" s="77">
        <f t="shared" si="856"/>
        <v>-46379128.552018151</v>
      </c>
      <c r="GR288" s="77">
        <f t="shared" si="857"/>
        <v>-12088848.531013524</v>
      </c>
      <c r="GS288" s="77">
        <f t="shared" si="846"/>
        <v>0</v>
      </c>
      <c r="GT288" s="77">
        <f t="shared" si="847"/>
        <v>12088848.531013524</v>
      </c>
      <c r="GU288" s="77">
        <f t="shared" si="848"/>
        <v>88467249.125088573</v>
      </c>
      <c r="GV288" s="77">
        <f t="shared" si="877"/>
        <v>107930043.93260807</v>
      </c>
      <c r="GW288" s="77">
        <f t="shared" si="877"/>
        <v>125623493.75762579</v>
      </c>
      <c r="IC288" s="82">
        <v>304</v>
      </c>
    </row>
    <row r="289" spans="1:237" s="77" customFormat="1">
      <c r="A289" s="77">
        <v>289</v>
      </c>
      <c r="B289" s="69">
        <v>438</v>
      </c>
      <c r="C289" s="69" t="s">
        <v>609</v>
      </c>
      <c r="D289" s="70" t="s">
        <v>311</v>
      </c>
      <c r="E289" s="70">
        <v>1</v>
      </c>
      <c r="F289" s="70">
        <f t="shared" si="816"/>
        <v>3.4098360655737708E-2</v>
      </c>
      <c r="G289" s="70">
        <v>3.8999999999999998E-3</v>
      </c>
      <c r="H289" s="70">
        <v>3.2000000000000001E-2</v>
      </c>
      <c r="I289" s="87">
        <v>3.4000000000000002E-2</v>
      </c>
      <c r="J289" s="72">
        <v>2.4</v>
      </c>
      <c r="K289" s="72">
        <v>6.666666666666667</v>
      </c>
      <c r="L289" s="72">
        <v>0.12262295081967214</v>
      </c>
      <c r="M289" s="72">
        <v>0.12262295081967214</v>
      </c>
      <c r="N289" s="72">
        <v>0.185327868852459</v>
      </c>
      <c r="O289" s="72">
        <v>0.29262295081967216</v>
      </c>
      <c r="P289" s="72">
        <v>0</v>
      </c>
      <c r="Q289" s="73" t="s">
        <v>3</v>
      </c>
      <c r="R289" s="101">
        <v>0</v>
      </c>
      <c r="S289" s="75">
        <f t="shared" si="809"/>
        <v>0.18831435176843855</v>
      </c>
      <c r="T289" s="59">
        <f t="shared" si="789"/>
        <v>0.20202640948597456</v>
      </c>
      <c r="U289" s="59">
        <f t="shared" si="790"/>
        <v>0.12796401079278091</v>
      </c>
      <c r="V289" s="59">
        <f t="shared" si="791"/>
        <v>0.57569724957706658</v>
      </c>
      <c r="W289" s="59">
        <f t="shared" si="792"/>
        <v>2.8496138254490613</v>
      </c>
      <c r="X289" s="59">
        <f t="shared" si="793"/>
        <v>4.4988996985201126</v>
      </c>
      <c r="Y289" s="100">
        <v>156000</v>
      </c>
      <c r="Z289" s="57">
        <f t="shared" si="794"/>
        <v>701828.3529691376</v>
      </c>
      <c r="AA289" s="57">
        <f t="shared" si="795"/>
        <v>444539.75677005359</v>
      </c>
      <c r="AB289" s="57">
        <f t="shared" si="859"/>
        <v>320266.86180548172</v>
      </c>
      <c r="AC289" s="57">
        <f t="shared" si="796"/>
        <v>0.17</v>
      </c>
      <c r="AD289" s="57">
        <f t="shared" si="797"/>
        <v>2.2000000000000002</v>
      </c>
      <c r="AE289" s="57">
        <f t="shared" si="798"/>
        <v>0</v>
      </c>
      <c r="AF289" s="57">
        <f t="shared" si="799"/>
        <v>102148.49963416327</v>
      </c>
      <c r="AG289" s="57">
        <f t="shared" si="708"/>
        <v>342391.25713589031</v>
      </c>
      <c r="AH289" s="57">
        <f t="shared" si="860"/>
        <v>645364713.25880456</v>
      </c>
      <c r="AI289" s="57">
        <f t="shared" si="861"/>
        <v>123275755.07435149</v>
      </c>
      <c r="AJ289" s="77">
        <v>0</v>
      </c>
      <c r="AK289" s="77">
        <v>30.5</v>
      </c>
      <c r="AL289" s="78">
        <f t="shared" si="800"/>
        <v>3.009639869872899</v>
      </c>
      <c r="AM289" s="57">
        <f t="shared" si="801"/>
        <v>1</v>
      </c>
      <c r="AN289" s="57">
        <f t="shared" si="802"/>
        <v>0.8</v>
      </c>
      <c r="AO289" s="77">
        <v>1000</v>
      </c>
      <c r="AP289" s="79">
        <v>160</v>
      </c>
      <c r="AQ289" s="57">
        <f t="shared" si="803"/>
        <v>38.354216859556708</v>
      </c>
      <c r="AR289" s="57">
        <f t="shared" si="862"/>
        <v>680</v>
      </c>
      <c r="AS289" s="57">
        <f t="shared" si="804"/>
        <v>961.64578314044331</v>
      </c>
      <c r="AT289" s="77">
        <v>150</v>
      </c>
      <c r="AU289" s="77">
        <f>2200+200</f>
        <v>2400</v>
      </c>
      <c r="AV289" s="78">
        <f t="shared" si="805"/>
        <v>150000</v>
      </c>
      <c r="AW289" s="77">
        <v>0</v>
      </c>
      <c r="AX289" s="77">
        <f t="shared" si="806"/>
        <v>150000</v>
      </c>
      <c r="AY289" s="77">
        <f t="shared" si="830"/>
        <v>150000</v>
      </c>
      <c r="AZ289" s="77">
        <f t="shared" si="820"/>
        <v>425</v>
      </c>
      <c r="BA289" s="77">
        <v>425</v>
      </c>
      <c r="BB289" s="77">
        <v>425</v>
      </c>
      <c r="BC289" s="77">
        <f t="shared" si="872"/>
        <v>425</v>
      </c>
      <c r="BD289" s="77">
        <v>8.8000000000000005E-3</v>
      </c>
      <c r="BE289" s="77">
        <v>8.8000000000000005E-3</v>
      </c>
      <c r="BF289" s="77">
        <v>1.3299999999999999E-2</v>
      </c>
      <c r="BG289" s="77">
        <f>PI()*10*10/4*2/(150*75)</f>
        <v>1.3962634015954637E-2</v>
      </c>
      <c r="BH289" s="79">
        <v>150</v>
      </c>
      <c r="BI289" s="79">
        <f>PI()*10*10/4</f>
        <v>78.539816339744831</v>
      </c>
      <c r="BJ289" s="79">
        <v>2</v>
      </c>
      <c r="BK289" s="57">
        <f t="shared" si="709"/>
        <v>157.07963267948966</v>
      </c>
      <c r="BL289" s="57">
        <f t="shared" si="841"/>
        <v>897.6</v>
      </c>
      <c r="BM289" s="80">
        <f>PI()*10*10/4</f>
        <v>78.539816339744831</v>
      </c>
      <c r="BN289" s="80">
        <v>4</v>
      </c>
      <c r="BO289" s="57">
        <f t="shared" si="864"/>
        <v>314.15926535897933</v>
      </c>
      <c r="BP289" s="57">
        <f t="shared" si="807"/>
        <v>89808.770934022381</v>
      </c>
      <c r="BQ289" s="77">
        <f t="shared" si="808"/>
        <v>0</v>
      </c>
      <c r="BR289" s="57">
        <f t="shared" si="843"/>
        <v>215541050.24165371</v>
      </c>
      <c r="BS289" s="57">
        <v>76.708433719113415</v>
      </c>
      <c r="BT289" s="57">
        <f t="shared" si="810"/>
        <v>27.737986350524167</v>
      </c>
      <c r="BU289" s="57"/>
      <c r="BV289" s="57">
        <v>3.3E-3</v>
      </c>
      <c r="BW289" s="57">
        <v>30000</v>
      </c>
      <c r="BX289" s="57">
        <v>200000</v>
      </c>
      <c r="BY289" s="77">
        <f>40</f>
        <v>40</v>
      </c>
      <c r="BZ289" s="77">
        <f>BY289+120</f>
        <v>160</v>
      </c>
      <c r="CA289" s="77">
        <f>BZ289+190</f>
        <v>350</v>
      </c>
      <c r="CB289" s="77">
        <f>CA289+150*1</f>
        <v>500</v>
      </c>
      <c r="CC289" s="77">
        <f>CA289+150*2</f>
        <v>650</v>
      </c>
      <c r="CD289" s="77">
        <f>CC289+190</f>
        <v>840</v>
      </c>
      <c r="CE289" s="77">
        <f>CD289+120</f>
        <v>960</v>
      </c>
      <c r="DM289" s="77">
        <f t="shared" ref="DM289:DS289" si="879">PI()*10*10/4*2</f>
        <v>157.07963267948966</v>
      </c>
      <c r="DN289" s="77">
        <f t="shared" si="879"/>
        <v>157.07963267948966</v>
      </c>
      <c r="DO289" s="77">
        <f t="shared" si="879"/>
        <v>157.07963267948966</v>
      </c>
      <c r="DP289" s="77">
        <f t="shared" si="879"/>
        <v>157.07963267948966</v>
      </c>
      <c r="DQ289" s="77">
        <f t="shared" si="879"/>
        <v>157.07963267948966</v>
      </c>
      <c r="DR289" s="77">
        <f t="shared" si="879"/>
        <v>157.07963267948966</v>
      </c>
      <c r="DS289" s="77">
        <f t="shared" si="879"/>
        <v>157.07963267948966</v>
      </c>
      <c r="FA289" s="77">
        <f t="shared" si="875"/>
        <v>-49611.979067754663</v>
      </c>
      <c r="FB289" s="77">
        <f t="shared" si="875"/>
        <v>66758.8438887831</v>
      </c>
      <c r="FC289" s="77">
        <f>IF(ABS(-$BV289*($BS289-CA289)/$BS289*$BX289)&gt;$BA289,$BA289*SIGN(-($BS289-CA289)),-$BV289*($BS289-CA289)/$BS289*$BX289)*DO289</f>
        <v>66758.8438887831</v>
      </c>
      <c r="FD289" s="77">
        <f>IF(ABS(-$BV289*($BS289-CB289)/$BS289*$BX289)&gt;$BA289,$BA289*SIGN(-($BS289-CB289)),-$BV289*($BS289-CB289)/$BS289*$BX289)*DP289</f>
        <v>66758.8438887831</v>
      </c>
      <c r="FE289" s="77">
        <f t="shared" si="867"/>
        <v>66758.8438887831</v>
      </c>
      <c r="FF289" s="77">
        <f>IF(ABS(-$BV289*($BS289-CD289)/$BS289*$BX289)&gt;$BB289,$BB289*SIGN(-($BS289-CD289)),-$BV289*($BS289-CD289)/$BS289*$BX289)*DR289</f>
        <v>66758.8438887831</v>
      </c>
      <c r="FG289" s="77">
        <f>IF(ABS(-$BV289*($BS289-CE289)/$BS289*$BX289)&gt;$BB289,$BB289*SIGN(-($BS289-CE289)),-$BV289*($BS289-CE289)/$BS289*$BX289)*DS289</f>
        <v>66758.8438887831</v>
      </c>
      <c r="GO289" s="77">
        <f t="shared" si="854"/>
        <v>22821510.371167146</v>
      </c>
      <c r="GP289" s="77">
        <f t="shared" si="855"/>
        <v>-22698006.922186255</v>
      </c>
      <c r="GQ289" s="77">
        <f t="shared" si="856"/>
        <v>-10013826.583317464</v>
      </c>
      <c r="GR289" s="77">
        <f t="shared" si="857"/>
        <v>0</v>
      </c>
      <c r="GS289" s="77">
        <f t="shared" si="846"/>
        <v>10013826.583317464</v>
      </c>
      <c r="GT289" s="77">
        <f t="shared" si="847"/>
        <v>22698006.922186255</v>
      </c>
      <c r="GU289" s="77">
        <f t="shared" si="848"/>
        <v>30709068.188840225</v>
      </c>
      <c r="IC289" s="82">
        <v>305</v>
      </c>
    </row>
    <row r="290" spans="1:237" s="77" customFormat="1">
      <c r="A290" s="77">
        <v>290</v>
      </c>
      <c r="B290" s="69">
        <v>439</v>
      </c>
      <c r="C290" s="69" t="s">
        <v>610</v>
      </c>
      <c r="D290" s="70" t="s">
        <v>190</v>
      </c>
      <c r="E290" s="70">
        <v>1</v>
      </c>
      <c r="F290" s="70">
        <f t="shared" si="816"/>
        <v>5.9446443873179086E-2</v>
      </c>
      <c r="G290" s="70">
        <v>9.1571428999999999E-3</v>
      </c>
      <c r="H290" s="70"/>
      <c r="I290" s="87">
        <f>(52+50)/2/AU290</f>
        <v>3.4000000000000002E-2</v>
      </c>
      <c r="J290" s="72">
        <v>2</v>
      </c>
      <c r="K290" s="72">
        <v>6</v>
      </c>
      <c r="L290" s="72">
        <v>0.27019280205655527</v>
      </c>
      <c r="M290" s="72">
        <v>0.12640488431876606</v>
      </c>
      <c r="N290" s="72">
        <v>0.45804627249357327</v>
      </c>
      <c r="O290" s="72">
        <v>1.2640488431876606</v>
      </c>
      <c r="P290" s="72">
        <v>0</v>
      </c>
      <c r="Q290" s="73" t="s">
        <v>3</v>
      </c>
      <c r="R290" s="101">
        <v>0</v>
      </c>
      <c r="S290" s="75">
        <f t="shared" si="809"/>
        <v>0.33162378673261367</v>
      </c>
      <c r="T290" s="59">
        <f t="shared" si="789"/>
        <v>0.48528277020259203</v>
      </c>
      <c r="U290" s="59">
        <f t="shared" si="790"/>
        <v>0.36158235245759973</v>
      </c>
      <c r="V290" s="59">
        <f t="shared" si="791"/>
        <v>0.95421397517330331</v>
      </c>
      <c r="W290" s="59">
        <f t="shared" si="792"/>
        <v>1.9663050777074684</v>
      </c>
      <c r="X290" s="59">
        <f t="shared" si="793"/>
        <v>2.6389948754072483</v>
      </c>
      <c r="Y290" s="100">
        <f>(203.03+143.84)/2*1000</f>
        <v>173435</v>
      </c>
      <c r="Z290" s="57">
        <f t="shared" si="794"/>
        <v>457694.07621625613</v>
      </c>
      <c r="AA290" s="57">
        <f t="shared" si="795"/>
        <v>341026.1211521948</v>
      </c>
      <c r="AB290" s="57">
        <f t="shared" si="859"/>
        <v>371238.89084230812</v>
      </c>
      <c r="AC290" s="57">
        <f t="shared" si="796"/>
        <v>0.17</v>
      </c>
      <c r="AD290" s="57">
        <f t="shared" si="797"/>
        <v>2</v>
      </c>
      <c r="AE290" s="57">
        <f t="shared" si="798"/>
        <v>0</v>
      </c>
      <c r="AF290" s="57">
        <f t="shared" si="799"/>
        <v>69811.544711440918</v>
      </c>
      <c r="AG290" s="57">
        <f t="shared" si="708"/>
        <v>271214.57644075388</v>
      </c>
      <c r="AH290" s="57">
        <f t="shared" si="860"/>
        <v>378555950.16270268</v>
      </c>
      <c r="AI290" s="57">
        <f t="shared" si="861"/>
        <v>178302386.10075948</v>
      </c>
      <c r="AJ290" s="77">
        <v>0</v>
      </c>
      <c r="AK290" s="77">
        <v>31.12</v>
      </c>
      <c r="AL290" s="78">
        <f t="shared" si="800"/>
        <v>3.0431362222158373</v>
      </c>
      <c r="AM290" s="57">
        <f t="shared" si="801"/>
        <v>1</v>
      </c>
      <c r="AN290" s="57">
        <f t="shared" si="802"/>
        <v>0.8</v>
      </c>
      <c r="AO290" s="77">
        <v>750</v>
      </c>
      <c r="AP290" s="79">
        <v>160</v>
      </c>
      <c r="AQ290" s="57">
        <f t="shared" si="803"/>
        <v>61.780285728305465</v>
      </c>
      <c r="AR290" s="57">
        <f t="shared" si="862"/>
        <v>430</v>
      </c>
      <c r="AS290" s="57">
        <f t="shared" si="804"/>
        <v>688.21971427169456</v>
      </c>
      <c r="AT290" s="77">
        <v>125</v>
      </c>
      <c r="AU290" s="77">
        <f>1400+100</f>
        <v>1500</v>
      </c>
      <c r="AV290" s="78">
        <f t="shared" si="805"/>
        <v>93750</v>
      </c>
      <c r="AW290" s="77">
        <v>0</v>
      </c>
      <c r="AX290" s="77">
        <f t="shared" si="806"/>
        <v>93750</v>
      </c>
      <c r="AY290" s="77">
        <f t="shared" si="830"/>
        <v>93750</v>
      </c>
      <c r="AZ290" s="77">
        <f t="shared" si="820"/>
        <v>588</v>
      </c>
      <c r="BA290" s="77">
        <v>588</v>
      </c>
      <c r="BB290" s="77">
        <v>604</v>
      </c>
      <c r="BC290" s="77">
        <f t="shared" si="872"/>
        <v>588</v>
      </c>
      <c r="BD290" s="77">
        <f>PI()*8*8/4*8/(AT290*5*175)</f>
        <v>3.6765610026010835E-3</v>
      </c>
      <c r="BE290" s="77">
        <v>6.6899999999999998E-3</v>
      </c>
      <c r="BF290" s="77">
        <f>PI()*10*10/4*6/(125*2*80)</f>
        <v>2.3561944901923447E-2</v>
      </c>
      <c r="BG290" s="77">
        <f>PI()*8*8/4*2/(125*50)</f>
        <v>1.6084954386379739E-2</v>
      </c>
      <c r="BH290" s="79">
        <v>120</v>
      </c>
      <c r="BI290" s="79">
        <f>PI()*8*8/4</f>
        <v>50.26548245743669</v>
      </c>
      <c r="BJ290" s="79">
        <v>2</v>
      </c>
      <c r="BK290" s="57">
        <f t="shared" si="709"/>
        <v>100.53096491487338</v>
      </c>
      <c r="BL290" s="57">
        <f t="shared" si="841"/>
        <v>197.61515388980825</v>
      </c>
      <c r="BM290" s="80">
        <f>PI()*10*10/4</f>
        <v>78.539816339744831</v>
      </c>
      <c r="BN290" s="80">
        <v>6</v>
      </c>
      <c r="BO290" s="57">
        <f t="shared" si="864"/>
        <v>471.23889803846896</v>
      </c>
      <c r="BP290" s="57">
        <f t="shared" si="807"/>
        <v>165494.10078418185</v>
      </c>
      <c r="BQ290" s="77">
        <f t="shared" si="808"/>
        <v>9.3132257461547852E-10</v>
      </c>
      <c r="BR290" s="57">
        <f t="shared" si="843"/>
        <v>248241151.17627278</v>
      </c>
      <c r="BS290" s="57">
        <v>123.56057145661093</v>
      </c>
      <c r="BT290" s="57">
        <f t="shared" si="810"/>
        <v>15.797927635769001</v>
      </c>
      <c r="BU290" s="57"/>
      <c r="BV290" s="57">
        <v>3.3E-3</v>
      </c>
      <c r="BW290" s="57">
        <v>30000</v>
      </c>
      <c r="BX290" s="57">
        <v>200000</v>
      </c>
      <c r="BY290" s="77">
        <f>27.5</f>
        <v>27.5</v>
      </c>
      <c r="BZ290" s="77">
        <f>BY290+80</f>
        <v>107.5</v>
      </c>
      <c r="CA290" s="77">
        <f>BY290+80*2</f>
        <v>187.5</v>
      </c>
      <c r="CB290" s="77">
        <f>CA290+75*1</f>
        <v>262.5</v>
      </c>
      <c r="CC290" s="77">
        <f>CA290+75*2</f>
        <v>337.5</v>
      </c>
      <c r="CD290" s="77">
        <f>CA290+75*3</f>
        <v>412.5</v>
      </c>
      <c r="CE290" s="77">
        <f>CA290+75*4</f>
        <v>487.5</v>
      </c>
      <c r="CF290" s="77">
        <f>CA290+75*5</f>
        <v>562.5</v>
      </c>
      <c r="CG290" s="77">
        <f>CF290+80</f>
        <v>642.5</v>
      </c>
      <c r="CH290" s="77">
        <f>CF290+80*2</f>
        <v>722.5</v>
      </c>
      <c r="DM290" s="77">
        <f>PI()*10*10/4*2</f>
        <v>157.07963267948966</v>
      </c>
      <c r="DN290" s="77">
        <f>PI()*10*10/4*2</f>
        <v>157.07963267948966</v>
      </c>
      <c r="DO290" s="77">
        <f>PI()*10*10/4*2</f>
        <v>157.07963267948966</v>
      </c>
      <c r="DP290" s="77">
        <f>PI()*8*8/4*2</f>
        <v>100.53096491487338</v>
      </c>
      <c r="DQ290" s="77">
        <f>PI()*8*8/4*2</f>
        <v>100.53096491487338</v>
      </c>
      <c r="DR290" s="77">
        <f>PI()*8*8/4*2</f>
        <v>100.53096491487338</v>
      </c>
      <c r="DS290" s="77">
        <f>PI()*8*8/4*2</f>
        <v>100.53096491487338</v>
      </c>
      <c r="DT290" s="77">
        <f>PI()*10*10/4*2</f>
        <v>157.07963267948966</v>
      </c>
      <c r="DU290" s="77">
        <f>PI()*10*10/4*2</f>
        <v>157.07963267948966</v>
      </c>
      <c r="DV290" s="77">
        <f>PI()*10*10/4*2</f>
        <v>157.07963267948966</v>
      </c>
      <c r="FA290" s="77">
        <f t="shared" si="875"/>
        <v>-80598.891758056314</v>
      </c>
      <c r="FB290" s="77">
        <f t="shared" si="875"/>
        <v>-13475.500309599998</v>
      </c>
      <c r="FC290" s="77">
        <f>IF(ABS(-$BV290*($BS290-CA290)/$BS290*$BX290)&gt;$BB290,$BB290*SIGN(-($BS290-CA290)),-$BV290*($BS290-CA290)/$BS290*$BX290)*DO290</f>
        <v>53647.891138856321</v>
      </c>
      <c r="FD290" s="77">
        <f>IF(ABS(-$BV290*($BS290-CB290)/$BS290*$BX290)&gt;$BA290,$BA290*SIGN(-($BS290-CB290)),-$BV290*($BS290-CB290)/$BS290*$BX290)*DP290</f>
        <v>59112.20736994555</v>
      </c>
      <c r="FE290" s="77">
        <f t="shared" si="867"/>
        <v>59112.20736994555</v>
      </c>
      <c r="FF290" s="77">
        <f>IF(ABS(-$BV290*($BS290-CD290)/$BS290*$BX290)&gt;$BA290,$BA290*SIGN(-($BS290-CD290)),-$BV290*($BS290-CD290)/$BS290*$BX290)*DR290</f>
        <v>59112.20736994555</v>
      </c>
      <c r="FG290" s="77">
        <f>IF(ABS(-$BV290*($BS290-CE290)/$BS290*$BX290)&gt;$BA290,$BA290*SIGN(-($BS290-CE290)),-$BV290*($BS290-CE290)/$BS290*$BX290)*DS290</f>
        <v>59112.20736994555</v>
      </c>
      <c r="FH290" s="77">
        <f>IF(ABS(-$BV290*($BS290-CF290)/$BS290*$BX290)&gt;$BB290,$BB290*SIGN(-($BS290-CF290)),-$BV290*($BS290-CF290)/$BS290*$BX290)*DT290</f>
        <v>94876.098138411762</v>
      </c>
      <c r="FI290" s="77">
        <f>IF(ABS(-$BV290*($BS290-CG290)/$BS290*$BX290)&gt;$BB290,$BB290*SIGN(-($BS290-CG290)),-$BV290*($BS290-CG290)/$BS290*$BX290)*DU290</f>
        <v>94876.098138411762</v>
      </c>
      <c r="FJ290" s="77">
        <f>IF(ABS(-$BV290*($BS290-CH290)/$BS290*$BX290)&gt;$BB290,$BB290*SIGN(-($BS290-CH290)),-$BV290*($BS290-CH290)/$BS290*$BX290)*DV290</f>
        <v>94876.098138411762</v>
      </c>
      <c r="GO290" s="77">
        <f t="shared" si="854"/>
        <v>28008114.88592457</v>
      </c>
      <c r="GP290" s="77">
        <f t="shared" si="855"/>
        <v>3604696.3328179996</v>
      </c>
      <c r="GQ290" s="77">
        <f t="shared" si="856"/>
        <v>-10058979.58853556</v>
      </c>
      <c r="GR290" s="77">
        <f t="shared" si="857"/>
        <v>-6650123.3291188749</v>
      </c>
      <c r="GS290" s="77">
        <f t="shared" si="846"/>
        <v>-2216707.776372958</v>
      </c>
      <c r="GT290" s="77">
        <f t="shared" si="847"/>
        <v>2216707.776372958</v>
      </c>
      <c r="GU290" s="77">
        <f t="shared" si="848"/>
        <v>6650123.3291188749</v>
      </c>
      <c r="GV290" s="77">
        <f>FH290*(CF290-0.5*$AO290)</f>
        <v>17789268.400952205</v>
      </c>
      <c r="GW290" s="77">
        <f>FI290*(CG290-0.5*$AO290)</f>
        <v>25379356.252025146</v>
      </c>
      <c r="GX290" s="77">
        <f>FJ290*(CH290-0.5*$AO290)</f>
        <v>32969444.103098087</v>
      </c>
      <c r="IC290" s="82">
        <v>306</v>
      </c>
    </row>
    <row r="291" spans="1:237" s="77" customFormat="1">
      <c r="A291" s="77">
        <v>291</v>
      </c>
      <c r="B291" s="69">
        <v>440</v>
      </c>
      <c r="C291" s="69" t="s">
        <v>312</v>
      </c>
      <c r="D291" s="70" t="s">
        <v>192</v>
      </c>
      <c r="E291" s="119">
        <v>1</v>
      </c>
      <c r="F291" s="70">
        <f t="shared" si="816"/>
        <v>5.389203084832906E-2</v>
      </c>
      <c r="G291" s="70">
        <v>8.4642856999999991E-3</v>
      </c>
      <c r="H291" s="70"/>
      <c r="I291" s="87">
        <f>(44+50)/2/AU291</f>
        <v>3.1333333333333331E-2</v>
      </c>
      <c r="J291" s="72">
        <v>2</v>
      </c>
      <c r="K291" s="72">
        <v>6</v>
      </c>
      <c r="L291" s="72">
        <v>0.22476863753213366</v>
      </c>
      <c r="M291" s="72">
        <v>3.7978149100257069E-2</v>
      </c>
      <c r="N291" s="72">
        <v>0.22476863753213366</v>
      </c>
      <c r="O291" s="72">
        <v>0</v>
      </c>
      <c r="P291" s="72">
        <v>0</v>
      </c>
      <c r="Q291" s="73" t="s">
        <v>3</v>
      </c>
      <c r="R291" s="101">
        <v>0</v>
      </c>
      <c r="S291" s="75">
        <f t="shared" si="809"/>
        <v>0.30063832552811637</v>
      </c>
      <c r="T291" s="59">
        <f t="shared" si="789"/>
        <v>0.95155768583715361</v>
      </c>
      <c r="U291" s="59">
        <f t="shared" si="790"/>
        <v>0.72917813261601294</v>
      </c>
      <c r="V291" s="59">
        <f t="shared" si="791"/>
        <v>0.91919007331247204</v>
      </c>
      <c r="W291" s="59">
        <f t="shared" si="792"/>
        <v>0.96598460292377808</v>
      </c>
      <c r="X291" s="59">
        <f t="shared" si="793"/>
        <v>1.2605837067751453</v>
      </c>
      <c r="Y291" s="100">
        <f>(177.02+137.44)/2*1000</f>
        <v>157230.00000000003</v>
      </c>
      <c r="Z291" s="57">
        <f t="shared" si="794"/>
        <v>198201.57621625613</v>
      </c>
      <c r="AA291" s="57">
        <f t="shared" si="795"/>
        <v>151881.75911770566</v>
      </c>
      <c r="AB291" s="57">
        <f t="shared" si="859"/>
        <v>386177.22363278468</v>
      </c>
      <c r="AC291" s="57">
        <f t="shared" si="796"/>
        <v>0.17</v>
      </c>
      <c r="AD291" s="57">
        <f t="shared" si="797"/>
        <v>2</v>
      </c>
      <c r="AE291" s="57">
        <f t="shared" si="798"/>
        <v>0</v>
      </c>
      <c r="AF291" s="57">
        <f t="shared" si="799"/>
        <v>70654.871520600864</v>
      </c>
      <c r="AG291" s="57">
        <f t="shared" ref="AG291:AG353" si="880">0.8*AZ291*BK291/BH291*AS291</f>
        <v>81226.887597104796</v>
      </c>
      <c r="AH291" s="57">
        <f t="shared" si="860"/>
        <v>410534205.08307004</v>
      </c>
      <c r="AI291" s="57">
        <f t="shared" si="861"/>
        <v>168731630.36610693</v>
      </c>
      <c r="AJ291" s="77">
        <v>0</v>
      </c>
      <c r="AK291" s="77">
        <v>31.12</v>
      </c>
      <c r="AL291" s="78">
        <f t="shared" si="800"/>
        <v>3.0431362222158373</v>
      </c>
      <c r="AM291" s="57">
        <f t="shared" si="801"/>
        <v>1</v>
      </c>
      <c r="AN291" s="57">
        <f t="shared" si="802"/>
        <v>0.8</v>
      </c>
      <c r="AO291" s="77">
        <v>750</v>
      </c>
      <c r="AP291" s="79">
        <v>173</v>
      </c>
      <c r="AQ291" s="57">
        <f t="shared" si="803"/>
        <v>53.46655856417069</v>
      </c>
      <c r="AR291" s="57">
        <f t="shared" si="862"/>
        <v>404</v>
      </c>
      <c r="AS291" s="57">
        <f t="shared" si="804"/>
        <v>696.53344143582933</v>
      </c>
      <c r="AT291" s="77">
        <v>125</v>
      </c>
      <c r="AU291" s="77">
        <f>1400+100</f>
        <v>1500</v>
      </c>
      <c r="AV291" s="78">
        <f t="shared" si="805"/>
        <v>93750</v>
      </c>
      <c r="AW291" s="77">
        <v>0</v>
      </c>
      <c r="AX291" s="77">
        <f t="shared" si="806"/>
        <v>93750</v>
      </c>
      <c r="AY291" s="77">
        <f t="shared" si="830"/>
        <v>93750</v>
      </c>
      <c r="AZ291" s="77">
        <f t="shared" si="820"/>
        <v>580</v>
      </c>
      <c r="BA291" s="77">
        <v>580</v>
      </c>
      <c r="BB291" s="77">
        <v>580</v>
      </c>
      <c r="BC291" s="77">
        <f t="shared" si="872"/>
        <v>580</v>
      </c>
      <c r="BD291" s="77">
        <v>1.206E-2</v>
      </c>
      <c r="BE291" s="77">
        <v>2.0100000000000001E-3</v>
      </c>
      <c r="BF291" s="77">
        <f>BD291</f>
        <v>1.206E-2</v>
      </c>
      <c r="BG291" s="77">
        <f>PI()*8*8/4*2/(125*100)</f>
        <v>8.0424771931898696E-3</v>
      </c>
      <c r="BH291" s="79">
        <v>400</v>
      </c>
      <c r="BI291" s="79">
        <f>PI()*8*8/4</f>
        <v>50.26548245743669</v>
      </c>
      <c r="BJ291" s="79">
        <v>2</v>
      </c>
      <c r="BK291" s="57">
        <f t="shared" ref="BK291:BK353" si="881">BI291*BJ291</f>
        <v>100.53096491487338</v>
      </c>
      <c r="BL291" s="57">
        <f t="shared" si="841"/>
        <v>609.03</v>
      </c>
      <c r="BM291" s="80">
        <f>PI()*12*12/4</f>
        <v>113.09733552923255</v>
      </c>
      <c r="BN291" s="80">
        <v>4</v>
      </c>
      <c r="BO291" s="57">
        <f t="shared" si="864"/>
        <v>452.38934211693021</v>
      </c>
      <c r="BP291" s="57">
        <f t="shared" si="807"/>
        <v>144524.25522692001</v>
      </c>
      <c r="BQ291" s="77">
        <f t="shared" si="808"/>
        <v>-5.6461431086063385E-9</v>
      </c>
      <c r="BR291" s="57">
        <f t="shared" si="843"/>
        <v>216786382.84038001</v>
      </c>
      <c r="BS291" s="57">
        <v>106.93311712834138</v>
      </c>
      <c r="BT291" s="57">
        <f t="shared" si="810"/>
        <v>55.269105982134441</v>
      </c>
      <c r="BU291" s="57"/>
      <c r="BV291" s="57">
        <v>3.3E-3</v>
      </c>
      <c r="BW291" s="57">
        <v>30000</v>
      </c>
      <c r="BX291" s="57">
        <v>200000</v>
      </c>
      <c r="BY291" s="77">
        <f>29</f>
        <v>29</v>
      </c>
      <c r="BZ291" s="77">
        <f>BY291+173*1</f>
        <v>202</v>
      </c>
      <c r="CA291" s="77">
        <f>BY291+173*2</f>
        <v>375</v>
      </c>
      <c r="CB291" s="77">
        <f>BY291+173*3</f>
        <v>548</v>
      </c>
      <c r="CC291" s="77">
        <f>BY291+173*4</f>
        <v>721</v>
      </c>
      <c r="DM291" s="77">
        <f t="shared" ref="DM291:DQ293" si="882">PI()*12*12/4*2</f>
        <v>226.1946710584651</v>
      </c>
      <c r="DN291" s="77">
        <f t="shared" si="882"/>
        <v>226.1946710584651</v>
      </c>
      <c r="DO291" s="77">
        <f t="shared" si="882"/>
        <v>226.1946710584651</v>
      </c>
      <c r="DP291" s="77">
        <f t="shared" si="882"/>
        <v>226.1946710584651</v>
      </c>
      <c r="DQ291" s="77">
        <f t="shared" si="882"/>
        <v>226.1946710584651</v>
      </c>
      <c r="FA291" s="77">
        <f t="shared" si="875"/>
        <v>-108801.81122639672</v>
      </c>
      <c r="FB291" s="77">
        <f t="shared" si="875"/>
        <v>131192.90921390976</v>
      </c>
      <c r="FC291" s="77">
        <f>IF(ABS(-$BV291*($BS291-CA291)/$BS291*$BX291)&gt;$BA291,$BA291*SIGN(-($BS291-CA291)),-$BV291*($BS291-CA291)/$BS291*$BX291)*DO291</f>
        <v>131192.90921390976</v>
      </c>
      <c r="FD291" s="77">
        <f>IF(ABS(-$BV291*($BS291-CB291)/$BS291*$BX291)&gt;$BB291,$BB291*SIGN(-($BS291-CB291)),-$BV291*($BS291-CB291)/$BS291*$BX291)*DP291</f>
        <v>131192.90921390976</v>
      </c>
      <c r="FE291" s="77">
        <f>IF(ABS(-$BV291*($BS291-CC291)/$BS291*$BX291)&gt;$BB291,$BB291*SIGN(-($BS291-CC291)),-$BV291*($BS291-CC291)/$BS291*$BX291)*DQ291</f>
        <v>131192.90921390976</v>
      </c>
      <c r="GO291" s="77">
        <f t="shared" si="854"/>
        <v>37645426.684333265</v>
      </c>
      <c r="GP291" s="77">
        <f t="shared" si="855"/>
        <v>-22696373.294006389</v>
      </c>
      <c r="GQ291" s="77">
        <f t="shared" si="856"/>
        <v>0</v>
      </c>
      <c r="GR291" s="77">
        <f t="shared" si="857"/>
        <v>22696373.294006389</v>
      </c>
      <c r="GS291" s="77">
        <f t="shared" ref="GS291:GS338" si="883">FE291*(CC291-0.5*$AO291)</f>
        <v>45392746.588012777</v>
      </c>
      <c r="IC291" s="82">
        <v>307</v>
      </c>
    </row>
    <row r="292" spans="1:237" s="77" customFormat="1">
      <c r="A292" s="77">
        <v>292</v>
      </c>
      <c r="B292" s="69">
        <v>441</v>
      </c>
      <c r="C292" s="69" t="s">
        <v>312</v>
      </c>
      <c r="D292" s="70" t="s">
        <v>313</v>
      </c>
      <c r="E292" s="119">
        <v>3</v>
      </c>
      <c r="F292" s="70">
        <f t="shared" si="816"/>
        <v>5.1998286203941729E-2</v>
      </c>
      <c r="G292" s="70">
        <v>8.4642856999999991E-3</v>
      </c>
      <c r="H292" s="70"/>
      <c r="I292" s="87">
        <f>(45+40)/2/AU292</f>
        <v>2.8333333333333332E-2</v>
      </c>
      <c r="J292" s="72">
        <v>2</v>
      </c>
      <c r="K292" s="72">
        <v>6</v>
      </c>
      <c r="L292" s="72">
        <v>0.22476863753213366</v>
      </c>
      <c r="M292" s="72">
        <v>2.1350899742930588E-2</v>
      </c>
      <c r="N292" s="72">
        <v>0.22476863753213366</v>
      </c>
      <c r="O292" s="72">
        <v>0</v>
      </c>
      <c r="P292" s="72">
        <v>0</v>
      </c>
      <c r="Q292" s="73" t="s">
        <v>3</v>
      </c>
      <c r="R292" s="101">
        <v>0</v>
      </c>
      <c r="S292" s="75">
        <f t="shared" si="809"/>
        <v>0.29007401370122038</v>
      </c>
      <c r="T292" s="59">
        <f t="shared" si="789"/>
        <v>1.2422043100405324</v>
      </c>
      <c r="U292" s="59">
        <f t="shared" si="790"/>
        <v>0.96124203592681678</v>
      </c>
      <c r="V292" s="59">
        <f t="shared" si="791"/>
        <v>0.95266639350660831</v>
      </c>
      <c r="W292" s="59">
        <f t="shared" si="792"/>
        <v>0.76691602645906409</v>
      </c>
      <c r="X292" s="59">
        <f t="shared" si="793"/>
        <v>0.99107858156459006</v>
      </c>
      <c r="Y292" s="100">
        <f>(173.3+130.11)/2*1000</f>
        <v>151705</v>
      </c>
      <c r="Z292" s="57">
        <f t="shared" si="794"/>
        <v>150351.57621625613</v>
      </c>
      <c r="AA292" s="57">
        <f t="shared" si="795"/>
        <v>116344.99579397231</v>
      </c>
      <c r="AB292" s="57">
        <f t="shared" si="859"/>
        <v>301811.40844973119</v>
      </c>
      <c r="AC292" s="57">
        <f t="shared" si="796"/>
        <v>0.17</v>
      </c>
      <c r="AD292" s="57">
        <f t="shared" si="797"/>
        <v>2</v>
      </c>
      <c r="AE292" s="57">
        <f t="shared" si="798"/>
        <v>0</v>
      </c>
      <c r="AF292" s="57">
        <f t="shared" si="799"/>
        <v>70654.871520600864</v>
      </c>
      <c r="AG292" s="57">
        <f t="shared" si="880"/>
        <v>45690.124273371446</v>
      </c>
      <c r="AH292" s="57">
        <f t="shared" si="860"/>
        <v>410534205.08307004</v>
      </c>
      <c r="AI292" s="57">
        <f t="shared" si="861"/>
        <v>42182907.591526732</v>
      </c>
      <c r="AJ292" s="77">
        <v>0</v>
      </c>
      <c r="AK292" s="77">
        <v>31.12</v>
      </c>
      <c r="AL292" s="78">
        <f t="shared" si="800"/>
        <v>3.0431362222158373</v>
      </c>
      <c r="AM292" s="57">
        <f t="shared" si="801"/>
        <v>1</v>
      </c>
      <c r="AN292" s="57">
        <f t="shared" si="802"/>
        <v>0.8</v>
      </c>
      <c r="AO292" s="77">
        <v>750</v>
      </c>
      <c r="AP292" s="79">
        <v>173</v>
      </c>
      <c r="AQ292" s="57">
        <f t="shared" si="803"/>
        <v>53.46655856417069</v>
      </c>
      <c r="AR292" s="57">
        <f t="shared" si="862"/>
        <v>404</v>
      </c>
      <c r="AS292" s="57">
        <f t="shared" si="804"/>
        <v>696.53344143582933</v>
      </c>
      <c r="AT292" s="77">
        <v>125</v>
      </c>
      <c r="AU292" s="77">
        <f>1400+100</f>
        <v>1500</v>
      </c>
      <c r="AV292" s="78">
        <f t="shared" si="805"/>
        <v>93750</v>
      </c>
      <c r="AW292" s="77">
        <v>0</v>
      </c>
      <c r="AX292" s="77">
        <f t="shared" si="806"/>
        <v>93750</v>
      </c>
      <c r="AY292" s="77">
        <f t="shared" si="830"/>
        <v>93750</v>
      </c>
      <c r="AZ292" s="77">
        <f t="shared" si="820"/>
        <v>580</v>
      </c>
      <c r="BA292" s="77">
        <v>580</v>
      </c>
      <c r="BB292" s="77">
        <v>580</v>
      </c>
      <c r="BC292" s="77">
        <f t="shared" si="872"/>
        <v>580</v>
      </c>
      <c r="BD292" s="77">
        <v>1.206E-2</v>
      </c>
      <c r="BE292" s="77">
        <v>1.1299999999999999E-3</v>
      </c>
      <c r="BF292" s="77">
        <f>BD292</f>
        <v>1.206E-2</v>
      </c>
      <c r="BG292" s="77">
        <f>PI()*8*8/4*2/(125*100)</f>
        <v>8.0424771931898696E-3</v>
      </c>
      <c r="BH292" s="79">
        <v>400</v>
      </c>
      <c r="BI292" s="79">
        <f>PI()*6*6/4</f>
        <v>28.274333882308138</v>
      </c>
      <c r="BJ292" s="79">
        <v>2</v>
      </c>
      <c r="BK292" s="57">
        <f t="shared" si="881"/>
        <v>56.548667764616276</v>
      </c>
      <c r="BL292" s="57">
        <f t="shared" si="841"/>
        <v>609.03</v>
      </c>
      <c r="BM292" s="80">
        <f>PI()*6*6/4</f>
        <v>28.274333882308138</v>
      </c>
      <c r="BN292" s="80">
        <v>4</v>
      </c>
      <c r="BO292" s="57">
        <f t="shared" si="864"/>
        <v>113.09733552923255</v>
      </c>
      <c r="BP292" s="57">
        <f t="shared" si="807"/>
        <v>144524.25522692001</v>
      </c>
      <c r="BQ292" s="77">
        <f t="shared" si="808"/>
        <v>-5.6461431086063385E-9</v>
      </c>
      <c r="BR292" s="57">
        <f t="shared" si="843"/>
        <v>216786382.84038001</v>
      </c>
      <c r="BS292" s="57">
        <v>106.93311712834138</v>
      </c>
      <c r="BT292" s="57">
        <f t="shared" si="810"/>
        <v>55.269105982134441</v>
      </c>
      <c r="BU292" s="57"/>
      <c r="BV292" s="57">
        <v>3.3E-3</v>
      </c>
      <c r="BW292" s="57">
        <v>30000</v>
      </c>
      <c r="BX292" s="57">
        <v>200000</v>
      </c>
      <c r="BY292" s="77">
        <f>29</f>
        <v>29</v>
      </c>
      <c r="BZ292" s="77">
        <f>BY292+173*1</f>
        <v>202</v>
      </c>
      <c r="CA292" s="77">
        <f>BY292+173*2</f>
        <v>375</v>
      </c>
      <c r="CB292" s="77">
        <f>BY292+173*3</f>
        <v>548</v>
      </c>
      <c r="CC292" s="77">
        <f>BY292+173*4</f>
        <v>721</v>
      </c>
      <c r="DM292" s="77">
        <f t="shared" si="882"/>
        <v>226.1946710584651</v>
      </c>
      <c r="DN292" s="77">
        <f t="shared" si="882"/>
        <v>226.1946710584651</v>
      </c>
      <c r="DO292" s="77">
        <f t="shared" si="882"/>
        <v>226.1946710584651</v>
      </c>
      <c r="DP292" s="77">
        <f t="shared" si="882"/>
        <v>226.1946710584651</v>
      </c>
      <c r="DQ292" s="77">
        <f t="shared" si="882"/>
        <v>226.1946710584651</v>
      </c>
      <c r="FA292" s="77">
        <f t="shared" si="875"/>
        <v>-108801.81122639672</v>
      </c>
      <c r="FB292" s="77">
        <f t="shared" si="875"/>
        <v>131192.90921390976</v>
      </c>
      <c r="FC292" s="77">
        <f>IF(ABS(-$BV292*($BS292-CA292)/$BS292*$BX292)&gt;$BA292,$BA292*SIGN(-($BS292-CA292)),-$BV292*($BS292-CA292)/$BS292*$BX292)*DO292</f>
        <v>131192.90921390976</v>
      </c>
      <c r="FD292" s="77">
        <f>IF(ABS(-$BV292*($BS292-CB292)/$BS292*$BX292)&gt;$BB292,$BB292*SIGN(-($BS292-CB292)),-$BV292*($BS292-CB292)/$BS292*$BX292)*DP292</f>
        <v>131192.90921390976</v>
      </c>
      <c r="FE292" s="77">
        <f>IF(ABS(-$BV292*($BS292-CC292)/$BS292*$BX292)&gt;$BB292,$BB292*SIGN(-($BS292-CC292)),-$BV292*($BS292-CC292)/$BS292*$BX292)*DQ292</f>
        <v>131192.90921390976</v>
      </c>
      <c r="GO292" s="77">
        <f t="shared" si="854"/>
        <v>37645426.684333265</v>
      </c>
      <c r="GP292" s="77">
        <f t="shared" si="855"/>
        <v>-22696373.294006389</v>
      </c>
      <c r="GQ292" s="77">
        <f t="shared" si="856"/>
        <v>0</v>
      </c>
      <c r="GR292" s="77">
        <f t="shared" si="857"/>
        <v>22696373.294006389</v>
      </c>
      <c r="GS292" s="77">
        <f t="shared" si="883"/>
        <v>45392746.588012777</v>
      </c>
      <c r="IC292" s="82">
        <v>308</v>
      </c>
    </row>
    <row r="293" spans="1:237" s="77" customFormat="1">
      <c r="A293" s="77">
        <v>293</v>
      </c>
      <c r="B293" s="69">
        <v>442</v>
      </c>
      <c r="C293" s="69" t="s">
        <v>312</v>
      </c>
      <c r="D293" s="70" t="s">
        <v>314</v>
      </c>
      <c r="E293" s="119">
        <v>2</v>
      </c>
      <c r="F293" s="70">
        <f t="shared" ref="F293:F324" si="884">Y293/AY293/AK293</f>
        <v>6.1561424254368689E-2</v>
      </c>
      <c r="G293" s="70">
        <v>8.2500000000000004E-3</v>
      </c>
      <c r="H293" s="70"/>
      <c r="I293" s="87">
        <f>(26+20)/2/AU293</f>
        <v>1.5333333333333332E-2</v>
      </c>
      <c r="J293" s="72">
        <v>2</v>
      </c>
      <c r="K293" s="72">
        <v>6</v>
      </c>
      <c r="L293" s="72">
        <v>0.27603788476716651</v>
      </c>
      <c r="M293" s="72">
        <v>2.6220994475138117E-2</v>
      </c>
      <c r="N293" s="72">
        <v>0.27603788476716651</v>
      </c>
      <c r="O293" s="72">
        <v>0</v>
      </c>
      <c r="P293" s="72">
        <v>0</v>
      </c>
      <c r="Q293" s="73" t="s">
        <v>3</v>
      </c>
      <c r="R293" s="101">
        <v>0</v>
      </c>
      <c r="S293" s="75">
        <f t="shared" si="809"/>
        <v>0.31007652800472196</v>
      </c>
      <c r="T293" s="59">
        <f t="shared" si="789"/>
        <v>1.2982349637475799</v>
      </c>
      <c r="U293" s="59">
        <f t="shared" si="790"/>
        <v>0.9874220516335408</v>
      </c>
      <c r="V293" s="59">
        <f t="shared" si="791"/>
        <v>0.95571807308874324</v>
      </c>
      <c r="W293" s="59">
        <f t="shared" si="792"/>
        <v>0.73616725768184343</v>
      </c>
      <c r="X293" s="59">
        <f t="shared" si="793"/>
        <v>0.96789217083784174</v>
      </c>
      <c r="Y293" s="100">
        <f>(157.58+135.26)/2*1000</f>
        <v>146420.00000000003</v>
      </c>
      <c r="Z293" s="57">
        <f t="shared" si="794"/>
        <v>141718.77165407682</v>
      </c>
      <c r="AA293" s="57">
        <f t="shared" si="795"/>
        <v>107789.60986977554</v>
      </c>
      <c r="AB293" s="112"/>
      <c r="AC293" s="57">
        <f t="shared" si="796"/>
        <v>0.17</v>
      </c>
      <c r="AD293" s="57">
        <f t="shared" si="797"/>
        <v>2</v>
      </c>
      <c r="AE293" s="57">
        <f t="shared" si="798"/>
        <v>0</v>
      </c>
      <c r="AF293" s="57">
        <f t="shared" si="799"/>
        <v>62538.8645468061</v>
      </c>
      <c r="AG293" s="57">
        <f t="shared" si="880"/>
        <v>45250.745322969444</v>
      </c>
      <c r="AH293" s="112"/>
      <c r="AI293" s="112"/>
      <c r="AJ293" s="77">
        <v>0</v>
      </c>
      <c r="AK293" s="77">
        <v>25.37</v>
      </c>
      <c r="AL293" s="78">
        <f t="shared" si="800"/>
        <v>2.7197305327031001</v>
      </c>
      <c r="AM293" s="57">
        <f t="shared" si="801"/>
        <v>1</v>
      </c>
      <c r="AN293" s="57">
        <f t="shared" si="802"/>
        <v>0.8</v>
      </c>
      <c r="AO293" s="77">
        <v>750</v>
      </c>
      <c r="AP293" s="79"/>
      <c r="AQ293" s="77">
        <f t="shared" si="803"/>
        <v>60.164770426910785</v>
      </c>
      <c r="AS293" s="77">
        <f t="shared" si="804"/>
        <v>689.83522957308924</v>
      </c>
      <c r="AT293" s="77">
        <v>125</v>
      </c>
      <c r="AU293" s="77">
        <f>1400+100</f>
        <v>1500</v>
      </c>
      <c r="AV293" s="78">
        <f t="shared" si="805"/>
        <v>93750</v>
      </c>
      <c r="AW293" s="77">
        <v>0</v>
      </c>
      <c r="AX293" s="77">
        <f t="shared" si="806"/>
        <v>93750</v>
      </c>
      <c r="AY293" s="77">
        <f t="shared" si="830"/>
        <v>93750</v>
      </c>
      <c r="AZ293" s="77">
        <f t="shared" si="820"/>
        <v>580</v>
      </c>
      <c r="BA293" s="77">
        <v>580</v>
      </c>
      <c r="BB293" s="77">
        <v>0</v>
      </c>
      <c r="BC293" s="77">
        <v>0</v>
      </c>
      <c r="BD293" s="77">
        <v>1.206E-2</v>
      </c>
      <c r="BE293" s="77">
        <v>1.1299999999999999E-3</v>
      </c>
      <c r="BF293" s="77">
        <v>0</v>
      </c>
      <c r="BG293" s="77">
        <v>0</v>
      </c>
      <c r="BH293" s="79">
        <v>400</v>
      </c>
      <c r="BI293" s="79">
        <f>PI()*6*6/4</f>
        <v>28.274333882308138</v>
      </c>
      <c r="BJ293" s="79">
        <v>2</v>
      </c>
      <c r="BK293" s="57">
        <f t="shared" si="881"/>
        <v>56.548667764616276</v>
      </c>
      <c r="BL293" s="57" t="b">
        <f t="shared" si="841"/>
        <v>0</v>
      </c>
      <c r="BM293" s="80"/>
      <c r="BN293" s="80"/>
      <c r="BO293" s="57"/>
      <c r="BP293" s="57">
        <f t="shared" si="807"/>
        <v>139936.24026165382</v>
      </c>
      <c r="BQ293" s="77">
        <f t="shared" si="808"/>
        <v>2.6775524020195007E-9</v>
      </c>
      <c r="BR293" s="57">
        <f t="shared" si="843"/>
        <v>209904360.39248073</v>
      </c>
      <c r="BS293" s="57">
        <v>120.32954085382157</v>
      </c>
      <c r="BT293" s="57">
        <f t="shared" si="810"/>
        <v>0</v>
      </c>
      <c r="BU293" s="57"/>
      <c r="BV293" s="57">
        <v>3.3E-3</v>
      </c>
      <c r="BW293" s="57">
        <v>30000</v>
      </c>
      <c r="BX293" s="57">
        <v>200000</v>
      </c>
      <c r="BY293" s="77">
        <f>29</f>
        <v>29</v>
      </c>
      <c r="BZ293" s="77">
        <f>BY293+173*1</f>
        <v>202</v>
      </c>
      <c r="CA293" s="77">
        <f>BY293+173*2</f>
        <v>375</v>
      </c>
      <c r="CB293" s="77">
        <f>BY293+173*3</f>
        <v>548</v>
      </c>
      <c r="CC293" s="77">
        <f>BY293+173*4</f>
        <v>721</v>
      </c>
      <c r="DM293" s="77">
        <f t="shared" si="882"/>
        <v>226.1946710584651</v>
      </c>
      <c r="DN293" s="77">
        <f t="shared" si="882"/>
        <v>226.1946710584651</v>
      </c>
      <c r="DO293" s="77">
        <f t="shared" si="882"/>
        <v>226.1946710584651</v>
      </c>
      <c r="DP293" s="77">
        <f t="shared" si="882"/>
        <v>226.1946710584651</v>
      </c>
      <c r="DQ293" s="77">
        <f t="shared" si="882"/>
        <v>226.1946710584651</v>
      </c>
      <c r="FA293" s="77">
        <f>IF(ABS(-$BV293*($BS293-BY293)/$BS293*$BX293)&gt;$BA293,$BA293*SIGN(-($BS293-BY293)),-$BV293*($BS293-BY293)/$BS293*$BX293)*DM293</f>
        <v>-113309.23812345391</v>
      </c>
      <c r="FB293" s="77">
        <f>IF(ABS(-$BV293*($BS293-BZ293)/$BS293*$BX293)&gt;$BA293,$BA293*SIGN(-($BS293-BZ293)),-$BV293*($BS293-BZ293)/$BS293*$BX293)*DN293</f>
        <v>101325.56691440896</v>
      </c>
      <c r="FC293" s="77">
        <f>IF(ABS(-$BV293*($BS293-CA293)/$BS293*$BX293)&gt;$BA293,$BA293*SIGN(-($BS293-CA293)),-$BV293*($BS293-CA293)/$BS293*$BX293)*DO293</f>
        <v>131192.90921390976</v>
      </c>
      <c r="FD293" s="77">
        <f t="shared" ref="FD293:FD306" si="885">IF(ABS(-$BV293*($BS293-CB293)/$BS293*$BX293)&gt;$BA293,$BA293*SIGN(-($BS293-CB293)),-$BV293*($BS293-CB293)/$BS293*$BX293)*DP293</f>
        <v>131192.90921390976</v>
      </c>
      <c r="FE293" s="77">
        <f t="shared" ref="FE293:FE306" si="886">IF(ABS(-$BV293*($BS293-CC293)/$BS293*$BX293)&gt;$BA293,$BA293*SIGN(-($BS293-CC293)),-$BV293*($BS293-CC293)/$BS293*$BX293)*DQ293</f>
        <v>131192.90921390976</v>
      </c>
      <c r="GO293" s="77">
        <f t="shared" si="854"/>
        <v>39204996.390715055</v>
      </c>
      <c r="GP293" s="77">
        <f t="shared" si="855"/>
        <v>-17529323.076192752</v>
      </c>
      <c r="GQ293" s="77">
        <f t="shared" si="856"/>
        <v>0</v>
      </c>
      <c r="GR293" s="77">
        <f t="shared" si="857"/>
        <v>22696373.294006389</v>
      </c>
      <c r="GS293" s="77">
        <f t="shared" si="883"/>
        <v>45392746.588012777</v>
      </c>
      <c r="IC293" s="82">
        <v>309</v>
      </c>
    </row>
    <row r="294" spans="1:237" s="77" customFormat="1">
      <c r="A294" s="77">
        <v>294</v>
      </c>
      <c r="B294" s="69">
        <v>443</v>
      </c>
      <c r="C294" s="69" t="s">
        <v>315</v>
      </c>
      <c r="D294" s="70" t="s">
        <v>316</v>
      </c>
      <c r="E294" s="70">
        <v>1</v>
      </c>
      <c r="F294" s="70">
        <f t="shared" si="884"/>
        <v>9.9041349041349036E-2</v>
      </c>
      <c r="G294" s="70">
        <v>5.9411765E-3</v>
      </c>
      <c r="H294" s="70">
        <v>2.12352941E-2</v>
      </c>
      <c r="I294" s="70">
        <f>(42.8+44.1)/2/AU294</f>
        <v>2.286842105263158E-2</v>
      </c>
      <c r="J294" s="72">
        <v>2.0540540540540539</v>
      </c>
      <c r="K294" s="72">
        <v>5.1388888888888893</v>
      </c>
      <c r="L294" s="72">
        <v>1.8038543897216274E-2</v>
      </c>
      <c r="M294" s="72">
        <v>4.2089935760171303E-2</v>
      </c>
      <c r="N294" s="72">
        <v>0.2904668094218415</v>
      </c>
      <c r="O294" s="72">
        <v>6.2800856531049248E-2</v>
      </c>
      <c r="P294" s="72">
        <f>AJ294/AY294/AK294</f>
        <v>0.26950026950026951</v>
      </c>
      <c r="Q294" s="73" t="s">
        <v>3</v>
      </c>
      <c r="R294" s="101">
        <v>0</v>
      </c>
      <c r="S294" s="75">
        <f t="shared" si="809"/>
        <v>0.5532148689088412</v>
      </c>
      <c r="T294" s="59">
        <f t="shared" si="789"/>
        <v>1.0488007499477383</v>
      </c>
      <c r="U294" s="59">
        <f t="shared" si="790"/>
        <v>0.86564975036192804</v>
      </c>
      <c r="V294" s="59">
        <f t="shared" si="791"/>
        <v>0.81517797203302744</v>
      </c>
      <c r="W294" s="59">
        <f t="shared" si="792"/>
        <v>0.7772477013137602</v>
      </c>
      <c r="X294" s="59">
        <f t="shared" si="793"/>
        <v>0.94169491955863394</v>
      </c>
      <c r="Y294" s="100">
        <f>(549+480)/2*1000</f>
        <v>514500</v>
      </c>
      <c r="Z294" s="57">
        <f t="shared" si="794"/>
        <v>484502.03611291718</v>
      </c>
      <c r="AA294" s="57">
        <f t="shared" si="795"/>
        <v>399893.94232592965</v>
      </c>
      <c r="AB294" s="57">
        <f t="shared" ref="AB294:AB319" si="887">(AH294+AI294)/AU294</f>
        <v>520470.28337276395</v>
      </c>
      <c r="AC294" s="57">
        <f t="shared" si="796"/>
        <v>0.17</v>
      </c>
      <c r="AD294" s="57">
        <f t="shared" si="797"/>
        <v>2.0540540540540539</v>
      </c>
      <c r="AE294" s="57">
        <f t="shared" si="798"/>
        <v>1038960</v>
      </c>
      <c r="AF294" s="57">
        <f t="shared" si="799"/>
        <v>177890.70616313108</v>
      </c>
      <c r="AG294" s="57">
        <f t="shared" si="880"/>
        <v>222003.2361627986</v>
      </c>
      <c r="AH294" s="57">
        <f t="shared" ref="AH294:AH319" si="888">AM294*AK294*AT294*AP294*(AS294-0.5*AP294)</f>
        <v>704011329.39840329</v>
      </c>
      <c r="AI294" s="57">
        <f t="shared" ref="AI294:AI319" si="889">BB294*BO294*(AS294-AQ294)</f>
        <v>284882209.00984824</v>
      </c>
      <c r="AJ294" s="77">
        <v>1400000</v>
      </c>
      <c r="AK294" s="77">
        <v>31.2</v>
      </c>
      <c r="AL294" s="78">
        <f t="shared" si="800"/>
        <v>3.0474363713941521</v>
      </c>
      <c r="AM294" s="57">
        <f t="shared" si="801"/>
        <v>1</v>
      </c>
      <c r="AN294" s="57">
        <f t="shared" si="802"/>
        <v>0.8</v>
      </c>
      <c r="AO294" s="77">
        <f>565+360</f>
        <v>925</v>
      </c>
      <c r="AP294" s="79">
        <v>180</v>
      </c>
      <c r="AQ294" s="57">
        <f t="shared" si="803"/>
        <v>138.56587389363398</v>
      </c>
      <c r="AR294" s="78">
        <f t="shared" ref="AR294:AR319" si="890">AO294-2*AP294</f>
        <v>565</v>
      </c>
      <c r="AS294" s="57">
        <f t="shared" si="804"/>
        <v>786.43412610636597</v>
      </c>
      <c r="AT294" s="77">
        <v>180</v>
      </c>
      <c r="AU294" s="77">
        <f>1700+200</f>
        <v>1900</v>
      </c>
      <c r="AV294" s="78">
        <f t="shared" si="805"/>
        <v>166500</v>
      </c>
      <c r="AW294" s="77">
        <v>0</v>
      </c>
      <c r="AX294" s="77">
        <f t="shared" si="806"/>
        <v>166500</v>
      </c>
      <c r="AY294" s="77">
        <f t="shared" si="830"/>
        <v>166500</v>
      </c>
      <c r="AZ294" s="77">
        <f t="shared" si="820"/>
        <v>312</v>
      </c>
      <c r="BA294" s="77">
        <v>312</v>
      </c>
      <c r="BB294" s="77">
        <v>432</v>
      </c>
      <c r="BC294" s="77">
        <f t="shared" ref="BC294:BC300" si="891">BA294</f>
        <v>312</v>
      </c>
      <c r="BD294" s="77">
        <f>PI()*6*6/4*2/(180*115)</f>
        <v>2.7318196987737332E-3</v>
      </c>
      <c r="BE294" s="77">
        <f>PI()*6*6/4*2/(180*50)</f>
        <v>6.2831853071795866E-3</v>
      </c>
      <c r="BF294" s="77">
        <f>PI()*18*18/4*4/(180*180)</f>
        <v>3.1415926535897927E-2</v>
      </c>
      <c r="BG294" s="77">
        <f>PI()*6*6/4*2/(180*100)</f>
        <v>3.1415926535897933E-3</v>
      </c>
      <c r="BH294" s="79">
        <v>50</v>
      </c>
      <c r="BI294" s="79">
        <f>PI()*6*6/4</f>
        <v>28.274333882308138</v>
      </c>
      <c r="BJ294" s="79">
        <v>2</v>
      </c>
      <c r="BK294" s="57">
        <f t="shared" si="881"/>
        <v>56.548667764616276</v>
      </c>
      <c r="BL294" s="57">
        <f t="shared" si="841"/>
        <v>277.82606336528869</v>
      </c>
      <c r="BM294" s="80">
        <f>PI()*18*18/4</f>
        <v>254.46900494077323</v>
      </c>
      <c r="BN294" s="80">
        <v>4</v>
      </c>
      <c r="BO294" s="57">
        <f t="shared" ref="BO294:BO319" si="892">BM294*BN294</f>
        <v>1017.8760197630929</v>
      </c>
      <c r="BP294" s="57">
        <f t="shared" si="807"/>
        <v>419409.0666109926</v>
      </c>
      <c r="BQ294" s="77">
        <f t="shared" si="808"/>
        <v>3.4924596548080444E-10</v>
      </c>
      <c r="BR294" s="57">
        <f t="shared" si="843"/>
        <v>796877226.56088591</v>
      </c>
      <c r="BS294" s="57">
        <v>277.13174778726795</v>
      </c>
      <c r="BT294" s="57">
        <f t="shared" si="810"/>
        <v>270.12515050381978</v>
      </c>
      <c r="BU294" s="57"/>
      <c r="BV294" s="57">
        <v>3.3E-3</v>
      </c>
      <c r="BW294" s="57">
        <v>30000</v>
      </c>
      <c r="BX294" s="57">
        <v>200000</v>
      </c>
      <c r="BY294" s="77">
        <f>20</f>
        <v>20</v>
      </c>
      <c r="BZ294" s="77">
        <f>BY294+160</f>
        <v>180</v>
      </c>
      <c r="CA294" s="77">
        <f>BZ294+110</f>
        <v>290</v>
      </c>
      <c r="CB294" s="77">
        <f>CA294+115*1</f>
        <v>405</v>
      </c>
      <c r="CC294" s="77">
        <f>CA294+115*2</f>
        <v>520</v>
      </c>
      <c r="CD294" s="77">
        <f>CA294+115*3</f>
        <v>635</v>
      </c>
      <c r="CE294" s="77">
        <f>CD294+110</f>
        <v>745</v>
      </c>
      <c r="CF294" s="77">
        <f>CE294+160</f>
        <v>905</v>
      </c>
      <c r="DM294" s="77">
        <f>PI()*18*18/4*2</f>
        <v>508.93800988154646</v>
      </c>
      <c r="DN294" s="77">
        <f>PI()*18*18/4*2</f>
        <v>508.93800988154646</v>
      </c>
      <c r="DO294" s="77">
        <f t="shared" ref="DO294:DR295" si="893">PI()*6*6/4*2</f>
        <v>56.548667764616276</v>
      </c>
      <c r="DP294" s="77">
        <f t="shared" si="893"/>
        <v>56.548667764616276</v>
      </c>
      <c r="DQ294" s="77">
        <f t="shared" si="893"/>
        <v>56.548667764616276</v>
      </c>
      <c r="DR294" s="77">
        <f t="shared" si="893"/>
        <v>56.548667764616276</v>
      </c>
      <c r="DS294" s="77">
        <f>PI()*18*18/4*2</f>
        <v>508.93800988154646</v>
      </c>
      <c r="DT294" s="77">
        <f>PI()*18*18/4*2</f>
        <v>508.93800988154646</v>
      </c>
      <c r="FA294" s="77">
        <f t="shared" ref="FA294:FB297" si="894">IF(ABS(-$BV294*($BS294-BY294)/$BS294*$BX294)&gt;$BB294,$BB294*SIGN(-($BS294-BY294)),-$BV294*($BS294-BY294)/$BS294*$BX294)*DM294</f>
        <v>-219861.22026882807</v>
      </c>
      <c r="FB294" s="77">
        <f t="shared" si="894"/>
        <v>-117729.07873065458</v>
      </c>
      <c r="FC294" s="77">
        <f>IF(ABS(-$BV294*($BS294-CA294)/$BS294*$BX294)&gt;$BA294,$BA294*SIGN(-($BS294-CA294)),-$BV294*($BS294-CA294)/$BS294*$BX294)*DO294</f>
        <v>1733.0041268582966</v>
      </c>
      <c r="FD294" s="77">
        <f t="shared" si="885"/>
        <v>17220.381223144777</v>
      </c>
      <c r="FE294" s="77">
        <f t="shared" si="886"/>
        <v>17643.184342560278</v>
      </c>
      <c r="FF294" s="77">
        <f t="shared" ref="FF294:FF305" si="895">IF(ABS(-$BV294*($BS294-CD294)/$BS294*$BX294)&gt;$BA294,$BA294*SIGN(-($BS294-CD294)),-$BV294*($BS294-CD294)/$BS294*$BX294)*DR294</f>
        <v>17643.184342560278</v>
      </c>
      <c r="FG294" s="77">
        <f>IF(ABS(-$BV294*($BS294-CE294)/$BS294*$BX294)&gt;$BB294,$BB294*SIGN(-($BS294-CE294)),-$BV294*($BS294-CE294)/$BS294*$BX294)*DS294</f>
        <v>219861.22026882807</v>
      </c>
      <c r="FH294" s="77">
        <f>IF(ABS(-$BV294*($BS294-CF294)/$BS294*$BX294)&gt;$BB294,$BB294*SIGN(-($BS294-CF294)),-$BV294*($BS294-CF294)/$BS294*$BX294)*DT294</f>
        <v>219861.22026882807</v>
      </c>
      <c r="GO294" s="77">
        <f t="shared" si="854"/>
        <v>97288589.968956426</v>
      </c>
      <c r="GP294" s="77">
        <f t="shared" si="855"/>
        <v>33258464.74140992</v>
      </c>
      <c r="GQ294" s="77">
        <f t="shared" si="856"/>
        <v>-298943.21188305615</v>
      </c>
      <c r="GR294" s="77">
        <f t="shared" si="857"/>
        <v>-990171.92033082468</v>
      </c>
      <c r="GS294" s="77">
        <f t="shared" si="883"/>
        <v>1014483.0996972159</v>
      </c>
      <c r="GT294" s="77">
        <f t="shared" ref="GT294:GT306" si="896">FF294*(CD294-0.5*$AO294)</f>
        <v>3043449.2990916478</v>
      </c>
      <c r="GU294" s="77">
        <f t="shared" ref="GU294:GU306" si="897">FG294*(CE294-0.5*$AO294)</f>
        <v>62110794.72594393</v>
      </c>
      <c r="GV294" s="77">
        <f t="shared" ref="GV294:GV306" si="898">FH294*(CF294-0.5*$AO294)</f>
        <v>97288589.968956426</v>
      </c>
      <c r="IC294" s="82">
        <v>310</v>
      </c>
    </row>
    <row r="295" spans="1:237" s="77" customFormat="1">
      <c r="A295" s="77">
        <v>295</v>
      </c>
      <c r="B295" s="69">
        <v>444</v>
      </c>
      <c r="C295" s="69" t="s">
        <v>317</v>
      </c>
      <c r="D295" s="70" t="s">
        <v>69</v>
      </c>
      <c r="E295" s="70">
        <v>1</v>
      </c>
      <c r="F295" s="70">
        <f t="shared" si="884"/>
        <v>7.9847998489425975E-2</v>
      </c>
      <c r="G295" s="70">
        <v>4.1700000000000001E-3</v>
      </c>
      <c r="H295" s="70"/>
      <c r="I295" s="70">
        <v>2.9250000000000002E-2</v>
      </c>
      <c r="J295" s="72">
        <v>0.85</v>
      </c>
      <c r="K295" s="72">
        <v>6.25</v>
      </c>
      <c r="L295" s="72">
        <v>5.0585347432024162E-2</v>
      </c>
      <c r="M295" s="72">
        <v>5.0587235649546834E-2</v>
      </c>
      <c r="N295" s="72">
        <v>0.10025944108761328</v>
      </c>
      <c r="O295" s="72">
        <v>4.8563746223564956E-2</v>
      </c>
      <c r="P295" s="120">
        <v>0.15</v>
      </c>
      <c r="Q295" s="73" t="s">
        <v>3</v>
      </c>
      <c r="R295" s="101">
        <v>0</v>
      </c>
      <c r="S295" s="75">
        <f t="shared" si="809"/>
        <v>0.41088759023129434</v>
      </c>
      <c r="T295" s="59">
        <f t="shared" si="789"/>
        <v>0.98040194283169713</v>
      </c>
      <c r="U295" s="59">
        <f t="shared" si="790"/>
        <v>0.88743435139450488</v>
      </c>
      <c r="V295" s="59">
        <f t="shared" si="791"/>
        <v>1.1076869888862253</v>
      </c>
      <c r="W295" s="59">
        <f t="shared" si="792"/>
        <v>1.1298294510585021</v>
      </c>
      <c r="X295" s="59">
        <f t="shared" si="793"/>
        <v>1.248190344610413</v>
      </c>
      <c r="Y295" s="100">
        <v>338300</v>
      </c>
      <c r="Z295" s="57">
        <f t="shared" si="794"/>
        <v>422262.79358170269</v>
      </c>
      <c r="AA295" s="57">
        <f t="shared" si="795"/>
        <v>382221.30329309124</v>
      </c>
      <c r="AB295" s="57">
        <f t="shared" si="887"/>
        <v>615945.78908160608</v>
      </c>
      <c r="AC295" s="57">
        <f t="shared" si="796"/>
        <v>0.25</v>
      </c>
      <c r="AD295" s="57">
        <f t="shared" si="797"/>
        <v>1.5</v>
      </c>
      <c r="AE295" s="57">
        <f t="shared" si="798"/>
        <v>635520</v>
      </c>
      <c r="AF295" s="57">
        <f t="shared" si="799"/>
        <v>225185.23174624823</v>
      </c>
      <c r="AG295" s="57">
        <f t="shared" si="880"/>
        <v>157036.07154684298</v>
      </c>
      <c r="AH295" s="57">
        <f t="shared" si="888"/>
        <v>560597641.90492213</v>
      </c>
      <c r="AI295" s="57">
        <f t="shared" si="889"/>
        <v>55348147.176683851</v>
      </c>
      <c r="AJ295" s="77">
        <f>P295*AY295*AK295</f>
        <v>635520</v>
      </c>
      <c r="AK295" s="77">
        <v>26.48</v>
      </c>
      <c r="AL295" s="78">
        <f t="shared" si="800"/>
        <v>2.784546721782589</v>
      </c>
      <c r="AM295" s="57">
        <f t="shared" si="801"/>
        <v>1</v>
      </c>
      <c r="AN295" s="57">
        <f t="shared" si="802"/>
        <v>0.8</v>
      </c>
      <c r="AO295" s="77">
        <v>1000</v>
      </c>
      <c r="AP295" s="79">
        <v>160</v>
      </c>
      <c r="AQ295" s="57">
        <f t="shared" si="803"/>
        <v>93.023210464085309</v>
      </c>
      <c r="AR295" s="78">
        <f t="shared" si="890"/>
        <v>680</v>
      </c>
      <c r="AS295" s="57">
        <f t="shared" si="804"/>
        <v>906.97678953591469</v>
      </c>
      <c r="AT295" s="77">
        <v>160</v>
      </c>
      <c r="AU295" s="77">
        <f>850+150</f>
        <v>1000</v>
      </c>
      <c r="AV295" s="78">
        <f t="shared" si="805"/>
        <v>160000</v>
      </c>
      <c r="AW295" s="77">
        <v>0</v>
      </c>
      <c r="AX295" s="77">
        <f t="shared" si="806"/>
        <v>160000</v>
      </c>
      <c r="AY295" s="77">
        <f t="shared" si="830"/>
        <v>160000</v>
      </c>
      <c r="AZ295" s="77">
        <f t="shared" si="820"/>
        <v>535.82000000000005</v>
      </c>
      <c r="BA295" s="77">
        <v>535.82000000000005</v>
      </c>
      <c r="BB295" s="77">
        <v>338.2</v>
      </c>
      <c r="BC295" s="77">
        <f t="shared" si="891"/>
        <v>535.82000000000005</v>
      </c>
      <c r="BD295" s="77">
        <f>PI()*6*6/4*2/(160*140)</f>
        <v>2.5244940966346551E-3</v>
      </c>
      <c r="BE295" s="77">
        <f>BD295</f>
        <v>2.5244940966346551E-3</v>
      </c>
      <c r="BF295" s="77">
        <f>PI()*8*8/4*4/(160*160)</f>
        <v>7.8539816339744835E-3</v>
      </c>
      <c r="BG295" s="77">
        <f>PI()*4*4/4*2/(160*70)</f>
        <v>2.2439947525641378E-3</v>
      </c>
      <c r="BH295" s="79">
        <v>140</v>
      </c>
      <c r="BI295" s="79">
        <f>PI()*6*6/4</f>
        <v>28.274333882308138</v>
      </c>
      <c r="BJ295" s="79">
        <v>2</v>
      </c>
      <c r="BK295" s="57">
        <f t="shared" si="881"/>
        <v>56.548667764616276</v>
      </c>
      <c r="BL295" s="57">
        <f t="shared" si="841"/>
        <v>274.66495771385047</v>
      </c>
      <c r="BM295" s="80">
        <f>PI()*8*8/4</f>
        <v>50.26548245743669</v>
      </c>
      <c r="BN295" s="80">
        <v>4</v>
      </c>
      <c r="BO295" s="57">
        <f t="shared" si="892"/>
        <v>201.06192982974676</v>
      </c>
      <c r="BP295" s="57">
        <f t="shared" si="807"/>
        <v>374730.50834021001</v>
      </c>
      <c r="BQ295" s="77">
        <f t="shared" si="808"/>
        <v>0</v>
      </c>
      <c r="BR295" s="57">
        <f t="shared" si="843"/>
        <v>374730508.34021002</v>
      </c>
      <c r="BS295" s="57">
        <v>186.04642092817062</v>
      </c>
      <c r="BT295" s="57">
        <f t="shared" si="810"/>
        <v>216.16384210334266</v>
      </c>
      <c r="BU295" s="57"/>
      <c r="BV295" s="57">
        <v>3.3E-3</v>
      </c>
      <c r="BW295" s="57">
        <v>30000</v>
      </c>
      <c r="BX295" s="57">
        <v>200000</v>
      </c>
      <c r="BY295" s="77">
        <f>20</f>
        <v>20</v>
      </c>
      <c r="BZ295" s="77">
        <f>BY295+140</f>
        <v>160</v>
      </c>
      <c r="CA295" s="77">
        <f>BZ295+60</f>
        <v>220</v>
      </c>
      <c r="CB295" s="77">
        <f>CA295+140*1</f>
        <v>360</v>
      </c>
      <c r="CC295" s="77">
        <f>CA295+140*2</f>
        <v>500</v>
      </c>
      <c r="CD295" s="77">
        <f>CA295+140*3</f>
        <v>640</v>
      </c>
      <c r="CE295" s="77">
        <f>CA295+140*4</f>
        <v>780</v>
      </c>
      <c r="CF295" s="77">
        <f>CE295+60</f>
        <v>840</v>
      </c>
      <c r="CG295" s="77">
        <f>CF295+140</f>
        <v>980</v>
      </c>
      <c r="DM295" s="77">
        <f>PI()*8*8/4*2</f>
        <v>100.53096491487338</v>
      </c>
      <c r="DN295" s="77">
        <f>PI()*8*8/4*2</f>
        <v>100.53096491487338</v>
      </c>
      <c r="DO295" s="77">
        <f t="shared" si="893"/>
        <v>56.548667764616276</v>
      </c>
      <c r="DP295" s="77">
        <f t="shared" si="893"/>
        <v>56.548667764616276</v>
      </c>
      <c r="DQ295" s="77">
        <f t="shared" si="893"/>
        <v>56.548667764616276</v>
      </c>
      <c r="DR295" s="77">
        <f t="shared" si="893"/>
        <v>56.548667764616276</v>
      </c>
      <c r="DS295" s="77">
        <f>PI()*6*6/4*2</f>
        <v>56.548667764616276</v>
      </c>
      <c r="DT295" s="77">
        <f>PI()*8*8/4*2</f>
        <v>100.53096491487338</v>
      </c>
      <c r="DU295" s="77">
        <f>PI()*8*8/4*2</f>
        <v>100.53096491487338</v>
      </c>
      <c r="FA295" s="77">
        <f t="shared" si="894"/>
        <v>-33999.572334210177</v>
      </c>
      <c r="FB295" s="77">
        <f t="shared" si="894"/>
        <v>-9289.0333400676845</v>
      </c>
      <c r="FC295" s="77">
        <f>IF(ABS(-$BV295*($BS295-CA295)/$BS295*$BX295)&gt;$BA295,$BA295*SIGN(-($BS295-CA295)),-$BV295*($BS295-CA295)/$BS295*$BX295)*DO295</f>
        <v>6811.3085477839286</v>
      </c>
      <c r="FD295" s="77">
        <f t="shared" si="885"/>
        <v>30299.907161636696</v>
      </c>
      <c r="FE295" s="77">
        <f t="shared" si="886"/>
        <v>30299.907161636696</v>
      </c>
      <c r="FF295" s="77">
        <f t="shared" si="895"/>
        <v>30299.907161636696</v>
      </c>
      <c r="FG295" s="77">
        <f t="shared" ref="FG295:FG300" si="899">IF(ABS(-$BV295*($BS295-CE295)/$BS295*$BX295)&gt;$BA295,$BA295*SIGN(-($BS295-CE295)),-$BV295*($BS295-CE295)/$BS295*$BX295)*DS295</f>
        <v>30299.907161636696</v>
      </c>
      <c r="FH295" s="77">
        <f t="shared" ref="FH295:FI297" si="900">IF(ABS(-$BV295*($BS295-CF295)/$BS295*$BX295)&gt;$BB295,$BB295*SIGN(-($BS295-CF295)),-$BV295*($BS295-CF295)/$BS295*$BX295)*DT295</f>
        <v>33999.572334210177</v>
      </c>
      <c r="FI295" s="77">
        <f t="shared" si="900"/>
        <v>33999.572334210177</v>
      </c>
      <c r="GO295" s="77">
        <f t="shared" si="854"/>
        <v>16319794.720420886</v>
      </c>
      <c r="GP295" s="77">
        <f t="shared" si="855"/>
        <v>3158271.3356230129</v>
      </c>
      <c r="GQ295" s="77">
        <f t="shared" si="856"/>
        <v>-1907166.3933794999</v>
      </c>
      <c r="GR295" s="77">
        <f t="shared" si="857"/>
        <v>-4241987.0026291376</v>
      </c>
      <c r="GS295" s="77">
        <f t="shared" si="883"/>
        <v>0</v>
      </c>
      <c r="GT295" s="77">
        <f t="shared" si="896"/>
        <v>4241987.0026291376</v>
      </c>
      <c r="GU295" s="77">
        <f t="shared" si="897"/>
        <v>8483974.0052582752</v>
      </c>
      <c r="GV295" s="77">
        <f t="shared" si="898"/>
        <v>11559854.593631459</v>
      </c>
      <c r="GW295" s="77">
        <f t="shared" ref="GW295:GW300" si="901">FI295*(CG295-0.5*$AO295)</f>
        <v>16319794.720420886</v>
      </c>
      <c r="IC295" s="82">
        <v>311</v>
      </c>
    </row>
    <row r="296" spans="1:237" s="77" customFormat="1">
      <c r="A296" s="77">
        <v>296</v>
      </c>
      <c r="B296" s="69">
        <v>445</v>
      </c>
      <c r="C296" s="69" t="s">
        <v>318</v>
      </c>
      <c r="D296" s="70" t="s">
        <v>319</v>
      </c>
      <c r="E296" s="70">
        <v>1</v>
      </c>
      <c r="F296" s="70">
        <f t="shared" si="884"/>
        <v>7.3306451612903223E-2</v>
      </c>
      <c r="G296" s="70">
        <v>1.6125E-2</v>
      </c>
      <c r="H296" s="70">
        <v>1.83E-2</v>
      </c>
      <c r="I296" s="70">
        <f>40.5/AU296</f>
        <v>2.3142857142857142E-2</v>
      </c>
      <c r="J296" s="72">
        <v>1.75</v>
      </c>
      <c r="K296" s="72">
        <v>8.3333333333333339</v>
      </c>
      <c r="L296" s="72">
        <v>4.4847328244274808E-2</v>
      </c>
      <c r="M296" s="72">
        <v>4.3352417302798978E-2</v>
      </c>
      <c r="N296" s="72">
        <v>0.18540076335877861</v>
      </c>
      <c r="O296" s="72">
        <v>8.6704834605597955E-2</v>
      </c>
      <c r="P296" s="72">
        <v>8.6142917726887189E-2</v>
      </c>
      <c r="Q296" s="73" t="s">
        <v>3</v>
      </c>
      <c r="R296" s="101">
        <v>0</v>
      </c>
      <c r="S296" s="75">
        <f t="shared" si="809"/>
        <v>0.40815304885584597</v>
      </c>
      <c r="T296" s="59">
        <f t="shared" si="789"/>
        <v>0.7176819150549566</v>
      </c>
      <c r="U296" s="59">
        <f t="shared" si="790"/>
        <v>0.60251786842206312</v>
      </c>
      <c r="V296" s="59">
        <f t="shared" si="791"/>
        <v>0.65798878234867164</v>
      </c>
      <c r="W296" s="59">
        <f t="shared" si="792"/>
        <v>0.91682508440844035</v>
      </c>
      <c r="X296" s="59">
        <f t="shared" si="793"/>
        <v>1.092065176543032</v>
      </c>
      <c r="Y296" s="100">
        <v>272700</v>
      </c>
      <c r="Z296" s="57">
        <f t="shared" si="794"/>
        <v>297806.17364328483</v>
      </c>
      <c r="AA296" s="57">
        <f t="shared" si="795"/>
        <v>250018.20051818169</v>
      </c>
      <c r="AB296" s="57">
        <f t="shared" si="887"/>
        <v>465204.11615991232</v>
      </c>
      <c r="AC296" s="57">
        <f t="shared" si="796"/>
        <v>0.21000000000000002</v>
      </c>
      <c r="AD296" s="57">
        <f t="shared" si="797"/>
        <v>1.75</v>
      </c>
      <c r="AE296" s="57">
        <f t="shared" si="798"/>
        <v>320451.65394402033</v>
      </c>
      <c r="AF296" s="57">
        <f t="shared" si="799"/>
        <v>133484.66714235532</v>
      </c>
      <c r="AG296" s="57">
        <f t="shared" si="880"/>
        <v>116533.53337582637</v>
      </c>
      <c r="AH296" s="57">
        <f t="shared" si="888"/>
        <v>679960429.66120064</v>
      </c>
      <c r="AI296" s="57">
        <f t="shared" si="889"/>
        <v>134146773.61864589</v>
      </c>
      <c r="AJ296" s="77">
        <v>325000</v>
      </c>
      <c r="AK296" s="77">
        <v>31</v>
      </c>
      <c r="AL296" s="78">
        <f t="shared" si="800"/>
        <v>3.0366766601041832</v>
      </c>
      <c r="AM296" s="57">
        <f t="shared" si="801"/>
        <v>1</v>
      </c>
      <c r="AN296" s="57">
        <f t="shared" si="802"/>
        <v>0.8</v>
      </c>
      <c r="AO296" s="77">
        <v>1000</v>
      </c>
      <c r="AP296" s="79">
        <v>225</v>
      </c>
      <c r="AQ296" s="57">
        <f t="shared" si="803"/>
        <v>75.121947836080508</v>
      </c>
      <c r="AR296" s="78">
        <f t="shared" si="890"/>
        <v>550</v>
      </c>
      <c r="AS296" s="57">
        <f t="shared" si="804"/>
        <v>924.87805216391951</v>
      </c>
      <c r="AT296" s="77">
        <v>120</v>
      </c>
      <c r="AU296" s="77">
        <f>1600+150</f>
        <v>1750</v>
      </c>
      <c r="AV296" s="78">
        <f t="shared" si="805"/>
        <v>120000</v>
      </c>
      <c r="AW296" s="77">
        <v>0</v>
      </c>
      <c r="AX296" s="77">
        <f t="shared" si="806"/>
        <v>120000</v>
      </c>
      <c r="AY296" s="77">
        <f t="shared" si="830"/>
        <v>120000</v>
      </c>
      <c r="AZ296" s="77">
        <f t="shared" si="820"/>
        <v>235</v>
      </c>
      <c r="BA296" s="77">
        <v>235</v>
      </c>
      <c r="BB296" s="77">
        <v>335</v>
      </c>
      <c r="BC296" s="77">
        <f t="shared" si="891"/>
        <v>235</v>
      </c>
      <c r="BD296" s="77">
        <f>PI()*8*8/4*2/(120*110)</f>
        <v>7.6159821905207106E-3</v>
      </c>
      <c r="BE296" s="77">
        <f>PI()*8*8/4*2/(120*150)</f>
        <v>5.585053606381854E-3</v>
      </c>
      <c r="BF296" s="77">
        <f>PI()*10*10/4*6/(225*120)</f>
        <v>1.7453292519943295E-2</v>
      </c>
      <c r="BG296" s="77">
        <f>PI()*8*8/4*2/(120*150)</f>
        <v>5.585053606381854E-3</v>
      </c>
      <c r="BH296" s="79">
        <v>150</v>
      </c>
      <c r="BI296" s="79">
        <f>PI()*8*8/4</f>
        <v>50.26548245743669</v>
      </c>
      <c r="BJ296" s="79">
        <v>2</v>
      </c>
      <c r="BK296" s="57">
        <f t="shared" si="881"/>
        <v>100.53096491487338</v>
      </c>
      <c r="BL296" s="57">
        <f t="shared" si="841"/>
        <v>502.65482457436684</v>
      </c>
      <c r="BM296" s="80">
        <f>PI()*10*10/4</f>
        <v>78.539816339744831</v>
      </c>
      <c r="BN296" s="80">
        <v>6</v>
      </c>
      <c r="BO296" s="57">
        <f t="shared" si="892"/>
        <v>471.23889803846896</v>
      </c>
      <c r="BP296" s="57">
        <f t="shared" si="807"/>
        <v>179433.54094648277</v>
      </c>
      <c r="BQ296" s="77">
        <f t="shared" si="808"/>
        <v>9.8953023552894592E-10</v>
      </c>
      <c r="BR296" s="57">
        <f t="shared" si="843"/>
        <v>314008696.65634483</v>
      </c>
      <c r="BS296" s="57">
        <v>150.24389567216102</v>
      </c>
      <c r="BT296" s="57">
        <f t="shared" si="810"/>
        <v>140.75690999804357</v>
      </c>
      <c r="BU296" s="57"/>
      <c r="BV296" s="57">
        <v>3.3E-3</v>
      </c>
      <c r="BW296" s="57">
        <v>30000</v>
      </c>
      <c r="BX296" s="57">
        <v>200000</v>
      </c>
      <c r="BY296" s="77">
        <f>25</f>
        <v>25</v>
      </c>
      <c r="BZ296" s="77">
        <f>BY296+100</f>
        <v>125</v>
      </c>
      <c r="CA296" s="77">
        <f>BY296+100*2</f>
        <v>225</v>
      </c>
      <c r="CB296" s="77">
        <f>CA296+110</f>
        <v>335</v>
      </c>
      <c r="CC296" s="77">
        <f>CB296+110*1</f>
        <v>445</v>
      </c>
      <c r="CD296" s="77">
        <f>CB296+110*2</f>
        <v>555</v>
      </c>
      <c r="CE296" s="77">
        <f>CB296+110*3</f>
        <v>665</v>
      </c>
      <c r="CF296" s="77">
        <f>CE296+110</f>
        <v>775</v>
      </c>
      <c r="CG296" s="77">
        <f>CF296+100</f>
        <v>875</v>
      </c>
      <c r="CH296" s="77">
        <f>CF296+100*2</f>
        <v>975</v>
      </c>
      <c r="DM296" s="77">
        <f>PI()*10*10/4*2</f>
        <v>157.07963267948966</v>
      </c>
      <c r="DN296" s="77">
        <f>PI()*10*10/4*2</f>
        <v>157.07963267948966</v>
      </c>
      <c r="DO296" s="77">
        <f>PI()*10*10/4*2</f>
        <v>157.07963267948966</v>
      </c>
      <c r="DP296" s="77">
        <f t="shared" ref="DP296:DS297" si="902">PI()*8*8/4*2</f>
        <v>100.53096491487338</v>
      </c>
      <c r="DQ296" s="77">
        <f t="shared" si="902"/>
        <v>100.53096491487338</v>
      </c>
      <c r="DR296" s="77">
        <f t="shared" si="902"/>
        <v>100.53096491487338</v>
      </c>
      <c r="DS296" s="77">
        <f t="shared" si="902"/>
        <v>100.53096491487338</v>
      </c>
      <c r="DT296" s="77">
        <f>PI()*10*10/4*2</f>
        <v>157.07963267948966</v>
      </c>
      <c r="DU296" s="77">
        <f>PI()*10*10/4*2</f>
        <v>157.07963267948966</v>
      </c>
      <c r="DV296" s="77">
        <f>PI()*10*10/4*2</f>
        <v>157.07963267948966</v>
      </c>
      <c r="FA296" s="77">
        <f t="shared" si="894"/>
        <v>-52621.676947629036</v>
      </c>
      <c r="FB296" s="77">
        <f t="shared" si="894"/>
        <v>-17419.005381989165</v>
      </c>
      <c r="FC296" s="77">
        <f>IF(ABS(-$BV296*($BS296-CA296)/$BS296*$BX296)&gt;$BB296,$BB296*SIGN(-($BS296-CA296)),-$BV296*($BS296-CA296)/$BS296*$BX296)*DO296</f>
        <v>51583.836367190052</v>
      </c>
      <c r="FD296" s="77">
        <f t="shared" si="885"/>
        <v>23624.776754995244</v>
      </c>
      <c r="FE296" s="77">
        <f t="shared" si="886"/>
        <v>23624.776754995244</v>
      </c>
      <c r="FF296" s="77">
        <f t="shared" si="895"/>
        <v>23624.776754995244</v>
      </c>
      <c r="FG296" s="77">
        <f t="shared" si="899"/>
        <v>23624.776754995244</v>
      </c>
      <c r="FH296" s="77">
        <f t="shared" si="900"/>
        <v>52621.676947629036</v>
      </c>
      <c r="FI296" s="77">
        <f t="shared" si="900"/>
        <v>52621.676947629036</v>
      </c>
      <c r="FJ296" s="77">
        <f>IF(ABS(-$BV296*($BS296-CH296)/$BS296*$BX296)&gt;$BB296,$BB296*SIGN(-($BS296-CH296)),-$BV296*($BS296-CH296)/$BS296*$BX296)*DV296</f>
        <v>52621.676947629036</v>
      </c>
      <c r="GO296" s="77">
        <f t="shared" si="854"/>
        <v>24995296.550123792</v>
      </c>
      <c r="GP296" s="77">
        <f t="shared" si="855"/>
        <v>6532127.0182459373</v>
      </c>
      <c r="GQ296" s="77">
        <f t="shared" si="856"/>
        <v>-14185555.000977265</v>
      </c>
      <c r="GR296" s="77">
        <f t="shared" si="857"/>
        <v>-3898088.1645742152</v>
      </c>
      <c r="GS296" s="77">
        <f t="shared" si="883"/>
        <v>-1299362.7215247385</v>
      </c>
      <c r="GT296" s="77">
        <f t="shared" si="896"/>
        <v>1299362.7215247385</v>
      </c>
      <c r="GU296" s="77">
        <f t="shared" si="897"/>
        <v>3898088.1645742152</v>
      </c>
      <c r="GV296" s="77">
        <f t="shared" si="898"/>
        <v>14470961.160597986</v>
      </c>
      <c r="GW296" s="77">
        <f t="shared" si="901"/>
        <v>19733128.855360888</v>
      </c>
      <c r="GX296" s="77">
        <f>FJ296*(CH296-0.5*$AO296)</f>
        <v>24995296.550123792</v>
      </c>
      <c r="IC296" s="82">
        <v>312</v>
      </c>
    </row>
    <row r="297" spans="1:237" s="77" customFormat="1">
      <c r="A297" s="77">
        <v>297</v>
      </c>
      <c r="B297" s="69">
        <v>446</v>
      </c>
      <c r="C297" s="69" t="s">
        <v>320</v>
      </c>
      <c r="D297" s="70" t="s">
        <v>321</v>
      </c>
      <c r="E297" s="70">
        <v>1</v>
      </c>
      <c r="F297" s="70">
        <f t="shared" si="884"/>
        <v>4.0476190476190471E-2</v>
      </c>
      <c r="G297" s="70">
        <v>4.3E-3</v>
      </c>
      <c r="H297" s="70">
        <v>2.3E-2</v>
      </c>
      <c r="I297" s="70">
        <v>2.5999999999999999E-2</v>
      </c>
      <c r="J297" s="72">
        <v>2.3333333333333335</v>
      </c>
      <c r="K297" s="72">
        <v>7.5</v>
      </c>
      <c r="L297" s="72">
        <v>2.3469387755102038E-2</v>
      </c>
      <c r="M297" s="72">
        <v>6.4285714285714279E-2</v>
      </c>
      <c r="N297" s="72">
        <v>5.10204081632653E-2</v>
      </c>
      <c r="O297" s="72">
        <v>6.4285714285714279E-2</v>
      </c>
      <c r="P297" s="72">
        <v>7.0000000000000007E-2</v>
      </c>
      <c r="Q297" s="73" t="s">
        <v>3</v>
      </c>
      <c r="R297" s="101">
        <v>0</v>
      </c>
      <c r="S297" s="75">
        <f t="shared" si="809"/>
        <v>0.25342103744997618</v>
      </c>
      <c r="T297" s="59">
        <f t="shared" si="789"/>
        <v>0.26970167951114132</v>
      </c>
      <c r="U297" s="59">
        <f t="shared" si="790"/>
        <v>0.21477731642820008</v>
      </c>
      <c r="V297" s="59">
        <f t="shared" si="791"/>
        <v>0.48519391819467261</v>
      </c>
      <c r="W297" s="59">
        <f t="shared" si="792"/>
        <v>1.7990022126452101</v>
      </c>
      <c r="X297" s="59">
        <f t="shared" si="793"/>
        <v>2.2590556873675838</v>
      </c>
      <c r="Y297" s="100">
        <v>476000</v>
      </c>
      <c r="Z297" s="57">
        <f t="shared" si="794"/>
        <v>1075310.50718697</v>
      </c>
      <c r="AA297" s="57">
        <f t="shared" si="795"/>
        <v>856325.05321912002</v>
      </c>
      <c r="AB297" s="57">
        <f t="shared" si="887"/>
        <v>625521.81628961023</v>
      </c>
      <c r="AC297" s="57">
        <f t="shared" si="796"/>
        <v>0.17</v>
      </c>
      <c r="AD297" s="57">
        <f t="shared" si="797"/>
        <v>2.2000000000000002</v>
      </c>
      <c r="AE297" s="57">
        <f t="shared" si="798"/>
        <v>823200.00000000023</v>
      </c>
      <c r="AF297" s="57">
        <f t="shared" si="799"/>
        <v>281032.68043200456</v>
      </c>
      <c r="AG297" s="57">
        <f t="shared" si="880"/>
        <v>575292.3727871154</v>
      </c>
      <c r="AH297" s="57">
        <f t="shared" si="888"/>
        <v>2079846565.7966373</v>
      </c>
      <c r="AI297" s="57">
        <f t="shared" si="889"/>
        <v>109479791.2169981</v>
      </c>
      <c r="AJ297" s="68">
        <f>P297*AY297*AK297</f>
        <v>823200.00000000023</v>
      </c>
      <c r="AK297" s="68">
        <v>39.200000000000003</v>
      </c>
      <c r="AL297" s="61">
        <f t="shared" si="800"/>
        <v>3.4550708440272331</v>
      </c>
      <c r="AM297" s="56">
        <f t="shared" si="801"/>
        <v>0.99684210526315786</v>
      </c>
      <c r="AN297" s="56">
        <f t="shared" si="802"/>
        <v>0.79684210526315791</v>
      </c>
      <c r="AO297" s="68">
        <v>1500</v>
      </c>
      <c r="AP297" s="121">
        <v>200</v>
      </c>
      <c r="AQ297" s="56">
        <f t="shared" si="803"/>
        <v>69.365236685393953</v>
      </c>
      <c r="AR297" s="56">
        <f t="shared" si="890"/>
        <v>1100</v>
      </c>
      <c r="AS297" s="56">
        <f t="shared" si="804"/>
        <v>1430.6347633146061</v>
      </c>
      <c r="AT297" s="68">
        <v>200</v>
      </c>
      <c r="AU297" s="68">
        <v>3500</v>
      </c>
      <c r="AV297" s="61">
        <f t="shared" si="805"/>
        <v>300000</v>
      </c>
      <c r="AW297" s="68">
        <v>0</v>
      </c>
      <c r="AX297" s="77">
        <f t="shared" si="806"/>
        <v>300000</v>
      </c>
      <c r="AY297" s="68">
        <f t="shared" si="830"/>
        <v>300000</v>
      </c>
      <c r="AZ297" s="77">
        <f t="shared" si="820"/>
        <v>400</v>
      </c>
      <c r="BA297" s="68">
        <v>400</v>
      </c>
      <c r="BB297" s="68">
        <v>400</v>
      </c>
      <c r="BC297" s="68">
        <f t="shared" si="891"/>
        <v>400</v>
      </c>
      <c r="BD297" s="68">
        <v>2.3E-3</v>
      </c>
      <c r="BE297" s="68">
        <v>6.3E-3</v>
      </c>
      <c r="BF297" s="68">
        <v>5.0000000000000001E-3</v>
      </c>
      <c r="BG297" s="68">
        <v>6.3E-3</v>
      </c>
      <c r="BH297" s="121">
        <v>80</v>
      </c>
      <c r="BI297" s="121">
        <f>PI()*8*8/4</f>
        <v>50.26548245743669</v>
      </c>
      <c r="BJ297" s="121">
        <v>2</v>
      </c>
      <c r="BK297" s="56">
        <f t="shared" si="881"/>
        <v>100.53096491487338</v>
      </c>
      <c r="BL297" s="57">
        <f t="shared" si="841"/>
        <v>505.99999999999994</v>
      </c>
      <c r="BM297" s="62">
        <f>PI()*8*8/4</f>
        <v>50.26548245743669</v>
      </c>
      <c r="BN297" s="62">
        <v>4</v>
      </c>
      <c r="BO297" s="56">
        <f t="shared" si="892"/>
        <v>201.06192982974676</v>
      </c>
      <c r="BP297" s="57">
        <f t="shared" si="807"/>
        <v>230952.30506066416</v>
      </c>
      <c r="BQ297" s="77">
        <f t="shared" si="808"/>
        <v>2.9103830456733704E-10</v>
      </c>
      <c r="BR297" s="57">
        <f t="shared" si="843"/>
        <v>808333067.71232462</v>
      </c>
      <c r="BS297" s="56">
        <v>138.73047337078791</v>
      </c>
      <c r="BT297" s="57">
        <f t="shared" si="810"/>
        <v>167.59950733540174</v>
      </c>
      <c r="BU297" s="56"/>
      <c r="BV297" s="56">
        <v>3.3E-3</v>
      </c>
      <c r="BW297" s="56">
        <v>30000</v>
      </c>
      <c r="BX297" s="56">
        <v>200000</v>
      </c>
      <c r="BY297" s="68">
        <v>20</v>
      </c>
      <c r="BZ297" s="68">
        <f>BY297+160</f>
        <v>180</v>
      </c>
      <c r="CA297" s="68">
        <f>BZ297+20+70</f>
        <v>270</v>
      </c>
      <c r="CB297" s="68">
        <f>CA297+240*1</f>
        <v>510</v>
      </c>
      <c r="CC297" s="68">
        <f>CA297+240*2</f>
        <v>750</v>
      </c>
      <c r="CD297" s="68">
        <f>CA297+240*3</f>
        <v>990</v>
      </c>
      <c r="CE297" s="68">
        <f>CA297+240*4</f>
        <v>1230</v>
      </c>
      <c r="CF297" s="68">
        <f>CE297+70+20</f>
        <v>1320</v>
      </c>
      <c r="CG297" s="68">
        <f>CF297+160</f>
        <v>1480</v>
      </c>
      <c r="CH297" s="68"/>
      <c r="CI297" s="68"/>
      <c r="CJ297" s="68"/>
      <c r="CK297" s="68"/>
      <c r="CL297" s="68"/>
      <c r="CM297" s="68"/>
      <c r="CN297" s="68"/>
      <c r="CO297" s="68"/>
      <c r="CP297" s="68"/>
      <c r="CQ297" s="68"/>
      <c r="CR297" s="68"/>
      <c r="CS297" s="68"/>
      <c r="CT297" s="68"/>
      <c r="CU297" s="68"/>
      <c r="CV297" s="68"/>
      <c r="CW297" s="68"/>
      <c r="CX297" s="68"/>
      <c r="CY297" s="68"/>
      <c r="CZ297" s="68"/>
      <c r="DA297" s="68"/>
      <c r="DB297" s="68"/>
      <c r="DC297" s="68"/>
      <c r="DD297" s="68"/>
      <c r="DE297" s="68"/>
      <c r="DF297" s="68"/>
      <c r="DG297" s="68"/>
      <c r="DH297" s="68"/>
      <c r="DI297" s="68"/>
      <c r="DJ297" s="68"/>
      <c r="DK297" s="68"/>
      <c r="DL297" s="68"/>
      <c r="DM297" s="68">
        <f>PI()*8*8/4*2</f>
        <v>100.53096491487338</v>
      </c>
      <c r="DN297" s="68">
        <f>PI()*8*8/4*2</f>
        <v>100.53096491487338</v>
      </c>
      <c r="DO297" s="68">
        <f>PI()*8*8/4*2</f>
        <v>100.53096491487338</v>
      </c>
      <c r="DP297" s="68">
        <f t="shared" si="902"/>
        <v>100.53096491487338</v>
      </c>
      <c r="DQ297" s="68">
        <f t="shared" si="902"/>
        <v>100.53096491487338</v>
      </c>
      <c r="DR297" s="68">
        <f t="shared" si="902"/>
        <v>100.53096491487338</v>
      </c>
      <c r="DS297" s="68">
        <f t="shared" si="902"/>
        <v>100.53096491487338</v>
      </c>
      <c r="DT297" s="68">
        <f>PI()*8*8/4*2</f>
        <v>100.53096491487338</v>
      </c>
      <c r="DU297" s="68">
        <f>PI()*8*8/4*2</f>
        <v>100.53096491487338</v>
      </c>
      <c r="DV297" s="68"/>
      <c r="DW297" s="68"/>
      <c r="DX297" s="68"/>
      <c r="DY297" s="68"/>
      <c r="DZ297" s="68"/>
      <c r="EA297" s="68"/>
      <c r="EB297" s="68"/>
      <c r="EC297" s="68"/>
      <c r="ED297" s="68"/>
      <c r="EE297" s="68"/>
      <c r="EF297" s="68"/>
      <c r="EG297" s="68"/>
      <c r="EH297" s="68"/>
      <c r="EI297" s="68"/>
      <c r="EJ297" s="68"/>
      <c r="EK297" s="68"/>
      <c r="EL297" s="68"/>
      <c r="EM297" s="68"/>
      <c r="EN297" s="68"/>
      <c r="EO297" s="68"/>
      <c r="EP297" s="68"/>
      <c r="EQ297" s="68"/>
      <c r="ER297" s="68"/>
      <c r="ES297" s="68"/>
      <c r="ET297" s="68"/>
      <c r="EU297" s="68"/>
      <c r="EV297" s="68"/>
      <c r="EW297" s="68"/>
      <c r="EX297" s="68"/>
      <c r="EY297" s="68"/>
      <c r="EZ297" s="68"/>
      <c r="FA297" s="77">
        <f t="shared" si="894"/>
        <v>-40212.385965949354</v>
      </c>
      <c r="FB297" s="77">
        <f t="shared" si="894"/>
        <v>19737.920974774992</v>
      </c>
      <c r="FC297" s="77">
        <f>IF(ABS(-$BV297*($BS297-CA297)/$BS297*$BX297)&gt;$BA297,$BA297*SIGN(-($BS297-CA297)),-$BV297*($BS297-CA297)/$BS297*$BX297)*DO297</f>
        <v>40212.385965949354</v>
      </c>
      <c r="FD297" s="77">
        <f t="shared" si="885"/>
        <v>40212.385965949354</v>
      </c>
      <c r="FE297" s="77">
        <f t="shared" si="886"/>
        <v>40212.385965949354</v>
      </c>
      <c r="FF297" s="77">
        <f t="shared" si="895"/>
        <v>40212.385965949354</v>
      </c>
      <c r="FG297" s="77">
        <f t="shared" si="899"/>
        <v>40212.385965949354</v>
      </c>
      <c r="FH297" s="77">
        <f t="shared" si="900"/>
        <v>40212.385965949354</v>
      </c>
      <c r="FI297" s="77">
        <f t="shared" si="900"/>
        <v>40212.385965949354</v>
      </c>
      <c r="GO297" s="77">
        <f t="shared" si="854"/>
        <v>29355041.755143028</v>
      </c>
      <c r="GP297" s="77">
        <f t="shared" si="855"/>
        <v>-11250614.955621745</v>
      </c>
      <c r="GQ297" s="77">
        <f t="shared" si="856"/>
        <v>-19301945.263655689</v>
      </c>
      <c r="GR297" s="77">
        <f t="shared" si="857"/>
        <v>-9650972.6318278443</v>
      </c>
      <c r="GS297" s="77">
        <f t="shared" si="883"/>
        <v>0</v>
      </c>
      <c r="GT297" s="77">
        <f t="shared" si="896"/>
        <v>9650972.6318278443</v>
      </c>
      <c r="GU297" s="77">
        <f t="shared" si="897"/>
        <v>19301945.263655689</v>
      </c>
      <c r="GV297" s="77">
        <f t="shared" si="898"/>
        <v>22921060.000591133</v>
      </c>
      <c r="GW297" s="77">
        <f t="shared" si="901"/>
        <v>29355041.755143028</v>
      </c>
      <c r="HH297" s="68"/>
      <c r="HI297" s="68"/>
      <c r="HJ297" s="68"/>
      <c r="HK297" s="68"/>
      <c r="HL297" s="68"/>
      <c r="HM297" s="68"/>
      <c r="HN297" s="68"/>
      <c r="HO297" s="68"/>
      <c r="HP297" s="68"/>
      <c r="HQ297" s="68"/>
      <c r="HR297" s="68"/>
      <c r="HS297" s="68"/>
      <c r="HT297" s="68"/>
      <c r="HU297" s="68"/>
      <c r="HV297" s="68"/>
      <c r="HW297" s="68"/>
      <c r="HX297" s="68"/>
      <c r="HY297" s="68"/>
      <c r="IC297" s="82">
        <v>313</v>
      </c>
    </row>
    <row r="298" spans="1:237" s="77" customFormat="1">
      <c r="A298" s="77">
        <v>298</v>
      </c>
      <c r="B298" s="69">
        <v>455</v>
      </c>
      <c r="C298" s="69" t="s">
        <v>323</v>
      </c>
      <c r="D298" s="70" t="s">
        <v>71</v>
      </c>
      <c r="E298" s="119">
        <v>3</v>
      </c>
      <c r="F298" s="70">
        <f t="shared" si="884"/>
        <v>0.14461493920092647</v>
      </c>
      <c r="G298" s="70"/>
      <c r="H298" s="70">
        <v>0.01</v>
      </c>
      <c r="I298" s="70">
        <v>1.7000000000000001E-2</v>
      </c>
      <c r="J298" s="72">
        <v>0.67500000000000004</v>
      </c>
      <c r="K298" s="72">
        <v>16.666666666666668</v>
      </c>
      <c r="L298" s="72">
        <v>7.556018079150531E-2</v>
      </c>
      <c r="M298" s="72">
        <v>7.556018079150531E-2</v>
      </c>
      <c r="N298" s="72">
        <v>0.45999999999999996</v>
      </c>
      <c r="O298" s="72">
        <v>7.7875796178343948E-2</v>
      </c>
      <c r="P298" s="72">
        <v>0</v>
      </c>
      <c r="Q298" s="73" t="s">
        <v>28</v>
      </c>
      <c r="R298" s="101">
        <v>0.22727272727272727</v>
      </c>
      <c r="S298" s="75">
        <f t="shared" si="809"/>
        <v>0.81035997686136529</v>
      </c>
      <c r="T298" s="59">
        <f t="shared" si="789"/>
        <v>3.8660781273792666</v>
      </c>
      <c r="U298" s="59">
        <f t="shared" si="790"/>
        <v>2.9094041470422485</v>
      </c>
      <c r="V298" s="59">
        <f t="shared" si="791"/>
        <v>1.6484361719797465</v>
      </c>
      <c r="W298" s="59">
        <f t="shared" si="792"/>
        <v>0.4263845989830492</v>
      </c>
      <c r="X298" s="59">
        <f t="shared" si="793"/>
        <v>0.56658892634616465</v>
      </c>
      <c r="Y298" s="100">
        <v>399600</v>
      </c>
      <c r="Z298" s="57">
        <f t="shared" si="794"/>
        <v>226408.9349679274</v>
      </c>
      <c r="AA298" s="57">
        <f t="shared" si="795"/>
        <v>170383.28575362646</v>
      </c>
      <c r="AB298" s="57">
        <f t="shared" si="887"/>
        <v>590896.08566113177</v>
      </c>
      <c r="AC298" s="57">
        <f t="shared" si="796"/>
        <v>0.25</v>
      </c>
      <c r="AD298" s="57">
        <f t="shared" si="797"/>
        <v>1.5</v>
      </c>
      <c r="AE298" s="57">
        <f t="shared" si="798"/>
        <v>0</v>
      </c>
      <c r="AF298" s="57">
        <f t="shared" si="799"/>
        <v>66773.960847209819</v>
      </c>
      <c r="AG298" s="57">
        <f t="shared" si="880"/>
        <v>103609.32490641664</v>
      </c>
      <c r="AH298" s="57">
        <f t="shared" si="888"/>
        <v>161981993.45258957</v>
      </c>
      <c r="AI298" s="57">
        <f t="shared" si="889"/>
        <v>236872864.3686744</v>
      </c>
      <c r="AJ298" s="77">
        <v>0</v>
      </c>
      <c r="AK298" s="77">
        <v>31.4</v>
      </c>
      <c r="AL298" s="78">
        <f t="shared" si="800"/>
        <v>3.0581650895185528</v>
      </c>
      <c r="AM298" s="57">
        <f t="shared" si="801"/>
        <v>1</v>
      </c>
      <c r="AN298" s="57">
        <f t="shared" si="802"/>
        <v>0.8</v>
      </c>
      <c r="AO298" s="77">
        <v>1000</v>
      </c>
      <c r="AP298" s="79">
        <v>100</v>
      </c>
      <c r="AQ298" s="57">
        <f t="shared" si="803"/>
        <v>90.222964689015043</v>
      </c>
      <c r="AR298" s="57">
        <f t="shared" si="890"/>
        <v>800</v>
      </c>
      <c r="AS298" s="57">
        <f t="shared" si="804"/>
        <v>909.77703531098496</v>
      </c>
      <c r="AT298" s="77">
        <v>60</v>
      </c>
      <c r="AU298" s="77">
        <f>600+75</f>
        <v>675</v>
      </c>
      <c r="AV298" s="78">
        <f t="shared" si="805"/>
        <v>48000</v>
      </c>
      <c r="AW298" s="77">
        <f>2*100*200</f>
        <v>40000</v>
      </c>
      <c r="AX298" s="77">
        <f t="shared" si="806"/>
        <v>60000</v>
      </c>
      <c r="AY298" s="77">
        <f>2*100*200+60*800</f>
        <v>88000</v>
      </c>
      <c r="AZ298" s="77">
        <f t="shared" si="820"/>
        <v>429</v>
      </c>
      <c r="BA298" s="77">
        <v>429</v>
      </c>
      <c r="BB298" s="77">
        <v>460</v>
      </c>
      <c r="BC298" s="77">
        <f t="shared" si="891"/>
        <v>429</v>
      </c>
      <c r="BD298" s="77">
        <f>PI()*3.25*3.25/4*2/(60*50)</f>
        <v>5.530512067257032E-3</v>
      </c>
      <c r="BE298" s="77">
        <f>BD298</f>
        <v>5.530512067257032E-3</v>
      </c>
      <c r="BF298" s="77">
        <f>PI()*10*10/4*8/(100*200)</f>
        <v>3.1415926535897934E-2</v>
      </c>
      <c r="BG298" s="77">
        <f>PI()*6*6/4*4/(200*100)</f>
        <v>5.6548667764616273E-3</v>
      </c>
      <c r="BH298" s="79">
        <v>50</v>
      </c>
      <c r="BI298" s="79">
        <f>PI()*3.25*3.25/4</f>
        <v>8.2957681008855477</v>
      </c>
      <c r="BJ298" s="79">
        <v>2</v>
      </c>
      <c r="BK298" s="57">
        <f t="shared" si="881"/>
        <v>16.591536201771095</v>
      </c>
      <c r="BL298" s="57">
        <f t="shared" si="841"/>
        <v>265.46457922833753</v>
      </c>
      <c r="BM298" s="80">
        <f>PI()*10*10/4</f>
        <v>78.539816339744831</v>
      </c>
      <c r="BN298" s="80">
        <v>8</v>
      </c>
      <c r="BO298" s="57">
        <f t="shared" si="892"/>
        <v>628.31853071795865</v>
      </c>
      <c r="BP298" s="57">
        <f t="shared" si="807"/>
        <v>658715.09432310669</v>
      </c>
      <c r="BQ298" s="77">
        <f t="shared" si="808"/>
        <v>6.577465683221817E-9</v>
      </c>
      <c r="BR298" s="57">
        <f t="shared" si="843"/>
        <v>444632688.66809702</v>
      </c>
      <c r="BS298" s="57">
        <v>180.44592937803009</v>
      </c>
      <c r="BT298" s="57">
        <f t="shared" si="810"/>
        <v>35.885831164973013</v>
      </c>
      <c r="BU298" s="57"/>
      <c r="BV298" s="57">
        <v>3.3E-3</v>
      </c>
      <c r="BW298" s="57">
        <v>30000</v>
      </c>
      <c r="BX298" s="57">
        <v>200000</v>
      </c>
      <c r="BY298" s="77">
        <f>20</f>
        <v>20</v>
      </c>
      <c r="BZ298" s="77">
        <f t="shared" ref="BZ298:CA300" si="903">BY298+30</f>
        <v>50</v>
      </c>
      <c r="CA298" s="77">
        <f t="shared" si="903"/>
        <v>80</v>
      </c>
      <c r="CB298" s="77">
        <f>CA298+20</f>
        <v>100</v>
      </c>
      <c r="CC298" s="77">
        <f>CB298+50*1</f>
        <v>150</v>
      </c>
      <c r="CD298" s="77">
        <f>CB298+50*2</f>
        <v>200</v>
      </c>
      <c r="CE298" s="77">
        <f>CB298+50*3</f>
        <v>250</v>
      </c>
      <c r="CF298" s="77">
        <f>CB298+50*4</f>
        <v>300</v>
      </c>
      <c r="CG298" s="77">
        <f>CB298+50*5</f>
        <v>350</v>
      </c>
      <c r="CH298" s="77">
        <f>CB298+50*6</f>
        <v>400</v>
      </c>
      <c r="CI298" s="77">
        <f>CB298+50*7</f>
        <v>450</v>
      </c>
      <c r="CJ298" s="77">
        <f>CB298+50*8</f>
        <v>500</v>
      </c>
      <c r="CK298" s="77">
        <f>CB298+50*9</f>
        <v>550</v>
      </c>
      <c r="CL298" s="77">
        <f>CB298+50*10</f>
        <v>600</v>
      </c>
      <c r="CM298" s="77">
        <f>CB298+50*11</f>
        <v>650</v>
      </c>
      <c r="CN298" s="77">
        <f>CB298+50*12</f>
        <v>700</v>
      </c>
      <c r="CO298" s="77">
        <f>CB298+50*13</f>
        <v>750</v>
      </c>
      <c r="CP298" s="77">
        <f>CB298+50*14</f>
        <v>800</v>
      </c>
      <c r="CQ298" s="77">
        <f>CB298+50*15</f>
        <v>850</v>
      </c>
      <c r="CR298" s="77">
        <f>CB298+50*16</f>
        <v>900</v>
      </c>
      <c r="CS298" s="77">
        <f>CR298+20</f>
        <v>920</v>
      </c>
      <c r="CT298" s="77">
        <f t="shared" ref="CT298:CU300" si="904">CS298+30</f>
        <v>950</v>
      </c>
      <c r="CU298" s="77">
        <f t="shared" si="904"/>
        <v>980</v>
      </c>
      <c r="DM298" s="77">
        <f>PI()*10*10/4*4</f>
        <v>314.15926535897933</v>
      </c>
      <c r="DN298" s="77">
        <f>PI()*6*6/4*2</f>
        <v>56.548667764616276</v>
      </c>
      <c r="DO298" s="77">
        <f>PI()*10*10/4*4</f>
        <v>314.15926535897933</v>
      </c>
      <c r="DP298" s="77">
        <f t="shared" ref="DP298:EF298" si="905">PI()*6*6/4*2</f>
        <v>56.548667764616276</v>
      </c>
      <c r="DQ298" s="77">
        <f t="shared" si="905"/>
        <v>56.548667764616276</v>
      </c>
      <c r="DR298" s="77">
        <f t="shared" si="905"/>
        <v>56.548667764616276</v>
      </c>
      <c r="DS298" s="77">
        <f t="shared" si="905"/>
        <v>56.548667764616276</v>
      </c>
      <c r="DT298" s="77">
        <f t="shared" si="905"/>
        <v>56.548667764616276</v>
      </c>
      <c r="DU298" s="77">
        <f t="shared" si="905"/>
        <v>56.548667764616276</v>
      </c>
      <c r="DV298" s="77">
        <f t="shared" si="905"/>
        <v>56.548667764616276</v>
      </c>
      <c r="DW298" s="77">
        <f t="shared" si="905"/>
        <v>56.548667764616276</v>
      </c>
      <c r="DX298" s="77">
        <f t="shared" si="905"/>
        <v>56.548667764616276</v>
      </c>
      <c r="DY298" s="77">
        <f t="shared" si="905"/>
        <v>56.548667764616276</v>
      </c>
      <c r="DZ298" s="77">
        <f t="shared" si="905"/>
        <v>56.548667764616276</v>
      </c>
      <c r="EA298" s="77">
        <f t="shared" si="905"/>
        <v>56.548667764616276</v>
      </c>
      <c r="EB298" s="77">
        <f t="shared" si="905"/>
        <v>56.548667764616276</v>
      </c>
      <c r="EC298" s="77">
        <f t="shared" si="905"/>
        <v>56.548667764616276</v>
      </c>
      <c r="ED298" s="77">
        <f t="shared" si="905"/>
        <v>56.548667764616276</v>
      </c>
      <c r="EE298" s="77">
        <f t="shared" si="905"/>
        <v>56.548667764616276</v>
      </c>
      <c r="EF298" s="77">
        <f t="shared" si="905"/>
        <v>56.548667764616276</v>
      </c>
      <c r="EG298" s="77">
        <f>PI()*10*10/4*4</f>
        <v>314.15926535897933</v>
      </c>
      <c r="EH298" s="77">
        <f>PI()*6*6/4*2</f>
        <v>56.548667764616276</v>
      </c>
      <c r="EI298" s="77">
        <f>PI()*10*10/4*4</f>
        <v>314.15926535897933</v>
      </c>
      <c r="FA298" s="77">
        <f t="shared" ref="FA298:FA307" si="906">IF(ABS(-$BV298*($BS298-BY298)/$BS298*$BX298)&gt;$BB298,$BB298*SIGN(-($BS298-BY298)),-$BV298*($BS298-BY298)/$BS298*$BX298)*DM298</f>
        <v>-144513.26206513049</v>
      </c>
      <c r="FB298" s="77">
        <f>IF(ABS(-$BV298*($BS298-BZ298)/$BS298*$BX298)&gt;$BA298,$BA298*SIGN(-($BS298-BZ298)),-$BV298*($BS298-BZ298)/$BS298*$BX298)*DN298</f>
        <v>-24259.378471020384</v>
      </c>
      <c r="FC298" s="77">
        <f>IF(ABS(-$BV298*($BS298-CA298)/$BS298*$BX298)&gt;$BB298,$BB298*SIGN(-($BS298-CA298)),-$BV298*($BS298-CA298)/$BS298*$BX298)*DO298</f>
        <v>-115419.46589602025</v>
      </c>
      <c r="FD298" s="77">
        <f t="shared" si="885"/>
        <v>-16638.849645442868</v>
      </c>
      <c r="FE298" s="77">
        <f t="shared" si="886"/>
        <v>-6297.2141058409316</v>
      </c>
      <c r="FF298" s="77">
        <f t="shared" si="895"/>
        <v>4044.4214337610038</v>
      </c>
      <c r="FG298" s="77">
        <f t="shared" si="899"/>
        <v>14386.05697336294</v>
      </c>
      <c r="FH298" s="77">
        <f t="shared" ref="FH298:FT300" si="907">IF(ABS(-$BV298*($BS298-CF298)/$BS298*$BX298)&gt;$BA298,$BA298*SIGN(-($BS298-CF298)),-$BV298*($BS298-CF298)/$BS298*$BX298)*DT298</f>
        <v>24259.378471020384</v>
      </c>
      <c r="FI298" s="77">
        <f t="shared" si="907"/>
        <v>24259.378471020384</v>
      </c>
      <c r="FJ298" s="77">
        <f t="shared" si="907"/>
        <v>24259.378471020384</v>
      </c>
      <c r="FK298" s="77">
        <f t="shared" si="907"/>
        <v>24259.378471020384</v>
      </c>
      <c r="FL298" s="77">
        <f t="shared" si="907"/>
        <v>24259.378471020384</v>
      </c>
      <c r="FM298" s="77">
        <f t="shared" si="907"/>
        <v>24259.378471020384</v>
      </c>
      <c r="FN298" s="77">
        <f t="shared" si="907"/>
        <v>24259.378471020384</v>
      </c>
      <c r="FO298" s="77">
        <f t="shared" si="907"/>
        <v>24259.378471020384</v>
      </c>
      <c r="FP298" s="77">
        <f t="shared" si="907"/>
        <v>24259.378471020384</v>
      </c>
      <c r="FQ298" s="77">
        <f t="shared" si="907"/>
        <v>24259.378471020384</v>
      </c>
      <c r="FR298" s="77">
        <f t="shared" si="907"/>
        <v>24259.378471020384</v>
      </c>
      <c r="FS298" s="77">
        <f t="shared" si="907"/>
        <v>24259.378471020384</v>
      </c>
      <c r="FT298" s="77">
        <f t="shared" si="907"/>
        <v>24259.378471020384</v>
      </c>
      <c r="FU298" s="77">
        <f>IF(ABS(-$BV298*($BS298-CS298)/$BS298*$BX298)&gt;$BB298,$BB298*SIGN(-($BS298-CS298)),-$BV298*($BS298-CS298)/$BS298*$BX298)*EG298</f>
        <v>144513.26206513049</v>
      </c>
      <c r="FV298" s="77">
        <f>IF(ABS(-$BV298*($BS298-CT298)/$BS298*$BX298)&gt;$BA298,$BA298*SIGN(-($BS298-CT298)),-$BV298*($BS298-CT298)/$BS298*$BX298)*EH298</f>
        <v>24259.378471020384</v>
      </c>
      <c r="FW298" s="77">
        <f>IF(ABS(-$BV298*($BS298-CU298)/$BS298*$BX298)&gt;$BB298,$BB298*SIGN(-($BS298-CU298)),-$BV298*($BS298-CU298)/$BS298*$BX298)*EI298</f>
        <v>144513.26206513049</v>
      </c>
      <c r="GO298" s="77">
        <f t="shared" si="854"/>
        <v>69366365.791262642</v>
      </c>
      <c r="GP298" s="77">
        <f t="shared" si="855"/>
        <v>10916720.311959174</v>
      </c>
      <c r="GQ298" s="77">
        <f t="shared" si="856"/>
        <v>48476175.676328503</v>
      </c>
      <c r="GR298" s="77">
        <f t="shared" si="857"/>
        <v>6655539.8581771469</v>
      </c>
      <c r="GS298" s="77">
        <f t="shared" si="883"/>
        <v>2204024.9370443262</v>
      </c>
      <c r="GT298" s="77">
        <f t="shared" si="896"/>
        <v>-1213326.430128301</v>
      </c>
      <c r="GU298" s="77">
        <f t="shared" si="897"/>
        <v>-3596514.2433407349</v>
      </c>
      <c r="GV298" s="77">
        <f t="shared" si="898"/>
        <v>-4851875.6942040771</v>
      </c>
      <c r="GW298" s="77">
        <f t="shared" si="901"/>
        <v>-3638906.7706530574</v>
      </c>
      <c r="GX298" s="77">
        <f t="shared" ref="GX298:HK300" si="908">FJ298*(CH298-0.5*$AO298)</f>
        <v>-2425937.8471020386</v>
      </c>
      <c r="GY298" s="77">
        <f t="shared" si="908"/>
        <v>-1212968.9235510193</v>
      </c>
      <c r="GZ298" s="77">
        <f t="shared" si="908"/>
        <v>0</v>
      </c>
      <c r="HA298" s="77">
        <f t="shared" si="908"/>
        <v>1212968.9235510193</v>
      </c>
      <c r="HB298" s="77">
        <f t="shared" si="908"/>
        <v>2425937.8471020386</v>
      </c>
      <c r="HC298" s="77">
        <f t="shared" si="908"/>
        <v>3638906.7706530574</v>
      </c>
      <c r="HD298" s="77">
        <f t="shared" si="908"/>
        <v>4851875.6942040771</v>
      </c>
      <c r="HE298" s="77">
        <f t="shared" si="908"/>
        <v>6064844.6177550955</v>
      </c>
      <c r="HF298" s="77">
        <f t="shared" si="908"/>
        <v>7277813.5413061148</v>
      </c>
      <c r="HG298" s="77">
        <f t="shared" si="908"/>
        <v>8490782.464857135</v>
      </c>
      <c r="HH298" s="77">
        <f t="shared" si="908"/>
        <v>9703751.3884081542</v>
      </c>
      <c r="HI298" s="77">
        <f t="shared" si="908"/>
        <v>60695570.067354806</v>
      </c>
      <c r="HJ298" s="77">
        <f t="shared" si="908"/>
        <v>10916720.311959174</v>
      </c>
      <c r="HK298" s="77">
        <f t="shared" si="908"/>
        <v>69366365.791262642</v>
      </c>
      <c r="IC298" s="82">
        <v>314</v>
      </c>
    </row>
    <row r="299" spans="1:237" s="77" customFormat="1">
      <c r="A299" s="77">
        <v>299</v>
      </c>
      <c r="B299" s="69">
        <v>456</v>
      </c>
      <c r="C299" s="69" t="s">
        <v>323</v>
      </c>
      <c r="D299" s="70" t="s">
        <v>72</v>
      </c>
      <c r="E299" s="119">
        <v>3</v>
      </c>
      <c r="F299" s="70">
        <f t="shared" si="884"/>
        <v>0.13752541388324135</v>
      </c>
      <c r="G299" s="70"/>
      <c r="H299" s="70">
        <v>0.01</v>
      </c>
      <c r="I299" s="70">
        <v>1.2999999999999999E-2</v>
      </c>
      <c r="J299" s="72">
        <v>0.67500000000000004</v>
      </c>
      <c r="K299" s="72">
        <v>16.666666666666668</v>
      </c>
      <c r="L299" s="72">
        <v>7.5801587119912681E-2</v>
      </c>
      <c r="M299" s="72">
        <v>7.5801587119912681E-2</v>
      </c>
      <c r="N299" s="72">
        <v>0.46146964856230027</v>
      </c>
      <c r="O299" s="72">
        <v>7.8124600638977637E-2</v>
      </c>
      <c r="P299" s="72">
        <v>0</v>
      </c>
      <c r="Q299" s="73" t="s">
        <v>28</v>
      </c>
      <c r="R299" s="101">
        <v>0.22727272727272727</v>
      </c>
      <c r="S299" s="75">
        <f t="shared" si="809"/>
        <v>0.76940522172363046</v>
      </c>
      <c r="T299" s="59">
        <f t="shared" si="789"/>
        <v>2.6961888839015167</v>
      </c>
      <c r="U299" s="59">
        <f t="shared" si="790"/>
        <v>2.1097836826204279</v>
      </c>
      <c r="V299" s="59">
        <f t="shared" si="791"/>
        <v>1.2602726270550704</v>
      </c>
      <c r="W299" s="59">
        <f t="shared" si="792"/>
        <v>0.46742742490333039</v>
      </c>
      <c r="X299" s="59">
        <f t="shared" si="793"/>
        <v>0.59734684528878623</v>
      </c>
      <c r="Y299" s="100">
        <v>378800</v>
      </c>
      <c r="Z299" s="57">
        <f t="shared" si="794"/>
        <v>226274.98499539221</v>
      </c>
      <c r="AA299" s="57">
        <f t="shared" si="795"/>
        <v>177061.50855338154</v>
      </c>
      <c r="AB299" s="57">
        <f t="shared" si="887"/>
        <v>631327.80169001443</v>
      </c>
      <c r="AC299" s="57">
        <f t="shared" si="796"/>
        <v>0.25</v>
      </c>
      <c r="AD299" s="57">
        <f t="shared" si="797"/>
        <v>1.5</v>
      </c>
      <c r="AE299" s="57">
        <f t="shared" si="798"/>
        <v>0</v>
      </c>
      <c r="AF299" s="57">
        <f t="shared" si="799"/>
        <v>69317.170894855561</v>
      </c>
      <c r="AG299" s="57">
        <f t="shared" si="880"/>
        <v>107744.337658526</v>
      </c>
      <c r="AH299" s="57">
        <f t="shared" si="888"/>
        <v>168284936.88503209</v>
      </c>
      <c r="AI299" s="57">
        <f t="shared" si="889"/>
        <v>257861329.25572759</v>
      </c>
      <c r="AJ299" s="77">
        <v>0</v>
      </c>
      <c r="AK299" s="77">
        <v>31.3</v>
      </c>
      <c r="AL299" s="78">
        <f t="shared" si="800"/>
        <v>3.0528045866323801</v>
      </c>
      <c r="AM299" s="57">
        <f t="shared" si="801"/>
        <v>1</v>
      </c>
      <c r="AN299" s="57">
        <f t="shared" si="802"/>
        <v>0.8</v>
      </c>
      <c r="AO299" s="77">
        <v>1000</v>
      </c>
      <c r="AP299" s="79">
        <v>100</v>
      </c>
      <c r="AQ299" s="57">
        <f t="shared" si="803"/>
        <v>53.914074094610783</v>
      </c>
      <c r="AR299" s="57">
        <f t="shared" si="890"/>
        <v>800</v>
      </c>
      <c r="AS299" s="57">
        <f t="shared" si="804"/>
        <v>946.08592590538922</v>
      </c>
      <c r="AT299" s="77">
        <v>60</v>
      </c>
      <c r="AU299" s="77">
        <f>600+75</f>
        <v>675</v>
      </c>
      <c r="AV299" s="78">
        <f t="shared" si="805"/>
        <v>48000</v>
      </c>
      <c r="AW299" s="77">
        <f>2*100*200</f>
        <v>40000</v>
      </c>
      <c r="AX299" s="77">
        <f t="shared" si="806"/>
        <v>60000</v>
      </c>
      <c r="AY299" s="77">
        <f>2*100*200+60*800</f>
        <v>88000</v>
      </c>
      <c r="AZ299" s="77">
        <f t="shared" si="820"/>
        <v>429</v>
      </c>
      <c r="BA299" s="77">
        <v>429</v>
      </c>
      <c r="BB299" s="77">
        <v>460</v>
      </c>
      <c r="BC299" s="77">
        <f t="shared" si="891"/>
        <v>429</v>
      </c>
      <c r="BD299" s="77">
        <f>PI()*3.25*3.25/4*2/(60*50)</f>
        <v>5.530512067257032E-3</v>
      </c>
      <c r="BE299" s="77">
        <f>BD299</f>
        <v>5.530512067257032E-3</v>
      </c>
      <c r="BF299" s="77">
        <f>PI()*10*10/4*8/(100*200)</f>
        <v>3.1415926535897934E-2</v>
      </c>
      <c r="BG299" s="77">
        <f>PI()*6*6/4*4/(200*100)</f>
        <v>5.6548667764616273E-3</v>
      </c>
      <c r="BH299" s="79">
        <v>50</v>
      </c>
      <c r="BI299" s="79">
        <f>PI()*3.25*3.25/4</f>
        <v>8.2957681008855477</v>
      </c>
      <c r="BJ299" s="79">
        <v>2</v>
      </c>
      <c r="BK299" s="57">
        <f t="shared" si="881"/>
        <v>16.591536201771095</v>
      </c>
      <c r="BL299" s="57">
        <f t="shared" si="841"/>
        <v>265.46457922833753</v>
      </c>
      <c r="BM299" s="80">
        <f>PI()*10*10/4</f>
        <v>78.539816339744831</v>
      </c>
      <c r="BN299" s="80">
        <v>8</v>
      </c>
      <c r="BO299" s="57">
        <f t="shared" si="892"/>
        <v>628.31853071795865</v>
      </c>
      <c r="BP299" s="57">
        <f t="shared" si="807"/>
        <v>477391.27112846065</v>
      </c>
      <c r="BQ299" s="77">
        <f t="shared" si="808"/>
        <v>4.9476511776447296E-10</v>
      </c>
      <c r="BR299" s="57">
        <f t="shared" si="843"/>
        <v>322239108.01171094</v>
      </c>
      <c r="BS299" s="57">
        <v>107.82814818922157</v>
      </c>
      <c r="BT299" s="57">
        <f t="shared" si="810"/>
        <v>35.969367013363751</v>
      </c>
      <c r="BU299" s="57"/>
      <c r="BV299" s="57">
        <v>3.3E-3</v>
      </c>
      <c r="BW299" s="57">
        <v>30000</v>
      </c>
      <c r="BX299" s="57">
        <v>200000</v>
      </c>
      <c r="BY299" s="77">
        <f>20</f>
        <v>20</v>
      </c>
      <c r="BZ299" s="77">
        <f t="shared" si="903"/>
        <v>50</v>
      </c>
      <c r="CA299" s="77">
        <f t="shared" si="903"/>
        <v>80</v>
      </c>
      <c r="CB299" s="77">
        <f>CA299+20</f>
        <v>100</v>
      </c>
      <c r="CC299" s="77">
        <f>CB299+50*1</f>
        <v>150</v>
      </c>
      <c r="CD299" s="77">
        <f>CB299+50*2</f>
        <v>200</v>
      </c>
      <c r="CE299" s="77">
        <f>CB299+50*3</f>
        <v>250</v>
      </c>
      <c r="CF299" s="77">
        <f>CB299+50*4</f>
        <v>300</v>
      </c>
      <c r="CG299" s="77">
        <f>CB299+50*5</f>
        <v>350</v>
      </c>
      <c r="CH299" s="77">
        <f>CB299+50*6</f>
        <v>400</v>
      </c>
      <c r="CI299" s="77">
        <f>CB299+50*7</f>
        <v>450</v>
      </c>
      <c r="CJ299" s="77">
        <f>CB299+50*8</f>
        <v>500</v>
      </c>
      <c r="CK299" s="77">
        <f>CB299+50*9</f>
        <v>550</v>
      </c>
      <c r="CL299" s="77">
        <f>CB299+50*10</f>
        <v>600</v>
      </c>
      <c r="CM299" s="77">
        <f>CB299+50*11</f>
        <v>650</v>
      </c>
      <c r="CN299" s="77">
        <f>CB299+50*12</f>
        <v>700</v>
      </c>
      <c r="CO299" s="77">
        <f>CB299+50*13</f>
        <v>750</v>
      </c>
      <c r="CP299" s="77">
        <f>CB299+50*14</f>
        <v>800</v>
      </c>
      <c r="CQ299" s="77">
        <f>CB299+50*15</f>
        <v>850</v>
      </c>
      <c r="CR299" s="77">
        <f>CB299+50*16</f>
        <v>900</v>
      </c>
      <c r="CS299" s="77">
        <f>CR299+20</f>
        <v>920</v>
      </c>
      <c r="CT299" s="77">
        <f t="shared" si="904"/>
        <v>950</v>
      </c>
      <c r="CU299" s="77">
        <f t="shared" si="904"/>
        <v>980</v>
      </c>
      <c r="DM299" s="77">
        <f>PI()*10*10/4*4</f>
        <v>314.15926535897933</v>
      </c>
      <c r="DN299" s="77">
        <f>PI()*3.25*3.25/4*2</f>
        <v>16.591536201771095</v>
      </c>
      <c r="DO299" s="77">
        <f>PI()*10*10/4*4</f>
        <v>314.15926535897933</v>
      </c>
      <c r="DP299" s="77">
        <f t="shared" ref="DP299:EF299" si="909">PI()*3.25*3.25/4*2</f>
        <v>16.591536201771095</v>
      </c>
      <c r="DQ299" s="77">
        <f t="shared" si="909"/>
        <v>16.591536201771095</v>
      </c>
      <c r="DR299" s="77">
        <f t="shared" si="909"/>
        <v>16.591536201771095</v>
      </c>
      <c r="DS299" s="77">
        <f t="shared" si="909"/>
        <v>16.591536201771095</v>
      </c>
      <c r="DT299" s="77">
        <f t="shared" si="909"/>
        <v>16.591536201771095</v>
      </c>
      <c r="DU299" s="77">
        <f t="shared" si="909"/>
        <v>16.591536201771095</v>
      </c>
      <c r="DV299" s="77">
        <f t="shared" si="909"/>
        <v>16.591536201771095</v>
      </c>
      <c r="DW299" s="77">
        <f t="shared" si="909"/>
        <v>16.591536201771095</v>
      </c>
      <c r="DX299" s="77">
        <f t="shared" si="909"/>
        <v>16.591536201771095</v>
      </c>
      <c r="DY299" s="77">
        <f t="shared" si="909"/>
        <v>16.591536201771095</v>
      </c>
      <c r="DZ299" s="77">
        <f t="shared" si="909"/>
        <v>16.591536201771095</v>
      </c>
      <c r="EA299" s="77">
        <f t="shared" si="909"/>
        <v>16.591536201771095</v>
      </c>
      <c r="EB299" s="77">
        <f t="shared" si="909"/>
        <v>16.591536201771095</v>
      </c>
      <c r="EC299" s="77">
        <f t="shared" si="909"/>
        <v>16.591536201771095</v>
      </c>
      <c r="ED299" s="77">
        <f t="shared" si="909"/>
        <v>16.591536201771095</v>
      </c>
      <c r="EE299" s="77">
        <f t="shared" si="909"/>
        <v>16.591536201771095</v>
      </c>
      <c r="EF299" s="77">
        <f t="shared" si="909"/>
        <v>16.591536201771095</v>
      </c>
      <c r="EG299" s="77">
        <f>PI()*10*10/4*4</f>
        <v>314.15926535897933</v>
      </c>
      <c r="EH299" s="77">
        <f>PI()*3.25*3.25/4*2</f>
        <v>16.591536201771095</v>
      </c>
      <c r="EI299" s="77">
        <f>PI()*10*10/4*4</f>
        <v>314.15926535897933</v>
      </c>
      <c r="FA299" s="77">
        <f t="shared" si="906"/>
        <v>-144513.26206513049</v>
      </c>
      <c r="FB299" s="77">
        <f>IF(ABS(-$BV299*($BS299-BZ299)/$BS299*$BX299)&gt;$BA299,$BA299*SIGN(-($BS299-BZ299)),-$BV299*($BS299-BZ299)/$BS299*$BX299)*DN299</f>
        <v>-5872.6980661509824</v>
      </c>
      <c r="FC299" s="77">
        <f>IF(ABS(-$BV299*($BS299-CA299)/$BS299*$BX299)&gt;$BB299,$BB299*SIGN(-($BS299-CA299)),-$BV299*($BS299-CA299)/$BS299*$BX299)*DO299</f>
        <v>-53511.357537329597</v>
      </c>
      <c r="FD299" s="77">
        <f t="shared" si="885"/>
        <v>-794.98223913304344</v>
      </c>
      <c r="FE299" s="77">
        <f t="shared" si="886"/>
        <v>4282.7335878848962</v>
      </c>
      <c r="FF299" s="77">
        <f t="shared" si="895"/>
        <v>7117.7690305597998</v>
      </c>
      <c r="FG299" s="77">
        <f t="shared" si="899"/>
        <v>7117.7690305597998</v>
      </c>
      <c r="FH299" s="77">
        <f t="shared" si="907"/>
        <v>7117.7690305597998</v>
      </c>
      <c r="FI299" s="77">
        <f t="shared" si="907"/>
        <v>7117.7690305597998</v>
      </c>
      <c r="FJ299" s="77">
        <f t="shared" si="907"/>
        <v>7117.7690305597998</v>
      </c>
      <c r="FK299" s="77">
        <f t="shared" si="907"/>
        <v>7117.7690305597998</v>
      </c>
      <c r="FL299" s="77">
        <f t="shared" si="907"/>
        <v>7117.7690305597998</v>
      </c>
      <c r="FM299" s="77">
        <f t="shared" si="907"/>
        <v>7117.7690305597998</v>
      </c>
      <c r="FN299" s="77">
        <f t="shared" si="907"/>
        <v>7117.7690305597998</v>
      </c>
      <c r="FO299" s="77">
        <f t="shared" si="907"/>
        <v>7117.7690305597998</v>
      </c>
      <c r="FP299" s="77">
        <f t="shared" si="907"/>
        <v>7117.7690305597998</v>
      </c>
      <c r="FQ299" s="77">
        <f t="shared" si="907"/>
        <v>7117.7690305597998</v>
      </c>
      <c r="FR299" s="77">
        <f t="shared" si="907"/>
        <v>7117.7690305597998</v>
      </c>
      <c r="FS299" s="77">
        <f t="shared" si="907"/>
        <v>7117.7690305597998</v>
      </c>
      <c r="FT299" s="77">
        <f t="shared" si="907"/>
        <v>7117.7690305597998</v>
      </c>
      <c r="FU299" s="77">
        <f>IF(ABS(-$BV299*($BS299-CS299)/$BS299*$BX299)&gt;$BB299,$BB299*SIGN(-($BS299-CS299)),-$BV299*($BS299-CS299)/$BS299*$BX299)*EG299</f>
        <v>144513.26206513049</v>
      </c>
      <c r="FV299" s="77">
        <f>IF(ABS(-$BV299*($BS299-CT299)/$BS299*$BX299)&gt;$BA299,$BA299*SIGN(-($BS299-CT299)),-$BV299*($BS299-CT299)/$BS299*$BX299)*EH299</f>
        <v>7117.7690305597998</v>
      </c>
      <c r="FW299" s="77">
        <f>IF(ABS(-$BV299*($BS299-CU299)/$BS299*$BX299)&gt;$BB299,$BB299*SIGN(-($BS299-CU299)),-$BV299*($BS299-CU299)/$BS299*$BX299)*EI299</f>
        <v>144513.26206513049</v>
      </c>
      <c r="GO299" s="77">
        <f t="shared" si="854"/>
        <v>69366365.791262642</v>
      </c>
      <c r="GP299" s="77">
        <f t="shared" si="855"/>
        <v>2642714.1297679422</v>
      </c>
      <c r="GQ299" s="77">
        <f t="shared" si="856"/>
        <v>22474770.16567843</v>
      </c>
      <c r="GR299" s="77">
        <f t="shared" si="857"/>
        <v>317992.89565321739</v>
      </c>
      <c r="GS299" s="77">
        <f t="shared" si="883"/>
        <v>-1498956.7557597137</v>
      </c>
      <c r="GT299" s="77">
        <f t="shared" si="896"/>
        <v>-2135330.7091679401</v>
      </c>
      <c r="GU299" s="77">
        <f t="shared" si="897"/>
        <v>-1779442.2576399499</v>
      </c>
      <c r="GV299" s="77">
        <f t="shared" si="898"/>
        <v>-1423553.80611196</v>
      </c>
      <c r="GW299" s="77">
        <f t="shared" si="901"/>
        <v>-1067665.35458397</v>
      </c>
      <c r="GX299" s="77">
        <f t="shared" si="908"/>
        <v>-711776.90305597999</v>
      </c>
      <c r="GY299" s="77">
        <f t="shared" si="908"/>
        <v>-355888.45152798999</v>
      </c>
      <c r="GZ299" s="77">
        <f t="shared" si="908"/>
        <v>0</v>
      </c>
      <c r="HA299" s="77">
        <f t="shared" si="908"/>
        <v>355888.45152798999</v>
      </c>
      <c r="HB299" s="77">
        <f t="shared" si="908"/>
        <v>711776.90305597999</v>
      </c>
      <c r="HC299" s="77">
        <f t="shared" si="908"/>
        <v>1067665.35458397</v>
      </c>
      <c r="HD299" s="77">
        <f t="shared" si="908"/>
        <v>1423553.80611196</v>
      </c>
      <c r="HE299" s="77">
        <f t="shared" si="908"/>
        <v>1779442.2576399499</v>
      </c>
      <c r="HF299" s="77">
        <f t="shared" si="908"/>
        <v>2135330.7091679401</v>
      </c>
      <c r="HG299" s="77">
        <f t="shared" si="908"/>
        <v>2491219.16069593</v>
      </c>
      <c r="HH299" s="77">
        <f t="shared" si="908"/>
        <v>2847107.6122239199</v>
      </c>
      <c r="HI299" s="77">
        <f t="shared" si="908"/>
        <v>60695570.067354806</v>
      </c>
      <c r="HJ299" s="77">
        <f t="shared" si="908"/>
        <v>3202996.0637519099</v>
      </c>
      <c r="HK299" s="77">
        <f t="shared" si="908"/>
        <v>69366365.791262642</v>
      </c>
      <c r="IC299" s="82">
        <v>315</v>
      </c>
    </row>
    <row r="300" spans="1:237" s="77" customFormat="1">
      <c r="A300" s="77">
        <v>300</v>
      </c>
      <c r="B300" s="69">
        <v>457</v>
      </c>
      <c r="C300" s="69" t="s">
        <v>323</v>
      </c>
      <c r="D300" s="70" t="s">
        <v>73</v>
      </c>
      <c r="E300" s="119">
        <v>3</v>
      </c>
      <c r="F300" s="70">
        <f t="shared" si="884"/>
        <v>0.12588113757899855</v>
      </c>
      <c r="G300" s="70"/>
      <c r="H300" s="70">
        <v>7.0000000000000001E-3</v>
      </c>
      <c r="I300" s="70">
        <v>0.01</v>
      </c>
      <c r="J300" s="72">
        <v>0.67500000000000004</v>
      </c>
      <c r="K300" s="72">
        <v>16.666666666666668</v>
      </c>
      <c r="L300" s="72">
        <v>7.4806809069139675E-3</v>
      </c>
      <c r="M300" s="72">
        <v>7.4806809069139675E-3</v>
      </c>
      <c r="N300" s="72">
        <v>0.3862032085561497</v>
      </c>
      <c r="O300" s="72">
        <v>5.4713903743315508E-2</v>
      </c>
      <c r="P300" s="72">
        <v>0</v>
      </c>
      <c r="Q300" s="73" t="s">
        <v>28</v>
      </c>
      <c r="R300" s="101">
        <v>0.22727272727272727</v>
      </c>
      <c r="S300" s="75">
        <f t="shared" si="809"/>
        <v>0.76983288696446017</v>
      </c>
      <c r="T300" s="59">
        <f t="shared" si="789"/>
        <v>2.2365381655695065</v>
      </c>
      <c r="U300" s="59">
        <f t="shared" si="790"/>
        <v>2.6180086524859636</v>
      </c>
      <c r="V300" s="59">
        <f t="shared" si="791"/>
        <v>1.0039800997784021</v>
      </c>
      <c r="W300" s="59">
        <f t="shared" si="792"/>
        <v>0.44889915818751569</v>
      </c>
      <c r="X300" s="59">
        <f t="shared" si="793"/>
        <v>0.383489985346328</v>
      </c>
      <c r="Y300" s="100">
        <v>414300</v>
      </c>
      <c r="Z300" s="57">
        <f t="shared" si="794"/>
        <v>158879.9009289837</v>
      </c>
      <c r="AA300" s="57">
        <f t="shared" si="795"/>
        <v>185978.92123708775</v>
      </c>
      <c r="AB300" s="57">
        <f t="shared" si="887"/>
        <v>697279.24836652866</v>
      </c>
      <c r="AC300" s="57">
        <f t="shared" si="796"/>
        <v>0.25</v>
      </c>
      <c r="AD300" s="57">
        <f t="shared" si="797"/>
        <v>1.5</v>
      </c>
      <c r="AE300" s="57">
        <f t="shared" si="798"/>
        <v>0</v>
      </c>
      <c r="AF300" s="57">
        <f t="shared" si="799"/>
        <v>77629.055167921877</v>
      </c>
      <c r="AG300" s="57">
        <f t="shared" si="880"/>
        <v>108349.86606916586</v>
      </c>
      <c r="AH300" s="57">
        <f t="shared" si="888"/>
        <v>204359226.89670628</v>
      </c>
      <c r="AI300" s="57">
        <f t="shared" si="889"/>
        <v>266304265.75070053</v>
      </c>
      <c r="AJ300" s="77">
        <v>0</v>
      </c>
      <c r="AK300" s="77">
        <v>37.4</v>
      </c>
      <c r="AL300" s="78">
        <f t="shared" si="800"/>
        <v>3.3668905685789854</v>
      </c>
      <c r="AM300" s="57">
        <f t="shared" si="801"/>
        <v>1</v>
      </c>
      <c r="AN300" s="57">
        <f t="shared" si="802"/>
        <v>0.8</v>
      </c>
      <c r="AO300" s="77">
        <v>1000</v>
      </c>
      <c r="AP300" s="79">
        <v>100</v>
      </c>
      <c r="AQ300" s="57">
        <f t="shared" si="803"/>
        <v>39.308258036068359</v>
      </c>
      <c r="AR300" s="57">
        <f t="shared" si="890"/>
        <v>800</v>
      </c>
      <c r="AS300" s="57">
        <f t="shared" si="804"/>
        <v>960.69174196393169</v>
      </c>
      <c r="AT300" s="77">
        <v>60</v>
      </c>
      <c r="AU300" s="77">
        <f>600+75</f>
        <v>675</v>
      </c>
      <c r="AV300" s="78">
        <f t="shared" si="805"/>
        <v>48000</v>
      </c>
      <c r="AW300" s="77">
        <f>2*100*200</f>
        <v>40000</v>
      </c>
      <c r="AX300" s="77">
        <f t="shared" si="806"/>
        <v>60000</v>
      </c>
      <c r="AY300" s="77">
        <f>2*100*200+60*800</f>
        <v>88000</v>
      </c>
      <c r="AZ300" s="77">
        <f t="shared" si="820"/>
        <v>359</v>
      </c>
      <c r="BA300" s="77">
        <v>359</v>
      </c>
      <c r="BB300" s="77">
        <v>460</v>
      </c>
      <c r="BC300" s="77">
        <f t="shared" si="891"/>
        <v>359</v>
      </c>
      <c r="BD300" s="77">
        <f>PI()*1.22*1.22/4*2/(60*12.5)</f>
        <v>3.1172976704020318E-3</v>
      </c>
      <c r="BE300" s="77">
        <f>BD300</f>
        <v>3.1172976704020318E-3</v>
      </c>
      <c r="BF300" s="77">
        <f>PI()*10*10/4*8/(100*200)</f>
        <v>3.1415926535897934E-2</v>
      </c>
      <c r="BG300" s="77">
        <f>PI()*6*6/4*4/(200*100)</f>
        <v>5.6548667764616273E-3</v>
      </c>
      <c r="BH300" s="79">
        <v>12.5</v>
      </c>
      <c r="BI300" s="79">
        <f>PI()*1.25*1.25/4</f>
        <v>1.227184630308513</v>
      </c>
      <c r="BJ300" s="79">
        <v>4</v>
      </c>
      <c r="BK300" s="57">
        <f t="shared" si="881"/>
        <v>4.908738521234052</v>
      </c>
      <c r="BL300" s="57">
        <f t="shared" si="841"/>
        <v>149.63028817929751</v>
      </c>
      <c r="BM300" s="80">
        <f>PI()*10*10/4</f>
        <v>78.539816339744831</v>
      </c>
      <c r="BN300" s="80">
        <v>8</v>
      </c>
      <c r="BO300" s="57">
        <f t="shared" si="892"/>
        <v>628.31853071795865</v>
      </c>
      <c r="BP300" s="57">
        <f t="shared" si="807"/>
        <v>415948.955338192</v>
      </c>
      <c r="BQ300" s="77">
        <f t="shared" si="808"/>
        <v>1.4842953532934189E-9</v>
      </c>
      <c r="BR300" s="57">
        <f t="shared" si="843"/>
        <v>280765544.85327959</v>
      </c>
      <c r="BS300" s="57">
        <v>78.616516072136719</v>
      </c>
      <c r="BT300" s="57">
        <f t="shared" si="810"/>
        <v>14.989198897494708</v>
      </c>
      <c r="BU300" s="57"/>
      <c r="BV300" s="57">
        <v>3.3E-3</v>
      </c>
      <c r="BW300" s="57">
        <v>30000</v>
      </c>
      <c r="BX300" s="57">
        <v>200000</v>
      </c>
      <c r="BY300" s="77">
        <f>20</f>
        <v>20</v>
      </c>
      <c r="BZ300" s="77">
        <f t="shared" si="903"/>
        <v>50</v>
      </c>
      <c r="CA300" s="77">
        <f t="shared" si="903"/>
        <v>80</v>
      </c>
      <c r="CB300" s="77">
        <f>CA300+20</f>
        <v>100</v>
      </c>
      <c r="CC300" s="77">
        <f>CB300+50*1</f>
        <v>150</v>
      </c>
      <c r="CD300" s="77">
        <f>CB300+50*2</f>
        <v>200</v>
      </c>
      <c r="CE300" s="77">
        <f>CB300+50*3</f>
        <v>250</v>
      </c>
      <c r="CF300" s="77">
        <f>CB300+50*4</f>
        <v>300</v>
      </c>
      <c r="CG300" s="77">
        <f>CB300+50*5</f>
        <v>350</v>
      </c>
      <c r="CH300" s="77">
        <f>CB300+50*6</f>
        <v>400</v>
      </c>
      <c r="CI300" s="77">
        <f>CB300+50*7</f>
        <v>450</v>
      </c>
      <c r="CJ300" s="77">
        <f>CB300+50*8</f>
        <v>500</v>
      </c>
      <c r="CK300" s="77">
        <f>CB300+50*9</f>
        <v>550</v>
      </c>
      <c r="CL300" s="77">
        <f>CB300+50*10</f>
        <v>600</v>
      </c>
      <c r="CM300" s="77">
        <f>CB300+50*11</f>
        <v>650</v>
      </c>
      <c r="CN300" s="77">
        <f>CB300+50*12</f>
        <v>700</v>
      </c>
      <c r="CO300" s="77">
        <f>CB300+50*13</f>
        <v>750</v>
      </c>
      <c r="CP300" s="77">
        <f>CB300+50*14</f>
        <v>800</v>
      </c>
      <c r="CQ300" s="77">
        <f>CB300+50*15</f>
        <v>850</v>
      </c>
      <c r="CR300" s="77">
        <f>CB300+50*16</f>
        <v>900</v>
      </c>
      <c r="CS300" s="77">
        <f>CR300+20</f>
        <v>920</v>
      </c>
      <c r="CT300" s="77">
        <f t="shared" si="904"/>
        <v>950</v>
      </c>
      <c r="CU300" s="77">
        <f t="shared" si="904"/>
        <v>980</v>
      </c>
      <c r="DM300" s="77">
        <f>PI()*10*10/4*4</f>
        <v>314.15926535897933</v>
      </c>
      <c r="DN300" s="77">
        <f>PI()*1.22*1.22/4*4</f>
        <v>4.675946505603048</v>
      </c>
      <c r="DO300" s="77">
        <f>PI()*10*10/4*4</f>
        <v>314.15926535897933</v>
      </c>
      <c r="DP300" s="77">
        <f t="shared" ref="DP300:EF300" si="910">PI()*1.22*1.22/4*4</f>
        <v>4.675946505603048</v>
      </c>
      <c r="DQ300" s="77">
        <f t="shared" si="910"/>
        <v>4.675946505603048</v>
      </c>
      <c r="DR300" s="77">
        <f t="shared" si="910"/>
        <v>4.675946505603048</v>
      </c>
      <c r="DS300" s="77">
        <f t="shared" si="910"/>
        <v>4.675946505603048</v>
      </c>
      <c r="DT300" s="77">
        <f t="shared" si="910"/>
        <v>4.675946505603048</v>
      </c>
      <c r="DU300" s="77">
        <f t="shared" si="910"/>
        <v>4.675946505603048</v>
      </c>
      <c r="DV300" s="77">
        <f t="shared" si="910"/>
        <v>4.675946505603048</v>
      </c>
      <c r="DW300" s="77">
        <f t="shared" si="910"/>
        <v>4.675946505603048</v>
      </c>
      <c r="DX300" s="77">
        <f t="shared" si="910"/>
        <v>4.675946505603048</v>
      </c>
      <c r="DY300" s="77">
        <f t="shared" si="910"/>
        <v>4.675946505603048</v>
      </c>
      <c r="DZ300" s="77">
        <f t="shared" si="910"/>
        <v>4.675946505603048</v>
      </c>
      <c r="EA300" s="77">
        <f t="shared" si="910"/>
        <v>4.675946505603048</v>
      </c>
      <c r="EB300" s="77">
        <f t="shared" si="910"/>
        <v>4.675946505603048</v>
      </c>
      <c r="EC300" s="77">
        <f t="shared" si="910"/>
        <v>4.675946505603048</v>
      </c>
      <c r="ED300" s="77">
        <f t="shared" si="910"/>
        <v>4.675946505603048</v>
      </c>
      <c r="EE300" s="77">
        <f t="shared" si="910"/>
        <v>4.675946505603048</v>
      </c>
      <c r="EF300" s="77">
        <f t="shared" si="910"/>
        <v>4.675946505603048</v>
      </c>
      <c r="EG300" s="77">
        <f>PI()*10*10/4*4</f>
        <v>314.15926535897933</v>
      </c>
      <c r="EH300" s="77">
        <f>PI()*1.22*1.22/4*4</f>
        <v>4.675946505603048</v>
      </c>
      <c r="EI300" s="77">
        <f>PI()*10*10/4*4</f>
        <v>314.15926535897933</v>
      </c>
      <c r="FA300" s="77">
        <f t="shared" si="906"/>
        <v>-144513.26206513049</v>
      </c>
      <c r="FB300" s="77">
        <f>IF(ABS(-$BV300*($BS300-BZ300)/$BS300*$BX300)&gt;$BA300,$BA300*SIGN(-($BS300-BZ300)),-$BV300*($BS300-BZ300)/$BS300*$BX300)*DN300</f>
        <v>-1123.3534797801537</v>
      </c>
      <c r="FC300" s="77">
        <f>IF(ABS(-$BV300*($BS300-CA300)/$BS300*$BX300)&gt;$BB300,$BB300*SIGN(-($BS300-CA300)),-$BV300*($BS300-CA300)/$BS300*$BX300)*DO300</f>
        <v>3648.8342226929039</v>
      </c>
      <c r="FD300" s="77">
        <f t="shared" si="885"/>
        <v>839.41773413770431</v>
      </c>
      <c r="FE300" s="77">
        <f t="shared" si="886"/>
        <v>1678.6647955114943</v>
      </c>
      <c r="FF300" s="77">
        <f t="shared" si="895"/>
        <v>1678.6647955114943</v>
      </c>
      <c r="FG300" s="77">
        <f t="shared" si="899"/>
        <v>1678.6647955114943</v>
      </c>
      <c r="FH300" s="77">
        <f t="shared" si="907"/>
        <v>1678.6647955114943</v>
      </c>
      <c r="FI300" s="77">
        <f t="shared" si="907"/>
        <v>1678.6647955114943</v>
      </c>
      <c r="FJ300" s="77">
        <f t="shared" si="907"/>
        <v>1678.6647955114943</v>
      </c>
      <c r="FK300" s="77">
        <f t="shared" si="907"/>
        <v>1678.6647955114943</v>
      </c>
      <c r="FL300" s="77">
        <f t="shared" si="907"/>
        <v>1678.6647955114943</v>
      </c>
      <c r="FM300" s="77">
        <f t="shared" si="907"/>
        <v>1678.6647955114943</v>
      </c>
      <c r="FN300" s="77">
        <f t="shared" si="907"/>
        <v>1678.6647955114943</v>
      </c>
      <c r="FO300" s="77">
        <f t="shared" si="907"/>
        <v>1678.6647955114943</v>
      </c>
      <c r="FP300" s="77">
        <f t="shared" si="907"/>
        <v>1678.6647955114943</v>
      </c>
      <c r="FQ300" s="77">
        <f t="shared" si="907"/>
        <v>1678.6647955114943</v>
      </c>
      <c r="FR300" s="77">
        <f t="shared" si="907"/>
        <v>1678.6647955114943</v>
      </c>
      <c r="FS300" s="77">
        <f t="shared" si="907"/>
        <v>1678.6647955114943</v>
      </c>
      <c r="FT300" s="77">
        <f t="shared" si="907"/>
        <v>1678.6647955114943</v>
      </c>
      <c r="FU300" s="77">
        <f>IF(ABS(-$BV300*($BS300-CS300)/$BS300*$BX300)&gt;$BB300,$BB300*SIGN(-($BS300-CS300)),-$BV300*($BS300-CS300)/$BS300*$BX300)*EG300</f>
        <v>144513.26206513049</v>
      </c>
      <c r="FV300" s="77">
        <f>IF(ABS(-$BV300*($BS300-CT300)/$BS300*$BX300)&gt;$BA300,$BA300*SIGN(-($BS300-CT300)),-$BV300*($BS300-CT300)/$BS300*$BX300)*EH300</f>
        <v>1678.6647955114943</v>
      </c>
      <c r="FW300" s="77">
        <f>IF(ABS(-$BV300*($BS300-CU300)/$BS300*$BX300)&gt;$BB300,$BB300*SIGN(-($BS300-CU300)),-$BV300*($BS300-CU300)/$BS300*$BX300)*EI300</f>
        <v>144513.26206513049</v>
      </c>
      <c r="GO300" s="77">
        <f t="shared" si="854"/>
        <v>69366365.791262642</v>
      </c>
      <c r="GP300" s="77">
        <f t="shared" si="855"/>
        <v>505509.0659010692</v>
      </c>
      <c r="GQ300" s="77">
        <f t="shared" si="856"/>
        <v>-1532510.3735310195</v>
      </c>
      <c r="GR300" s="77">
        <f t="shared" si="857"/>
        <v>-335767.0936550817</v>
      </c>
      <c r="GS300" s="77">
        <f t="shared" si="883"/>
        <v>-587532.67842902301</v>
      </c>
      <c r="GT300" s="77">
        <f t="shared" si="896"/>
        <v>-503599.43865344831</v>
      </c>
      <c r="GU300" s="77">
        <f t="shared" si="897"/>
        <v>-419666.1988778736</v>
      </c>
      <c r="GV300" s="77">
        <f t="shared" si="898"/>
        <v>-335732.95910229883</v>
      </c>
      <c r="GW300" s="77">
        <f t="shared" si="901"/>
        <v>-251799.71932672415</v>
      </c>
      <c r="GX300" s="77">
        <f t="shared" si="908"/>
        <v>-167866.47955114942</v>
      </c>
      <c r="GY300" s="77">
        <f t="shared" si="908"/>
        <v>-83933.239775574708</v>
      </c>
      <c r="GZ300" s="77">
        <f t="shared" si="908"/>
        <v>0</v>
      </c>
      <c r="HA300" s="77">
        <f t="shared" si="908"/>
        <v>83933.239775574708</v>
      </c>
      <c r="HB300" s="77">
        <f t="shared" si="908"/>
        <v>167866.47955114942</v>
      </c>
      <c r="HC300" s="77">
        <f t="shared" si="908"/>
        <v>251799.71932672415</v>
      </c>
      <c r="HD300" s="77">
        <f t="shared" si="908"/>
        <v>335732.95910229883</v>
      </c>
      <c r="HE300" s="77">
        <f t="shared" si="908"/>
        <v>419666.1988778736</v>
      </c>
      <c r="HF300" s="77">
        <f t="shared" si="908"/>
        <v>503599.43865344831</v>
      </c>
      <c r="HG300" s="77">
        <f t="shared" si="908"/>
        <v>587532.67842902301</v>
      </c>
      <c r="HH300" s="77">
        <f t="shared" si="908"/>
        <v>671465.91820459766</v>
      </c>
      <c r="HI300" s="77">
        <f t="shared" si="908"/>
        <v>60695570.067354806</v>
      </c>
      <c r="HJ300" s="77">
        <f t="shared" si="908"/>
        <v>755399.15798017243</v>
      </c>
      <c r="HK300" s="77">
        <f t="shared" si="908"/>
        <v>69366365.791262642</v>
      </c>
      <c r="IC300" s="82">
        <v>316</v>
      </c>
    </row>
    <row r="301" spans="1:237" s="77" customFormat="1">
      <c r="A301" s="77">
        <v>301</v>
      </c>
      <c r="B301" s="122"/>
      <c r="C301" s="123" t="s">
        <v>324</v>
      </c>
      <c r="D301" s="124">
        <v>1</v>
      </c>
      <c r="E301" s="124">
        <v>3</v>
      </c>
      <c r="F301" s="125">
        <f t="shared" si="884"/>
        <v>9.0967741935483862E-2</v>
      </c>
      <c r="G301" s="125"/>
      <c r="H301" s="125">
        <v>6.0000000000000001E-3</v>
      </c>
      <c r="I301" s="125">
        <v>8.2000000000000007E-3</v>
      </c>
      <c r="J301" s="125">
        <f>AU301/AO301</f>
        <v>1.65</v>
      </c>
      <c r="K301" s="125">
        <f t="shared" ref="K301:K332" si="911">AO301/AT301</f>
        <v>10</v>
      </c>
      <c r="L301" s="125">
        <f t="shared" ref="L301:L332" si="912">BD301*BA301/AK301</f>
        <v>3.1618609932903725E-2</v>
      </c>
      <c r="M301" s="125">
        <f t="shared" ref="M301:M332" si="913">BE301*BA301/AK301</f>
        <v>2.9354838709677419E-2</v>
      </c>
      <c r="N301" s="125">
        <f t="shared" ref="N301:N332" si="914">BF301*BB301/AK301</f>
        <v>1.8881985265059684</v>
      </c>
      <c r="O301" s="125">
        <f t="shared" ref="O301:O332" si="915">BG301*BC301/AK301</f>
        <v>0</v>
      </c>
      <c r="P301" s="125">
        <f>AJ301/AK301/AY301</f>
        <v>0</v>
      </c>
      <c r="Q301" s="125" t="s">
        <v>3</v>
      </c>
      <c r="R301" s="126">
        <f t="shared" ref="R301:R345" si="916">AW301/AY301</f>
        <v>0</v>
      </c>
      <c r="S301" s="75">
        <f t="shared" si="809"/>
        <v>0.35814035814053718</v>
      </c>
      <c r="T301" s="59">
        <f t="shared" si="789"/>
        <v>2.0076502407868331</v>
      </c>
      <c r="U301" s="59">
        <f t="shared" si="790"/>
        <v>1.5416106311917328</v>
      </c>
      <c r="V301" s="59">
        <f t="shared" si="791"/>
        <v>1.4702842321214704</v>
      </c>
      <c r="W301" s="59">
        <f t="shared" si="792"/>
        <v>0.73234082423900715</v>
      </c>
      <c r="X301" s="59">
        <f t="shared" si="793"/>
        <v>0.95373254593144319</v>
      </c>
      <c r="Y301" s="127">
        <v>141000</v>
      </c>
      <c r="Z301" s="57">
        <f t="shared" si="794"/>
        <v>134476.28897633348</v>
      </c>
      <c r="AA301" s="57">
        <f t="shared" si="795"/>
        <v>103260.05621770001</v>
      </c>
      <c r="AB301" s="57">
        <f t="shared" si="887"/>
        <v>382552.53144216147</v>
      </c>
      <c r="AC301" s="57">
        <f t="shared" si="796"/>
        <v>0.22600000000000001</v>
      </c>
      <c r="AD301" s="57">
        <f t="shared" si="797"/>
        <v>1.65</v>
      </c>
      <c r="AE301" s="57">
        <f t="shared" si="798"/>
        <v>0</v>
      </c>
      <c r="AF301" s="57">
        <f t="shared" si="799"/>
        <v>68406.935798915918</v>
      </c>
      <c r="AG301" s="57">
        <f t="shared" si="880"/>
        <v>34853.120418784099</v>
      </c>
      <c r="AH301" s="57">
        <f t="shared" si="888"/>
        <v>171606905.23677707</v>
      </c>
      <c r="AI301" s="57">
        <f t="shared" si="889"/>
        <v>459604771.64278936</v>
      </c>
      <c r="AJ301" s="78">
        <v>0</v>
      </c>
      <c r="AK301" s="78">
        <v>15.5</v>
      </c>
      <c r="AL301" s="78">
        <f t="shared" si="800"/>
        <v>2.0741112822243997</v>
      </c>
      <c r="AM301" s="57">
        <f t="shared" si="801"/>
        <v>1</v>
      </c>
      <c r="AN301" s="57">
        <f t="shared" si="802"/>
        <v>0.8</v>
      </c>
      <c r="AO301" s="78">
        <v>1000</v>
      </c>
      <c r="AP301" s="80">
        <f>50+50+25</f>
        <v>125</v>
      </c>
      <c r="AQ301" s="57">
        <f t="shared" si="803"/>
        <v>51.786940713408733</v>
      </c>
      <c r="AR301" s="78">
        <f t="shared" si="890"/>
        <v>750</v>
      </c>
      <c r="AS301" s="57">
        <f t="shared" si="804"/>
        <v>948.21305928659126</v>
      </c>
      <c r="AT301" s="78">
        <v>100</v>
      </c>
      <c r="AU301" s="78">
        <v>1650</v>
      </c>
      <c r="AV301" s="78">
        <f t="shared" si="805"/>
        <v>100000</v>
      </c>
      <c r="AW301" s="78">
        <v>0</v>
      </c>
      <c r="AX301" s="77">
        <f t="shared" si="806"/>
        <v>100000</v>
      </c>
      <c r="AY301" s="78">
        <f t="shared" ref="AY301:AY345" si="917">AO301*AT301</f>
        <v>100000</v>
      </c>
      <c r="AZ301" s="77">
        <f t="shared" si="820"/>
        <v>325</v>
      </c>
      <c r="BA301" s="78">
        <v>325</v>
      </c>
      <c r="BB301" s="57">
        <v>425</v>
      </c>
      <c r="BC301" s="57">
        <v>0</v>
      </c>
      <c r="BD301" s="78">
        <f>4*PI()*6*6/(4*250*3*100)</f>
        <v>1.5079644737231008E-3</v>
      </c>
      <c r="BE301" s="78">
        <v>1.4E-3</v>
      </c>
      <c r="BF301" s="78">
        <f>(2*PI()*6*6+4*PI()*16*16)/(4*125*100)</f>
        <v>6.8863710966688266E-2</v>
      </c>
      <c r="BG301" s="78">
        <v>0</v>
      </c>
      <c r="BH301" s="128">
        <v>400</v>
      </c>
      <c r="BI301" s="128">
        <f>PI()*6*6/4</f>
        <v>28.274333882308138</v>
      </c>
      <c r="BJ301" s="128">
        <v>2</v>
      </c>
      <c r="BK301" s="57">
        <f t="shared" si="881"/>
        <v>56.548667764616276</v>
      </c>
      <c r="BL301" s="57">
        <f t="shared" si="841"/>
        <v>113.09733552923255</v>
      </c>
      <c r="BM301" s="80">
        <f>PI()*16*16/4</f>
        <v>201.06192982974676</v>
      </c>
      <c r="BN301" s="80">
        <v>6</v>
      </c>
      <c r="BO301" s="57">
        <f t="shared" si="892"/>
        <v>1206.3715789784806</v>
      </c>
      <c r="BP301" s="57">
        <f t="shared" si="807"/>
        <v>207310.07672912732</v>
      </c>
      <c r="BQ301" s="77">
        <f t="shared" si="808"/>
        <v>1.4260876923799515E-9</v>
      </c>
      <c r="BR301" s="57">
        <f t="shared" si="843"/>
        <v>342061626.60306007</v>
      </c>
      <c r="BS301" s="57">
        <v>103.57388142681747</v>
      </c>
      <c r="BT301" s="57">
        <f t="shared" si="810"/>
        <v>4.9503527070079638</v>
      </c>
      <c r="BU301" s="57"/>
      <c r="BV301" s="57">
        <v>3.3E-3</v>
      </c>
      <c r="BW301" s="57">
        <v>30000</v>
      </c>
      <c r="BX301" s="57">
        <v>200000</v>
      </c>
      <c r="BY301" s="77">
        <f>25</f>
        <v>25</v>
      </c>
      <c r="BZ301" s="77">
        <f>BY301+50</f>
        <v>75</v>
      </c>
      <c r="CA301" s="77">
        <f>BY301+50*2</f>
        <v>125</v>
      </c>
      <c r="CB301" s="77">
        <f>CA301+250</f>
        <v>375</v>
      </c>
      <c r="CC301" s="77">
        <f>CA301+250*2</f>
        <v>625</v>
      </c>
      <c r="CD301" s="77">
        <f>CA301+250*3</f>
        <v>875</v>
      </c>
      <c r="CE301" s="77">
        <f>CD301+50*1</f>
        <v>925</v>
      </c>
      <c r="CF301" s="77">
        <f>CD301+50*2</f>
        <v>975</v>
      </c>
      <c r="DM301" s="77">
        <f>PI()*16*16/4*2</f>
        <v>402.12385965949352</v>
      </c>
      <c r="DN301" s="77">
        <f>PI()*16*16/4*2</f>
        <v>402.12385965949352</v>
      </c>
      <c r="DO301" s="77">
        <f>PI()*6*6/4*2</f>
        <v>56.548667764616276</v>
      </c>
      <c r="DP301" s="77">
        <f>PI()*6*6/4*2</f>
        <v>56.548667764616276</v>
      </c>
      <c r="DQ301" s="77">
        <f>PI()*6*6/4*2</f>
        <v>56.548667764616276</v>
      </c>
      <c r="DR301" s="77">
        <f>PI()*6*6/4*2</f>
        <v>56.548667764616276</v>
      </c>
      <c r="DS301" s="77">
        <f>PI()*16*16/4*2</f>
        <v>402.12385965949352</v>
      </c>
      <c r="DT301" s="77">
        <f>PI()*16*16/4*2</f>
        <v>402.12385965949352</v>
      </c>
      <c r="FA301" s="77">
        <f t="shared" si="906"/>
        <v>-170902.64035528473</v>
      </c>
      <c r="FB301" s="77">
        <f t="shared" ref="FB301:FB307" si="918">IF(ABS(-$BV301*($BS301-BZ301)/$BS301*$BX301)&gt;$BB301,$BB301*SIGN(-($BS301-BZ301)),-$BV301*($BS301-BZ301)/$BS301*$BX301)*DN301</f>
        <v>-73218.826556474523</v>
      </c>
      <c r="FC301" s="77">
        <f>IF(ABS(-$BV301*($BS301-CA301)/$BS301*$BX301)&gt;$BA301,$BA301*SIGN(-($BS301-CA301)),-$BV301*($BS301-CA301)/$BS301*$BX301)*DO301</f>
        <v>7720.7513422574457</v>
      </c>
      <c r="FD301" s="77">
        <f t="shared" si="885"/>
        <v>18378.317023500291</v>
      </c>
      <c r="FE301" s="77">
        <f t="shared" si="886"/>
        <v>18378.317023500291</v>
      </c>
      <c r="FF301" s="77">
        <f t="shared" si="895"/>
        <v>18378.317023500291</v>
      </c>
      <c r="FG301" s="77">
        <f>IF(ABS(-$BV301*($BS301-CE301)/$BS301*$BX301)&gt;$BB301,$BB301*SIGN(-($BS301-CE301)),-$BV301*($BS301-CE301)/$BS301*$BX301)*DS301</f>
        <v>170902.64035528473</v>
      </c>
      <c r="FH301" s="77">
        <f>IF(ABS(-$BV301*($BS301-CF301)/$BS301*$BX301)&gt;$BB301,$BB301*SIGN(-($BS301-CF301)),-$BV301*($BS301-CF301)/$BS301*$BX301)*DT301</f>
        <v>170902.64035528473</v>
      </c>
      <c r="GO301" s="77">
        <f t="shared" si="854"/>
        <v>81178754.168760255</v>
      </c>
      <c r="GP301" s="77">
        <f t="shared" si="855"/>
        <v>31118001.286501672</v>
      </c>
      <c r="GQ301" s="77">
        <f t="shared" si="856"/>
        <v>-2895281.7533465424</v>
      </c>
      <c r="GR301" s="77">
        <f t="shared" si="857"/>
        <v>-2297289.6279375362</v>
      </c>
      <c r="GS301" s="77">
        <f t="shared" si="883"/>
        <v>2297289.6279375362</v>
      </c>
      <c r="GT301" s="77">
        <f t="shared" si="896"/>
        <v>6891868.8838126091</v>
      </c>
      <c r="GU301" s="77">
        <f t="shared" si="897"/>
        <v>72633622.150996014</v>
      </c>
      <c r="GV301" s="77">
        <f t="shared" si="898"/>
        <v>81178754.168760255</v>
      </c>
      <c r="IC301" s="82">
        <v>317</v>
      </c>
    </row>
    <row r="302" spans="1:237" s="77" customFormat="1">
      <c r="A302" s="77">
        <v>302</v>
      </c>
      <c r="B302" s="122"/>
      <c r="C302" s="123" t="s">
        <v>325</v>
      </c>
      <c r="D302" s="124" t="s">
        <v>326</v>
      </c>
      <c r="E302" s="124">
        <v>1</v>
      </c>
      <c r="F302" s="125">
        <f t="shared" si="884"/>
        <v>9.7006677188486698E-2</v>
      </c>
      <c r="G302" s="125"/>
      <c r="H302" s="125">
        <v>6.0000000000000001E-3</v>
      </c>
      <c r="I302" s="125">
        <v>1.4999999999999999E-2</v>
      </c>
      <c r="J302" s="125">
        <v>1.2</v>
      </c>
      <c r="K302" s="125">
        <f t="shared" si="911"/>
        <v>10</v>
      </c>
      <c r="L302" s="125">
        <f t="shared" si="912"/>
        <v>0.11372238805970147</v>
      </c>
      <c r="M302" s="125">
        <f t="shared" si="913"/>
        <v>0.11372238805970147</v>
      </c>
      <c r="N302" s="125">
        <f t="shared" si="914"/>
        <v>0.91334328358208938</v>
      </c>
      <c r="O302" s="125">
        <f t="shared" si="915"/>
        <v>4.3283582089552235E-2</v>
      </c>
      <c r="P302" s="125">
        <f>AJ302/AK302/AY302</f>
        <v>0</v>
      </c>
      <c r="Q302" s="125" t="s">
        <v>3</v>
      </c>
      <c r="R302" s="126">
        <f t="shared" si="916"/>
        <v>0</v>
      </c>
      <c r="S302" s="75">
        <f t="shared" si="809"/>
        <v>0.6593350531640354</v>
      </c>
      <c r="T302" s="59">
        <f t="shared" si="789"/>
        <v>0.7291978306302086</v>
      </c>
      <c r="U302" s="59">
        <f t="shared" si="790"/>
        <v>0.57055225507482343</v>
      </c>
      <c r="V302" s="59">
        <f t="shared" si="791"/>
        <v>0.88520323418854152</v>
      </c>
      <c r="W302" s="59">
        <f t="shared" si="792"/>
        <v>1.2139411240753493</v>
      </c>
      <c r="X302" s="59">
        <f t="shared" si="793"/>
        <v>1.5514849451825481</v>
      </c>
      <c r="Y302" s="127">
        <f>(101+107)/2*4448</f>
        <v>462592</v>
      </c>
      <c r="Z302" s="57">
        <f t="shared" si="794"/>
        <v>717704.52376188524</v>
      </c>
      <c r="AA302" s="57">
        <f t="shared" si="795"/>
        <v>561559.45246826392</v>
      </c>
      <c r="AB302" s="57">
        <f t="shared" si="887"/>
        <v>674007.75308743189</v>
      </c>
      <c r="AC302" s="57">
        <f t="shared" si="796"/>
        <v>0.25</v>
      </c>
      <c r="AD302" s="57">
        <f t="shared" si="797"/>
        <v>1.5</v>
      </c>
      <c r="AE302" s="57">
        <f t="shared" si="798"/>
        <v>0</v>
      </c>
      <c r="AF302" s="57">
        <f t="shared" si="799"/>
        <v>148184.57225864218</v>
      </c>
      <c r="AG302" s="57">
        <f t="shared" si="880"/>
        <v>413374.88020962174</v>
      </c>
      <c r="AH302" s="57">
        <f t="shared" si="888"/>
        <v>426171881.37965173</v>
      </c>
      <c r="AI302" s="57">
        <f t="shared" si="889"/>
        <v>395578371.18454516</v>
      </c>
      <c r="AJ302" s="78">
        <v>0</v>
      </c>
      <c r="AK302" s="77">
        <f>6.7*6.895</f>
        <v>46.1965</v>
      </c>
      <c r="AL302" s="78">
        <f t="shared" si="800"/>
        <v>3.781678549417383</v>
      </c>
      <c r="AM302" s="57">
        <f t="shared" si="801"/>
        <v>0.97843026315789472</v>
      </c>
      <c r="AN302" s="57">
        <f t="shared" si="802"/>
        <v>0.77843026315789476</v>
      </c>
      <c r="AO302" s="77">
        <f>40*25.4</f>
        <v>1016</v>
      </c>
      <c r="AP302" s="79">
        <f>4*25.4</f>
        <v>101.6</v>
      </c>
      <c r="AQ302" s="57">
        <f t="shared" si="803"/>
        <v>51.805429774347722</v>
      </c>
      <c r="AR302" s="78">
        <f t="shared" si="890"/>
        <v>812.8</v>
      </c>
      <c r="AS302" s="57">
        <f t="shared" si="804"/>
        <v>964.19457022565223</v>
      </c>
      <c r="AT302" s="77">
        <f>4*25.4</f>
        <v>101.6</v>
      </c>
      <c r="AU302" s="77">
        <f>48*25.4</f>
        <v>1219.1999999999998</v>
      </c>
      <c r="AV302" s="78">
        <f t="shared" si="805"/>
        <v>103225.59999999999</v>
      </c>
      <c r="AW302" s="77">
        <v>0</v>
      </c>
      <c r="AX302" s="77">
        <f t="shared" si="806"/>
        <v>103225.59999999999</v>
      </c>
      <c r="AY302" s="78">
        <f t="shared" si="917"/>
        <v>103225.59999999999</v>
      </c>
      <c r="AZ302" s="77">
        <f t="shared" si="820"/>
        <v>632.9609999999999</v>
      </c>
      <c r="BA302" s="77">
        <f>91.8*6.895</f>
        <v>632.9609999999999</v>
      </c>
      <c r="BB302" s="77">
        <f>(64.4+65.8)/2*6.895</f>
        <v>448.86449999999991</v>
      </c>
      <c r="BC302" s="77">
        <f>29*6.895</f>
        <v>199.95499999999998</v>
      </c>
      <c r="BD302" s="77">
        <v>8.3000000000000001E-3</v>
      </c>
      <c r="BE302" s="77">
        <v>8.3000000000000001E-3</v>
      </c>
      <c r="BF302" s="77">
        <v>9.4E-2</v>
      </c>
      <c r="BG302" s="77">
        <v>0.01</v>
      </c>
      <c r="BH302" s="79">
        <f>3*25.4</f>
        <v>76.199999999999989</v>
      </c>
      <c r="BI302" s="79">
        <f>0.05*25.4*25.4</f>
        <v>32.257999999999996</v>
      </c>
      <c r="BJ302" s="79">
        <v>2</v>
      </c>
      <c r="BK302" s="57">
        <f t="shared" si="881"/>
        <v>64.515999999999991</v>
      </c>
      <c r="BL302" s="57">
        <f t="shared" si="841"/>
        <v>685.41798399999993</v>
      </c>
      <c r="BM302" s="80">
        <f>PI()*5/8*25.4*5/8*25.4/4+PI()*6/8*25.4*6/8*25.4/4</f>
        <v>482.95556601480246</v>
      </c>
      <c r="BN302" s="80">
        <v>2</v>
      </c>
      <c r="BO302" s="57">
        <f t="shared" si="892"/>
        <v>965.91113202960491</v>
      </c>
      <c r="BP302" s="57">
        <f t="shared" si="807"/>
        <v>409487.9345097458</v>
      </c>
      <c r="BQ302" s="77">
        <f t="shared" si="808"/>
        <v>0</v>
      </c>
      <c r="BR302" s="57">
        <f t="shared" si="843"/>
        <v>499247689.754282</v>
      </c>
      <c r="BS302" s="57">
        <v>103.61085954869544</v>
      </c>
      <c r="BT302" s="57">
        <f t="shared" si="810"/>
        <v>18.878747473009589</v>
      </c>
      <c r="BU302" s="57"/>
      <c r="BV302" s="57">
        <v>3.3E-3</v>
      </c>
      <c r="BW302" s="57">
        <v>30000</v>
      </c>
      <c r="BX302" s="57">
        <v>200000</v>
      </c>
      <c r="BY302" s="77">
        <f>2*25.4</f>
        <v>50.8</v>
      </c>
      <c r="BZ302" s="77">
        <f>BY302+2*25.4</f>
        <v>101.6</v>
      </c>
      <c r="CA302" s="77">
        <f>BZ302+2.5*25.4</f>
        <v>165.1</v>
      </c>
      <c r="CB302" s="77">
        <f>CA302+3*25.4*1</f>
        <v>241.29999999999998</v>
      </c>
      <c r="CC302" s="77">
        <f>CA302+3*25.4*2</f>
        <v>317.5</v>
      </c>
      <c r="CD302" s="77">
        <f>CA302+3*25.4*3</f>
        <v>393.69999999999993</v>
      </c>
      <c r="CE302" s="77">
        <f>CA302+3*25.4*4</f>
        <v>469.9</v>
      </c>
      <c r="CF302" s="77">
        <f>CA302+3*25.4*5</f>
        <v>546.09999999999991</v>
      </c>
      <c r="CG302" s="77">
        <f>CA302+3*25.4*6</f>
        <v>622.29999999999995</v>
      </c>
      <c r="CH302" s="77">
        <f>CA302+3*25.4*7</f>
        <v>698.49999999999989</v>
      </c>
      <c r="CI302" s="77">
        <f>CA302+3*25.4*8</f>
        <v>774.69999999999993</v>
      </c>
      <c r="CJ302" s="77">
        <f>CA302+3*25.4*9</f>
        <v>850.9</v>
      </c>
      <c r="CK302" s="77">
        <f>CJ302+2.5*25.4</f>
        <v>914.4</v>
      </c>
      <c r="CL302" s="77">
        <f>CK302+2*25.4</f>
        <v>965.19999999999993</v>
      </c>
      <c r="DM302" s="77">
        <f>PI()*6/8*25.4*6/8*25.4/4*2</f>
        <v>570.04591398468494</v>
      </c>
      <c r="DN302" s="77">
        <f>PI()*5/8*25.4*5/8*25.4/4*2</f>
        <v>395.86521804492003</v>
      </c>
      <c r="DO302" s="77">
        <f t="shared" ref="DO302:DX302" si="919">PI()*5*5/4*2</f>
        <v>39.269908169872416</v>
      </c>
      <c r="DP302" s="77">
        <f t="shared" si="919"/>
        <v>39.269908169872416</v>
      </c>
      <c r="DQ302" s="77">
        <f t="shared" si="919"/>
        <v>39.269908169872416</v>
      </c>
      <c r="DR302" s="77">
        <f t="shared" si="919"/>
        <v>39.269908169872416</v>
      </c>
      <c r="DS302" s="77">
        <f t="shared" si="919"/>
        <v>39.269908169872416</v>
      </c>
      <c r="DT302" s="77">
        <f t="shared" si="919"/>
        <v>39.269908169872416</v>
      </c>
      <c r="DU302" s="77">
        <f t="shared" si="919"/>
        <v>39.269908169872416</v>
      </c>
      <c r="DV302" s="77">
        <f t="shared" si="919"/>
        <v>39.269908169872416</v>
      </c>
      <c r="DW302" s="77">
        <f t="shared" si="919"/>
        <v>39.269908169872416</v>
      </c>
      <c r="DX302" s="77">
        <f t="shared" si="919"/>
        <v>39.269908169872416</v>
      </c>
      <c r="DY302" s="77">
        <f>PI()*5/8*25.4*5/8*25.4/4*2</f>
        <v>395.86521804492003</v>
      </c>
      <c r="DZ302" s="77">
        <f>PI()*6/8*25.4*6/8*25.4/4*2</f>
        <v>570.04591398468494</v>
      </c>
      <c r="FA302" s="77">
        <f t="shared" si="906"/>
        <v>-191766.05414125335</v>
      </c>
      <c r="FB302" s="77">
        <f t="shared" si="918"/>
        <v>-5070.6979532046289</v>
      </c>
      <c r="FC302" s="77">
        <f>IF(ABS(-$BV302*($BS302-CA302)/$BS302*$BX302)&gt;$BA302,$BA302*SIGN(-($BS302-CA302)),-$BV302*($BS302-CA302)/$BS302*$BX302)*DO302</f>
        <v>15381.438975219498</v>
      </c>
      <c r="FD302" s="77">
        <f t="shared" si="885"/>
        <v>24856.320345110609</v>
      </c>
      <c r="FE302" s="77">
        <f t="shared" si="886"/>
        <v>24856.320345110609</v>
      </c>
      <c r="FF302" s="77">
        <f t="shared" si="895"/>
        <v>24856.320345110609</v>
      </c>
      <c r="FG302" s="77">
        <f t="shared" ref="FG302:FL304" si="920">IF(ABS(-$BV302*($BS302-CE302)/$BS302*$BX302)&gt;$BA302,$BA302*SIGN(-($BS302-CE302)),-$BV302*($BS302-CE302)/$BS302*$BX302)*DS302</f>
        <v>24856.320345110609</v>
      </c>
      <c r="FH302" s="77">
        <f t="shared" si="920"/>
        <v>24856.320345110609</v>
      </c>
      <c r="FI302" s="77">
        <f t="shared" si="920"/>
        <v>24856.320345110609</v>
      </c>
      <c r="FJ302" s="77">
        <f t="shared" si="920"/>
        <v>24856.320345110609</v>
      </c>
      <c r="FK302" s="77">
        <f t="shared" si="920"/>
        <v>24856.320345110609</v>
      </c>
      <c r="FL302" s="77">
        <f t="shared" si="920"/>
        <v>24856.320345110609</v>
      </c>
      <c r="FM302" s="77">
        <f t="shared" ref="FM302:FN304" si="921">IF(ABS(-$BV302*($BS302-CK302)/$BS302*$BX302)&gt;$BB302,$BB302*SIGN(-($BS302-CK302)),-$BV302*($BS302-CK302)/$BS302*$BX302)*DY302</f>
        <v>177689.84316512398</v>
      </c>
      <c r="FN302" s="77">
        <f t="shared" si="921"/>
        <v>255873.37415777857</v>
      </c>
      <c r="GO302" s="77">
        <f t="shared" si="854"/>
        <v>87675439.953381032</v>
      </c>
      <c r="GP302" s="77">
        <f t="shared" si="855"/>
        <v>2060731.6481823612</v>
      </c>
      <c r="GQ302" s="77">
        <f t="shared" si="856"/>
        <v>-5274295.4246027656</v>
      </c>
      <c r="GR302" s="77">
        <f t="shared" si="857"/>
        <v>-6629180.6360410005</v>
      </c>
      <c r="GS302" s="77">
        <f t="shared" si="883"/>
        <v>-4735129.0257435711</v>
      </c>
      <c r="GT302" s="77">
        <f t="shared" si="896"/>
        <v>-2841077.4154461445</v>
      </c>
      <c r="GU302" s="77">
        <f t="shared" si="897"/>
        <v>-947025.8051487148</v>
      </c>
      <c r="GV302" s="77">
        <f t="shared" si="898"/>
        <v>947025.80514871189</v>
      </c>
      <c r="GW302" s="77">
        <f t="shared" ref="GW302:HB304" si="922">FI302*(CG302-0.5*$AO302)</f>
        <v>2841077.4154461413</v>
      </c>
      <c r="GX302" s="77">
        <f t="shared" si="922"/>
        <v>4735129.0257435683</v>
      </c>
      <c r="GY302" s="77">
        <f t="shared" si="922"/>
        <v>6629180.6360409977</v>
      </c>
      <c r="GZ302" s="77">
        <f t="shared" si="922"/>
        <v>8523232.2463384271</v>
      </c>
      <c r="HA302" s="77">
        <f t="shared" si="922"/>
        <v>72213152.262306377</v>
      </c>
      <c r="HB302" s="77">
        <f t="shared" si="922"/>
        <v>116985306.66493635</v>
      </c>
      <c r="IC302" s="82">
        <v>319</v>
      </c>
    </row>
    <row r="303" spans="1:237" s="77" customFormat="1">
      <c r="A303" s="77">
        <v>303</v>
      </c>
      <c r="B303" s="122"/>
      <c r="C303" s="123" t="s">
        <v>325</v>
      </c>
      <c r="D303" s="124" t="s">
        <v>42</v>
      </c>
      <c r="E303" s="124">
        <v>1</v>
      </c>
      <c r="F303" s="125">
        <f t="shared" si="884"/>
        <v>8.0967380294185584E-2</v>
      </c>
      <c r="G303" s="125"/>
      <c r="H303" s="125">
        <v>1.2999999999999999E-2</v>
      </c>
      <c r="I303" s="125">
        <v>2.1000000000000001E-2</v>
      </c>
      <c r="J303" s="125">
        <v>1.5</v>
      </c>
      <c r="K303" s="125">
        <f t="shared" si="911"/>
        <v>10</v>
      </c>
      <c r="L303" s="125">
        <f t="shared" si="912"/>
        <v>0.10159264705882354</v>
      </c>
      <c r="M303" s="125">
        <f t="shared" si="913"/>
        <v>0.10159264705882354</v>
      </c>
      <c r="N303" s="125">
        <f t="shared" si="914"/>
        <v>0.97524999999999995</v>
      </c>
      <c r="O303" s="125">
        <f t="shared" si="915"/>
        <v>4.2647058823529413E-2</v>
      </c>
      <c r="P303" s="125">
        <f>AJ303/AK303/AY303</f>
        <v>0</v>
      </c>
      <c r="Q303" s="125" t="s">
        <v>3</v>
      </c>
      <c r="R303" s="126">
        <f t="shared" si="916"/>
        <v>0</v>
      </c>
      <c r="S303" s="75">
        <f t="shared" si="809"/>
        <v>0.55441079703544704</v>
      </c>
      <c r="T303" s="59">
        <f t="shared" si="789"/>
        <v>0.79479187942874929</v>
      </c>
      <c r="U303" s="59">
        <f t="shared" si="790"/>
        <v>0.61519443678139929</v>
      </c>
      <c r="V303" s="59">
        <f t="shared" si="791"/>
        <v>1.0493154204201574</v>
      </c>
      <c r="W303" s="59">
        <f t="shared" si="792"/>
        <v>1.3202392319035079</v>
      </c>
      <c r="X303" s="59">
        <f t="shared" si="793"/>
        <v>1.7056646771872823</v>
      </c>
      <c r="Y303" s="127">
        <f>(87.9+88.3)/2*4448</f>
        <v>391868.8</v>
      </c>
      <c r="Z303" s="57">
        <f t="shared" si="794"/>
        <v>668396.77025176771</v>
      </c>
      <c r="AA303" s="57">
        <f t="shared" si="795"/>
        <v>517360.56351894932</v>
      </c>
      <c r="AB303" s="57">
        <f t="shared" si="887"/>
        <v>495559.94336909457</v>
      </c>
      <c r="AC303" s="57">
        <f t="shared" si="796"/>
        <v>0.25</v>
      </c>
      <c r="AD303" s="57">
        <f t="shared" si="797"/>
        <v>1.5</v>
      </c>
      <c r="AE303" s="57">
        <f t="shared" si="798"/>
        <v>0</v>
      </c>
      <c r="AF303" s="57">
        <f t="shared" si="799"/>
        <v>149186.02845343883</v>
      </c>
      <c r="AG303" s="57">
        <f t="shared" si="880"/>
        <v>368174.53506551048</v>
      </c>
      <c r="AH303" s="57">
        <f t="shared" si="888"/>
        <v>327817459.82140768</v>
      </c>
      <c r="AI303" s="57">
        <f t="shared" si="889"/>
        <v>427415893.87309241</v>
      </c>
      <c r="AJ303" s="78">
        <v>0</v>
      </c>
      <c r="AK303" s="77">
        <f>6.8*6.895</f>
        <v>46.885999999999996</v>
      </c>
      <c r="AL303" s="78">
        <f t="shared" si="800"/>
        <v>3.8126186735590677</v>
      </c>
      <c r="AM303" s="57">
        <f t="shared" si="801"/>
        <v>0.97661578947368421</v>
      </c>
      <c r="AN303" s="57">
        <f t="shared" si="802"/>
        <v>0.77661578947368426</v>
      </c>
      <c r="AO303" s="77">
        <f>40*25.4</f>
        <v>1016</v>
      </c>
      <c r="AP303" s="79">
        <f>3*25.4</f>
        <v>76.199999999999989</v>
      </c>
      <c r="AQ303" s="57">
        <f t="shared" si="803"/>
        <v>53.166743182908078</v>
      </c>
      <c r="AR303" s="78">
        <f t="shared" si="890"/>
        <v>863.6</v>
      </c>
      <c r="AS303" s="57">
        <f t="shared" si="804"/>
        <v>962.83325681709198</v>
      </c>
      <c r="AT303" s="77">
        <f>4*25.4</f>
        <v>101.6</v>
      </c>
      <c r="AU303" s="77">
        <f>60*25.4</f>
        <v>1524</v>
      </c>
      <c r="AV303" s="78">
        <f t="shared" si="805"/>
        <v>103225.59999999999</v>
      </c>
      <c r="AW303" s="77">
        <v>0</v>
      </c>
      <c r="AX303" s="77">
        <f t="shared" si="806"/>
        <v>103225.59999999999</v>
      </c>
      <c r="AY303" s="78">
        <f t="shared" si="917"/>
        <v>103225.59999999999</v>
      </c>
      <c r="AZ303" s="77">
        <f t="shared" si="820"/>
        <v>670.88349999999991</v>
      </c>
      <c r="BA303" s="77">
        <f>97.3*6.895</f>
        <v>670.88349999999991</v>
      </c>
      <c r="BB303" s="77">
        <f>(69.8+71.3)/2*6.895</f>
        <v>486.44224999999994</v>
      </c>
      <c r="BC303" s="77">
        <f>29*6.895</f>
        <v>199.95499999999998</v>
      </c>
      <c r="BD303" s="77">
        <v>7.1000000000000004E-3</v>
      </c>
      <c r="BE303" s="77">
        <v>7.1000000000000004E-3</v>
      </c>
      <c r="BF303" s="77">
        <v>9.4E-2</v>
      </c>
      <c r="BG303" s="77">
        <v>0.01</v>
      </c>
      <c r="BH303" s="79">
        <f>3.5*25.4</f>
        <v>88.899999999999991</v>
      </c>
      <c r="BI303" s="79">
        <f>PI()*2/8*25.4*2/8*25.4/4</f>
        <v>31.669217443593606</v>
      </c>
      <c r="BJ303" s="79">
        <v>2</v>
      </c>
      <c r="BK303" s="57">
        <f t="shared" si="881"/>
        <v>63.338434887187212</v>
      </c>
      <c r="BL303" s="57">
        <f t="shared" si="841"/>
        <v>622.96649600000001</v>
      </c>
      <c r="BM303" s="80">
        <f>PI()*5/8*25.4*5/8*25.4/4+PI()*6/8*25.4*6/8*25.4/4</f>
        <v>482.95556601480246</v>
      </c>
      <c r="BN303" s="80">
        <v>2</v>
      </c>
      <c r="BO303" s="57">
        <f t="shared" si="892"/>
        <v>965.91113202960491</v>
      </c>
      <c r="BP303" s="57">
        <f t="shared" si="807"/>
        <v>411193.97462154255</v>
      </c>
      <c r="BQ303" s="77">
        <f t="shared" si="808"/>
        <v>0</v>
      </c>
      <c r="BR303" s="57">
        <f t="shared" si="843"/>
        <v>626659617.32323086</v>
      </c>
      <c r="BS303" s="57">
        <v>106.33348636581616</v>
      </c>
      <c r="BT303" s="57">
        <f t="shared" si="810"/>
        <v>12.735955820053716</v>
      </c>
      <c r="BU303" s="57"/>
      <c r="BV303" s="57">
        <v>3.3E-3</v>
      </c>
      <c r="BW303" s="57">
        <v>30000</v>
      </c>
      <c r="BX303" s="57">
        <v>200000</v>
      </c>
      <c r="BY303" s="77">
        <f>1*25.4</f>
        <v>25.4</v>
      </c>
      <c r="BZ303" s="77">
        <f>BY303+2*25.4</f>
        <v>76.199999999999989</v>
      </c>
      <c r="CA303" s="77">
        <f>BZ303+1.25*25.4</f>
        <v>107.94999999999999</v>
      </c>
      <c r="CB303" s="77">
        <f>CA303+3.5*25.4*1</f>
        <v>196.84999999999997</v>
      </c>
      <c r="CC303" s="77">
        <f>CA303+3.5*25.4*2</f>
        <v>285.75</v>
      </c>
      <c r="CD303" s="77">
        <f>CA303+3.5*25.4*3</f>
        <v>374.65</v>
      </c>
      <c r="CE303" s="77">
        <f>CA303+3.5*25.4*4</f>
        <v>463.54999999999995</v>
      </c>
      <c r="CF303" s="77">
        <f>CA303+3.5*25.4*5</f>
        <v>552.44999999999993</v>
      </c>
      <c r="CG303" s="77">
        <f>CA303+3.5*25.4*6</f>
        <v>641.34999999999991</v>
      </c>
      <c r="CH303" s="77">
        <f>CA303+3.5*25.4*7</f>
        <v>730.25</v>
      </c>
      <c r="CI303" s="77">
        <f>CA303+3.5*25.4*8</f>
        <v>819.14999999999986</v>
      </c>
      <c r="CJ303" s="77">
        <f>CA303+3.5*25.4*9</f>
        <v>908.05</v>
      </c>
      <c r="CK303" s="77">
        <f>CJ303+1.25*25.4</f>
        <v>939.8</v>
      </c>
      <c r="CL303" s="77">
        <f>CK303+2*25.4</f>
        <v>990.59999999999991</v>
      </c>
      <c r="DM303" s="77">
        <f>PI()*6/8*25.4*6/8*25.4/4*2</f>
        <v>570.04591398468494</v>
      </c>
      <c r="DN303" s="77">
        <f>PI()*5/8*25.4*5/8*25.4/4*2</f>
        <v>395.86521804492003</v>
      </c>
      <c r="DO303" s="77">
        <f t="shared" ref="DO303:DX303" si="923">PI()*2/8*25.4*2/8*25.4/4*2</f>
        <v>63.338434887187212</v>
      </c>
      <c r="DP303" s="77">
        <f t="shared" si="923"/>
        <v>63.338434887187212</v>
      </c>
      <c r="DQ303" s="77">
        <f t="shared" si="923"/>
        <v>63.338434887187212</v>
      </c>
      <c r="DR303" s="77">
        <f t="shared" si="923"/>
        <v>63.338434887187212</v>
      </c>
      <c r="DS303" s="77">
        <f t="shared" si="923"/>
        <v>63.338434887187212</v>
      </c>
      <c r="DT303" s="77">
        <f t="shared" si="923"/>
        <v>63.338434887187212</v>
      </c>
      <c r="DU303" s="77">
        <f t="shared" si="923"/>
        <v>63.338434887187212</v>
      </c>
      <c r="DV303" s="77">
        <f t="shared" si="923"/>
        <v>63.338434887187212</v>
      </c>
      <c r="DW303" s="77">
        <f t="shared" si="923"/>
        <v>63.338434887187212</v>
      </c>
      <c r="DX303" s="77">
        <f t="shared" si="923"/>
        <v>63.338434887187212</v>
      </c>
      <c r="DY303" s="77">
        <f>PI()*5/8*25.4*5/8*25.4/4*2</f>
        <v>395.86521804492003</v>
      </c>
      <c r="DZ303" s="77">
        <f>PI()*6/8*25.4*6/8*25.4/4*2</f>
        <v>570.04591398468494</v>
      </c>
      <c r="FA303" s="77">
        <f t="shared" si="906"/>
        <v>-277294.41700201656</v>
      </c>
      <c r="FB303" s="77">
        <f t="shared" si="918"/>
        <v>-74040.715756733684</v>
      </c>
      <c r="FC303" s="77">
        <f>IF(ABS(-$BV303*($BS303-CA303)/$BS303*$BX303)&gt;$BA303,$BA303*SIGN(-($BS303-CA303)),-$BV303*($BS303-CA303)/$BS303*$BX303)*DO303</f>
        <v>635.50735578351237</v>
      </c>
      <c r="FD303" s="77">
        <f t="shared" si="885"/>
        <v>35585.168610994042</v>
      </c>
      <c r="FE303" s="77">
        <f t="shared" si="886"/>
        <v>42492.710881638253</v>
      </c>
      <c r="FF303" s="77">
        <f t="shared" si="895"/>
        <v>42492.710881638253</v>
      </c>
      <c r="FG303" s="77">
        <f t="shared" si="920"/>
        <v>42492.710881638253</v>
      </c>
      <c r="FH303" s="77">
        <f t="shared" si="920"/>
        <v>42492.710881638253</v>
      </c>
      <c r="FI303" s="77">
        <f t="shared" si="920"/>
        <v>42492.710881638253</v>
      </c>
      <c r="FJ303" s="77">
        <f t="shared" si="920"/>
        <v>42492.710881638253</v>
      </c>
      <c r="FK303" s="77">
        <f t="shared" si="920"/>
        <v>42492.710881638253</v>
      </c>
      <c r="FL303" s="77">
        <f t="shared" si="920"/>
        <v>42492.710881638253</v>
      </c>
      <c r="FM303" s="77">
        <f t="shared" si="921"/>
        <v>192565.56736251147</v>
      </c>
      <c r="FN303" s="77">
        <f t="shared" si="921"/>
        <v>277294.41700201656</v>
      </c>
      <c r="GO303" s="77">
        <f t="shared" si="854"/>
        <v>133822285.64517319</v>
      </c>
      <c r="GP303" s="77">
        <f t="shared" si="855"/>
        <v>31970781.063757606</v>
      </c>
      <c r="GQ303" s="77">
        <f t="shared" si="856"/>
        <v>-254234.71768119413</v>
      </c>
      <c r="GR303" s="77">
        <f t="shared" si="857"/>
        <v>-11072325.213310797</v>
      </c>
      <c r="GS303" s="77">
        <f t="shared" si="883"/>
        <v>-9444004.9934441019</v>
      </c>
      <c r="GT303" s="77">
        <f t="shared" si="896"/>
        <v>-5666402.9960664622</v>
      </c>
      <c r="GU303" s="77">
        <f t="shared" si="897"/>
        <v>-1888800.9986888224</v>
      </c>
      <c r="GV303" s="77">
        <f t="shared" si="898"/>
        <v>1888800.9986888175</v>
      </c>
      <c r="GW303" s="77">
        <f t="shared" si="922"/>
        <v>5666402.9960664576</v>
      </c>
      <c r="GX303" s="77">
        <f t="shared" si="922"/>
        <v>9444004.9934441019</v>
      </c>
      <c r="GY303" s="77">
        <f t="shared" si="922"/>
        <v>13221606.990821736</v>
      </c>
      <c r="GZ303" s="77">
        <f t="shared" si="922"/>
        <v>16999208.988199383</v>
      </c>
      <c r="HA303" s="77">
        <f t="shared" si="922"/>
        <v>83149811.987132445</v>
      </c>
      <c r="HB303" s="77">
        <f t="shared" si="922"/>
        <v>133822285.64517316</v>
      </c>
      <c r="IC303" s="82">
        <v>320</v>
      </c>
    </row>
    <row r="304" spans="1:237" s="77" customFormat="1">
      <c r="A304" s="77">
        <v>304</v>
      </c>
      <c r="B304" s="122"/>
      <c r="C304" s="123" t="s">
        <v>325</v>
      </c>
      <c r="D304" s="124" t="s">
        <v>322</v>
      </c>
      <c r="E304" s="124">
        <v>1</v>
      </c>
      <c r="F304" s="125">
        <f t="shared" si="884"/>
        <v>0.11843751026153251</v>
      </c>
      <c r="G304" s="125"/>
      <c r="H304" s="125">
        <v>1.4999999999999999E-2</v>
      </c>
      <c r="I304" s="125">
        <v>1.4999999999999999E-2</v>
      </c>
      <c r="J304" s="125">
        <v>1.5</v>
      </c>
      <c r="K304" s="125">
        <f t="shared" si="911"/>
        <v>10</v>
      </c>
      <c r="L304" s="125">
        <f t="shared" si="912"/>
        <v>9.74741935483871E-2</v>
      </c>
      <c r="M304" s="125">
        <f t="shared" si="913"/>
        <v>9.74741935483871E-2</v>
      </c>
      <c r="N304" s="125">
        <f t="shared" si="914"/>
        <v>1.4310483870967743</v>
      </c>
      <c r="O304" s="125">
        <f t="shared" si="915"/>
        <v>4.6774193548387098E-2</v>
      </c>
      <c r="P304" s="125">
        <f>AJ304/AK304/AY304</f>
        <v>0</v>
      </c>
      <c r="Q304" s="125" t="s">
        <v>3</v>
      </c>
      <c r="R304" s="126">
        <f t="shared" si="916"/>
        <v>0</v>
      </c>
      <c r="S304" s="75">
        <f t="shared" si="809"/>
        <v>0.77437665033612801</v>
      </c>
      <c r="T304" s="59">
        <f t="shared" si="789"/>
        <v>0.89200019851563339</v>
      </c>
      <c r="U304" s="59">
        <f t="shared" si="790"/>
        <v>0.69295732001713484</v>
      </c>
      <c r="V304" s="59">
        <f t="shared" si="791"/>
        <v>0.79401914963773623</v>
      </c>
      <c r="W304" s="59">
        <f t="shared" si="792"/>
        <v>0.89015579924651778</v>
      </c>
      <c r="X304" s="59">
        <f t="shared" si="793"/>
        <v>1.1458413479463678</v>
      </c>
      <c r="Y304" s="127">
        <f>(119+116)/2*4448</f>
        <v>522640</v>
      </c>
      <c r="Z304" s="57">
        <f t="shared" si="794"/>
        <v>598862.52209068963</v>
      </c>
      <c r="AA304" s="57">
        <f t="shared" si="795"/>
        <v>465231.02691820008</v>
      </c>
      <c r="AB304" s="57">
        <f t="shared" si="887"/>
        <v>636437.43123704009</v>
      </c>
      <c r="AC304" s="57">
        <f t="shared" si="796"/>
        <v>0.25</v>
      </c>
      <c r="AD304" s="57">
        <f t="shared" si="797"/>
        <v>1.5</v>
      </c>
      <c r="AE304" s="57">
        <f t="shared" si="798"/>
        <v>0</v>
      </c>
      <c r="AF304" s="57">
        <f t="shared" si="799"/>
        <v>141478.97003637018</v>
      </c>
      <c r="AG304" s="57">
        <f t="shared" si="880"/>
        <v>323752.05688182992</v>
      </c>
      <c r="AH304" s="57">
        <f t="shared" si="888"/>
        <v>396493735.30757147</v>
      </c>
      <c r="AI304" s="57">
        <f t="shared" si="889"/>
        <v>573436909.89767754</v>
      </c>
      <c r="AJ304" s="78">
        <v>0</v>
      </c>
      <c r="AK304" s="77">
        <f>6.2*6.895</f>
        <v>42.748999999999995</v>
      </c>
      <c r="AL304" s="78">
        <f t="shared" si="800"/>
        <v>3.6237555864287496</v>
      </c>
      <c r="AM304" s="57">
        <f t="shared" si="801"/>
        <v>0.98750263157894735</v>
      </c>
      <c r="AN304" s="57">
        <f t="shared" si="802"/>
        <v>0.7875026315789474</v>
      </c>
      <c r="AO304" s="77">
        <f>40*25.4</f>
        <v>1016</v>
      </c>
      <c r="AP304" s="79">
        <f>4*25.4</f>
        <v>101.6</v>
      </c>
      <c r="AQ304" s="57">
        <f t="shared" si="803"/>
        <v>55.318798971206142</v>
      </c>
      <c r="AR304" s="78">
        <f t="shared" si="890"/>
        <v>812.8</v>
      </c>
      <c r="AS304" s="57">
        <f t="shared" si="804"/>
        <v>960.68120102879391</v>
      </c>
      <c r="AT304" s="77">
        <f>4*25.4</f>
        <v>101.6</v>
      </c>
      <c r="AU304" s="77">
        <f>60*25.4</f>
        <v>1524</v>
      </c>
      <c r="AV304" s="78">
        <f t="shared" si="805"/>
        <v>103225.59999999999</v>
      </c>
      <c r="AW304" s="77">
        <v>0</v>
      </c>
      <c r="AX304" s="77">
        <f t="shared" si="806"/>
        <v>103225.59999999999</v>
      </c>
      <c r="AY304" s="78">
        <f t="shared" si="917"/>
        <v>103225.59999999999</v>
      </c>
      <c r="AZ304" s="77">
        <f t="shared" si="820"/>
        <v>621.92899999999997</v>
      </c>
      <c r="BA304" s="77">
        <f>90.2*6.895</f>
        <v>621.92899999999997</v>
      </c>
      <c r="BB304" s="77">
        <f>(69.3+67.2)/2*6.895</f>
        <v>470.58374999999995</v>
      </c>
      <c r="BC304" s="77">
        <f>29*6.895</f>
        <v>199.95499999999998</v>
      </c>
      <c r="BD304" s="77">
        <v>6.7000000000000002E-3</v>
      </c>
      <c r="BE304" s="77">
        <v>6.7000000000000002E-3</v>
      </c>
      <c r="BF304" s="77">
        <v>0.13</v>
      </c>
      <c r="BG304" s="77">
        <v>0.01</v>
      </c>
      <c r="BH304" s="79">
        <f>3*25.4</f>
        <v>76.199999999999989</v>
      </c>
      <c r="BI304" s="79">
        <f>0.04*25.4*25.4</f>
        <v>25.8064</v>
      </c>
      <c r="BJ304" s="79">
        <v>2</v>
      </c>
      <c r="BK304" s="57">
        <f t="shared" si="881"/>
        <v>51.6128</v>
      </c>
      <c r="BL304" s="57">
        <f t="shared" si="841"/>
        <v>553.28921600000001</v>
      </c>
      <c r="BM304" s="79">
        <f>PI()*6/8*25.4*6/8*25.4/4+PI()*7/8*25.4*7/8*25.4/4</f>
        <v>672.97087067636403</v>
      </c>
      <c r="BN304" s="80">
        <v>2</v>
      </c>
      <c r="BO304" s="57">
        <f t="shared" si="892"/>
        <v>1345.9417413527281</v>
      </c>
      <c r="BP304" s="57">
        <f t="shared" si="807"/>
        <v>414986.16836666648</v>
      </c>
      <c r="BQ304" s="77">
        <f t="shared" si="808"/>
        <v>5.8207660913467407E-10</v>
      </c>
      <c r="BR304" s="57">
        <f t="shared" si="843"/>
        <v>632438920.59079969</v>
      </c>
      <c r="BS304" s="57">
        <v>110.63759794241228</v>
      </c>
      <c r="BT304" s="57">
        <f t="shared" si="810"/>
        <v>15.646321113379175</v>
      </c>
      <c r="BU304" s="57"/>
      <c r="BV304" s="57">
        <v>3.3E-3</v>
      </c>
      <c r="BW304" s="57">
        <v>30000</v>
      </c>
      <c r="BX304" s="57">
        <v>200000</v>
      </c>
      <c r="BY304" s="77">
        <f>2*25.4</f>
        <v>50.8</v>
      </c>
      <c r="BZ304" s="77">
        <f>BY304+2*25.4</f>
        <v>101.6</v>
      </c>
      <c r="CA304" s="77">
        <f>BZ304+2.5*25.4</f>
        <v>165.1</v>
      </c>
      <c r="CB304" s="77">
        <f>CA304+3*25.4*1</f>
        <v>241.29999999999998</v>
      </c>
      <c r="CC304" s="77">
        <f>CA304+3*25.4*2</f>
        <v>317.5</v>
      </c>
      <c r="CD304" s="77">
        <f>CA304+3*25.4*3</f>
        <v>393.69999999999993</v>
      </c>
      <c r="CE304" s="77">
        <f>CA304+3*25.4*4</f>
        <v>469.9</v>
      </c>
      <c r="CF304" s="77">
        <f>CA304+3*25.4*5</f>
        <v>546.09999999999991</v>
      </c>
      <c r="CG304" s="77">
        <f>CA304+3*25.4*6</f>
        <v>622.29999999999995</v>
      </c>
      <c r="CH304" s="77">
        <f>CA304+3*25.4*7</f>
        <v>698.49999999999989</v>
      </c>
      <c r="CI304" s="77">
        <f>CA304+3*25.4*8</f>
        <v>774.69999999999993</v>
      </c>
      <c r="CJ304" s="77">
        <f>CA304+3*25.4*9</f>
        <v>850.9</v>
      </c>
      <c r="CK304" s="77">
        <f>CJ304+2.5*25.4</f>
        <v>914.4</v>
      </c>
      <c r="CL304" s="77">
        <f>CK304+2*25.4</f>
        <v>965.19999999999993</v>
      </c>
      <c r="DM304" s="77">
        <f>PI()*7/8*25.4*7/8*25.4/4*2</f>
        <v>775.89582736804323</v>
      </c>
      <c r="DN304" s="77">
        <f>PI()*6/8*25.4*6/8*25.4/4*2</f>
        <v>570.04591398468494</v>
      </c>
      <c r="DO304" s="77">
        <f t="shared" ref="DO304:DX304" si="924">PI()*4*4/4*2</f>
        <v>25.132741228718345</v>
      </c>
      <c r="DP304" s="77">
        <f t="shared" si="924"/>
        <v>25.132741228718345</v>
      </c>
      <c r="DQ304" s="77">
        <f t="shared" si="924"/>
        <v>25.132741228718345</v>
      </c>
      <c r="DR304" s="77">
        <f t="shared" si="924"/>
        <v>25.132741228718345</v>
      </c>
      <c r="DS304" s="77">
        <f t="shared" si="924"/>
        <v>25.132741228718345</v>
      </c>
      <c r="DT304" s="77">
        <f t="shared" si="924"/>
        <v>25.132741228718345</v>
      </c>
      <c r="DU304" s="77">
        <f t="shared" si="924"/>
        <v>25.132741228718345</v>
      </c>
      <c r="DV304" s="77">
        <f t="shared" si="924"/>
        <v>25.132741228718345</v>
      </c>
      <c r="DW304" s="77">
        <f t="shared" si="924"/>
        <v>25.132741228718345</v>
      </c>
      <c r="DX304" s="77">
        <f t="shared" si="924"/>
        <v>25.132741228718345</v>
      </c>
      <c r="DY304" s="77">
        <f>PI()*6/8*25.4*6/8*25.4/4*2</f>
        <v>570.04591398468494</v>
      </c>
      <c r="DZ304" s="77">
        <f>PI()*7/8*25.4*7/8*25.4/4*2</f>
        <v>775.89582736804323</v>
      </c>
      <c r="FA304" s="77">
        <f t="shared" si="906"/>
        <v>-276961.09334993688</v>
      </c>
      <c r="FB304" s="77">
        <f t="shared" si="918"/>
        <v>-30732.935978178633</v>
      </c>
      <c r="FC304" s="77">
        <f>IF(ABS(-$BV304*($BS304-CA304)/$BS304*$BX304)&gt;$BA304,$BA304*SIGN(-($BS304-CA304)),-$BV304*($BS304-CA304)/$BS304*$BX304)*DO304</f>
        <v>8165.4072288459747</v>
      </c>
      <c r="FD304" s="77">
        <f t="shared" si="885"/>
        <v>15630.78061963557</v>
      </c>
      <c r="FE304" s="77">
        <f t="shared" si="886"/>
        <v>15630.78061963557</v>
      </c>
      <c r="FF304" s="77">
        <f t="shared" si="895"/>
        <v>15630.78061963557</v>
      </c>
      <c r="FG304" s="77">
        <f t="shared" si="920"/>
        <v>15630.78061963557</v>
      </c>
      <c r="FH304" s="77">
        <f t="shared" si="920"/>
        <v>15630.78061963557</v>
      </c>
      <c r="FI304" s="77">
        <f t="shared" si="920"/>
        <v>15630.78061963557</v>
      </c>
      <c r="FJ304" s="77">
        <f t="shared" si="920"/>
        <v>15630.78061963557</v>
      </c>
      <c r="FK304" s="77">
        <f t="shared" si="920"/>
        <v>15630.78061963557</v>
      </c>
      <c r="FL304" s="77">
        <f t="shared" si="920"/>
        <v>15630.78061963557</v>
      </c>
      <c r="FM304" s="77">
        <f t="shared" si="921"/>
        <v>268254.34387509048</v>
      </c>
      <c r="FN304" s="77">
        <f t="shared" si="921"/>
        <v>365123.96805220639</v>
      </c>
      <c r="GO304" s="77">
        <f t="shared" si="854"/>
        <v>126626611.87959114</v>
      </c>
      <c r="GP304" s="77">
        <f t="shared" si="855"/>
        <v>12489865.181531796</v>
      </c>
      <c r="GQ304" s="77">
        <f t="shared" si="856"/>
        <v>-2799918.1387712844</v>
      </c>
      <c r="GR304" s="77">
        <f t="shared" si="857"/>
        <v>-4168729.1912568072</v>
      </c>
      <c r="GS304" s="77">
        <f t="shared" si="883"/>
        <v>-2977663.708040576</v>
      </c>
      <c r="GT304" s="77">
        <f t="shared" si="896"/>
        <v>-1786598.2248243468</v>
      </c>
      <c r="GU304" s="77">
        <f t="shared" si="897"/>
        <v>-595532.74160811561</v>
      </c>
      <c r="GV304" s="77">
        <f t="shared" si="898"/>
        <v>595532.74160811387</v>
      </c>
      <c r="GW304" s="77">
        <f t="shared" si="922"/>
        <v>1786598.224824345</v>
      </c>
      <c r="GX304" s="77">
        <f t="shared" si="922"/>
        <v>2977663.7080405746</v>
      </c>
      <c r="GY304" s="77">
        <f t="shared" si="922"/>
        <v>4168729.1912568058</v>
      </c>
      <c r="GZ304" s="77">
        <f t="shared" si="922"/>
        <v>5359794.674473037</v>
      </c>
      <c r="HA304" s="77">
        <f t="shared" si="922"/>
        <v>109018565.35083677</v>
      </c>
      <c r="HB304" s="77">
        <f t="shared" si="922"/>
        <v>166934678.19346875</v>
      </c>
      <c r="IC304" s="82">
        <v>321</v>
      </c>
    </row>
    <row r="305" spans="1:237" s="77" customFormat="1">
      <c r="A305" s="77">
        <v>305</v>
      </c>
      <c r="B305" s="122"/>
      <c r="C305" s="123" t="s">
        <v>327</v>
      </c>
      <c r="D305" s="124" t="s">
        <v>328</v>
      </c>
      <c r="E305" s="124">
        <v>4</v>
      </c>
      <c r="F305" s="125">
        <f t="shared" si="884"/>
        <v>6.231195566112431E-2</v>
      </c>
      <c r="G305" s="125">
        <v>4.4000000000000003E-3</v>
      </c>
      <c r="H305" s="125">
        <v>4.4999999999999997E-3</v>
      </c>
      <c r="I305" s="135">
        <v>6.0000000000000001E-3</v>
      </c>
      <c r="J305" s="125">
        <f t="shared" ref="J305:J336" si="925">AU305/AO305</f>
        <v>0.66666666666666663</v>
      </c>
      <c r="K305" s="125">
        <f t="shared" si="911"/>
        <v>7.5</v>
      </c>
      <c r="L305" s="125">
        <f t="shared" si="912"/>
        <v>0.10514541231906244</v>
      </c>
      <c r="M305" s="125">
        <f t="shared" si="913"/>
        <v>0.11245498643749992</v>
      </c>
      <c r="N305" s="125">
        <f t="shared" si="914"/>
        <v>0.42058164927624975</v>
      </c>
      <c r="O305" s="125">
        <f t="shared" si="915"/>
        <v>0</v>
      </c>
      <c r="P305" s="125">
        <v>7.0000000000000007E-2</v>
      </c>
      <c r="Q305" s="125" t="s">
        <v>3</v>
      </c>
      <c r="R305" s="126">
        <f t="shared" si="916"/>
        <v>0</v>
      </c>
      <c r="S305" s="75">
        <f t="shared" si="809"/>
        <v>0.40430808840662108</v>
      </c>
      <c r="T305" s="59">
        <f t="shared" si="789"/>
        <v>1.2348671840338372</v>
      </c>
      <c r="U305" s="59">
        <f t="shared" si="790"/>
        <v>0.99182179828489359</v>
      </c>
      <c r="V305" s="59">
        <f t="shared" si="791"/>
        <v>2.4032337763626077</v>
      </c>
      <c r="W305" s="59">
        <f t="shared" si="792"/>
        <v>1.9461475755734028</v>
      </c>
      <c r="X305" s="59">
        <f t="shared" si="793"/>
        <v>2.4230499677647699</v>
      </c>
      <c r="Y305" s="127">
        <v>787000</v>
      </c>
      <c r="Z305" s="57">
        <f t="shared" si="794"/>
        <v>1906940.324630874</v>
      </c>
      <c r="AA305" s="57">
        <f t="shared" si="795"/>
        <v>1531618.141976268</v>
      </c>
      <c r="AB305" s="57">
        <f t="shared" si="887"/>
        <v>2302285.2575568864</v>
      </c>
      <c r="AC305" s="57">
        <f t="shared" si="796"/>
        <v>0.25</v>
      </c>
      <c r="AD305" s="57">
        <f t="shared" si="797"/>
        <v>1.5</v>
      </c>
      <c r="AE305" s="57">
        <f t="shared" si="798"/>
        <v>884100.00000000023</v>
      </c>
      <c r="AF305" s="57">
        <f t="shared" si="799"/>
        <v>485437.5359545711</v>
      </c>
      <c r="AG305" s="57">
        <f t="shared" si="880"/>
        <v>1046180.6060216971</v>
      </c>
      <c r="AH305" s="57">
        <f t="shared" si="888"/>
        <v>1631808892.1653111</v>
      </c>
      <c r="AI305" s="57">
        <f t="shared" si="889"/>
        <v>670476365.3915751</v>
      </c>
      <c r="AJ305" s="77">
        <f t="shared" ref="AJ305:AJ345" si="926">P305*AK305*AY305</f>
        <v>884100.00000000012</v>
      </c>
      <c r="AK305" s="77">
        <v>42.1</v>
      </c>
      <c r="AL305" s="78">
        <f t="shared" si="800"/>
        <v>3.5933934561270355</v>
      </c>
      <c r="AM305" s="57">
        <f t="shared" si="801"/>
        <v>0.98921052631578943</v>
      </c>
      <c r="AN305" s="57">
        <f t="shared" si="802"/>
        <v>0.78921052631578947</v>
      </c>
      <c r="AO305" s="77">
        <v>1500</v>
      </c>
      <c r="AP305" s="79">
        <f>45+55+50</f>
        <v>150</v>
      </c>
      <c r="AQ305" s="57">
        <f t="shared" si="803"/>
        <v>118.89763533406696</v>
      </c>
      <c r="AR305" s="78">
        <f t="shared" si="890"/>
        <v>1200</v>
      </c>
      <c r="AS305" s="57">
        <f t="shared" si="804"/>
        <v>1381.102364665933</v>
      </c>
      <c r="AT305" s="77">
        <v>200</v>
      </c>
      <c r="AU305" s="77">
        <v>1000</v>
      </c>
      <c r="AV305" s="78">
        <f t="shared" si="805"/>
        <v>300000</v>
      </c>
      <c r="AW305" s="77">
        <v>0</v>
      </c>
      <c r="AX305" s="77">
        <f t="shared" si="806"/>
        <v>300000</v>
      </c>
      <c r="AY305" s="78">
        <f t="shared" si="917"/>
        <v>300000</v>
      </c>
      <c r="AZ305" s="77">
        <f t="shared" si="820"/>
        <v>667</v>
      </c>
      <c r="BA305" s="77">
        <v>667</v>
      </c>
      <c r="BB305" s="77">
        <v>667</v>
      </c>
      <c r="BC305" s="77">
        <v>0</v>
      </c>
      <c r="BD305" s="77">
        <f>(PI()*13*13*12)/(4*200*1200)</f>
        <v>6.6366144807084391E-3</v>
      </c>
      <c r="BE305" s="77">
        <f>(2*PI()*13*13)/(4*187*200)</f>
        <v>7.0979834018272065E-3</v>
      </c>
      <c r="BF305" s="77">
        <f>(PI()*13*13*6)/(4*150*200)</f>
        <v>2.6546457922833756E-2</v>
      </c>
      <c r="BG305" s="77">
        <v>0</v>
      </c>
      <c r="BH305" s="79">
        <v>187</v>
      </c>
      <c r="BI305" s="79">
        <f>PI()*13*13/4</f>
        <v>132.73228961416876</v>
      </c>
      <c r="BJ305" s="79">
        <v>2</v>
      </c>
      <c r="BK305" s="57">
        <f t="shared" si="881"/>
        <v>265.46457922833753</v>
      </c>
      <c r="BL305" s="57">
        <f t="shared" si="841"/>
        <v>1592.7874753700253</v>
      </c>
      <c r="BM305" s="80">
        <f t="shared" ref="BM305:BM311" si="927">PI()*13*13/4</f>
        <v>132.73228961416876</v>
      </c>
      <c r="BN305" s="80">
        <v>6</v>
      </c>
      <c r="BO305" s="57">
        <f t="shared" si="892"/>
        <v>796.39373768501264</v>
      </c>
      <c r="BP305" s="57">
        <f t="shared" si="807"/>
        <v>1891344.9819973721</v>
      </c>
      <c r="BQ305" s="77">
        <f t="shared" si="808"/>
        <v>1.862645149230957E-9</v>
      </c>
      <c r="BR305" s="57">
        <f t="shared" si="843"/>
        <v>1891344981.9973722</v>
      </c>
      <c r="BS305" s="57">
        <v>237.79527066813392</v>
      </c>
      <c r="BT305" s="57">
        <f t="shared" si="810"/>
        <v>189.62657610834196</v>
      </c>
      <c r="BU305" s="57"/>
      <c r="BV305" s="57">
        <v>3.3E-3</v>
      </c>
      <c r="BW305" s="57">
        <v>30000</v>
      </c>
      <c r="BX305" s="57">
        <v>200000</v>
      </c>
      <c r="BY305" s="77">
        <f>45</f>
        <v>45</v>
      </c>
      <c r="BZ305" s="77">
        <f>BY305+55</f>
        <v>100</v>
      </c>
      <c r="CA305" s="77">
        <f>BZ305+50</f>
        <v>150</v>
      </c>
      <c r="CB305" s="77">
        <f>CA305+100</f>
        <v>250</v>
      </c>
      <c r="CC305" s="77">
        <f>CB305+200</f>
        <v>450</v>
      </c>
      <c r="CD305" s="77">
        <f>CB305+200*2</f>
        <v>650</v>
      </c>
      <c r="CE305" s="77">
        <f>CB305+200*3</f>
        <v>850</v>
      </c>
      <c r="CF305" s="77">
        <f>CB305+200*4</f>
        <v>1050</v>
      </c>
      <c r="CG305" s="77">
        <f>CB305+200*5</f>
        <v>1250</v>
      </c>
      <c r="CH305" s="77">
        <f>CG305+100</f>
        <v>1350</v>
      </c>
      <c r="CI305" s="77">
        <f>CH305+50</f>
        <v>1400</v>
      </c>
      <c r="CJ305" s="77">
        <f>CI305+55</f>
        <v>1455</v>
      </c>
      <c r="DM305" s="77">
        <f t="shared" ref="DM305:DX305" si="928">PI()*13*13/4*2</f>
        <v>265.46457922833753</v>
      </c>
      <c r="DN305" s="77">
        <f t="shared" si="928"/>
        <v>265.46457922833753</v>
      </c>
      <c r="DO305" s="77">
        <f t="shared" si="928"/>
        <v>265.46457922833753</v>
      </c>
      <c r="DP305" s="77">
        <f t="shared" si="928"/>
        <v>265.46457922833753</v>
      </c>
      <c r="DQ305" s="77">
        <f t="shared" si="928"/>
        <v>265.46457922833753</v>
      </c>
      <c r="DR305" s="77">
        <f t="shared" si="928"/>
        <v>265.46457922833753</v>
      </c>
      <c r="DS305" s="77">
        <f t="shared" si="928"/>
        <v>265.46457922833753</v>
      </c>
      <c r="DT305" s="77">
        <f t="shared" si="928"/>
        <v>265.46457922833753</v>
      </c>
      <c r="DU305" s="77">
        <f t="shared" si="928"/>
        <v>265.46457922833753</v>
      </c>
      <c r="DV305" s="77">
        <f t="shared" si="928"/>
        <v>265.46457922833753</v>
      </c>
      <c r="DW305" s="77">
        <f t="shared" si="928"/>
        <v>265.46457922833753</v>
      </c>
      <c r="DX305" s="77">
        <f t="shared" si="928"/>
        <v>265.46457922833753</v>
      </c>
      <c r="FA305" s="77">
        <f t="shared" si="906"/>
        <v>-142050.7988761786</v>
      </c>
      <c r="FB305" s="77">
        <f t="shared" si="918"/>
        <v>-101527.01470287131</v>
      </c>
      <c r="FC305" s="77">
        <f>IF(ABS(-$BV305*($BS305-CA305)/$BS305*$BX305)&gt;$BB305,$BB305*SIGN(-($BS305-CA305)),-$BV305*($BS305-CA305)/$BS305*$BX305)*DO305</f>
        <v>-64687.210908955574</v>
      </c>
      <c r="FD305" s="77">
        <f t="shared" si="885"/>
        <v>8992.396678875888</v>
      </c>
      <c r="FE305" s="77">
        <f t="shared" si="886"/>
        <v>156351.61185453882</v>
      </c>
      <c r="FF305" s="77">
        <f t="shared" si="895"/>
        <v>177064.87434530113</v>
      </c>
      <c r="FG305" s="77">
        <f>IF(ABS(-$BV305*($BS305-CE305)/$BS305*$BX305)&gt;$BA305,$BA305*SIGN(-($BS305-CE305)),-$BV305*($BS305-CE305)/$BS305*$BX305)*DS305</f>
        <v>177064.87434530113</v>
      </c>
      <c r="FH305" s="77">
        <f>IF(ABS(-$BV305*($BS305-CF305)/$BS305*$BX305)&gt;$BA305,$BA305*SIGN(-($BS305-CF305)),-$BV305*($BS305-CF305)/$BS305*$BX305)*DT305</f>
        <v>177064.87434530113</v>
      </c>
      <c r="FI305" s="77">
        <f>IF(ABS(-$BV305*($BS305-CG305)/$BS305*$BX305)&gt;$BA305,$BA305*SIGN(-($BS305-CG305)),-$BV305*($BS305-CG305)/$BS305*$BX305)*DU305</f>
        <v>177064.87434530113</v>
      </c>
      <c r="FJ305" s="77">
        <f>IF(ABS(-$BV305*($BS305-CH305)/$BS305*$BX305)&gt;$BB305,$BB305*SIGN(-($BS305-CH305)),-$BV305*($BS305-CH305)/$BS305*$BX305)*DV305</f>
        <v>177064.87434530113</v>
      </c>
      <c r="FK305" s="77">
        <f>IF(ABS(-$BV305*($BS305-CI305)/$BS305*$BX305)&gt;$BB305,$BB305*SIGN(-($BS305-CI305)),-$BV305*($BS305-CI305)/$BS305*$BX305)*DW305</f>
        <v>177064.87434530113</v>
      </c>
      <c r="FL305" s="77">
        <f>IF(ABS(-$BV305*($BS305-CJ305)/$BS305*$BX305)&gt;$BB305,$BB305*SIGN(-($BS305-CJ305)),-$BV305*($BS305-CJ305)/$BS305*$BX305)*DX305</f>
        <v>177064.87434530113</v>
      </c>
      <c r="GO305" s="77">
        <f t="shared" si="854"/>
        <v>100145813.20770591</v>
      </c>
      <c r="GP305" s="77">
        <f t="shared" si="855"/>
        <v>65992559.556866355</v>
      </c>
      <c r="GQ305" s="77">
        <f t="shared" si="856"/>
        <v>38812326.545373343</v>
      </c>
      <c r="GR305" s="77">
        <f t="shared" si="857"/>
        <v>-4496198.3394379439</v>
      </c>
      <c r="GS305" s="77">
        <f t="shared" si="883"/>
        <v>-46905483.556361645</v>
      </c>
      <c r="GT305" s="77">
        <f t="shared" si="896"/>
        <v>-17706487.434530113</v>
      </c>
      <c r="GU305" s="77">
        <f t="shared" si="897"/>
        <v>17706487.434530113</v>
      </c>
      <c r="GV305" s="77">
        <f t="shared" si="898"/>
        <v>53119462.303590335</v>
      </c>
      <c r="GW305" s="77">
        <f>FI305*(CG305-0.5*$AO305)</f>
        <v>88532437.172650561</v>
      </c>
      <c r="GX305" s="77">
        <f>FJ305*(CH305-0.5*$AO305)</f>
        <v>106238924.60718067</v>
      </c>
      <c r="GY305" s="77">
        <f>FK305*(CI305-0.5*$AO305)</f>
        <v>115092168.32444574</v>
      </c>
      <c r="GZ305" s="77">
        <f>FL305*(CJ305-0.5*$AO305)</f>
        <v>124830736.41343729</v>
      </c>
      <c r="IC305" s="82">
        <v>322</v>
      </c>
    </row>
    <row r="306" spans="1:237" s="77" customFormat="1">
      <c r="A306" s="77">
        <v>306</v>
      </c>
      <c r="B306" s="122"/>
      <c r="C306" s="123" t="s">
        <v>327</v>
      </c>
      <c r="D306" s="124" t="s">
        <v>329</v>
      </c>
      <c r="E306" s="124">
        <v>4</v>
      </c>
      <c r="F306" s="125">
        <f t="shared" si="884"/>
        <v>3.9350752177355501E-2</v>
      </c>
      <c r="G306" s="125">
        <v>6.3E-3</v>
      </c>
      <c r="H306" s="125">
        <v>3.5000000000000001E-3</v>
      </c>
      <c r="I306" s="135">
        <v>7.0000000000000001E-3</v>
      </c>
      <c r="J306" s="125">
        <f t="shared" si="925"/>
        <v>0.66666666666666663</v>
      </c>
      <c r="K306" s="125">
        <f t="shared" si="911"/>
        <v>7.5</v>
      </c>
      <c r="L306" s="125">
        <f t="shared" si="912"/>
        <v>4.8253267393091895E-2</v>
      </c>
      <c r="M306" s="125">
        <f t="shared" si="913"/>
        <v>6.2351398138301373E-2</v>
      </c>
      <c r="N306" s="125">
        <f t="shared" si="914"/>
        <v>0.42058164927624975</v>
      </c>
      <c r="O306" s="125">
        <f t="shared" si="915"/>
        <v>0</v>
      </c>
      <c r="P306" s="125">
        <v>7.0000000000000007E-2</v>
      </c>
      <c r="Q306" s="125" t="s">
        <v>3</v>
      </c>
      <c r="R306" s="126">
        <f t="shared" si="916"/>
        <v>0</v>
      </c>
      <c r="S306" s="75">
        <f t="shared" si="809"/>
        <v>0.25532543829490556</v>
      </c>
      <c r="T306" s="59">
        <f t="shared" si="789"/>
        <v>1.2979744443153414</v>
      </c>
      <c r="U306" s="59">
        <f t="shared" si="790"/>
        <v>1.1072509051605082</v>
      </c>
      <c r="V306" s="59">
        <f t="shared" si="791"/>
        <v>2.8385992257125867</v>
      </c>
      <c r="W306" s="59">
        <f t="shared" si="792"/>
        <v>2.1869453887513925</v>
      </c>
      <c r="X306" s="59">
        <f t="shared" si="793"/>
        <v>2.5636458841287655</v>
      </c>
      <c r="Y306" s="127">
        <v>497000</v>
      </c>
      <c r="Z306" s="57">
        <f t="shared" si="794"/>
        <v>1274132.0044119963</v>
      </c>
      <c r="AA306" s="57">
        <f t="shared" si="795"/>
        <v>1086911.8582094421</v>
      </c>
      <c r="AB306" s="57">
        <f t="shared" si="887"/>
        <v>1602325.7507885795</v>
      </c>
      <c r="AC306" s="57">
        <f t="shared" si="796"/>
        <v>0.25</v>
      </c>
      <c r="AD306" s="57">
        <f t="shared" si="797"/>
        <v>1.5</v>
      </c>
      <c r="AE306" s="57">
        <f t="shared" si="798"/>
        <v>884100.00000000023</v>
      </c>
      <c r="AF306" s="57">
        <f t="shared" si="799"/>
        <v>494138.30351244542</v>
      </c>
      <c r="AG306" s="57">
        <f t="shared" si="880"/>
        <v>592773.5546969967</v>
      </c>
      <c r="AH306" s="57">
        <f t="shared" si="888"/>
        <v>1133904941.269084</v>
      </c>
      <c r="AI306" s="57">
        <f t="shared" si="889"/>
        <v>468420809.51949561</v>
      </c>
      <c r="AJ306" s="77">
        <f t="shared" si="926"/>
        <v>884100.00000000012</v>
      </c>
      <c r="AK306" s="77">
        <v>42.1</v>
      </c>
      <c r="AL306" s="78">
        <f t="shared" si="800"/>
        <v>3.5933934561270355</v>
      </c>
      <c r="AM306" s="57">
        <f t="shared" si="801"/>
        <v>0.98921052631578943</v>
      </c>
      <c r="AN306" s="57">
        <f t="shared" si="802"/>
        <v>0.78921052631578947</v>
      </c>
      <c r="AO306" s="77">
        <v>1500</v>
      </c>
      <c r="AP306" s="79">
        <f>45+55</f>
        <v>100</v>
      </c>
      <c r="AQ306" s="57">
        <f t="shared" si="803"/>
        <v>88.63109319185196</v>
      </c>
      <c r="AR306" s="78">
        <f t="shared" si="890"/>
        <v>1300</v>
      </c>
      <c r="AS306" s="57">
        <f t="shared" si="804"/>
        <v>1411.368906808148</v>
      </c>
      <c r="AT306" s="77">
        <v>200</v>
      </c>
      <c r="AU306" s="77">
        <v>1000</v>
      </c>
      <c r="AV306" s="78">
        <f t="shared" si="805"/>
        <v>300000</v>
      </c>
      <c r="AW306" s="77">
        <v>0</v>
      </c>
      <c r="AX306" s="77">
        <f t="shared" si="806"/>
        <v>300000</v>
      </c>
      <c r="AY306" s="78">
        <f t="shared" si="917"/>
        <v>300000</v>
      </c>
      <c r="AZ306" s="77">
        <f t="shared" si="820"/>
        <v>625</v>
      </c>
      <c r="BA306" s="77">
        <v>625</v>
      </c>
      <c r="BB306" s="77">
        <v>667</v>
      </c>
      <c r="BC306" s="77">
        <v>0</v>
      </c>
      <c r="BD306" s="77">
        <f>(PI()*13*13*4+PI()*10*10*4)/(4*200*(150*2+333*2+334))</f>
        <v>3.2503400915986705E-3</v>
      </c>
      <c r="BE306" s="77">
        <f>(2*PI()*10*10)/(4*187*200)</f>
        <v>4.1999901785959807E-3</v>
      </c>
      <c r="BF306" s="77">
        <f>(PI()*13*13*4)/(4*100*200)</f>
        <v>2.6546457922833753E-2</v>
      </c>
      <c r="BG306" s="77">
        <v>0</v>
      </c>
      <c r="BH306" s="79">
        <v>187</v>
      </c>
      <c r="BI306" s="79">
        <f t="shared" ref="BI306:BI311" si="929">PI()*10*10/4</f>
        <v>78.539816339744831</v>
      </c>
      <c r="BJ306" s="79">
        <v>2</v>
      </c>
      <c r="BK306" s="57">
        <f t="shared" si="881"/>
        <v>157.07963267948966</v>
      </c>
      <c r="BL306" s="57">
        <f t="shared" si="841"/>
        <v>845.08842381565432</v>
      </c>
      <c r="BM306" s="80">
        <f t="shared" si="927"/>
        <v>132.73228961416876</v>
      </c>
      <c r="BN306" s="80">
        <v>4</v>
      </c>
      <c r="BO306" s="57">
        <f t="shared" si="892"/>
        <v>530.92915845667505</v>
      </c>
      <c r="BP306" s="57">
        <f t="shared" si="807"/>
        <v>1410783.8151791557</v>
      </c>
      <c r="BQ306" s="77">
        <f t="shared" si="808"/>
        <v>0</v>
      </c>
      <c r="BR306" s="57">
        <f t="shared" si="843"/>
        <v>1410783815.1791556</v>
      </c>
      <c r="BS306" s="57">
        <v>177.26218638370392</v>
      </c>
      <c r="BT306" s="57">
        <f t="shared" si="810"/>
        <v>172.4392501934984</v>
      </c>
      <c r="BU306" s="57"/>
      <c r="BV306" s="57">
        <v>3.3E-3</v>
      </c>
      <c r="BW306" s="57">
        <v>30000</v>
      </c>
      <c r="BX306" s="57">
        <v>200000</v>
      </c>
      <c r="BY306" s="77">
        <f>45</f>
        <v>45</v>
      </c>
      <c r="BZ306" s="77">
        <f>BY306+55</f>
        <v>100</v>
      </c>
      <c r="CA306" s="77">
        <f>BZ306+150</f>
        <v>250</v>
      </c>
      <c r="CB306" s="77">
        <f>CA306+333</f>
        <v>583</v>
      </c>
      <c r="CC306" s="77">
        <f>CB306+334</f>
        <v>917</v>
      </c>
      <c r="CD306" s="77">
        <f>CC306+333</f>
        <v>1250</v>
      </c>
      <c r="CE306" s="77">
        <f>CD306+150</f>
        <v>1400</v>
      </c>
      <c r="CF306" s="77">
        <f>CE306+55</f>
        <v>1455</v>
      </c>
      <c r="DM306" s="77">
        <f t="shared" ref="DM306:DO308" si="930">PI()*13*13/4*2</f>
        <v>265.46457922833753</v>
      </c>
      <c r="DN306" s="77">
        <f t="shared" si="930"/>
        <v>265.46457922833753</v>
      </c>
      <c r="DO306" s="77">
        <f t="shared" si="930"/>
        <v>265.46457922833753</v>
      </c>
      <c r="DP306" s="77">
        <f>PI()*10*10/4*2</f>
        <v>157.07963267948966</v>
      </c>
      <c r="DQ306" s="77">
        <f>PI()*10*10/4*2</f>
        <v>157.07963267948966</v>
      </c>
      <c r="DR306" s="77">
        <f>PI()*13*13/4*2</f>
        <v>265.46457922833753</v>
      </c>
      <c r="DS306" s="77">
        <f>PI()*13*13/4*2</f>
        <v>265.46457922833753</v>
      </c>
      <c r="DT306" s="77">
        <f>PI()*13*13/4*2</f>
        <v>265.46457922833753</v>
      </c>
      <c r="FA306" s="77">
        <f t="shared" si="906"/>
        <v>-130728.45035833601</v>
      </c>
      <c r="FB306" s="77">
        <f t="shared" si="918"/>
        <v>-76366.240218776642</v>
      </c>
      <c r="FC306" s="77">
        <f>IF(ABS(-$BV306*($BS306-CA306)/$BS306*$BX306)&gt;$BB306,$BB306*SIGN(-($BS306-CA306)),-$BV306*($BS306-CA306)/$BS306*$BX306)*DO306</f>
        <v>71894.332889112557</v>
      </c>
      <c r="FD306" s="77">
        <f t="shared" si="885"/>
        <v>98174.770424681046</v>
      </c>
      <c r="FE306" s="77">
        <f t="shared" si="886"/>
        <v>98174.770424681046</v>
      </c>
      <c r="FF306" s="77">
        <f>IF(ABS(-$BV306*($BS306-CD306)/$BS306*$BX306)&gt;$BB306,$BB306*SIGN(-($BS306-CD306)),-$BV306*($BS306-CD306)/$BS306*$BX306)*DR306</f>
        <v>177064.87434530113</v>
      </c>
      <c r="FG306" s="77">
        <f>IF(ABS(-$BV306*($BS306-CE306)/$BS306*$BX306)&gt;$BB306,$BB306*SIGN(-($BS306-CE306)),-$BV306*($BS306-CE306)/$BS306*$BX306)*DS306</f>
        <v>177064.87434530113</v>
      </c>
      <c r="FH306" s="77">
        <f>IF(ABS(-$BV306*($BS306-CF306)/$BS306*$BX306)&gt;$BB306,$BB306*SIGN(-($BS306-CF306)),-$BV306*($BS306-CF306)/$BS306*$BX306)*DT306</f>
        <v>177064.87434530113</v>
      </c>
      <c r="GO306" s="77">
        <f t="shared" si="854"/>
        <v>92163557.502626881</v>
      </c>
      <c r="GP306" s="77">
        <f t="shared" si="855"/>
        <v>49638056.142204814</v>
      </c>
      <c r="GQ306" s="77">
        <f t="shared" si="856"/>
        <v>-35947166.444556281</v>
      </c>
      <c r="GR306" s="77">
        <f t="shared" si="857"/>
        <v>-16395186.660921734</v>
      </c>
      <c r="GS306" s="77">
        <f t="shared" si="883"/>
        <v>16395186.660921734</v>
      </c>
      <c r="GT306" s="77">
        <f t="shared" si="896"/>
        <v>88532437.172650561</v>
      </c>
      <c r="GU306" s="77">
        <f t="shared" si="897"/>
        <v>115092168.32444574</v>
      </c>
      <c r="GV306" s="77">
        <f t="shared" si="898"/>
        <v>124830736.41343729</v>
      </c>
      <c r="IC306" s="82">
        <v>323</v>
      </c>
    </row>
    <row r="307" spans="1:237" s="77" customFormat="1">
      <c r="A307" s="77">
        <v>307</v>
      </c>
      <c r="B307" s="122"/>
      <c r="C307" s="123" t="s">
        <v>327</v>
      </c>
      <c r="D307" s="124" t="s">
        <v>330</v>
      </c>
      <c r="E307" s="124">
        <v>4</v>
      </c>
      <c r="F307" s="125">
        <f t="shared" si="884"/>
        <v>3.34916864608076E-2</v>
      </c>
      <c r="G307" s="125">
        <v>2.2000000000000001E-3</v>
      </c>
      <c r="H307" s="125">
        <v>2.8E-3</v>
      </c>
      <c r="I307" s="135">
        <v>4.0000000000000001E-3</v>
      </c>
      <c r="J307" s="125">
        <f t="shared" si="925"/>
        <v>0.66666666666666663</v>
      </c>
      <c r="K307" s="125">
        <f t="shared" si="911"/>
        <v>7.5</v>
      </c>
      <c r="L307" s="125">
        <f t="shared" si="912"/>
        <v>3.235243455971152E-2</v>
      </c>
      <c r="M307" s="125">
        <f t="shared" si="913"/>
        <v>3.3181984163806688E-2</v>
      </c>
      <c r="N307" s="125">
        <f t="shared" si="914"/>
        <v>0.42058164927624975</v>
      </c>
      <c r="O307" s="125">
        <f t="shared" si="915"/>
        <v>0</v>
      </c>
      <c r="P307" s="125">
        <v>7.0000000000000007E-2</v>
      </c>
      <c r="Q307" s="125" t="s">
        <v>3</v>
      </c>
      <c r="R307" s="126">
        <f t="shared" si="916"/>
        <v>0</v>
      </c>
      <c r="S307" s="75">
        <f t="shared" si="809"/>
        <v>0.2173091758526057</v>
      </c>
      <c r="T307" s="59">
        <f t="shared" si="789"/>
        <v>1.6065860563047996</v>
      </c>
      <c r="U307" s="59">
        <f t="shared" si="790"/>
        <v>1.4405790523050177</v>
      </c>
      <c r="V307" s="59">
        <f t="shared" si="791"/>
        <v>3.0845498371283462</v>
      </c>
      <c r="W307" s="59">
        <f t="shared" si="792"/>
        <v>1.9199406250437103</v>
      </c>
      <c r="X307" s="59">
        <f t="shared" si="793"/>
        <v>2.1411874844305636</v>
      </c>
      <c r="Y307" s="127">
        <v>423000</v>
      </c>
      <c r="Z307" s="57">
        <f t="shared" si="794"/>
        <v>905722.30591412843</v>
      </c>
      <c r="AA307" s="57">
        <f t="shared" si="795"/>
        <v>812134.88439348945</v>
      </c>
      <c r="AB307" s="57">
        <f t="shared" si="887"/>
        <v>1609974.8098159728</v>
      </c>
      <c r="AC307" s="57">
        <f t="shared" si="796"/>
        <v>0.25</v>
      </c>
      <c r="AD307" s="57">
        <f t="shared" si="797"/>
        <v>1.5</v>
      </c>
      <c r="AE307" s="57">
        <f t="shared" si="798"/>
        <v>884100.00000000023</v>
      </c>
      <c r="AF307" s="57">
        <f t="shared" si="799"/>
        <v>495565.06337684649</v>
      </c>
      <c r="AG307" s="57">
        <f t="shared" si="880"/>
        <v>316569.82101664302</v>
      </c>
      <c r="AH307" s="57">
        <f t="shared" si="888"/>
        <v>1138038812.5053887</v>
      </c>
      <c r="AI307" s="57">
        <f t="shared" si="889"/>
        <v>471935997.31058401</v>
      </c>
      <c r="AJ307" s="77">
        <f t="shared" si="926"/>
        <v>884100.00000000012</v>
      </c>
      <c r="AK307" s="77">
        <v>42.1</v>
      </c>
      <c r="AL307" s="78">
        <f t="shared" si="800"/>
        <v>3.5933934561270355</v>
      </c>
      <c r="AM307" s="57">
        <f t="shared" si="801"/>
        <v>0.98921052631578943</v>
      </c>
      <c r="AN307" s="57">
        <f t="shared" si="802"/>
        <v>0.78921052631578947</v>
      </c>
      <c r="AO307" s="77">
        <v>1500</v>
      </c>
      <c r="AP307" s="79">
        <f>45+55</f>
        <v>100</v>
      </c>
      <c r="AQ307" s="57">
        <f t="shared" si="803"/>
        <v>83.667957781616295</v>
      </c>
      <c r="AR307" s="78">
        <f t="shared" si="890"/>
        <v>1300</v>
      </c>
      <c r="AS307" s="57">
        <f t="shared" si="804"/>
        <v>1416.3320422183838</v>
      </c>
      <c r="AT307" s="77">
        <v>200</v>
      </c>
      <c r="AU307" s="77">
        <v>1000</v>
      </c>
      <c r="AV307" s="78">
        <f t="shared" si="805"/>
        <v>300000</v>
      </c>
      <c r="AW307" s="77">
        <v>0</v>
      </c>
      <c r="AX307" s="77">
        <f t="shared" si="806"/>
        <v>300000</v>
      </c>
      <c r="AY307" s="78">
        <f t="shared" si="917"/>
        <v>300000</v>
      </c>
      <c r="AZ307" s="77">
        <f t="shared" si="820"/>
        <v>667</v>
      </c>
      <c r="BA307" s="77">
        <v>667</v>
      </c>
      <c r="BB307" s="77">
        <v>667</v>
      </c>
      <c r="BC307" s="77">
        <v>0</v>
      </c>
      <c r="BD307" s="77">
        <f>(PI()*13*13*4)/(4*200*1300)</f>
        <v>2.0420352248333657E-3</v>
      </c>
      <c r="BE307" s="77">
        <f>(2*PI()*10*10)/(4*375*200)</f>
        <v>2.0943951023931957E-3</v>
      </c>
      <c r="BF307" s="77">
        <f>(PI()*13*13*4)/(4*100*200)</f>
        <v>2.6546457922833753E-2</v>
      </c>
      <c r="BG307" s="77">
        <v>0</v>
      </c>
      <c r="BH307" s="79">
        <v>375</v>
      </c>
      <c r="BI307" s="79">
        <f t="shared" si="929"/>
        <v>78.539816339744831</v>
      </c>
      <c r="BJ307" s="79">
        <v>2</v>
      </c>
      <c r="BK307" s="57">
        <f t="shared" si="881"/>
        <v>157.07963267948966</v>
      </c>
      <c r="BL307" s="57">
        <f t="shared" si="841"/>
        <v>530.92915845667505</v>
      </c>
      <c r="BM307" s="80">
        <f t="shared" si="927"/>
        <v>132.73228961416876</v>
      </c>
      <c r="BN307" s="80">
        <v>4</v>
      </c>
      <c r="BO307" s="57">
        <f t="shared" si="892"/>
        <v>530.92915845667505</v>
      </c>
      <c r="BP307" s="57">
        <f t="shared" si="807"/>
        <v>1304764.5811052904</v>
      </c>
      <c r="BQ307" s="77">
        <f t="shared" si="808"/>
        <v>5.8207660913467407E-10</v>
      </c>
      <c r="BR307" s="57">
        <f t="shared" si="843"/>
        <v>1304764581.1052904</v>
      </c>
      <c r="BS307" s="57">
        <v>167.33591556323259</v>
      </c>
      <c r="BT307" s="57">
        <f t="shared" si="810"/>
        <v>169.94262416683634</v>
      </c>
      <c r="BU307" s="57"/>
      <c r="BV307" s="57">
        <v>3.3E-3</v>
      </c>
      <c r="BW307" s="57">
        <v>30000</v>
      </c>
      <c r="BX307" s="57">
        <v>200000</v>
      </c>
      <c r="BY307" s="77">
        <f>45</f>
        <v>45</v>
      </c>
      <c r="BZ307" s="77">
        <f>BY307+55</f>
        <v>100</v>
      </c>
      <c r="CA307" s="77">
        <f>BZ307+400</f>
        <v>500</v>
      </c>
      <c r="CB307" s="77">
        <f>CA307+500</f>
        <v>1000</v>
      </c>
      <c r="CC307" s="77">
        <f>CB307+400</f>
        <v>1400</v>
      </c>
      <c r="CD307" s="77">
        <f>CC307+55</f>
        <v>1455</v>
      </c>
      <c r="DM307" s="77">
        <f t="shared" si="930"/>
        <v>265.46457922833753</v>
      </c>
      <c r="DN307" s="77">
        <f t="shared" si="930"/>
        <v>265.46457922833753</v>
      </c>
      <c r="DO307" s="77">
        <f t="shared" si="930"/>
        <v>265.46457922833753</v>
      </c>
      <c r="DP307" s="77">
        <f t="shared" ref="DP307:DR308" si="931">PI()*13*13/4*2</f>
        <v>265.46457922833753</v>
      </c>
      <c r="DQ307" s="77">
        <f t="shared" si="931"/>
        <v>265.46457922833753</v>
      </c>
      <c r="DR307" s="77">
        <f t="shared" si="931"/>
        <v>265.46457922833753</v>
      </c>
      <c r="FA307" s="77">
        <f t="shared" si="906"/>
        <v>-128090.03063406992</v>
      </c>
      <c r="FB307" s="77">
        <f t="shared" si="918"/>
        <v>-70503.08527596308</v>
      </c>
      <c r="FC307" s="77">
        <f t="shared" ref="FC307:FD311" si="932">IF(ABS(-$BV307*($BS307-CA307)/$BS307*$BX307)&gt;$BA307,$BA307*SIGN(-($BS307-CA307)),-$BV307*($BS307-CA307)/$BS307*$BX307)*DO307</f>
        <v>177064.87434530113</v>
      </c>
      <c r="FD307" s="77">
        <f t="shared" si="932"/>
        <v>177064.87434530113</v>
      </c>
      <c r="FE307" s="77">
        <f>IF(ABS(-$BV307*($BS307-CC307)/$BS307*$BX307)&gt;$BB307,$BB307*SIGN(-($BS307-CC307)),-$BV307*($BS307-CC307)/$BS307*$BX307)*DQ307</f>
        <v>177064.87434530113</v>
      </c>
      <c r="FF307" s="77">
        <f>IF(ABS(-$BV307*($BS307-CD307)/$BS307*$BX307)&gt;$BB307,$BB307*SIGN(-($BS307-CD307)),-$BV307*($BS307-CD307)/$BS307*$BX307)*DR307</f>
        <v>177064.87434530113</v>
      </c>
      <c r="GO307" s="77">
        <f t="shared" si="854"/>
        <v>90303471.597019285</v>
      </c>
      <c r="GP307" s="77">
        <f t="shared" si="855"/>
        <v>45827005.429375999</v>
      </c>
      <c r="GQ307" s="77">
        <f t="shared" si="856"/>
        <v>-44266218.58632528</v>
      </c>
      <c r="GR307" s="77">
        <f t="shared" si="857"/>
        <v>44266218.58632528</v>
      </c>
      <c r="GS307" s="77">
        <f t="shared" si="883"/>
        <v>115092168.32444574</v>
      </c>
      <c r="GT307" s="77">
        <f t="shared" ref="GT307:GT338" si="933">FF307*(CD307-0.5*$AO307)</f>
        <v>124830736.41343729</v>
      </c>
      <c r="IC307" s="82">
        <v>324</v>
      </c>
    </row>
    <row r="308" spans="1:237" s="77" customFormat="1">
      <c r="A308" s="77">
        <v>308</v>
      </c>
      <c r="B308" s="122"/>
      <c r="C308" s="123" t="s">
        <v>327</v>
      </c>
      <c r="D308" s="124" t="s">
        <v>331</v>
      </c>
      <c r="E308" s="124">
        <v>4</v>
      </c>
      <c r="F308" s="125">
        <f t="shared" si="884"/>
        <v>5.1148060174188437E-2</v>
      </c>
      <c r="G308" s="125">
        <v>1E-3</v>
      </c>
      <c r="H308" s="125">
        <v>3.5000000000000001E-3</v>
      </c>
      <c r="I308" s="135">
        <v>6.0000000000000001E-3</v>
      </c>
      <c r="J308" s="125">
        <f t="shared" si="925"/>
        <v>0.5</v>
      </c>
      <c r="K308" s="125">
        <f t="shared" si="911"/>
        <v>7.5</v>
      </c>
      <c r="L308" s="125">
        <f t="shared" si="912"/>
        <v>0.12617449478287493</v>
      </c>
      <c r="M308" s="125">
        <f t="shared" si="913"/>
        <v>0.12443244061427505</v>
      </c>
      <c r="N308" s="125">
        <f t="shared" si="914"/>
        <v>0</v>
      </c>
      <c r="O308" s="125">
        <f t="shared" si="915"/>
        <v>0</v>
      </c>
      <c r="P308" s="125">
        <v>7.0000000000000007E-2</v>
      </c>
      <c r="Q308" s="125" t="s">
        <v>3</v>
      </c>
      <c r="R308" s="126">
        <f t="shared" si="916"/>
        <v>0</v>
      </c>
      <c r="S308" s="75">
        <f t="shared" si="809"/>
        <v>0.33187169645575249</v>
      </c>
      <c r="T308" s="59">
        <f t="shared" si="789"/>
        <v>1.3219047776473056</v>
      </c>
      <c r="U308" s="59">
        <f t="shared" si="790"/>
        <v>1.0616653355425714</v>
      </c>
      <c r="V308" s="59">
        <f t="shared" si="791"/>
        <v>3.2199280868291189</v>
      </c>
      <c r="W308" s="59">
        <f t="shared" si="792"/>
        <v>2.4358245323538883</v>
      </c>
      <c r="X308" s="59">
        <f t="shared" si="793"/>
        <v>3.0329030995285846</v>
      </c>
      <c r="Y308" s="127">
        <v>646000</v>
      </c>
      <c r="Z308" s="57">
        <f t="shared" si="794"/>
        <v>1959255.4022954656</v>
      </c>
      <c r="AA308" s="57">
        <f t="shared" si="795"/>
        <v>1573542.6479006119</v>
      </c>
      <c r="AB308" s="57">
        <f t="shared" si="887"/>
        <v>299481.37897426024</v>
      </c>
      <c r="AC308" s="57">
        <f t="shared" si="796"/>
        <v>0.25</v>
      </c>
      <c r="AD308" s="57">
        <f t="shared" si="797"/>
        <v>1.5</v>
      </c>
      <c r="AE308" s="57">
        <f t="shared" si="798"/>
        <v>884100.00000000023</v>
      </c>
      <c r="AF308" s="57">
        <f t="shared" si="799"/>
        <v>486345.83414333314</v>
      </c>
      <c r="AG308" s="57">
        <f t="shared" si="880"/>
        <v>1087196.8137572787</v>
      </c>
      <c r="AH308" s="57">
        <f t="shared" si="888"/>
        <v>0</v>
      </c>
      <c r="AI308" s="57">
        <f t="shared" si="889"/>
        <v>224611034.23069516</v>
      </c>
      <c r="AJ308" s="77">
        <f t="shared" si="926"/>
        <v>884100.00000000012</v>
      </c>
      <c r="AK308" s="77">
        <v>42.1</v>
      </c>
      <c r="AL308" s="78">
        <f t="shared" si="800"/>
        <v>3.5933934561270355</v>
      </c>
      <c r="AM308" s="57">
        <f t="shared" si="801"/>
        <v>0.98921052631578943</v>
      </c>
      <c r="AN308" s="57">
        <f t="shared" si="802"/>
        <v>0.78921052631578947</v>
      </c>
      <c r="AO308" s="77">
        <v>1500</v>
      </c>
      <c r="AP308" s="79"/>
      <c r="AQ308" s="57">
        <f t="shared" si="803"/>
        <v>115.73802381416321</v>
      </c>
      <c r="AR308" s="78">
        <f t="shared" si="890"/>
        <v>1500</v>
      </c>
      <c r="AS308" s="57">
        <f t="shared" si="804"/>
        <v>1384.2619761858368</v>
      </c>
      <c r="AT308" s="77">
        <v>200</v>
      </c>
      <c r="AU308" s="77">
        <v>750</v>
      </c>
      <c r="AV308" s="78">
        <f t="shared" si="805"/>
        <v>300000</v>
      </c>
      <c r="AW308" s="77">
        <v>0</v>
      </c>
      <c r="AX308" s="77">
        <f t="shared" si="806"/>
        <v>300000</v>
      </c>
      <c r="AY308" s="78">
        <f t="shared" si="917"/>
        <v>300000</v>
      </c>
      <c r="AZ308" s="77">
        <v>625</v>
      </c>
      <c r="BA308" s="77">
        <v>667</v>
      </c>
      <c r="BB308" s="77">
        <v>667</v>
      </c>
      <c r="BC308" s="77">
        <v>0</v>
      </c>
      <c r="BD308" s="77">
        <f>(PI()*13*13*18)/(4*200*1500)</f>
        <v>7.9639373768501266E-3</v>
      </c>
      <c r="BE308" s="77">
        <f>(2*PI()*10*10)/(4*100*200)</f>
        <v>7.8539816339744835E-3</v>
      </c>
      <c r="BF308" s="77">
        <v>0</v>
      </c>
      <c r="BG308" s="77">
        <v>0</v>
      </c>
      <c r="BH308" s="79">
        <v>100</v>
      </c>
      <c r="BI308" s="79">
        <f t="shared" si="929"/>
        <v>78.539816339744831</v>
      </c>
      <c r="BJ308" s="79">
        <v>2</v>
      </c>
      <c r="BK308" s="57">
        <f t="shared" si="881"/>
        <v>157.07963267948966</v>
      </c>
      <c r="BL308" s="57" t="b">
        <f t="shared" si="841"/>
        <v>0</v>
      </c>
      <c r="BM308" s="80">
        <f t="shared" si="927"/>
        <v>132.73228961416876</v>
      </c>
      <c r="BN308" s="80">
        <v>2</v>
      </c>
      <c r="BO308" s="57">
        <f t="shared" si="892"/>
        <v>265.46457922833753</v>
      </c>
      <c r="BP308" s="57">
        <f t="shared" si="807"/>
        <v>2080073.5440916109</v>
      </c>
      <c r="BQ308" s="77">
        <f t="shared" si="808"/>
        <v>0</v>
      </c>
      <c r="BR308" s="57">
        <f t="shared" si="843"/>
        <v>1560055158.0687082</v>
      </c>
      <c r="BS308" s="57">
        <v>231.47604762832643</v>
      </c>
      <c r="BT308" s="57">
        <f t="shared" si="810"/>
        <v>164.86289463354456</v>
      </c>
      <c r="BU308" s="57"/>
      <c r="BV308" s="57">
        <v>3.3E-3</v>
      </c>
      <c r="BW308" s="57">
        <v>30000</v>
      </c>
      <c r="BX308" s="57">
        <v>200000</v>
      </c>
      <c r="BY308" s="77">
        <f>45</f>
        <v>45</v>
      </c>
      <c r="BZ308" s="77">
        <f>BY308+180</f>
        <v>225</v>
      </c>
      <c r="CA308" s="77">
        <f>BZ308+175</f>
        <v>400</v>
      </c>
      <c r="CB308" s="77">
        <f>BZ308+175*2</f>
        <v>575</v>
      </c>
      <c r="CC308" s="77">
        <f>BZ308+175*3</f>
        <v>750</v>
      </c>
      <c r="CD308" s="77">
        <f>BZ308+175*4</f>
        <v>925</v>
      </c>
      <c r="CE308" s="77">
        <f>BZ308+175*5</f>
        <v>1100</v>
      </c>
      <c r="CF308" s="77">
        <f>BZ308+175*6</f>
        <v>1275</v>
      </c>
      <c r="CG308" s="77">
        <f>CF308+180</f>
        <v>1455</v>
      </c>
      <c r="DM308" s="77">
        <f t="shared" si="930"/>
        <v>265.46457922833753</v>
      </c>
      <c r="DN308" s="77">
        <f t="shared" si="930"/>
        <v>265.46457922833753</v>
      </c>
      <c r="DO308" s="77">
        <f t="shared" si="930"/>
        <v>265.46457922833753</v>
      </c>
      <c r="DP308" s="77">
        <f t="shared" si="931"/>
        <v>265.46457922833753</v>
      </c>
      <c r="DQ308" s="77">
        <f t="shared" si="931"/>
        <v>265.46457922833753</v>
      </c>
      <c r="DR308" s="77">
        <f t="shared" si="931"/>
        <v>265.46457922833753</v>
      </c>
      <c r="DS308" s="77">
        <f>PI()*13*13/4*2</f>
        <v>265.46457922833753</v>
      </c>
      <c r="DT308" s="77">
        <f>PI()*13*13/4*2</f>
        <v>265.46457922833753</v>
      </c>
      <c r="DU308" s="77">
        <f>PI()*13*13/4*2</f>
        <v>265.46457922833753</v>
      </c>
      <c r="FA308" s="77">
        <f t="shared" ref="FA308:FB311" si="934">IF(ABS(-$BV308*($BS308-BY308)/$BS308*$BX308)&gt;$BA308,$BA308*SIGN(-($BS308-BY308)),-$BV308*($BS308-BY308)/$BS308*$BX308)*DM308</f>
        <v>-141145.65536188608</v>
      </c>
      <c r="FB308" s="77">
        <f t="shared" si="934"/>
        <v>-4901.7876466192929</v>
      </c>
      <c r="FC308" s="77">
        <f t="shared" si="932"/>
        <v>127557.52818766785</v>
      </c>
      <c r="FD308" s="77">
        <f t="shared" si="932"/>
        <v>177064.87434530113</v>
      </c>
      <c r="FE308" s="77">
        <f t="shared" ref="FE308:FI309" si="935">IF(ABS(-$BV308*($BS308-CC308)/$BS308*$BX308)&gt;$BA308,$BA308*SIGN(-($BS308-CC308)),-$BV308*($BS308-CC308)/$BS308*$BX308)*DQ308</f>
        <v>177064.87434530113</v>
      </c>
      <c r="FF308" s="77">
        <f t="shared" si="935"/>
        <v>177064.87434530113</v>
      </c>
      <c r="FG308" s="77">
        <f t="shared" si="935"/>
        <v>177064.87434530113</v>
      </c>
      <c r="FH308" s="77">
        <f t="shared" si="935"/>
        <v>177064.87434530113</v>
      </c>
      <c r="FI308" s="77">
        <f t="shared" si="935"/>
        <v>177064.87434530113</v>
      </c>
      <c r="GO308" s="77">
        <f t="shared" si="854"/>
        <v>99507687.030129686</v>
      </c>
      <c r="GP308" s="77">
        <f t="shared" si="855"/>
        <v>2573438.5144751286</v>
      </c>
      <c r="GQ308" s="77">
        <f t="shared" si="856"/>
        <v>-44645134.865683749</v>
      </c>
      <c r="GR308" s="77">
        <f t="shared" si="857"/>
        <v>-30986353.010427698</v>
      </c>
      <c r="GS308" s="77">
        <f t="shared" si="883"/>
        <v>0</v>
      </c>
      <c r="GT308" s="77">
        <f t="shared" si="933"/>
        <v>30986353.010427698</v>
      </c>
      <c r="GU308" s="77">
        <f t="shared" ref="GU308:GW309" si="936">FG308*(CE308-0.5*$AO308)</f>
        <v>61972706.020855397</v>
      </c>
      <c r="GV308" s="77">
        <f t="shared" si="936"/>
        <v>92959059.031283095</v>
      </c>
      <c r="GW308" s="77">
        <f t="shared" si="936"/>
        <v>124830736.41343729</v>
      </c>
      <c r="IC308" s="82">
        <v>327</v>
      </c>
    </row>
    <row r="309" spans="1:237" s="77" customFormat="1">
      <c r="A309" s="77">
        <v>309</v>
      </c>
      <c r="B309" s="122"/>
      <c r="C309" s="123" t="s">
        <v>327</v>
      </c>
      <c r="D309" s="124" t="s">
        <v>332</v>
      </c>
      <c r="E309" s="124">
        <v>4</v>
      </c>
      <c r="F309" s="125">
        <f t="shared" si="884"/>
        <v>3.3333333333333333E-2</v>
      </c>
      <c r="G309" s="125">
        <v>2.9999999999999997E-4</v>
      </c>
      <c r="H309" s="125">
        <v>4.4999999999999997E-3</v>
      </c>
      <c r="I309" s="135">
        <v>8.0000000000000002E-3</v>
      </c>
      <c r="J309" s="125">
        <f t="shared" si="925"/>
        <v>0.5</v>
      </c>
      <c r="K309" s="125">
        <f t="shared" si="911"/>
        <v>7.5</v>
      </c>
      <c r="L309" s="125">
        <f t="shared" si="912"/>
        <v>0.19253846311048833</v>
      </c>
      <c r="M309" s="125">
        <f t="shared" si="913"/>
        <v>0.12443244061427505</v>
      </c>
      <c r="N309" s="125">
        <f t="shared" si="914"/>
        <v>0</v>
      </c>
      <c r="O309" s="125">
        <f t="shared" si="915"/>
        <v>0</v>
      </c>
      <c r="P309" s="125">
        <v>7.0000000000000007E-2</v>
      </c>
      <c r="Q309" s="125" t="s">
        <v>3</v>
      </c>
      <c r="R309" s="126">
        <f t="shared" si="916"/>
        <v>0</v>
      </c>
      <c r="S309" s="75">
        <f t="shared" si="809"/>
        <v>0.21628170930011115</v>
      </c>
      <c r="T309" s="59">
        <f t="shared" si="789"/>
        <v>1.6283805240472073</v>
      </c>
      <c r="U309" s="59">
        <f t="shared" si="790"/>
        <v>1.2784152238452637</v>
      </c>
      <c r="V309" s="59">
        <f t="shared" si="791"/>
        <v>6.2500097856838321</v>
      </c>
      <c r="W309" s="59">
        <f t="shared" si="792"/>
        <v>3.8381752258679325</v>
      </c>
      <c r="X309" s="59">
        <f t="shared" si="793"/>
        <v>4.8888730899846653</v>
      </c>
      <c r="Y309" s="127">
        <v>421000</v>
      </c>
      <c r="Z309" s="57">
        <f t="shared" si="794"/>
        <v>2058215.5708835442</v>
      </c>
      <c r="AA309" s="57">
        <f t="shared" si="795"/>
        <v>1615871.7700903995</v>
      </c>
      <c r="AB309" s="57">
        <f t="shared" si="887"/>
        <v>1597894.4462491202</v>
      </c>
      <c r="AC309" s="57">
        <f t="shared" si="796"/>
        <v>0.25</v>
      </c>
      <c r="AD309" s="57">
        <f t="shared" si="797"/>
        <v>1.5</v>
      </c>
      <c r="AE309" s="57">
        <f t="shared" si="798"/>
        <v>884100.00000000023</v>
      </c>
      <c r="AF309" s="57">
        <f t="shared" si="799"/>
        <v>478497.78558916459</v>
      </c>
      <c r="AG309" s="57">
        <f t="shared" si="880"/>
        <v>1137373.984501235</v>
      </c>
      <c r="AH309" s="57">
        <f t="shared" si="888"/>
        <v>983477637.75302005</v>
      </c>
      <c r="AI309" s="57">
        <f t="shared" si="889"/>
        <v>214943196.93382001</v>
      </c>
      <c r="AJ309" s="77">
        <f t="shared" si="926"/>
        <v>884100.00000000012</v>
      </c>
      <c r="AK309" s="77">
        <v>42.1</v>
      </c>
      <c r="AL309" s="78">
        <f t="shared" si="800"/>
        <v>3.5933934561270355</v>
      </c>
      <c r="AM309" s="57">
        <f t="shared" si="801"/>
        <v>0.98921052631578943</v>
      </c>
      <c r="AN309" s="57">
        <f t="shared" si="802"/>
        <v>0.78921052631578947</v>
      </c>
      <c r="AO309" s="77">
        <v>1500</v>
      </c>
      <c r="AP309" s="79">
        <f>45*2</f>
        <v>90</v>
      </c>
      <c r="AQ309" s="57">
        <f t="shared" si="803"/>
        <v>143.03829252251683</v>
      </c>
      <c r="AR309" s="78">
        <f t="shared" si="890"/>
        <v>1320</v>
      </c>
      <c r="AS309" s="57">
        <f t="shared" si="804"/>
        <v>1356.9617074774833</v>
      </c>
      <c r="AT309" s="77">
        <v>200</v>
      </c>
      <c r="AU309" s="77">
        <v>750</v>
      </c>
      <c r="AV309" s="78">
        <f t="shared" si="805"/>
        <v>300000</v>
      </c>
      <c r="AW309" s="77">
        <v>0</v>
      </c>
      <c r="AX309" s="77">
        <f t="shared" si="806"/>
        <v>300000</v>
      </c>
      <c r="AY309" s="78">
        <f t="shared" si="917"/>
        <v>300000</v>
      </c>
      <c r="AZ309" s="77">
        <f t="shared" ref="AZ309:AZ343" si="937">BA309</f>
        <v>667</v>
      </c>
      <c r="BA309" s="77">
        <v>667</v>
      </c>
      <c r="BB309" s="77">
        <v>667</v>
      </c>
      <c r="BC309" s="77">
        <v>0</v>
      </c>
      <c r="BD309" s="77">
        <f>(PI()*13*13*18+PI()*10*10*16)/(4*200*1500)</f>
        <v>1.2152727581636519E-2</v>
      </c>
      <c r="BE309" s="77">
        <f>(2*PI()*10*10)/(4*100*200)</f>
        <v>7.8539816339744835E-3</v>
      </c>
      <c r="BF309" s="77">
        <v>0</v>
      </c>
      <c r="BG309" s="77">
        <v>0</v>
      </c>
      <c r="BH309" s="79">
        <v>100</v>
      </c>
      <c r="BI309" s="79">
        <f t="shared" si="929"/>
        <v>78.539816339744831</v>
      </c>
      <c r="BJ309" s="79">
        <v>2</v>
      </c>
      <c r="BK309" s="57">
        <f t="shared" si="881"/>
        <v>157.07963267948966</v>
      </c>
      <c r="BL309" s="57" t="b">
        <f t="shared" si="841"/>
        <v>0</v>
      </c>
      <c r="BM309" s="80">
        <f t="shared" si="927"/>
        <v>132.73228961416876</v>
      </c>
      <c r="BN309" s="80">
        <v>2</v>
      </c>
      <c r="BO309" s="57">
        <f t="shared" si="892"/>
        <v>265.46457922833753</v>
      </c>
      <c r="BP309" s="57">
        <f t="shared" si="807"/>
        <v>2631254.1197728934</v>
      </c>
      <c r="BQ309" s="77">
        <f t="shared" si="808"/>
        <v>-2.491287887096405E-8</v>
      </c>
      <c r="BR309" s="57">
        <f t="shared" si="843"/>
        <v>1973440589.8296702</v>
      </c>
      <c r="BS309" s="57">
        <v>286.07658504503365</v>
      </c>
      <c r="BT309" s="57">
        <f t="shared" si="810"/>
        <v>192.07070751070657</v>
      </c>
      <c r="BU309" s="57"/>
      <c r="BV309" s="57">
        <v>3.3E-3</v>
      </c>
      <c r="BW309" s="57">
        <v>30000</v>
      </c>
      <c r="BX309" s="57">
        <v>200000</v>
      </c>
      <c r="BY309" s="77">
        <f>45</f>
        <v>45</v>
      </c>
      <c r="BZ309" s="77">
        <f>BY309+90</f>
        <v>135</v>
      </c>
      <c r="CA309" s="77">
        <f>BZ309+90</f>
        <v>225</v>
      </c>
      <c r="CB309" s="77">
        <f t="shared" ref="CB309:CM309" si="938">CA309+175/2</f>
        <v>312.5</v>
      </c>
      <c r="CC309" s="77">
        <f t="shared" si="938"/>
        <v>400</v>
      </c>
      <c r="CD309" s="77">
        <f t="shared" si="938"/>
        <v>487.5</v>
      </c>
      <c r="CE309" s="77">
        <f t="shared" si="938"/>
        <v>575</v>
      </c>
      <c r="CF309" s="77">
        <f t="shared" si="938"/>
        <v>662.5</v>
      </c>
      <c r="CG309" s="77">
        <f t="shared" si="938"/>
        <v>750</v>
      </c>
      <c r="CH309" s="77">
        <f t="shared" si="938"/>
        <v>837.5</v>
      </c>
      <c r="CI309" s="77">
        <f t="shared" si="938"/>
        <v>925</v>
      </c>
      <c r="CJ309" s="77">
        <f t="shared" si="938"/>
        <v>1012.5</v>
      </c>
      <c r="CK309" s="77">
        <f t="shared" si="938"/>
        <v>1100</v>
      </c>
      <c r="CL309" s="77">
        <f t="shared" si="938"/>
        <v>1187.5</v>
      </c>
      <c r="CM309" s="77">
        <f t="shared" si="938"/>
        <v>1275</v>
      </c>
      <c r="CN309" s="77">
        <f>CM309+90</f>
        <v>1365</v>
      </c>
      <c r="CO309" s="77">
        <f>CN309+90</f>
        <v>1455</v>
      </c>
      <c r="DM309" s="77">
        <f>PI()*13*13/4*2</f>
        <v>265.46457922833753</v>
      </c>
      <c r="DN309" s="77">
        <f>PI()*10*10/4*2</f>
        <v>157.07963267948966</v>
      </c>
      <c r="DO309" s="77">
        <f>PI()*13*13/4*2</f>
        <v>265.46457922833753</v>
      </c>
      <c r="DP309" s="77">
        <f>PI()*10*10/4*2</f>
        <v>157.07963267948966</v>
      </c>
      <c r="DQ309" s="77">
        <f>PI()*13*13/4*2</f>
        <v>265.46457922833753</v>
      </c>
      <c r="DR309" s="77">
        <f>PI()*10*10/4*2</f>
        <v>157.07963267948966</v>
      </c>
      <c r="DS309" s="77">
        <f>PI()*13*13/4*2</f>
        <v>265.46457922833753</v>
      </c>
      <c r="DT309" s="77">
        <f>PI()*10*10/4*2</f>
        <v>157.07963267948966</v>
      </c>
      <c r="DU309" s="77">
        <f>PI()*13*13/4*2</f>
        <v>265.46457922833753</v>
      </c>
      <c r="DV309" s="77">
        <f>PI()*10*10/4*2</f>
        <v>157.07963267948966</v>
      </c>
      <c r="DW309" s="77">
        <f>PI()*13*13/4*2</f>
        <v>265.46457922833753</v>
      </c>
      <c r="DX309" s="77">
        <f>PI()*10*10/4*2</f>
        <v>157.07963267948966</v>
      </c>
      <c r="DY309" s="77">
        <f>PI()*13*13/4*2</f>
        <v>265.46457922833753</v>
      </c>
      <c r="DZ309" s="77">
        <f>PI()*10*10/4*2</f>
        <v>157.07963267948966</v>
      </c>
      <c r="EA309" s="77">
        <f>PI()*13*13/4*2</f>
        <v>265.46457922833753</v>
      </c>
      <c r="EB309" s="77">
        <f>PI()*10*10/4*2</f>
        <v>157.07963267948966</v>
      </c>
      <c r="EC309" s="77">
        <f>PI()*13*13/4*2</f>
        <v>265.46457922833753</v>
      </c>
      <c r="FA309" s="77">
        <f t="shared" si="934"/>
        <v>-147646.52679445484</v>
      </c>
      <c r="FB309" s="77">
        <f t="shared" si="934"/>
        <v>-54749.311125419488</v>
      </c>
      <c r="FC309" s="77">
        <f t="shared" si="932"/>
        <v>-37406.144809463032</v>
      </c>
      <c r="FD309" s="77">
        <f t="shared" si="932"/>
        <v>9575.6980867305538</v>
      </c>
      <c r="FE309" s="77">
        <f t="shared" si="935"/>
        <v>69772.004342612316</v>
      </c>
      <c r="FF309" s="77">
        <f t="shared" si="935"/>
        <v>72994.721253639043</v>
      </c>
      <c r="FG309" s="77">
        <f t="shared" si="935"/>
        <v>176950.15349468766</v>
      </c>
      <c r="FH309" s="77">
        <f t="shared" si="935"/>
        <v>104772.1149972196</v>
      </c>
      <c r="FI309" s="77">
        <f t="shared" si="935"/>
        <v>177064.87434530113</v>
      </c>
      <c r="FJ309" s="77">
        <f t="shared" ref="FJ309:FQ309" si="939">IF(ABS(-$BV309*($BS309-CH309)/$BS309*$BX309)&gt;$BA309,$BA309*SIGN(-($BS309-CH309)),-$BV309*($BS309-CH309)/$BS309*$BX309)*DV309</f>
        <v>104772.1149972196</v>
      </c>
      <c r="FK309" s="77">
        <f t="shared" si="939"/>
        <v>177064.87434530113</v>
      </c>
      <c r="FL309" s="77">
        <f t="shared" si="939"/>
        <v>104772.1149972196</v>
      </c>
      <c r="FM309" s="77">
        <f t="shared" si="939"/>
        <v>177064.87434530113</v>
      </c>
      <c r="FN309" s="77">
        <f t="shared" si="939"/>
        <v>104772.1149972196</v>
      </c>
      <c r="FO309" s="77">
        <f t="shared" si="939"/>
        <v>177064.87434530113</v>
      </c>
      <c r="FP309" s="77">
        <f t="shared" si="939"/>
        <v>104772.1149972196</v>
      </c>
      <c r="FQ309" s="77">
        <f t="shared" si="939"/>
        <v>177064.87434530113</v>
      </c>
      <c r="GO309" s="77">
        <f t="shared" si="854"/>
        <v>104090801.39009066</v>
      </c>
      <c r="GP309" s="77">
        <f t="shared" si="855"/>
        <v>33670826.342132986</v>
      </c>
      <c r="GQ309" s="77">
        <f t="shared" si="856"/>
        <v>19638226.024968091</v>
      </c>
      <c r="GR309" s="77">
        <f t="shared" si="857"/>
        <v>-4189367.9129446172</v>
      </c>
      <c r="GS309" s="77">
        <f t="shared" si="883"/>
        <v>-24420201.51991431</v>
      </c>
      <c r="GT309" s="77">
        <f t="shared" si="933"/>
        <v>-19161114.32908025</v>
      </c>
      <c r="GU309" s="77">
        <f t="shared" si="936"/>
        <v>-30966276.86157034</v>
      </c>
      <c r="GV309" s="77">
        <f t="shared" si="936"/>
        <v>-9167560.0622567143</v>
      </c>
      <c r="GW309" s="77">
        <f t="shared" si="936"/>
        <v>0</v>
      </c>
      <c r="GX309" s="77">
        <f t="shared" ref="GX309:HE309" si="940">FJ309*(CH309-0.5*$AO309)</f>
        <v>9167560.0622567143</v>
      </c>
      <c r="GY309" s="77">
        <f t="shared" si="940"/>
        <v>30986353.010427698</v>
      </c>
      <c r="GZ309" s="77">
        <f t="shared" si="940"/>
        <v>27502680.186770145</v>
      </c>
      <c r="HA309" s="77">
        <f t="shared" si="940"/>
        <v>61972706.020855397</v>
      </c>
      <c r="HB309" s="77">
        <f t="shared" si="940"/>
        <v>45837800.311283574</v>
      </c>
      <c r="HC309" s="77">
        <f t="shared" si="940"/>
        <v>92959059.031283095</v>
      </c>
      <c r="HD309" s="77">
        <f t="shared" si="940"/>
        <v>64434850.723290056</v>
      </c>
      <c r="HE309" s="77">
        <f t="shared" si="940"/>
        <v>124830736.41343729</v>
      </c>
      <c r="IC309" s="82">
        <v>328</v>
      </c>
    </row>
    <row r="310" spans="1:237" s="77" customFormat="1">
      <c r="A310" s="77">
        <v>310</v>
      </c>
      <c r="B310" s="122"/>
      <c r="C310" s="123" t="s">
        <v>327</v>
      </c>
      <c r="D310" s="124" t="s">
        <v>333</v>
      </c>
      <c r="E310" s="124">
        <v>4</v>
      </c>
      <c r="F310" s="125">
        <f t="shared" si="884"/>
        <v>8.2739509105304823E-2</v>
      </c>
      <c r="G310" s="125">
        <v>1.1999999999999999E-3</v>
      </c>
      <c r="H310" s="125">
        <v>0.01</v>
      </c>
      <c r="I310" s="135">
        <v>1.7000000000000001E-2</v>
      </c>
      <c r="J310" s="125">
        <f t="shared" si="925"/>
        <v>0.5</v>
      </c>
      <c r="K310" s="125">
        <f t="shared" si="911"/>
        <v>7.5</v>
      </c>
      <c r="L310" s="125">
        <f t="shared" si="912"/>
        <v>8.4116329855249944E-2</v>
      </c>
      <c r="M310" s="125">
        <f t="shared" si="913"/>
        <v>7.4510443481601837E-2</v>
      </c>
      <c r="N310" s="125">
        <f t="shared" si="914"/>
        <v>0</v>
      </c>
      <c r="O310" s="125">
        <f t="shared" si="915"/>
        <v>0</v>
      </c>
      <c r="P310" s="125">
        <v>7.0000000000000007E-2</v>
      </c>
      <c r="Q310" s="125" t="s">
        <v>3</v>
      </c>
      <c r="R310" s="126">
        <f t="shared" si="916"/>
        <v>0</v>
      </c>
      <c r="S310" s="75">
        <f t="shared" si="809"/>
        <v>0.53685127367842311</v>
      </c>
      <c r="T310" s="59">
        <f t="shared" si="789"/>
        <v>1.4239224144987563</v>
      </c>
      <c r="U310" s="59">
        <f t="shared" si="790"/>
        <v>1.1941089926626185</v>
      </c>
      <c r="V310" s="59">
        <f t="shared" si="791"/>
        <v>1.6314165559241329</v>
      </c>
      <c r="W310" s="59">
        <f t="shared" si="792"/>
        <v>1.1457201174113254</v>
      </c>
      <c r="X310" s="59">
        <f t="shared" si="793"/>
        <v>1.366220810619982</v>
      </c>
      <c r="Y310" s="127">
        <v>1045000</v>
      </c>
      <c r="Z310" s="57">
        <f t="shared" si="794"/>
        <v>1427700.7470978813</v>
      </c>
      <c r="AA310" s="57">
        <f t="shared" si="795"/>
        <v>1197277.522694835</v>
      </c>
      <c r="AB310" s="57">
        <f t="shared" si="887"/>
        <v>1668213.1195371281</v>
      </c>
      <c r="AC310" s="57">
        <f t="shared" si="796"/>
        <v>0.25</v>
      </c>
      <c r="AD310" s="57">
        <f t="shared" si="797"/>
        <v>1.5</v>
      </c>
      <c r="AE310" s="57">
        <f t="shared" si="798"/>
        <v>884100.00000000023</v>
      </c>
      <c r="AF310" s="57">
        <f t="shared" si="799"/>
        <v>492233.60597380658</v>
      </c>
      <c r="AG310" s="57">
        <f t="shared" si="880"/>
        <v>705043.91672102851</v>
      </c>
      <c r="AH310" s="57">
        <f t="shared" si="888"/>
        <v>1019295789.6303581</v>
      </c>
      <c r="AI310" s="57">
        <f t="shared" si="889"/>
        <v>231864050.02248797</v>
      </c>
      <c r="AJ310" s="77">
        <f t="shared" si="926"/>
        <v>884100.00000000012</v>
      </c>
      <c r="AK310" s="77">
        <v>42.1</v>
      </c>
      <c r="AL310" s="78">
        <f t="shared" si="800"/>
        <v>3.5933934561270355</v>
      </c>
      <c r="AM310" s="57">
        <f t="shared" si="801"/>
        <v>0.98921052631578943</v>
      </c>
      <c r="AN310" s="57">
        <f t="shared" si="802"/>
        <v>0.78921052631578947</v>
      </c>
      <c r="AO310" s="77">
        <v>1500</v>
      </c>
      <c r="AP310" s="79">
        <f>45*2</f>
        <v>90</v>
      </c>
      <c r="AQ310" s="57">
        <f t="shared" si="803"/>
        <v>95.256785458416672</v>
      </c>
      <c r="AR310" s="78">
        <f t="shared" si="890"/>
        <v>1320</v>
      </c>
      <c r="AS310" s="57">
        <f t="shared" si="804"/>
        <v>1404.7432145415833</v>
      </c>
      <c r="AT310" s="77">
        <v>200</v>
      </c>
      <c r="AU310" s="77">
        <v>750</v>
      </c>
      <c r="AV310" s="78">
        <f t="shared" si="805"/>
        <v>300000</v>
      </c>
      <c r="AW310" s="77">
        <v>0</v>
      </c>
      <c r="AX310" s="77">
        <f t="shared" si="806"/>
        <v>300000</v>
      </c>
      <c r="AY310" s="78">
        <f t="shared" si="917"/>
        <v>300000</v>
      </c>
      <c r="AZ310" s="77">
        <f t="shared" si="937"/>
        <v>667</v>
      </c>
      <c r="BA310" s="77">
        <v>667</v>
      </c>
      <c r="BB310" s="77">
        <v>667</v>
      </c>
      <c r="BC310" s="77">
        <v>0</v>
      </c>
      <c r="BD310" s="77">
        <f>(PI()*13*13*12)/(4*200*1500)</f>
        <v>5.3092915845667507E-3</v>
      </c>
      <c r="BE310" s="77">
        <f>(2*PI()*10*10)/(4*167*200)</f>
        <v>4.7029830143559782E-3</v>
      </c>
      <c r="BF310" s="77">
        <v>0</v>
      </c>
      <c r="BG310" s="77">
        <v>0</v>
      </c>
      <c r="BH310" s="79">
        <v>167</v>
      </c>
      <c r="BI310" s="79">
        <f t="shared" si="929"/>
        <v>78.539816339744831</v>
      </c>
      <c r="BJ310" s="79">
        <v>2</v>
      </c>
      <c r="BK310" s="57">
        <f t="shared" si="881"/>
        <v>157.07963267948966</v>
      </c>
      <c r="BL310" s="57" t="b">
        <f t="shared" si="841"/>
        <v>0</v>
      </c>
      <c r="BM310" s="80">
        <f t="shared" si="927"/>
        <v>132.73228961416876</v>
      </c>
      <c r="BN310" s="80">
        <v>2</v>
      </c>
      <c r="BO310" s="57">
        <f t="shared" si="892"/>
        <v>265.46457922833753</v>
      </c>
      <c r="BP310" s="57">
        <f t="shared" si="807"/>
        <v>1704830.300940719</v>
      </c>
      <c r="BQ310" s="77">
        <f t="shared" si="808"/>
        <v>3.6088749766349792E-9</v>
      </c>
      <c r="BR310" s="57">
        <f t="shared" si="843"/>
        <v>1278622725.7055392</v>
      </c>
      <c r="BS310" s="57">
        <v>190.51357091683334</v>
      </c>
      <c r="BT310" s="57">
        <f t="shared" si="810"/>
        <v>176.74946174144731</v>
      </c>
      <c r="BU310" s="57"/>
      <c r="BV310" s="57">
        <v>3.3E-3</v>
      </c>
      <c r="BW310" s="57">
        <v>30000</v>
      </c>
      <c r="BX310" s="57">
        <v>200000</v>
      </c>
      <c r="BY310" s="77">
        <f>45</f>
        <v>45</v>
      </c>
      <c r="BZ310" s="77">
        <f>BY310+285</f>
        <v>330</v>
      </c>
      <c r="CA310" s="77">
        <f>BZ310+280</f>
        <v>610</v>
      </c>
      <c r="CB310" s="77">
        <f>BZ310+280*2</f>
        <v>890</v>
      </c>
      <c r="CC310" s="77">
        <f>BZ310+280*3</f>
        <v>1170</v>
      </c>
      <c r="CD310" s="77">
        <f>CC310+285</f>
        <v>1455</v>
      </c>
      <c r="DM310" s="77">
        <f>PI()*13*13/4*2</f>
        <v>265.46457922833753</v>
      </c>
      <c r="DN310" s="77">
        <f>PI()*13*13/4*2</f>
        <v>265.46457922833753</v>
      </c>
      <c r="DO310" s="77">
        <f>PI()*13*13/4*2</f>
        <v>265.46457922833753</v>
      </c>
      <c r="DP310" s="77">
        <f>PI()*13*13/4*2</f>
        <v>265.46457922833753</v>
      </c>
      <c r="DQ310" s="77">
        <f>PI()*13*13/4*2</f>
        <v>265.46457922833753</v>
      </c>
      <c r="DR310" s="77">
        <f>PI()*13*13/4*2</f>
        <v>265.46457922833753</v>
      </c>
      <c r="FA310" s="77">
        <f t="shared" si="934"/>
        <v>-133822.17936026488</v>
      </c>
      <c r="FB310" s="77">
        <f t="shared" si="934"/>
        <v>128279.29253250855</v>
      </c>
      <c r="FC310" s="77">
        <f t="shared" si="932"/>
        <v>177064.87434530113</v>
      </c>
      <c r="FD310" s="77">
        <f t="shared" si="932"/>
        <v>177064.87434530113</v>
      </c>
      <c r="FE310" s="77">
        <f>IF(ABS(-$BV310*($BS310-CC310)/$BS310*$BX310)&gt;$BA310,$BA310*SIGN(-($BS310-CC310)),-$BV310*($BS310-CC310)/$BS310*$BX310)*DQ310</f>
        <v>177064.87434530113</v>
      </c>
      <c r="FF310" s="77">
        <f>IF(ABS(-$BV310*($BS310-CD310)/$BS310*$BX310)&gt;$BA310,$BA310*SIGN(-($BS310-CD310)),-$BV310*($BS310-CD310)/$BS310*$BX310)*DR310</f>
        <v>177064.87434530113</v>
      </c>
      <c r="GO310" s="77">
        <f t="shared" si="854"/>
        <v>94344636.448986739</v>
      </c>
      <c r="GP310" s="77">
        <f t="shared" si="855"/>
        <v>-53877302.863653593</v>
      </c>
      <c r="GQ310" s="77">
        <f t="shared" si="856"/>
        <v>-24789082.408342157</v>
      </c>
      <c r="GR310" s="77">
        <f t="shared" si="857"/>
        <v>24789082.408342157</v>
      </c>
      <c r="GS310" s="77">
        <f t="shared" si="883"/>
        <v>74367247.225026473</v>
      </c>
      <c r="GT310" s="77">
        <f t="shared" si="933"/>
        <v>124830736.41343729</v>
      </c>
      <c r="IC310" s="82">
        <v>329</v>
      </c>
    </row>
    <row r="311" spans="1:237">
      <c r="A311" s="77">
        <v>311</v>
      </c>
      <c r="B311" s="122"/>
      <c r="C311" s="123" t="s">
        <v>327</v>
      </c>
      <c r="D311" s="124" t="s">
        <v>334</v>
      </c>
      <c r="E311" s="124">
        <v>4</v>
      </c>
      <c r="F311" s="125">
        <f t="shared" si="884"/>
        <v>5.7482185273159139E-2</v>
      </c>
      <c r="G311" s="125">
        <v>4.7999999999999996E-3</v>
      </c>
      <c r="H311" s="125">
        <v>0.01</v>
      </c>
      <c r="I311" s="135">
        <v>2.1000000000000001E-2</v>
      </c>
      <c r="J311" s="125">
        <f t="shared" si="925"/>
        <v>0.5</v>
      </c>
      <c r="K311" s="125">
        <f t="shared" si="911"/>
        <v>7.5</v>
      </c>
      <c r="L311" s="125">
        <f t="shared" si="912"/>
        <v>0.12559381006000828</v>
      </c>
      <c r="M311" s="125">
        <f t="shared" si="913"/>
        <v>7.4510443481601837E-2</v>
      </c>
      <c r="N311" s="125">
        <f t="shared" si="914"/>
        <v>0</v>
      </c>
      <c r="O311" s="125">
        <f t="shared" si="915"/>
        <v>0</v>
      </c>
      <c r="P311" s="125">
        <v>7.0000000000000007E-2</v>
      </c>
      <c r="Q311" s="125" t="s">
        <v>3</v>
      </c>
      <c r="R311" s="126">
        <f t="shared" si="916"/>
        <v>0</v>
      </c>
      <c r="S311" s="75">
        <f t="shared" si="809"/>
        <v>0.37297035855553606</v>
      </c>
      <c r="T311" s="59">
        <f t="shared" si="789"/>
        <v>1.7595449926174791</v>
      </c>
      <c r="U311" s="59">
        <f t="shared" si="790"/>
        <v>1.4557769466710144</v>
      </c>
      <c r="V311" s="59">
        <f t="shared" si="791"/>
        <v>2.8628289729615424</v>
      </c>
      <c r="W311" s="59">
        <f t="shared" si="792"/>
        <v>1.6270280015419389</v>
      </c>
      <c r="X311" s="59">
        <f t="shared" si="793"/>
        <v>1.9665299546802772</v>
      </c>
      <c r="Y311" s="127">
        <v>726000</v>
      </c>
      <c r="Z311" s="57">
        <f t="shared" si="794"/>
        <v>1427700.7470978813</v>
      </c>
      <c r="AA311" s="57">
        <f t="shared" si="795"/>
        <v>1181222.3291194476</v>
      </c>
      <c r="AB311" s="57">
        <f t="shared" si="887"/>
        <v>1638280.5741265104</v>
      </c>
      <c r="AC311" s="57">
        <f t="shared" si="796"/>
        <v>0.25</v>
      </c>
      <c r="AD311" s="57">
        <f t="shared" si="797"/>
        <v>1.5</v>
      </c>
      <c r="AE311" s="57">
        <f t="shared" si="798"/>
        <v>884100.00000000023</v>
      </c>
      <c r="AF311" s="57">
        <f t="shared" si="799"/>
        <v>486386.68014044466</v>
      </c>
      <c r="AG311" s="57">
        <f t="shared" si="880"/>
        <v>694835.64897900308</v>
      </c>
      <c r="AH311" s="57">
        <f t="shared" si="888"/>
        <v>1004049079.0844743</v>
      </c>
      <c r="AI311" s="57">
        <f t="shared" si="889"/>
        <v>224661351.51040834</v>
      </c>
      <c r="AJ311" s="77">
        <f t="shared" si="926"/>
        <v>884100.00000000012</v>
      </c>
      <c r="AK311" s="77">
        <v>42.1</v>
      </c>
      <c r="AL311" s="78">
        <f t="shared" si="800"/>
        <v>3.5933934561270355</v>
      </c>
      <c r="AM311" s="57">
        <f t="shared" si="801"/>
        <v>0.98921052631578943</v>
      </c>
      <c r="AN311" s="57">
        <f t="shared" si="802"/>
        <v>0.78921052631578947</v>
      </c>
      <c r="AO311" s="77">
        <v>1500</v>
      </c>
      <c r="AP311" s="79">
        <f>45*2</f>
        <v>90</v>
      </c>
      <c r="AQ311" s="57">
        <f t="shared" si="803"/>
        <v>115.59593668395375</v>
      </c>
      <c r="AR311" s="78">
        <f t="shared" si="890"/>
        <v>1320</v>
      </c>
      <c r="AS311" s="57">
        <f t="shared" si="804"/>
        <v>1384.4040633160462</v>
      </c>
      <c r="AT311" s="77">
        <v>200</v>
      </c>
      <c r="AU311" s="77">
        <v>750</v>
      </c>
      <c r="AV311" s="78">
        <f t="shared" si="805"/>
        <v>300000</v>
      </c>
      <c r="AW311" s="77">
        <v>0</v>
      </c>
      <c r="AX311" s="77">
        <f t="shared" si="806"/>
        <v>300000</v>
      </c>
      <c r="AY311" s="78">
        <f t="shared" si="917"/>
        <v>300000</v>
      </c>
      <c r="AZ311" s="77">
        <f t="shared" si="937"/>
        <v>667</v>
      </c>
      <c r="BA311" s="77">
        <v>667</v>
      </c>
      <c r="BB311" s="77">
        <v>667</v>
      </c>
      <c r="BC311" s="77">
        <v>0</v>
      </c>
      <c r="BD311" s="77">
        <f>(PI()*13*13*12+PI()*10*10*10)/(4*200*1500)</f>
        <v>7.9272854625582444E-3</v>
      </c>
      <c r="BE311" s="77">
        <f>(2*PI()*10*10)/(4*167*200)</f>
        <v>4.7029830143559782E-3</v>
      </c>
      <c r="BF311" s="77">
        <v>0</v>
      </c>
      <c r="BG311" s="77">
        <v>0</v>
      </c>
      <c r="BH311" s="79">
        <v>167</v>
      </c>
      <c r="BI311" s="79">
        <f t="shared" si="929"/>
        <v>78.539816339744831</v>
      </c>
      <c r="BJ311" s="79">
        <v>2</v>
      </c>
      <c r="BK311" s="57">
        <f t="shared" si="881"/>
        <v>157.07963267948966</v>
      </c>
      <c r="BL311" s="57" t="b">
        <f t="shared" si="841"/>
        <v>0</v>
      </c>
      <c r="BM311" s="80">
        <f t="shared" si="927"/>
        <v>132.73228961416876</v>
      </c>
      <c r="BN311" s="80">
        <v>2</v>
      </c>
      <c r="BO311" s="57">
        <f t="shared" si="892"/>
        <v>265.46457922833753</v>
      </c>
      <c r="BP311" s="57">
        <f t="shared" si="807"/>
        <v>2078413.8343700799</v>
      </c>
      <c r="BQ311" s="77">
        <f t="shared" si="808"/>
        <v>-2.9103830456733704E-9</v>
      </c>
      <c r="BR311" s="57">
        <f t="shared" si="843"/>
        <v>1558810375.77756</v>
      </c>
      <c r="BS311" s="57">
        <v>231.1918733679075</v>
      </c>
      <c r="BT311" s="57">
        <f t="shared" si="810"/>
        <v>182.61068812601474</v>
      </c>
      <c r="BU311" s="57"/>
      <c r="BV311" s="57">
        <v>3.3E-3</v>
      </c>
      <c r="BW311" s="57">
        <v>30000</v>
      </c>
      <c r="BX311" s="57">
        <v>200000</v>
      </c>
      <c r="BY311" s="77">
        <f>45</f>
        <v>45</v>
      </c>
      <c r="BZ311" s="77">
        <f>BY311+285/2</f>
        <v>187.5</v>
      </c>
      <c r="CA311" s="77">
        <f>BZ311+285/2</f>
        <v>330</v>
      </c>
      <c r="CB311" s="77">
        <f t="shared" ref="CB311:CG311" si="941">CA311+280/2</f>
        <v>470</v>
      </c>
      <c r="CC311" s="77">
        <f t="shared" si="941"/>
        <v>610</v>
      </c>
      <c r="CD311" s="77">
        <f t="shared" si="941"/>
        <v>750</v>
      </c>
      <c r="CE311" s="77">
        <f t="shared" si="941"/>
        <v>890</v>
      </c>
      <c r="CF311" s="77">
        <f t="shared" si="941"/>
        <v>1030</v>
      </c>
      <c r="CG311" s="77">
        <f t="shared" si="941"/>
        <v>1170</v>
      </c>
      <c r="CH311" s="77">
        <f>CG311+285/2</f>
        <v>1312.5</v>
      </c>
      <c r="CI311" s="77">
        <f>CH311+285/2</f>
        <v>1455</v>
      </c>
      <c r="CJ311" s="77"/>
      <c r="CK311" s="77"/>
      <c r="CL311" s="77"/>
      <c r="CM311" s="77"/>
      <c r="CN311" s="77"/>
      <c r="CO311" s="77"/>
      <c r="CP311" s="77"/>
      <c r="CQ311" s="77"/>
      <c r="CR311" s="77"/>
      <c r="CS311" s="77"/>
      <c r="CT311" s="77"/>
      <c r="CU311" s="77"/>
      <c r="CV311" s="77"/>
      <c r="CW311" s="77"/>
      <c r="CX311" s="77"/>
      <c r="CY311" s="77"/>
      <c r="CZ311" s="77"/>
      <c r="DA311" s="77"/>
      <c r="DB311" s="77"/>
      <c r="DC311" s="77"/>
      <c r="DD311" s="77"/>
      <c r="DE311" s="77"/>
      <c r="DF311" s="77"/>
      <c r="DG311" s="77"/>
      <c r="DH311" s="77"/>
      <c r="DI311" s="77"/>
      <c r="DJ311" s="77"/>
      <c r="DK311" s="77"/>
      <c r="DL311" s="77"/>
      <c r="DM311" s="77">
        <f>PI()*13*13/4*2</f>
        <v>265.46457922833753</v>
      </c>
      <c r="DN311" s="77">
        <f>PI()*10*10/4*2</f>
        <v>157.07963267948966</v>
      </c>
      <c r="DO311" s="77">
        <f>PI()*13*13/4*2</f>
        <v>265.46457922833753</v>
      </c>
      <c r="DP311" s="77">
        <f>PI()*10*10/4*2</f>
        <v>157.07963267948966</v>
      </c>
      <c r="DQ311" s="77">
        <f>PI()*13*13/4*2</f>
        <v>265.46457922833753</v>
      </c>
      <c r="DR311" s="77">
        <f>PI()*10*10/4*2</f>
        <v>157.07963267948966</v>
      </c>
      <c r="DS311" s="77">
        <f>PI()*13*13/4*2</f>
        <v>265.46457922833753</v>
      </c>
      <c r="DT311" s="77">
        <f>PI()*10*10/4*2</f>
        <v>157.07963267948966</v>
      </c>
      <c r="DU311" s="77">
        <f>PI()*13*13/4*2</f>
        <v>265.46457922833753</v>
      </c>
      <c r="DV311" s="77">
        <f>PI()*10*10/4*2</f>
        <v>157.07963267948966</v>
      </c>
      <c r="DW311" s="77">
        <f>PI()*13*13/4*2</f>
        <v>265.46457922833753</v>
      </c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>
        <f t="shared" si="934"/>
        <v>-141103.78862174012</v>
      </c>
      <c r="FB311" s="77">
        <f t="shared" si="934"/>
        <v>-19592.592901395506</v>
      </c>
      <c r="FC311" s="77">
        <f t="shared" si="932"/>
        <v>74880.824615023303</v>
      </c>
      <c r="FD311" s="77">
        <f t="shared" si="932"/>
        <v>104772.1149972196</v>
      </c>
      <c r="FE311" s="77">
        <f>IF(ABS(-$BV311*($BS311-CC311)/$BS311*$BX311)&gt;$BA311,$BA311*SIGN(-($BS311-CC311)),-$BV311*($BS311-CC311)/$BS311*$BX311)*DQ311</f>
        <v>177064.87434530113</v>
      </c>
      <c r="FF311" s="77">
        <f>IF(ABS(-$BV311*($BS311-CD311)/$BS311*$BX311)&gt;$BA311,$BA311*SIGN(-($BS311-CD311)),-$BV311*($BS311-CD311)/$BS311*$BX311)*DR311</f>
        <v>104772.1149972196</v>
      </c>
      <c r="FG311" s="77">
        <f>IF(ABS(-$BV311*($BS311-CE311)/$BS311*$BX311)&gt;$BA311,$BA311*SIGN(-($BS311-CE311)),-$BV311*($BS311-CE311)/$BS311*$BX311)*DS311</f>
        <v>177064.87434530113</v>
      </c>
      <c r="FH311" s="77">
        <f>IF(ABS(-$BV311*($BS311-CF311)/$BS311*$BX311)&gt;$BA311,$BA311*SIGN(-($BS311-CF311)),-$BV311*($BS311-CF311)/$BS311*$BX311)*DT311</f>
        <v>104772.1149972196</v>
      </c>
      <c r="FI311" s="77">
        <f>IF(ABS(-$BV311*($BS311-CG311)/$BS311*$BX311)&gt;$BA311,$BA311*SIGN(-($BS311-CG311)),-$BV311*($BS311-CG311)/$BS311*$BX311)*DU311</f>
        <v>177064.87434530113</v>
      </c>
      <c r="FJ311" s="77">
        <f>IF(ABS(-$BV311*($BS311-CH311)/$BS311*$BX311)&gt;$BA311,$BA311*SIGN(-($BS311-CH311)),-$BV311*($BS311-CH311)/$BS311*$BX311)*DV311</f>
        <v>104772.1149972196</v>
      </c>
      <c r="FK311" s="77">
        <f>IF(ABS(-$BV311*($BS311-CI311)/$BS311*$BX311)&gt;$BA311,$BA311*SIGN(-($BS311-CI311)),-$BV311*($BS311-CI311)/$BS311*$BX311)*DW311</f>
        <v>177064.87434530113</v>
      </c>
      <c r="FL311" s="77"/>
      <c r="FM311" s="77"/>
      <c r="FN311" s="77"/>
      <c r="FO311" s="77"/>
      <c r="FP311" s="77"/>
      <c r="FQ311" s="77"/>
      <c r="FR311" s="77"/>
      <c r="FS311" s="77"/>
      <c r="FT311" s="77"/>
      <c r="FU311" s="77"/>
      <c r="FV311" s="77"/>
      <c r="FW311" s="77"/>
      <c r="FX311" s="77"/>
      <c r="FY311" s="77"/>
      <c r="FZ311" s="77"/>
      <c r="GA311" s="77"/>
      <c r="GB311" s="77"/>
      <c r="GC311" s="77"/>
      <c r="GD311" s="77"/>
      <c r="GE311" s="77"/>
      <c r="GF311" s="77"/>
      <c r="GG311" s="77"/>
      <c r="GH311" s="77"/>
      <c r="GI311" s="77"/>
      <c r="GJ311" s="77"/>
      <c r="GK311" s="77"/>
      <c r="GL311" s="77"/>
      <c r="GM311" s="77"/>
      <c r="GN311" s="77"/>
      <c r="GO311" s="77">
        <f t="shared" si="854"/>
        <v>99478170.978326783</v>
      </c>
      <c r="GP311" s="77">
        <f t="shared" si="855"/>
        <v>11020833.507034972</v>
      </c>
      <c r="GQ311" s="77">
        <f t="shared" si="856"/>
        <v>-31449946.338309787</v>
      </c>
      <c r="GR311" s="77">
        <f t="shared" si="857"/>
        <v>-29336192.199221488</v>
      </c>
      <c r="GS311" s="77">
        <f t="shared" si="883"/>
        <v>-24789082.408342157</v>
      </c>
      <c r="GT311" s="77">
        <f t="shared" si="933"/>
        <v>0</v>
      </c>
      <c r="GU311" s="77">
        <f t="shared" ref="GU311:GY313" si="942">FG311*(CE311-0.5*$AO311)</f>
        <v>24789082.408342157</v>
      </c>
      <c r="GV311" s="77">
        <f t="shared" si="942"/>
        <v>29336192.199221488</v>
      </c>
      <c r="GW311" s="77">
        <f t="shared" si="942"/>
        <v>74367247.225026473</v>
      </c>
      <c r="GX311" s="77">
        <f t="shared" si="942"/>
        <v>58934314.685936026</v>
      </c>
      <c r="GY311" s="77">
        <f t="shared" si="942"/>
        <v>124830736.41343729</v>
      </c>
      <c r="GZ311" s="77"/>
      <c r="HA311" s="77"/>
      <c r="HB311" s="77"/>
      <c r="HC311" s="77"/>
      <c r="HD311" s="77"/>
      <c r="HE311" s="77"/>
      <c r="HF311" s="77"/>
      <c r="HG311" s="77"/>
      <c r="HH311" s="77"/>
      <c r="HI311" s="77"/>
      <c r="HJ311" s="77"/>
      <c r="HK311" s="77"/>
      <c r="HL311" s="77"/>
      <c r="HM311" s="77"/>
      <c r="HN311" s="77"/>
      <c r="HO311" s="77"/>
      <c r="HP311" s="77"/>
      <c r="HQ311" s="77"/>
      <c r="HR311" s="77"/>
      <c r="HS311" s="77"/>
      <c r="HT311" s="77"/>
      <c r="HU311" s="77"/>
      <c r="HV311" s="77"/>
      <c r="HW311" s="77"/>
      <c r="HX311" s="77"/>
      <c r="HY311" s="77"/>
      <c r="HZ311" s="77"/>
      <c r="IA311" s="77"/>
      <c r="IB311" s="77"/>
      <c r="IC311" s="82">
        <v>330</v>
      </c>
    </row>
    <row r="312" spans="1:237" s="77" customFormat="1">
      <c r="A312" s="77">
        <v>312</v>
      </c>
      <c r="B312" s="122"/>
      <c r="C312" s="123" t="s">
        <v>335</v>
      </c>
      <c r="D312" s="124" t="s">
        <v>336</v>
      </c>
      <c r="E312" s="124">
        <v>3</v>
      </c>
      <c r="F312" s="125">
        <f t="shared" si="884"/>
        <v>0.18410958904109589</v>
      </c>
      <c r="G312" s="125"/>
      <c r="H312" s="125"/>
      <c r="I312" s="135">
        <v>2.1000000000000001E-2</v>
      </c>
      <c r="J312" s="125">
        <f t="shared" si="925"/>
        <v>2.1666666666666665</v>
      </c>
      <c r="K312" s="125">
        <f t="shared" si="911"/>
        <v>7.5</v>
      </c>
      <c r="L312" s="125">
        <f t="shared" si="912"/>
        <v>0.14164383561643834</v>
      </c>
      <c r="M312" s="125">
        <f t="shared" si="913"/>
        <v>0.11975342465753423</v>
      </c>
      <c r="N312" s="125">
        <f t="shared" si="914"/>
        <v>2.1552739726027399</v>
      </c>
      <c r="O312" s="125">
        <f t="shared" si="915"/>
        <v>0</v>
      </c>
      <c r="P312" s="125">
        <v>7.0000000000000007E-2</v>
      </c>
      <c r="Q312" s="125" t="s">
        <v>3</v>
      </c>
      <c r="R312" s="126">
        <f t="shared" si="916"/>
        <v>0</v>
      </c>
      <c r="S312" s="75">
        <f t="shared" si="809"/>
        <v>1.1123023142815824</v>
      </c>
      <c r="T312" s="59">
        <f t="shared" si="789"/>
        <v>1.7318052471141037</v>
      </c>
      <c r="U312" s="59">
        <f t="shared" si="790"/>
        <v>1.2453476677583484</v>
      </c>
      <c r="V312" s="59">
        <f t="shared" si="791"/>
        <v>1.0003660820231455</v>
      </c>
      <c r="W312" s="59">
        <f t="shared" si="792"/>
        <v>0.57764352180487077</v>
      </c>
      <c r="X312" s="59">
        <f t="shared" si="793"/>
        <v>0.80328257555885985</v>
      </c>
      <c r="Y312" s="127">
        <v>2016000</v>
      </c>
      <c r="Z312" s="57">
        <f t="shared" si="794"/>
        <v>1619417.6723266614</v>
      </c>
      <c r="AA312" s="57">
        <f t="shared" si="795"/>
        <v>1164529.3399586196</v>
      </c>
      <c r="AB312" s="57">
        <f t="shared" si="887"/>
        <v>2369839.4813261726</v>
      </c>
      <c r="AC312" s="57">
        <f t="shared" si="796"/>
        <v>0.17</v>
      </c>
      <c r="AD312" s="57">
        <f t="shared" si="797"/>
        <v>2.1666666666666665</v>
      </c>
      <c r="AE312" s="57">
        <f t="shared" si="798"/>
        <v>766500.00000000012</v>
      </c>
      <c r="AF312" s="57">
        <f t="shared" si="799"/>
        <v>252736.77812160848</v>
      </c>
      <c r="AG312" s="57">
        <f t="shared" si="880"/>
        <v>911792.56183701102</v>
      </c>
      <c r="AH312" s="57">
        <f t="shared" si="888"/>
        <v>2510928469.745892</v>
      </c>
      <c r="AI312" s="57">
        <f t="shared" si="889"/>
        <v>5191049844.5641689</v>
      </c>
      <c r="AJ312" s="77">
        <f t="shared" si="926"/>
        <v>766500</v>
      </c>
      <c r="AK312" s="77">
        <v>36.5</v>
      </c>
      <c r="AL312" s="78">
        <f t="shared" si="800"/>
        <v>3.3220846562275099</v>
      </c>
      <c r="AM312" s="57">
        <f t="shared" si="801"/>
        <v>1</v>
      </c>
      <c r="AN312" s="57">
        <f t="shared" si="802"/>
        <v>0.8</v>
      </c>
      <c r="AO312" s="77">
        <v>1500</v>
      </c>
      <c r="AP312" s="79">
        <f>50+200+50</f>
        <v>300</v>
      </c>
      <c r="AQ312" s="57">
        <f t="shared" si="803"/>
        <v>203.45731975073431</v>
      </c>
      <c r="AR312" s="57">
        <f t="shared" si="890"/>
        <v>900</v>
      </c>
      <c r="AS312" s="57">
        <f t="shared" si="804"/>
        <v>1296.5426802492657</v>
      </c>
      <c r="AT312" s="77">
        <v>200</v>
      </c>
      <c r="AU312" s="77">
        <v>3250</v>
      </c>
      <c r="AV312" s="57">
        <f t="shared" si="805"/>
        <v>300000</v>
      </c>
      <c r="AW312" s="77">
        <v>0</v>
      </c>
      <c r="AX312" s="77">
        <f t="shared" si="806"/>
        <v>300000</v>
      </c>
      <c r="AY312" s="78">
        <f t="shared" si="917"/>
        <v>300000</v>
      </c>
      <c r="AZ312" s="77">
        <f t="shared" si="937"/>
        <v>470</v>
      </c>
      <c r="BA312" s="77">
        <v>470</v>
      </c>
      <c r="BB312" s="77">
        <v>617</v>
      </c>
      <c r="BC312" s="77">
        <v>0</v>
      </c>
      <c r="BD312" s="77">
        <v>1.0999999999999999E-2</v>
      </c>
      <c r="BE312" s="77">
        <v>9.2999999999999992E-3</v>
      </c>
      <c r="BF312" s="77">
        <v>0.1275</v>
      </c>
      <c r="BG312" s="77">
        <v>0</v>
      </c>
      <c r="BH312" s="79">
        <v>215</v>
      </c>
      <c r="BI312" s="79">
        <f>PI()*16*16/4</f>
        <v>201.06192982974676</v>
      </c>
      <c r="BJ312" s="79">
        <v>2</v>
      </c>
      <c r="BK312" s="57">
        <f t="shared" si="881"/>
        <v>402.12385965949352</v>
      </c>
      <c r="BL312" s="57">
        <f t="shared" si="841"/>
        <v>1979.9999999999998</v>
      </c>
      <c r="BM312" s="80">
        <f>PI()*35*35/4</f>
        <v>962.11275016187415</v>
      </c>
      <c r="BN312" s="80">
        <v>8</v>
      </c>
      <c r="BO312" s="57">
        <f t="shared" si="892"/>
        <v>7696.9020012949932</v>
      </c>
      <c r="BP312" s="57">
        <f t="shared" si="807"/>
        <v>2016738.0213586611</v>
      </c>
      <c r="BQ312" s="77">
        <f t="shared" si="808"/>
        <v>4.2375177145004272E-8</v>
      </c>
      <c r="BR312" s="57">
        <f t="shared" si="843"/>
        <v>6554398569.4156485</v>
      </c>
      <c r="BS312" s="57">
        <v>406.91463950146863</v>
      </c>
      <c r="BT312" s="57">
        <f t="shared" si="810"/>
        <v>219.84605904594525</v>
      </c>
      <c r="BU312" s="57"/>
      <c r="BV312" s="57">
        <v>3.3E-3</v>
      </c>
      <c r="BW312" s="57">
        <v>30000</v>
      </c>
      <c r="BX312" s="57">
        <v>200000</v>
      </c>
      <c r="BY312" s="77">
        <f>50</f>
        <v>50</v>
      </c>
      <c r="BZ312" s="77">
        <f>BY312+50*1</f>
        <v>100</v>
      </c>
      <c r="CA312" s="77">
        <f>BY312+50*2</f>
        <v>150</v>
      </c>
      <c r="CB312" s="77">
        <f>BY312+50*3</f>
        <v>200</v>
      </c>
      <c r="CC312" s="77">
        <f>BY312+50*4</f>
        <v>250</v>
      </c>
      <c r="CD312" s="77">
        <f>CC312+50+90</f>
        <v>390</v>
      </c>
      <c r="CE312" s="77">
        <f>CD312+180*1</f>
        <v>570</v>
      </c>
      <c r="CF312" s="77">
        <f>CD312+180*2</f>
        <v>750</v>
      </c>
      <c r="CG312" s="77">
        <f>CD312+180*3</f>
        <v>930</v>
      </c>
      <c r="CH312" s="77">
        <f>CD312+180*4</f>
        <v>1110</v>
      </c>
      <c r="CI312" s="77">
        <f>CH312+90+50</f>
        <v>1250</v>
      </c>
      <c r="CJ312" s="77">
        <f>CI312+50</f>
        <v>1300</v>
      </c>
      <c r="CK312" s="77">
        <f>CI312+50*2</f>
        <v>1350</v>
      </c>
      <c r="CL312" s="77">
        <f>CI312+50*3</f>
        <v>1400</v>
      </c>
      <c r="CM312" s="77">
        <f>CI312+50*4</f>
        <v>1450</v>
      </c>
      <c r="DM312" s="77">
        <f t="shared" ref="DM312:DM331" si="943">PI()*35*35/4*2</f>
        <v>1924.2255003237483</v>
      </c>
      <c r="DN312" s="77">
        <f>PI()*35*35/4</f>
        <v>962.11275016187415</v>
      </c>
      <c r="DO312" s="77">
        <f t="shared" ref="DO312:DO319" si="944">PI()*35*35/4*2</f>
        <v>1924.2255003237483</v>
      </c>
      <c r="DP312" s="77">
        <f>PI()*35*35/4</f>
        <v>962.11275016187415</v>
      </c>
      <c r="DQ312" s="77">
        <f>PI()*35*35/4*2</f>
        <v>1924.2255003237483</v>
      </c>
      <c r="DR312" s="77">
        <f>PI()*16*16/4*2</f>
        <v>402.12385965949352</v>
      </c>
      <c r="DS312" s="77">
        <f>PI()*16*16/4*2</f>
        <v>402.12385965949352</v>
      </c>
      <c r="DT312" s="77">
        <f>PI()*16*16/4*2</f>
        <v>402.12385965949352</v>
      </c>
      <c r="DU312" s="77">
        <f>PI()*16*16/4*2</f>
        <v>402.12385965949352</v>
      </c>
      <c r="DV312" s="77">
        <f>PI()*16*16/4*2</f>
        <v>402.12385965949352</v>
      </c>
      <c r="DW312" s="77">
        <f>PI()*35*35/4*2</f>
        <v>1924.2255003237483</v>
      </c>
      <c r="DX312" s="77">
        <f>PI()*35*35/4</f>
        <v>962.11275016187415</v>
      </c>
      <c r="DY312" s="77">
        <f>PI()*35*35/4*2</f>
        <v>1924.2255003237483</v>
      </c>
      <c r="DZ312" s="77">
        <f>PI()*35*35/4</f>
        <v>962.11275016187415</v>
      </c>
      <c r="EA312" s="77">
        <f>PI()*35*35/4*2</f>
        <v>1924.2255003237483</v>
      </c>
      <c r="FA312" s="77">
        <f t="shared" ref="FA312:FE313" si="945">IF(ABS(-$BV312*($BS312-BY312)/$BS312*$BX312)&gt;$BB312,$BB312*SIGN(-($BS312-BY312)),-$BV312*($BS312-BY312)/$BS312*$BX312)*DM312</f>
        <v>-1113937.8176758108</v>
      </c>
      <c r="FB312" s="77">
        <f t="shared" si="945"/>
        <v>-478943.40256897389</v>
      </c>
      <c r="FC312" s="77">
        <f t="shared" si="945"/>
        <v>-801835.79260008479</v>
      </c>
      <c r="FD312" s="77">
        <f t="shared" si="945"/>
        <v>-322892.39003111084</v>
      </c>
      <c r="FE312" s="77">
        <f t="shared" si="945"/>
        <v>-489733.76752435882</v>
      </c>
      <c r="FF312" s="77">
        <f t="shared" ref="FF312:FJ313" si="946">IF(ABS(-$BV312*($BS312-CD312)/$BS312*$BX312)&gt;$BA312,$BA312*SIGN(-($BS312-CD312)),-$BV312*($BS312-CD312)/$BS312*$BX312)*DR312</f>
        <v>-11032.227509465816</v>
      </c>
      <c r="FG312" s="77">
        <f t="shared" si="946"/>
        <v>106369.08935167262</v>
      </c>
      <c r="FH312" s="77">
        <f t="shared" si="946"/>
        <v>188998.21403996195</v>
      </c>
      <c r="FI312" s="77">
        <f t="shared" si="946"/>
        <v>188998.21403996195</v>
      </c>
      <c r="FJ312" s="77">
        <f t="shared" si="946"/>
        <v>188998.21403996195</v>
      </c>
      <c r="FK312" s="77">
        <f>IF(ABS(-$BV312*($BS312-CI312)/$BS312*$BX312)&gt;$BB312,$BB312*SIGN(-($BS312-CI312)),-$BV312*($BS312-CI312)/$BS312*$BX312)*DW312</f>
        <v>1187247.1336997526</v>
      </c>
      <c r="FL312" s="77">
        <f>IF(ABS(-$BV312*($BS312-CJ312)/$BS312*$BX312)&gt;$BB312,$BB312*SIGN(-($BS312-CJ312)),-$BV312*($BS312-CJ312)/$BS312*$BX312)*DX312</f>
        <v>593623.56684987631</v>
      </c>
      <c r="FM312" s="77">
        <f>IF(ABS(-$BV312*($BS312-CK312)/$BS312*$BX312)&gt;$BB312,$BB312*SIGN(-($BS312-CK312)),-$BV312*($BS312-CK312)/$BS312*$BX312)*DY312</f>
        <v>1187247.1336997526</v>
      </c>
      <c r="FN312" s="77">
        <f>IF(ABS(-$BV312*($BS312-CL312)/$BS312*$BX312)&gt;$BB312,$BB312*SIGN(-($BS312-CL312)),-$BV312*($BS312-CL312)/$BS312*$BX312)*DZ312</f>
        <v>593623.56684987631</v>
      </c>
      <c r="FO312" s="77">
        <f>IF(ABS(-$BV312*($BS312-CM312)/$BS312*$BX312)&gt;$BB312,$BB312*SIGN(-($BS312-CM312)),-$BV312*($BS312-CM312)/$BS312*$BX312)*EA312</f>
        <v>1187247.1336997526</v>
      </c>
      <c r="GO312" s="77">
        <f t="shared" si="854"/>
        <v>779756472.3730675</v>
      </c>
      <c r="GP312" s="77">
        <f t="shared" si="855"/>
        <v>311313211.669833</v>
      </c>
      <c r="GQ312" s="77">
        <f t="shared" si="856"/>
        <v>481101475.5600509</v>
      </c>
      <c r="GR312" s="77">
        <f t="shared" si="857"/>
        <v>177590814.51711097</v>
      </c>
      <c r="GS312" s="77">
        <f t="shared" si="883"/>
        <v>244866883.7621794</v>
      </c>
      <c r="GT312" s="77">
        <f t="shared" si="933"/>
        <v>3971601.9034076938</v>
      </c>
      <c r="GU312" s="77">
        <f t="shared" si="942"/>
        <v>-19146436.083301071</v>
      </c>
      <c r="GV312" s="77">
        <f t="shared" si="942"/>
        <v>0</v>
      </c>
      <c r="GW312" s="77">
        <f t="shared" si="942"/>
        <v>34019678.527193151</v>
      </c>
      <c r="GX312" s="77">
        <f t="shared" si="942"/>
        <v>68039357.054386303</v>
      </c>
      <c r="GY312" s="77">
        <f t="shared" si="942"/>
        <v>593623566.84987628</v>
      </c>
      <c r="GZ312" s="77">
        <f>FL312*(CJ312-0.5*$AO312)</f>
        <v>326492961.76743197</v>
      </c>
      <c r="HA312" s="77">
        <f>FM312*(CK312-0.5*$AO312)</f>
        <v>712348280.21985161</v>
      </c>
      <c r="HB312" s="77">
        <f>FN312*(CL312-0.5*$AO312)</f>
        <v>385855318.45241958</v>
      </c>
      <c r="HC312" s="77">
        <f>FO312*(CM312-0.5*$AO312)</f>
        <v>831072993.58982682</v>
      </c>
      <c r="IC312" s="82">
        <v>331</v>
      </c>
    </row>
    <row r="313" spans="1:237" s="77" customFormat="1">
      <c r="A313" s="77">
        <v>313</v>
      </c>
      <c r="B313" s="122"/>
      <c r="C313" s="123" t="s">
        <v>335</v>
      </c>
      <c r="D313" s="124" t="s">
        <v>337</v>
      </c>
      <c r="E313" s="124">
        <v>3</v>
      </c>
      <c r="F313" s="125">
        <f t="shared" si="884"/>
        <v>0.1789041095890411</v>
      </c>
      <c r="G313" s="125"/>
      <c r="H313" s="125"/>
      <c r="I313" s="135">
        <v>2.4500000000000001E-2</v>
      </c>
      <c r="J313" s="125">
        <f t="shared" si="925"/>
        <v>2.1666666666666665</v>
      </c>
      <c r="K313" s="125">
        <f t="shared" si="911"/>
        <v>7.5</v>
      </c>
      <c r="L313" s="125">
        <f t="shared" si="912"/>
        <v>0.10233424657534246</v>
      </c>
      <c r="M313" s="125">
        <f t="shared" si="913"/>
        <v>0.12426301369863013</v>
      </c>
      <c r="N313" s="125">
        <f t="shared" si="914"/>
        <v>2.1552739726027399</v>
      </c>
      <c r="O313" s="125">
        <f t="shared" si="915"/>
        <v>0</v>
      </c>
      <c r="P313" s="125">
        <v>7.0000000000000007E-2</v>
      </c>
      <c r="Q313" s="125" t="s">
        <v>3</v>
      </c>
      <c r="R313" s="126">
        <f t="shared" si="916"/>
        <v>0</v>
      </c>
      <c r="S313" s="75">
        <f t="shared" si="809"/>
        <v>1.0808532905146926</v>
      </c>
      <c r="T313" s="59">
        <f t="shared" si="789"/>
        <v>1.6274469994627017</v>
      </c>
      <c r="U313" s="59">
        <f t="shared" si="790"/>
        <v>1.2054581084592249</v>
      </c>
      <c r="V313" s="59">
        <f t="shared" si="791"/>
        <v>1.0268839640041116</v>
      </c>
      <c r="W313" s="59">
        <f t="shared" si="792"/>
        <v>0.63097843698942901</v>
      </c>
      <c r="X313" s="59">
        <f t="shared" si="793"/>
        <v>0.85186200731325235</v>
      </c>
      <c r="Y313" s="127">
        <v>1959000</v>
      </c>
      <c r="Z313" s="57">
        <f t="shared" si="794"/>
        <v>1668797.6723266614</v>
      </c>
      <c r="AA313" s="57">
        <f t="shared" si="795"/>
        <v>1236086.7580622914</v>
      </c>
      <c r="AB313" s="57">
        <f t="shared" si="887"/>
        <v>2384941.3246492422</v>
      </c>
      <c r="AC313" s="57">
        <f t="shared" si="796"/>
        <v>0.17</v>
      </c>
      <c r="AD313" s="57">
        <f t="shared" si="797"/>
        <v>2.1666666666666665</v>
      </c>
      <c r="AE313" s="57">
        <f t="shared" si="798"/>
        <v>766500.00000000012</v>
      </c>
      <c r="AF313" s="57">
        <f t="shared" si="799"/>
        <v>253406.39424619105</v>
      </c>
      <c r="AG313" s="57">
        <f t="shared" si="880"/>
        <v>982680.36381610041</v>
      </c>
      <c r="AH313" s="57">
        <f t="shared" si="888"/>
        <v>2520124874.6679668</v>
      </c>
      <c r="AI313" s="57">
        <f t="shared" si="889"/>
        <v>5230934430.442071</v>
      </c>
      <c r="AJ313" s="77">
        <f t="shared" si="926"/>
        <v>766500</v>
      </c>
      <c r="AK313" s="77">
        <v>36.5</v>
      </c>
      <c r="AL313" s="78">
        <f t="shared" si="800"/>
        <v>3.3220846562275099</v>
      </c>
      <c r="AM313" s="57">
        <f t="shared" si="801"/>
        <v>1</v>
      </c>
      <c r="AN313" s="57">
        <f t="shared" si="802"/>
        <v>0.8</v>
      </c>
      <c r="AO313" s="77">
        <v>1500</v>
      </c>
      <c r="AP313" s="79">
        <f>50+200+50</f>
        <v>300</v>
      </c>
      <c r="AQ313" s="57">
        <f t="shared" si="803"/>
        <v>199.25804809681878</v>
      </c>
      <c r="AR313" s="57">
        <f t="shared" si="890"/>
        <v>900</v>
      </c>
      <c r="AS313" s="57">
        <f t="shared" si="804"/>
        <v>1300.7419519031812</v>
      </c>
      <c r="AT313" s="77">
        <v>200</v>
      </c>
      <c r="AU313" s="77">
        <v>3250</v>
      </c>
      <c r="AV313" s="57">
        <f t="shared" si="805"/>
        <v>300000</v>
      </c>
      <c r="AW313" s="77">
        <v>0</v>
      </c>
      <c r="AX313" s="77">
        <f t="shared" si="806"/>
        <v>300000</v>
      </c>
      <c r="AY313" s="78">
        <f t="shared" si="917"/>
        <v>300000</v>
      </c>
      <c r="AZ313" s="77">
        <f t="shared" si="937"/>
        <v>667</v>
      </c>
      <c r="BA313" s="77">
        <v>667</v>
      </c>
      <c r="BB313" s="77">
        <v>617</v>
      </c>
      <c r="BC313" s="77">
        <v>0</v>
      </c>
      <c r="BD313" s="77">
        <v>5.5999999999999999E-3</v>
      </c>
      <c r="BE313" s="77">
        <v>6.7999999999999996E-3</v>
      </c>
      <c r="BF313" s="77">
        <v>0.1275</v>
      </c>
      <c r="BG313" s="77">
        <v>0</v>
      </c>
      <c r="BH313" s="79">
        <v>187.5</v>
      </c>
      <c r="BI313" s="79">
        <f>PI()*13*13/4</f>
        <v>132.73228961416876</v>
      </c>
      <c r="BJ313" s="79">
        <v>2</v>
      </c>
      <c r="BK313" s="57">
        <f t="shared" si="881"/>
        <v>265.46457922833753</v>
      </c>
      <c r="BL313" s="57">
        <f t="shared" si="841"/>
        <v>1008</v>
      </c>
      <c r="BM313" s="80">
        <f>PI()*35*35/4</f>
        <v>962.11275016187415</v>
      </c>
      <c r="BN313" s="80">
        <v>8</v>
      </c>
      <c r="BO313" s="57">
        <f t="shared" si="892"/>
        <v>7696.9020012949932</v>
      </c>
      <c r="BP313" s="57">
        <f t="shared" si="807"/>
        <v>2011665.6854840545</v>
      </c>
      <c r="BQ313" s="77">
        <f t="shared" si="808"/>
        <v>1.4901161193847656E-8</v>
      </c>
      <c r="BR313" s="57">
        <f t="shared" si="843"/>
        <v>6537913477.8231773</v>
      </c>
      <c r="BS313" s="57">
        <v>398.51609619363757</v>
      </c>
      <c r="BT313" s="57">
        <f t="shared" si="810"/>
        <v>202.26817520537006</v>
      </c>
      <c r="BU313" s="57"/>
      <c r="BV313" s="57">
        <v>3.3E-3</v>
      </c>
      <c r="BW313" s="57">
        <v>30000</v>
      </c>
      <c r="BX313" s="57">
        <v>200000</v>
      </c>
      <c r="BY313" s="77">
        <f>50</f>
        <v>50</v>
      </c>
      <c r="BZ313" s="77">
        <f>BY313+50</f>
        <v>100</v>
      </c>
      <c r="CA313" s="77">
        <f>BY313+50*2</f>
        <v>150</v>
      </c>
      <c r="CB313" s="77">
        <f>BY313+50*3</f>
        <v>200</v>
      </c>
      <c r="CC313" s="77">
        <f>BY313+50*4</f>
        <v>250</v>
      </c>
      <c r="CD313" s="77">
        <f>CC313+50+112.5</f>
        <v>412.5</v>
      </c>
      <c r="CE313" s="77">
        <f>CD313+225*1</f>
        <v>637.5</v>
      </c>
      <c r="CF313" s="77">
        <f>CD313+225*2</f>
        <v>862.5</v>
      </c>
      <c r="CG313" s="77">
        <f>CD313+225*3</f>
        <v>1087.5</v>
      </c>
      <c r="CH313" s="77">
        <f>CG313+112.5+50</f>
        <v>1250</v>
      </c>
      <c r="CI313" s="77">
        <f>CH313+50</f>
        <v>1300</v>
      </c>
      <c r="CJ313" s="77">
        <f>CH313+50*2</f>
        <v>1350</v>
      </c>
      <c r="CK313" s="77">
        <f>CH313+50*3</f>
        <v>1400</v>
      </c>
      <c r="CL313" s="77">
        <f>CH313+50*4</f>
        <v>1450</v>
      </c>
      <c r="DM313" s="77">
        <f t="shared" si="943"/>
        <v>1924.2255003237483</v>
      </c>
      <c r="DN313" s="77">
        <f>PI()*35*35/4</f>
        <v>962.11275016187415</v>
      </c>
      <c r="DO313" s="77">
        <f t="shared" si="944"/>
        <v>1924.2255003237483</v>
      </c>
      <c r="DP313" s="77">
        <f>PI()*35*35/4</f>
        <v>962.11275016187415</v>
      </c>
      <c r="DQ313" s="77">
        <f>PI()*35*35/4*2</f>
        <v>1924.2255003237483</v>
      </c>
      <c r="DR313" s="77">
        <f>PI()*13*13/4*2</f>
        <v>265.46457922833753</v>
      </c>
      <c r="DS313" s="77">
        <f>PI()*13*13/4*2</f>
        <v>265.46457922833753</v>
      </c>
      <c r="DT313" s="77">
        <f>PI()*13*13/4*2</f>
        <v>265.46457922833753</v>
      </c>
      <c r="DU313" s="77">
        <f>PI()*13*13/4*2</f>
        <v>265.46457922833753</v>
      </c>
      <c r="DV313" s="77">
        <f>PI()*35*35/4*2</f>
        <v>1924.2255003237483</v>
      </c>
      <c r="DW313" s="77">
        <f>PI()*35*35/4</f>
        <v>962.11275016187415</v>
      </c>
      <c r="DX313" s="77">
        <f>PI()*35*35/4*2</f>
        <v>1924.2255003237483</v>
      </c>
      <c r="DY313" s="77">
        <f>PI()*35*35/4</f>
        <v>962.11275016187415</v>
      </c>
      <c r="DZ313" s="77">
        <f>PI()*35*35/4*2</f>
        <v>1924.2255003237483</v>
      </c>
      <c r="FA313" s="77">
        <f t="shared" si="945"/>
        <v>-1110649.1144100002</v>
      </c>
      <c r="FB313" s="77">
        <f t="shared" si="945"/>
        <v>-475654.69930316316</v>
      </c>
      <c r="FC313" s="77">
        <f t="shared" si="945"/>
        <v>-791969.68280265282</v>
      </c>
      <c r="FD313" s="77">
        <f t="shared" si="945"/>
        <v>-316314.98349948955</v>
      </c>
      <c r="FE313" s="77">
        <f t="shared" si="945"/>
        <v>-473290.25119530543</v>
      </c>
      <c r="FF313" s="77">
        <f t="shared" si="946"/>
        <v>6147.9889413560413</v>
      </c>
      <c r="FG313" s="77">
        <f t="shared" si="946"/>
        <v>105068.68597702448</v>
      </c>
      <c r="FH313" s="77">
        <f t="shared" si="946"/>
        <v>177064.87434530113</v>
      </c>
      <c r="FI313" s="77">
        <f t="shared" si="946"/>
        <v>177064.87434530113</v>
      </c>
      <c r="FJ313" s="77">
        <f t="shared" si="946"/>
        <v>1283458.4087159401</v>
      </c>
      <c r="FK313" s="77">
        <f>IF(ABS(-$BV313*($BS313-CI313)/$BS313*$BX313)&gt;$BB313,$BB313*SIGN(-($BS313-CI313)),-$BV313*($BS313-CI313)/$BS313*$BX313)*DW313</f>
        <v>593623.56684987631</v>
      </c>
      <c r="FL313" s="77">
        <f>IF(ABS(-$BV313*($BS313-CJ313)/$BS313*$BX313)&gt;$BB313,$BB313*SIGN(-($BS313-CJ313)),-$BV313*($BS313-CJ313)/$BS313*$BX313)*DX313</f>
        <v>1187247.1336997526</v>
      </c>
      <c r="FM313" s="77">
        <f>IF(ABS(-$BV313*($BS313-CK313)/$BS313*$BX313)&gt;$BB313,$BB313*SIGN(-($BS313-CK313)),-$BV313*($BS313-CK313)/$BS313*$BX313)*DY313</f>
        <v>593623.56684987631</v>
      </c>
      <c r="FN313" s="77">
        <f>IF(ABS(-$BV313*($BS313-CL313)/$BS313*$BX313)&gt;$BB313,$BB313*SIGN(-($BS313-CL313)),-$BV313*($BS313-CL313)/$BS313*$BX313)*DZ313</f>
        <v>1187247.1336997526</v>
      </c>
      <c r="GO313" s="77">
        <f t="shared" si="854"/>
        <v>777454380.08700013</v>
      </c>
      <c r="GP313" s="77">
        <f t="shared" si="855"/>
        <v>309175554.54705608</v>
      </c>
      <c r="GQ313" s="77">
        <f t="shared" si="856"/>
        <v>475181809.68159169</v>
      </c>
      <c r="GR313" s="77">
        <f t="shared" si="857"/>
        <v>173973240.92471924</v>
      </c>
      <c r="GS313" s="77">
        <f t="shared" si="883"/>
        <v>236645125.5976527</v>
      </c>
      <c r="GT313" s="77">
        <f t="shared" si="933"/>
        <v>-2074946.2677076641</v>
      </c>
      <c r="GU313" s="77">
        <f t="shared" si="942"/>
        <v>-11820227.172415253</v>
      </c>
      <c r="GV313" s="77">
        <f t="shared" si="942"/>
        <v>19919798.363846377</v>
      </c>
      <c r="GW313" s="77">
        <f t="shared" si="942"/>
        <v>59759395.09153913</v>
      </c>
      <c r="GX313" s="77">
        <f t="shared" si="942"/>
        <v>641729204.35797</v>
      </c>
      <c r="GY313" s="77">
        <f t="shared" si="942"/>
        <v>326492961.76743197</v>
      </c>
      <c r="GZ313" s="77">
        <f>FL313*(CJ313-0.5*$AO313)</f>
        <v>712348280.21985161</v>
      </c>
      <c r="HA313" s="77">
        <f>FM313*(CK313-0.5*$AO313)</f>
        <v>385855318.45241958</v>
      </c>
      <c r="HB313" s="77">
        <f>FN313*(CL313-0.5*$AO313)</f>
        <v>831072993.58982682</v>
      </c>
      <c r="IC313" s="82">
        <v>332</v>
      </c>
    </row>
    <row r="314" spans="1:237" s="77" customFormat="1">
      <c r="A314" s="77">
        <v>314</v>
      </c>
      <c r="B314" s="122"/>
      <c r="C314" s="123" t="s">
        <v>335</v>
      </c>
      <c r="D314" s="124" t="s">
        <v>338</v>
      </c>
      <c r="E314" s="124">
        <v>3</v>
      </c>
      <c r="F314" s="125">
        <f t="shared" si="884"/>
        <v>0.12200913242009132</v>
      </c>
      <c r="G314" s="125"/>
      <c r="H314" s="125"/>
      <c r="I314" s="135">
        <v>1.6E-2</v>
      </c>
      <c r="J314" s="125">
        <f t="shared" si="925"/>
        <v>2.1666666666666665</v>
      </c>
      <c r="K314" s="125">
        <f t="shared" si="911"/>
        <v>7.5</v>
      </c>
      <c r="L314" s="125">
        <f t="shared" si="912"/>
        <v>8.4986301369863015E-2</v>
      </c>
      <c r="M314" s="125">
        <f t="shared" si="913"/>
        <v>5.9232876712328762E-2</v>
      </c>
      <c r="N314" s="125">
        <f t="shared" si="914"/>
        <v>1.6177232876712326</v>
      </c>
      <c r="O314" s="125">
        <f t="shared" si="915"/>
        <v>0</v>
      </c>
      <c r="P314" s="125">
        <v>7.0000000000000007E-2</v>
      </c>
      <c r="Q314" s="125" t="s">
        <v>3</v>
      </c>
      <c r="R314" s="126">
        <f t="shared" si="916"/>
        <v>0</v>
      </c>
      <c r="S314" s="75">
        <f t="shared" si="809"/>
        <v>0.73712097811517563</v>
      </c>
      <c r="T314" s="59">
        <f t="shared" si="789"/>
        <v>2.1478790073518912</v>
      </c>
      <c r="U314" s="59">
        <f t="shared" si="790"/>
        <v>1.6213440143256701</v>
      </c>
      <c r="V314" s="59">
        <f t="shared" si="791"/>
        <v>1.1610542450796559</v>
      </c>
      <c r="W314" s="59">
        <f t="shared" si="792"/>
        <v>0.54055849566271141</v>
      </c>
      <c r="X314" s="59">
        <f t="shared" si="793"/>
        <v>0.71610604216067475</v>
      </c>
      <c r="Y314" s="127">
        <v>1336000</v>
      </c>
      <c r="Z314" s="57">
        <f t="shared" si="794"/>
        <v>956717.67232666153</v>
      </c>
      <c r="AA314" s="57">
        <f t="shared" si="795"/>
        <v>722186.15020538238</v>
      </c>
      <c r="AB314" s="57">
        <f t="shared" si="887"/>
        <v>2046521.0756282853</v>
      </c>
      <c r="AC314" s="57">
        <f t="shared" si="796"/>
        <v>0.17</v>
      </c>
      <c r="AD314" s="57">
        <f t="shared" si="797"/>
        <v>2.1666666666666665</v>
      </c>
      <c r="AE314" s="57">
        <f t="shared" si="798"/>
        <v>766500.00000000012</v>
      </c>
      <c r="AF314" s="57">
        <f t="shared" si="799"/>
        <v>256965.3864104611</v>
      </c>
      <c r="AG314" s="57">
        <f t="shared" si="880"/>
        <v>465220.76379492122</v>
      </c>
      <c r="AH314" s="57">
        <f t="shared" si="888"/>
        <v>2569003525.9661589</v>
      </c>
      <c r="AI314" s="57">
        <f t="shared" si="889"/>
        <v>4082189969.8257689</v>
      </c>
      <c r="AJ314" s="77">
        <f t="shared" si="926"/>
        <v>766500</v>
      </c>
      <c r="AK314" s="77">
        <v>36.5</v>
      </c>
      <c r="AL314" s="78">
        <f t="shared" si="800"/>
        <v>3.3220846562275099</v>
      </c>
      <c r="AM314" s="57">
        <f t="shared" si="801"/>
        <v>1</v>
      </c>
      <c r="AN314" s="57">
        <f t="shared" si="802"/>
        <v>0.8</v>
      </c>
      <c r="AO314" s="77">
        <v>1500</v>
      </c>
      <c r="AP314" s="79">
        <f>50+200+50</f>
        <v>300</v>
      </c>
      <c r="AQ314" s="57">
        <f t="shared" si="803"/>
        <v>176.93902923919686</v>
      </c>
      <c r="AR314" s="57">
        <f t="shared" si="890"/>
        <v>900</v>
      </c>
      <c r="AS314" s="57">
        <f t="shared" si="804"/>
        <v>1323.0609707608032</v>
      </c>
      <c r="AT314" s="77">
        <v>200</v>
      </c>
      <c r="AU314" s="77">
        <v>3250</v>
      </c>
      <c r="AV314" s="57">
        <f t="shared" si="805"/>
        <v>300000</v>
      </c>
      <c r="AW314" s="77">
        <v>0</v>
      </c>
      <c r="AX314" s="77">
        <f t="shared" si="806"/>
        <v>300000</v>
      </c>
      <c r="AY314" s="78">
        <f t="shared" si="917"/>
        <v>300000</v>
      </c>
      <c r="AZ314" s="77">
        <f t="shared" si="937"/>
        <v>470</v>
      </c>
      <c r="BA314" s="77">
        <v>470</v>
      </c>
      <c r="BB314" s="77">
        <v>617</v>
      </c>
      <c r="BC314" s="77">
        <v>0</v>
      </c>
      <c r="BD314" s="77">
        <v>6.6E-3</v>
      </c>
      <c r="BE314" s="77">
        <v>4.5999999999999999E-3</v>
      </c>
      <c r="BF314" s="77">
        <v>9.5699999999999993E-2</v>
      </c>
      <c r="BG314" s="77">
        <v>0</v>
      </c>
      <c r="BH314" s="79">
        <v>430</v>
      </c>
      <c r="BI314" s="79">
        <f>PI()*16*16/4</f>
        <v>201.06192982974676</v>
      </c>
      <c r="BJ314" s="79">
        <v>2</v>
      </c>
      <c r="BK314" s="57">
        <f t="shared" si="881"/>
        <v>402.12385965949352</v>
      </c>
      <c r="BL314" s="57">
        <f t="shared" si="841"/>
        <v>1188</v>
      </c>
      <c r="BM314" s="80">
        <f>PI()*35*35/4</f>
        <v>962.11275016187415</v>
      </c>
      <c r="BN314" s="80">
        <v>6</v>
      </c>
      <c r="BO314" s="57">
        <f t="shared" si="892"/>
        <v>5772.6765009712453</v>
      </c>
      <c r="BP314" s="57">
        <f t="shared" si="807"/>
        <v>1551168.4714264204</v>
      </c>
      <c r="BQ314" s="77">
        <f t="shared" si="808"/>
        <v>3.6088749766349792E-8</v>
      </c>
      <c r="BR314" s="57">
        <f t="shared" si="843"/>
        <v>5041297532.1358662</v>
      </c>
      <c r="BS314" s="57">
        <v>353.87805847839371</v>
      </c>
      <c r="BT314" s="57">
        <f t="shared" si="810"/>
        <v>194.5107762314</v>
      </c>
      <c r="BU314" s="57"/>
      <c r="BV314" s="57">
        <v>3.3E-3</v>
      </c>
      <c r="BW314" s="57">
        <v>30000</v>
      </c>
      <c r="BX314" s="57">
        <v>200000</v>
      </c>
      <c r="BY314" s="77">
        <f>50</f>
        <v>50</v>
      </c>
      <c r="BZ314" s="77">
        <f>BY314+100</f>
        <v>150</v>
      </c>
      <c r="CA314" s="77">
        <f>BY314+100*2</f>
        <v>250</v>
      </c>
      <c r="CB314" s="77">
        <f>CA314+50+150</f>
        <v>450</v>
      </c>
      <c r="CC314" s="77">
        <f>CB314+300</f>
        <v>750</v>
      </c>
      <c r="CD314" s="77">
        <f>CB314+300*2</f>
        <v>1050</v>
      </c>
      <c r="CE314" s="77">
        <f>CD314+150+50</f>
        <v>1250</v>
      </c>
      <c r="CF314" s="77">
        <f>CE314+100</f>
        <v>1350</v>
      </c>
      <c r="CG314" s="77">
        <f>CE314+100*2</f>
        <v>1450</v>
      </c>
      <c r="DM314" s="77">
        <f t="shared" si="943"/>
        <v>1924.2255003237483</v>
      </c>
      <c r="DN314" s="77">
        <f>PI()*35*35/4*2</f>
        <v>1924.2255003237483</v>
      </c>
      <c r="DO314" s="77">
        <f t="shared" si="944"/>
        <v>1924.2255003237483</v>
      </c>
      <c r="DP314" s="77">
        <f>PI()*16*16/4*2</f>
        <v>402.12385965949352</v>
      </c>
      <c r="DQ314" s="77">
        <f>PI()*16*16/4*2</f>
        <v>402.12385965949352</v>
      </c>
      <c r="DR314" s="77">
        <f>PI()*16*16/4*2</f>
        <v>402.12385965949352</v>
      </c>
      <c r="DS314" s="77">
        <f t="shared" ref="DS314:DU315" si="947">PI()*35*35/4*2</f>
        <v>1924.2255003237483</v>
      </c>
      <c r="DT314" s="77">
        <f t="shared" si="947"/>
        <v>1924.2255003237483</v>
      </c>
      <c r="DU314" s="77">
        <f t="shared" si="947"/>
        <v>1924.2255003237483</v>
      </c>
      <c r="FA314" s="77">
        <f t="shared" ref="FA314:FC319" si="948">IF(ABS(-$BV314*($BS314-BY314)/$BS314*$BX314)&gt;$BB314,$BB314*SIGN(-($BS314-BY314)),-$BV314*($BS314-BY314)/$BS314*$BX314)*DM314</f>
        <v>-1090550.0659576505</v>
      </c>
      <c r="FB314" s="77">
        <f t="shared" si="948"/>
        <v>-731672.5374456041</v>
      </c>
      <c r="FC314" s="77">
        <f t="shared" si="948"/>
        <v>-372795.00893355778</v>
      </c>
      <c r="FD314" s="77">
        <f t="shared" ref="FD314:FD327" si="949">IF(ABS(-$BV314*($BS314-CB314)/$BS314*$BX314)&gt;$BA314,$BA314*SIGN(-($BS314-CB314)),-$BV314*($BS314-CB314)/$BS314*$BX314)*DP314</f>
        <v>72089.610049940427</v>
      </c>
      <c r="FE314" s="77">
        <f t="shared" ref="FE314:FE327" si="950">IF(ABS(-$BV314*($BS314-CC314)/$BS314*$BX314)&gt;$BA314,$BA314*SIGN(-($BS314-CC314)),-$BV314*($BS314-CC314)/$BS314*$BX314)*DQ314</f>
        <v>188998.21403996195</v>
      </c>
      <c r="FF314" s="77">
        <f t="shared" ref="FF314:FF327" si="951">IF(ABS(-$BV314*($BS314-CD314)/$BS314*$BX314)&gt;$BA314,$BA314*SIGN(-($BS314-CD314)),-$BV314*($BS314-CD314)/$BS314*$BX314)*DR314</f>
        <v>188998.21403996195</v>
      </c>
      <c r="FG314" s="77">
        <f t="shared" ref="FG314:FI315" si="952">IF(ABS(-$BV314*($BS314-CE314)/$BS314*$BX314)&gt;$BB314,$BB314*SIGN(-($BS314-CE314)),-$BV314*($BS314-CE314)/$BS314*$BX314)*DS314</f>
        <v>1187247.1336997526</v>
      </c>
      <c r="FH314" s="77">
        <f t="shared" si="952"/>
        <v>1187247.1336997526</v>
      </c>
      <c r="FI314" s="77">
        <f t="shared" si="952"/>
        <v>1187247.1336997526</v>
      </c>
      <c r="GO314" s="77">
        <f t="shared" si="854"/>
        <v>763385046.17035532</v>
      </c>
      <c r="GP314" s="77">
        <f t="shared" si="855"/>
        <v>439003522.46736246</v>
      </c>
      <c r="GQ314" s="77">
        <f t="shared" si="856"/>
        <v>186397504.4667789</v>
      </c>
      <c r="GR314" s="77">
        <f t="shared" si="857"/>
        <v>-21626883.014982127</v>
      </c>
      <c r="GS314" s="77">
        <f t="shared" si="883"/>
        <v>0</v>
      </c>
      <c r="GT314" s="77">
        <f t="shared" si="933"/>
        <v>56699464.211988583</v>
      </c>
      <c r="GU314" s="77">
        <f t="shared" ref="GU314:GW319" si="953">FG314*(CE314-0.5*$AO314)</f>
        <v>593623566.84987628</v>
      </c>
      <c r="GV314" s="77">
        <f t="shared" si="953"/>
        <v>712348280.21985161</v>
      </c>
      <c r="GW314" s="77">
        <f t="shared" si="953"/>
        <v>831072993.58982682</v>
      </c>
      <c r="IC314" s="82">
        <v>333</v>
      </c>
    </row>
    <row r="315" spans="1:237" s="77" customFormat="1">
      <c r="A315" s="77">
        <v>315</v>
      </c>
      <c r="C315" s="123" t="s">
        <v>335</v>
      </c>
      <c r="D315" s="124" t="s">
        <v>339</v>
      </c>
      <c r="E315" s="129">
        <v>3</v>
      </c>
      <c r="F315" s="125">
        <f t="shared" si="884"/>
        <v>0.13068493150684932</v>
      </c>
      <c r="G315" s="125"/>
      <c r="H315" s="125"/>
      <c r="I315" s="135">
        <v>1.55E-2</v>
      </c>
      <c r="J315" s="125">
        <f t="shared" si="925"/>
        <v>2.1666666666666665</v>
      </c>
      <c r="K315" s="125">
        <f t="shared" si="911"/>
        <v>7.5</v>
      </c>
      <c r="L315" s="125">
        <f t="shared" si="912"/>
        <v>7.6750684931506843E-2</v>
      </c>
      <c r="M315" s="125">
        <f t="shared" si="913"/>
        <v>6.2131506849315066E-2</v>
      </c>
      <c r="N315" s="125">
        <f t="shared" si="914"/>
        <v>1.6177232876712326</v>
      </c>
      <c r="O315" s="125">
        <f t="shared" si="915"/>
        <v>0</v>
      </c>
      <c r="P315" s="125">
        <v>7.0000000000000007E-2</v>
      </c>
      <c r="Q315" s="125" t="s">
        <v>3</v>
      </c>
      <c r="R315" s="126">
        <f t="shared" si="916"/>
        <v>0</v>
      </c>
      <c r="S315" s="75">
        <f t="shared" si="809"/>
        <v>0.78953601772665893</v>
      </c>
      <c r="T315" s="59">
        <f t="shared" si="789"/>
        <v>2.039687613100766</v>
      </c>
      <c r="U315" s="59">
        <f t="shared" si="790"/>
        <v>1.5636653441008685</v>
      </c>
      <c r="V315" s="59">
        <f t="shared" si="791"/>
        <v>1.0800957416686325</v>
      </c>
      <c r="W315" s="59">
        <f t="shared" si="792"/>
        <v>0.52953978576486693</v>
      </c>
      <c r="X315" s="59">
        <f t="shared" si="793"/>
        <v>0.69074610225482991</v>
      </c>
      <c r="Y315" s="127">
        <v>1431000</v>
      </c>
      <c r="Z315" s="57">
        <f t="shared" si="794"/>
        <v>988457.67232666165</v>
      </c>
      <c r="AA315" s="57">
        <f t="shared" si="795"/>
        <v>757771.43342952454</v>
      </c>
      <c r="AB315" s="57">
        <f t="shared" si="887"/>
        <v>2052042.8983387384</v>
      </c>
      <c r="AC315" s="57">
        <f t="shared" si="796"/>
        <v>0.17</v>
      </c>
      <c r="AD315" s="57">
        <f t="shared" si="797"/>
        <v>2.1666666666666665</v>
      </c>
      <c r="AE315" s="57">
        <f t="shared" si="798"/>
        <v>766500.00000000012</v>
      </c>
      <c r="AF315" s="57">
        <f t="shared" si="799"/>
        <v>257272.64613390737</v>
      </c>
      <c r="AG315" s="57">
        <f t="shared" si="880"/>
        <v>500498.78729561716</v>
      </c>
      <c r="AH315" s="57">
        <f t="shared" si="888"/>
        <v>2573223383.7762117</v>
      </c>
      <c r="AI315" s="57">
        <f t="shared" si="889"/>
        <v>4095916035.824688</v>
      </c>
      <c r="AJ315" s="77">
        <f t="shared" si="926"/>
        <v>766500</v>
      </c>
      <c r="AK315" s="77">
        <v>36.5</v>
      </c>
      <c r="AL315" s="78">
        <f t="shared" si="800"/>
        <v>3.3220846562275099</v>
      </c>
      <c r="AM315" s="57">
        <f t="shared" si="801"/>
        <v>1</v>
      </c>
      <c r="AN315" s="57">
        <f t="shared" si="802"/>
        <v>0.8</v>
      </c>
      <c r="AO315" s="77">
        <v>1500</v>
      </c>
      <c r="AP315" s="79">
        <f>50+200+50</f>
        <v>300</v>
      </c>
      <c r="AQ315" s="57">
        <f t="shared" si="803"/>
        <v>175.01215352684406</v>
      </c>
      <c r="AR315" s="57">
        <f t="shared" si="890"/>
        <v>900</v>
      </c>
      <c r="AS315" s="57">
        <f t="shared" si="804"/>
        <v>1324.987846473156</v>
      </c>
      <c r="AT315" s="77">
        <v>200</v>
      </c>
      <c r="AU315" s="77">
        <v>3250</v>
      </c>
      <c r="AV315" s="57">
        <f t="shared" si="805"/>
        <v>300000</v>
      </c>
      <c r="AW315" s="77">
        <v>0</v>
      </c>
      <c r="AX315" s="77">
        <f t="shared" si="806"/>
        <v>300000</v>
      </c>
      <c r="AY315" s="78">
        <f t="shared" si="917"/>
        <v>300000</v>
      </c>
      <c r="AZ315" s="77">
        <f t="shared" si="937"/>
        <v>667</v>
      </c>
      <c r="BA315" s="77">
        <v>667</v>
      </c>
      <c r="BB315" s="77">
        <v>617</v>
      </c>
      <c r="BC315" s="77">
        <v>0</v>
      </c>
      <c r="BD315" s="77">
        <v>4.1999999999999997E-3</v>
      </c>
      <c r="BE315" s="77">
        <v>3.3999999999999998E-3</v>
      </c>
      <c r="BF315" s="77">
        <v>9.5699999999999993E-2</v>
      </c>
      <c r="BG315" s="77">
        <v>0</v>
      </c>
      <c r="BH315" s="79">
        <v>375</v>
      </c>
      <c r="BI315" s="79">
        <f>PI()*13*13/4</f>
        <v>132.73228961416876</v>
      </c>
      <c r="BJ315" s="79">
        <v>2</v>
      </c>
      <c r="BK315" s="57">
        <f t="shared" si="881"/>
        <v>265.46457922833753</v>
      </c>
      <c r="BL315" s="57">
        <f t="shared" si="841"/>
        <v>756</v>
      </c>
      <c r="BM315" s="80">
        <f>PI()*35*35/4</f>
        <v>962.11275016187415</v>
      </c>
      <c r="BN315" s="80">
        <v>6</v>
      </c>
      <c r="BO315" s="57">
        <f t="shared" si="892"/>
        <v>5772.6765009712453</v>
      </c>
      <c r="BP315" s="57">
        <f t="shared" si="807"/>
        <v>1545617.006327813</v>
      </c>
      <c r="BQ315" s="77">
        <f t="shared" si="808"/>
        <v>1.1408701539039612E-8</v>
      </c>
      <c r="BR315" s="57">
        <f t="shared" si="843"/>
        <v>5023255270.5653925</v>
      </c>
      <c r="BS315" s="57">
        <v>350.02430705368812</v>
      </c>
      <c r="BT315" s="57">
        <f t="shared" si="810"/>
        <v>190.82809440642308</v>
      </c>
      <c r="BU315" s="57"/>
      <c r="BV315" s="57">
        <v>3.3E-3</v>
      </c>
      <c r="BW315" s="57">
        <v>30000</v>
      </c>
      <c r="BX315" s="57">
        <v>200000</v>
      </c>
      <c r="BY315" s="77">
        <f>50</f>
        <v>50</v>
      </c>
      <c r="BZ315" s="77">
        <f>BY315+100</f>
        <v>150</v>
      </c>
      <c r="CA315" s="77">
        <f>BY315+100*2</f>
        <v>250</v>
      </c>
      <c r="CB315" s="77">
        <f>CA315+50+150</f>
        <v>450</v>
      </c>
      <c r="CC315" s="77">
        <f>CB315+300</f>
        <v>750</v>
      </c>
      <c r="CD315" s="77">
        <f>CB315+300*2</f>
        <v>1050</v>
      </c>
      <c r="CE315" s="77">
        <f>CD315+150+50</f>
        <v>1250</v>
      </c>
      <c r="CF315" s="77">
        <f>CE315+100</f>
        <v>1350</v>
      </c>
      <c r="CG315" s="77">
        <f>CE315+100*2</f>
        <v>1450</v>
      </c>
      <c r="DM315" s="77">
        <f t="shared" si="943"/>
        <v>1924.2255003237483</v>
      </c>
      <c r="DN315" s="77">
        <f>PI()*35*35/4*2</f>
        <v>1924.2255003237483</v>
      </c>
      <c r="DO315" s="77">
        <f t="shared" si="944"/>
        <v>1924.2255003237483</v>
      </c>
      <c r="DP315" s="77">
        <f t="shared" ref="DP315:DR318" si="954">PI()*13*13/4*2</f>
        <v>265.46457922833753</v>
      </c>
      <c r="DQ315" s="77">
        <f t="shared" si="954"/>
        <v>265.46457922833753</v>
      </c>
      <c r="DR315" s="77">
        <f t="shared" si="954"/>
        <v>265.46457922833753</v>
      </c>
      <c r="DS315" s="77">
        <f t="shared" si="947"/>
        <v>1924.2255003237483</v>
      </c>
      <c r="DT315" s="77">
        <f t="shared" si="947"/>
        <v>1924.2255003237483</v>
      </c>
      <c r="DU315" s="77">
        <f t="shared" si="947"/>
        <v>1924.2255003237483</v>
      </c>
      <c r="FA315" s="77">
        <f t="shared" si="948"/>
        <v>-1088574.4534659931</v>
      </c>
      <c r="FB315" s="77">
        <f t="shared" si="948"/>
        <v>-725745.69997063151</v>
      </c>
      <c r="FC315" s="77">
        <f t="shared" si="948"/>
        <v>-362916.94647526974</v>
      </c>
      <c r="FD315" s="77">
        <f t="shared" si="949"/>
        <v>50043.391613968699</v>
      </c>
      <c r="FE315" s="77">
        <f t="shared" si="950"/>
        <v>177064.87434530113</v>
      </c>
      <c r="FF315" s="77">
        <f t="shared" si="951"/>
        <v>177064.87434530113</v>
      </c>
      <c r="FG315" s="77">
        <f t="shared" si="952"/>
        <v>1187247.1336997526</v>
      </c>
      <c r="FH315" s="77">
        <f t="shared" si="952"/>
        <v>1187247.1336997526</v>
      </c>
      <c r="FI315" s="77">
        <f t="shared" si="952"/>
        <v>1187247.1336997526</v>
      </c>
      <c r="GO315" s="77">
        <f t="shared" si="854"/>
        <v>762002117.42619514</v>
      </c>
      <c r="GP315" s="77">
        <f t="shared" si="855"/>
        <v>435447419.9823789</v>
      </c>
      <c r="GQ315" s="77">
        <f t="shared" si="856"/>
        <v>181458473.23763487</v>
      </c>
      <c r="GR315" s="77">
        <f t="shared" si="857"/>
        <v>-15013017.484190609</v>
      </c>
      <c r="GS315" s="77">
        <f t="shared" si="883"/>
        <v>0</v>
      </c>
      <c r="GT315" s="77">
        <f t="shared" si="933"/>
        <v>53119462.303590335</v>
      </c>
      <c r="GU315" s="77">
        <f t="shared" si="953"/>
        <v>593623566.84987628</v>
      </c>
      <c r="GV315" s="77">
        <f t="shared" si="953"/>
        <v>712348280.21985161</v>
      </c>
      <c r="GW315" s="77">
        <f t="shared" si="953"/>
        <v>831072993.58982682</v>
      </c>
      <c r="IC315" s="82">
        <v>334</v>
      </c>
    </row>
    <row r="316" spans="1:237" s="77" customFormat="1">
      <c r="A316" s="77">
        <v>316</v>
      </c>
      <c r="C316" s="123" t="s">
        <v>335</v>
      </c>
      <c r="D316" s="124" t="s">
        <v>340</v>
      </c>
      <c r="E316" s="130">
        <v>3</v>
      </c>
      <c r="F316" s="125">
        <f t="shared" si="884"/>
        <v>0.12510936132983377</v>
      </c>
      <c r="G316" s="125">
        <v>7.4000000000000003E-3</v>
      </c>
      <c r="H316" s="125"/>
      <c r="I316" s="125">
        <v>2.01E-2</v>
      </c>
      <c r="J316" s="125">
        <f t="shared" si="925"/>
        <v>2.1666666666666665</v>
      </c>
      <c r="K316" s="125">
        <f t="shared" si="911"/>
        <v>7.5</v>
      </c>
      <c r="L316" s="125">
        <f t="shared" si="912"/>
        <v>0.1890708661417323</v>
      </c>
      <c r="M316" s="125">
        <f t="shared" si="913"/>
        <v>0.16281102362204722</v>
      </c>
      <c r="N316" s="125">
        <f t="shared" si="914"/>
        <v>1.7101102362204723</v>
      </c>
      <c r="O316" s="125">
        <f t="shared" si="915"/>
        <v>0</v>
      </c>
      <c r="P316" s="125">
        <v>7.0000000000000007E-2</v>
      </c>
      <c r="Q316" s="125" t="s">
        <v>3</v>
      </c>
      <c r="R316" s="126">
        <f t="shared" si="916"/>
        <v>0</v>
      </c>
      <c r="S316" s="75">
        <f t="shared" si="809"/>
        <v>0.77224000306826523</v>
      </c>
      <c r="T316" s="59">
        <f t="shared" si="789"/>
        <v>1.1854947308044066</v>
      </c>
      <c r="U316" s="59">
        <f t="shared" si="790"/>
        <v>0.62953088650286071</v>
      </c>
      <c r="V316" s="59">
        <f t="shared" si="791"/>
        <v>0.95782398307120797</v>
      </c>
      <c r="W316" s="59">
        <f t="shared" si="792"/>
        <v>0.80795296527491545</v>
      </c>
      <c r="X316" s="59">
        <f t="shared" si="793"/>
        <v>1.5214884664230934</v>
      </c>
      <c r="Y316" s="127">
        <v>1430000</v>
      </c>
      <c r="Z316" s="57">
        <f t="shared" si="794"/>
        <v>2175728.5069850236</v>
      </c>
      <c r="AA316" s="57">
        <f t="shared" si="795"/>
        <v>1155372.740343129</v>
      </c>
      <c r="AB316" s="57">
        <f t="shared" si="887"/>
        <v>1548046.8191926205</v>
      </c>
      <c r="AC316" s="57">
        <f t="shared" si="796"/>
        <v>0.17</v>
      </c>
      <c r="AD316" s="57">
        <f t="shared" si="797"/>
        <v>2.1666666666666665</v>
      </c>
      <c r="AE316" s="57">
        <f t="shared" si="798"/>
        <v>800100.00000000012</v>
      </c>
      <c r="AF316" s="57">
        <f t="shared" si="799"/>
        <v>267923.24976355233</v>
      </c>
      <c r="AG316" s="57">
        <f t="shared" si="880"/>
        <v>887449.4905795767</v>
      </c>
      <c r="AH316" s="57">
        <f t="shared" si="888"/>
        <v>1899890584.4884069</v>
      </c>
      <c r="AI316" s="57">
        <f t="shared" si="889"/>
        <v>3131261577.88761</v>
      </c>
      <c r="AJ316" s="77">
        <f t="shared" si="926"/>
        <v>800100.00000000012</v>
      </c>
      <c r="AK316" s="77">
        <v>38.1</v>
      </c>
      <c r="AL316" s="78">
        <f t="shared" si="800"/>
        <v>3.4014050839122194</v>
      </c>
      <c r="AM316" s="57">
        <f t="shared" si="801"/>
        <v>0.99973684210526315</v>
      </c>
      <c r="AN316" s="57">
        <f t="shared" si="802"/>
        <v>0.79973684210526319</v>
      </c>
      <c r="AO316" s="77">
        <v>1500</v>
      </c>
      <c r="AP316" s="79">
        <f>50*4</f>
        <v>200</v>
      </c>
      <c r="AQ316" s="57">
        <f t="shared" si="803"/>
        <v>153.02448339838944</v>
      </c>
      <c r="AR316" s="57">
        <f t="shared" si="890"/>
        <v>1100</v>
      </c>
      <c r="AS316" s="57">
        <f t="shared" si="804"/>
        <v>1346.9755166016105</v>
      </c>
      <c r="AT316" s="77">
        <v>200</v>
      </c>
      <c r="AU316" s="77">
        <v>3250</v>
      </c>
      <c r="AV316" s="57">
        <f t="shared" si="805"/>
        <v>300000</v>
      </c>
      <c r="AW316" s="77">
        <v>0</v>
      </c>
      <c r="AX316" s="77">
        <f t="shared" si="806"/>
        <v>300000</v>
      </c>
      <c r="AY316" s="78">
        <f t="shared" si="917"/>
        <v>300000</v>
      </c>
      <c r="AZ316" s="77">
        <f t="shared" si="937"/>
        <v>667</v>
      </c>
      <c r="BA316" s="77">
        <v>667</v>
      </c>
      <c r="BB316" s="77">
        <v>617</v>
      </c>
      <c r="BC316" s="77">
        <v>0</v>
      </c>
      <c r="BD316" s="77">
        <v>1.0800000000000001E-2</v>
      </c>
      <c r="BE316" s="77">
        <v>9.2999999999999992E-3</v>
      </c>
      <c r="BF316" s="77">
        <v>0.1056</v>
      </c>
      <c r="BG316" s="77">
        <v>0</v>
      </c>
      <c r="BH316" s="79">
        <v>215</v>
      </c>
      <c r="BI316" s="79">
        <f>PI()*13*13/4</f>
        <v>132.73228961416876</v>
      </c>
      <c r="BJ316" s="79">
        <v>2</v>
      </c>
      <c r="BK316" s="57">
        <f t="shared" si="881"/>
        <v>265.46457922833753</v>
      </c>
      <c r="BL316" s="57">
        <f t="shared" si="841"/>
        <v>2376</v>
      </c>
      <c r="BM316" s="80">
        <f>PI()*35*35/4*2+PI()*16*16/4</f>
        <v>2125.2874301534948</v>
      </c>
      <c r="BN316" s="80">
        <v>2</v>
      </c>
      <c r="BO316" s="57">
        <f t="shared" si="892"/>
        <v>4250.5748603069896</v>
      </c>
      <c r="BP316" s="57">
        <f t="shared" si="807"/>
        <v>1369688.2957918274</v>
      </c>
      <c r="BQ316" s="77">
        <f t="shared" si="808"/>
        <v>3.9581209421157837E-9</v>
      </c>
      <c r="BR316" s="57">
        <f t="shared" si="843"/>
        <v>4451486961.3234386</v>
      </c>
      <c r="BS316" s="57">
        <v>306.04896679677887</v>
      </c>
      <c r="BT316" s="57">
        <f t="shared" si="810"/>
        <v>215.99939774178691</v>
      </c>
      <c r="BU316" s="57"/>
      <c r="BV316" s="57">
        <v>3.3E-3</v>
      </c>
      <c r="BW316" s="57">
        <v>30000</v>
      </c>
      <c r="BX316" s="57">
        <v>200000</v>
      </c>
      <c r="BY316" s="77">
        <f>50</f>
        <v>50</v>
      </c>
      <c r="BZ316" s="77">
        <f>BY316+50</f>
        <v>100</v>
      </c>
      <c r="CA316" s="77">
        <f>BY316+50*2</f>
        <v>150</v>
      </c>
      <c r="CB316" s="77">
        <f>CA316+50+92.5</f>
        <v>292.5</v>
      </c>
      <c r="CC316" s="77">
        <f>CB316+183</f>
        <v>475.5</v>
      </c>
      <c r="CD316" s="77">
        <f>CB316+183*2</f>
        <v>658.5</v>
      </c>
      <c r="CE316" s="77">
        <f>CB316+183*3</f>
        <v>841.5</v>
      </c>
      <c r="CF316" s="77">
        <f>CB316+183*4</f>
        <v>1024.5</v>
      </c>
      <c r="CG316" s="77">
        <f>CB316+183*5</f>
        <v>1207.5</v>
      </c>
      <c r="CH316" s="77">
        <f>CG316+92.5+50</f>
        <v>1350</v>
      </c>
      <c r="CI316" s="77">
        <f>CH316+50</f>
        <v>1400</v>
      </c>
      <c r="CJ316" s="77">
        <f>CH316+50*2</f>
        <v>1450</v>
      </c>
      <c r="DM316" s="77">
        <f t="shared" si="943"/>
        <v>1924.2255003237483</v>
      </c>
      <c r="DN316" s="77">
        <f>PI()*16*16/4*2</f>
        <v>402.12385965949352</v>
      </c>
      <c r="DO316" s="77">
        <f t="shared" si="944"/>
        <v>1924.2255003237483</v>
      </c>
      <c r="DP316" s="77">
        <f t="shared" si="954"/>
        <v>265.46457922833753</v>
      </c>
      <c r="DQ316" s="77">
        <f t="shared" si="954"/>
        <v>265.46457922833753</v>
      </c>
      <c r="DR316" s="77">
        <f t="shared" si="954"/>
        <v>265.46457922833753</v>
      </c>
      <c r="DS316" s="77">
        <f t="shared" ref="DS316:DU318" si="955">PI()*13*13/4*2</f>
        <v>265.46457922833753</v>
      </c>
      <c r="DT316" s="77">
        <f t="shared" si="955"/>
        <v>265.46457922833753</v>
      </c>
      <c r="DU316" s="77">
        <f t="shared" si="955"/>
        <v>265.46457922833753</v>
      </c>
      <c r="DV316" s="77">
        <f>PI()*35*35/4*2</f>
        <v>1924.2255003237483</v>
      </c>
      <c r="DW316" s="77">
        <f>PI()*16*16/4*2</f>
        <v>402.12385965949352</v>
      </c>
      <c r="DX316" s="77">
        <f>PI()*35*35/4*2</f>
        <v>1924.2255003237483</v>
      </c>
      <c r="FA316" s="77">
        <f t="shared" si="948"/>
        <v>-1062507.5170914887</v>
      </c>
      <c r="FB316" s="77">
        <f t="shared" si="948"/>
        <v>-178683.02711521779</v>
      </c>
      <c r="FC316" s="77">
        <f t="shared" si="948"/>
        <v>-647544.89084711869</v>
      </c>
      <c r="FD316" s="77">
        <f t="shared" si="949"/>
        <v>-7756.4996635613315</v>
      </c>
      <c r="FE316" s="77">
        <f t="shared" si="950"/>
        <v>97007.166800598963</v>
      </c>
      <c r="FF316" s="77">
        <f t="shared" si="951"/>
        <v>177064.87434530113</v>
      </c>
      <c r="FG316" s="77">
        <f t="shared" ref="FG316:FI319" si="956">IF(ABS(-$BV316*($BS316-CE316)/$BS316*$BX316)&gt;$BA316,$BA316*SIGN(-($BS316-CE316)),-$BV316*($BS316-CE316)/$BS316*$BX316)*DS316</f>
        <v>177064.87434530113</v>
      </c>
      <c r="FH316" s="77">
        <f t="shared" si="956"/>
        <v>177064.87434530113</v>
      </c>
      <c r="FI316" s="77">
        <f t="shared" si="956"/>
        <v>177064.87434530113</v>
      </c>
      <c r="FJ316" s="77">
        <f t="shared" ref="FJ316:FL317" si="957">IF(ABS(-$BV316*($BS316-CH316)/$BS316*$BX316)&gt;$BB316,$BB316*SIGN(-($BS316-CH316)),-$BV316*($BS316-CH316)/$BS316*$BX316)*DV316</f>
        <v>1187247.1336997526</v>
      </c>
      <c r="FK316" s="77">
        <f t="shared" si="957"/>
        <v>248110.42140990749</v>
      </c>
      <c r="FL316" s="77">
        <f t="shared" si="957"/>
        <v>1187247.1336997526</v>
      </c>
      <c r="GO316" s="77">
        <f t="shared" si="854"/>
        <v>743755261.96404207</v>
      </c>
      <c r="GP316" s="77">
        <f t="shared" si="855"/>
        <v>116143967.62489156</v>
      </c>
      <c r="GQ316" s="77">
        <f t="shared" si="856"/>
        <v>388526934.50827122</v>
      </c>
      <c r="GR316" s="77">
        <f t="shared" si="857"/>
        <v>3548598.596079309</v>
      </c>
      <c r="GS316" s="77">
        <f t="shared" si="883"/>
        <v>-26628467.286764417</v>
      </c>
      <c r="GT316" s="77">
        <f t="shared" si="933"/>
        <v>-16201436.002595054</v>
      </c>
      <c r="GU316" s="77">
        <f t="shared" si="953"/>
        <v>16201436.002595054</v>
      </c>
      <c r="GV316" s="77">
        <f t="shared" si="953"/>
        <v>48604308.007785156</v>
      </c>
      <c r="GW316" s="77">
        <f t="shared" si="953"/>
        <v>81007180.012975261</v>
      </c>
      <c r="GX316" s="77">
        <f t="shared" ref="GX316:GZ319" si="958">FJ316*(CH316-0.5*$AO316)</f>
        <v>712348280.21985161</v>
      </c>
      <c r="GY316" s="77">
        <f t="shared" si="958"/>
        <v>161271773.91643986</v>
      </c>
      <c r="GZ316" s="77">
        <f t="shared" si="958"/>
        <v>831072993.58982682</v>
      </c>
      <c r="IC316" s="82">
        <v>335</v>
      </c>
    </row>
    <row r="317" spans="1:237" s="77" customFormat="1">
      <c r="A317" s="77">
        <v>317</v>
      </c>
      <c r="C317" s="123" t="s">
        <v>335</v>
      </c>
      <c r="D317" s="124" t="s">
        <v>341</v>
      </c>
      <c r="E317" s="130">
        <v>3</v>
      </c>
      <c r="F317" s="125">
        <f t="shared" si="884"/>
        <v>0.13551316984559492</v>
      </c>
      <c r="G317" s="125">
        <v>1.03E-2</v>
      </c>
      <c r="H317" s="125"/>
      <c r="I317" s="125">
        <v>2.5600000000000001E-2</v>
      </c>
      <c r="J317" s="125">
        <f t="shared" si="925"/>
        <v>2.1666666666666665</v>
      </c>
      <c r="K317" s="125">
        <f t="shared" si="911"/>
        <v>7.5</v>
      </c>
      <c r="L317" s="125">
        <f t="shared" si="912"/>
        <v>0.12540326975476837</v>
      </c>
      <c r="M317" s="125">
        <f t="shared" si="913"/>
        <v>0.12358583106267028</v>
      </c>
      <c r="N317" s="125">
        <f t="shared" si="914"/>
        <v>1.7753460490463213</v>
      </c>
      <c r="O317" s="125">
        <f t="shared" si="915"/>
        <v>0</v>
      </c>
      <c r="P317" s="125">
        <v>7.0000000000000007E-2</v>
      </c>
      <c r="Q317" s="125" t="s">
        <v>3</v>
      </c>
      <c r="R317" s="126">
        <f t="shared" si="916"/>
        <v>0</v>
      </c>
      <c r="S317" s="75">
        <f t="shared" si="809"/>
        <v>0.82094589632859405</v>
      </c>
      <c r="T317" s="59">
        <f t="shared" si="789"/>
        <v>1.0666485678261706</v>
      </c>
      <c r="U317" s="59">
        <f t="shared" si="790"/>
        <v>0.81587974543225272</v>
      </c>
      <c r="V317" s="59">
        <f t="shared" si="791"/>
        <v>0.91302011434549912</v>
      </c>
      <c r="W317" s="59">
        <f t="shared" si="792"/>
        <v>0.85597088102432251</v>
      </c>
      <c r="X317" s="59">
        <f t="shared" si="793"/>
        <v>1.1190621160251766</v>
      </c>
      <c r="Y317" s="127">
        <v>1492000</v>
      </c>
      <c r="Z317" s="57">
        <f t="shared" si="794"/>
        <v>1669640.6771095635</v>
      </c>
      <c r="AA317" s="57">
        <f t="shared" si="795"/>
        <v>1277108.5544882892</v>
      </c>
      <c r="AB317" s="57">
        <f t="shared" si="887"/>
        <v>1521800.8845422841</v>
      </c>
      <c r="AC317" s="57">
        <f t="shared" si="796"/>
        <v>0.17</v>
      </c>
      <c r="AD317" s="57">
        <f t="shared" si="797"/>
        <v>2.1666666666666665</v>
      </c>
      <c r="AE317" s="57">
        <f t="shared" si="798"/>
        <v>770700.00000000023</v>
      </c>
      <c r="AF317" s="57">
        <f t="shared" si="799"/>
        <v>261296.86361404901</v>
      </c>
      <c r="AG317" s="57">
        <f t="shared" si="880"/>
        <v>1015811.6908742402</v>
      </c>
      <c r="AH317" s="57">
        <f t="shared" si="888"/>
        <v>1827068115.7610028</v>
      </c>
      <c r="AI317" s="57">
        <f t="shared" si="889"/>
        <v>3118784759.0014205</v>
      </c>
      <c r="AJ317" s="77">
        <f t="shared" si="926"/>
        <v>770700.00000000012</v>
      </c>
      <c r="AK317" s="77">
        <v>36.700000000000003</v>
      </c>
      <c r="AL317" s="78">
        <f t="shared" si="800"/>
        <v>3.3320841075176251</v>
      </c>
      <c r="AM317" s="57">
        <f t="shared" si="801"/>
        <v>1</v>
      </c>
      <c r="AN317" s="57">
        <f t="shared" si="802"/>
        <v>0.8</v>
      </c>
      <c r="AO317" s="77">
        <v>1500</v>
      </c>
      <c r="AP317" s="79">
        <f>50*4</f>
        <v>200</v>
      </c>
      <c r="AQ317" s="57">
        <f t="shared" si="803"/>
        <v>155.40319089849967</v>
      </c>
      <c r="AR317" s="57">
        <f t="shared" si="890"/>
        <v>1100</v>
      </c>
      <c r="AS317" s="57">
        <f t="shared" si="804"/>
        <v>1344.5968091015004</v>
      </c>
      <c r="AT317" s="77">
        <v>200</v>
      </c>
      <c r="AU317" s="77">
        <v>3250</v>
      </c>
      <c r="AV317" s="57">
        <f t="shared" si="805"/>
        <v>300000</v>
      </c>
      <c r="AW317" s="77">
        <v>0</v>
      </c>
      <c r="AX317" s="77">
        <f t="shared" si="806"/>
        <v>300000</v>
      </c>
      <c r="AY317" s="78">
        <f t="shared" si="917"/>
        <v>300000</v>
      </c>
      <c r="AZ317" s="77">
        <f t="shared" si="937"/>
        <v>667</v>
      </c>
      <c r="BA317" s="77">
        <v>667</v>
      </c>
      <c r="BB317" s="77">
        <v>617</v>
      </c>
      <c r="BC317" s="77">
        <v>0</v>
      </c>
      <c r="BD317" s="77">
        <v>6.8999999999999999E-3</v>
      </c>
      <c r="BE317" s="77">
        <v>6.7999999999999996E-3</v>
      </c>
      <c r="BF317" s="77">
        <v>0.1056</v>
      </c>
      <c r="BG317" s="77">
        <v>0</v>
      </c>
      <c r="BH317" s="79">
        <v>187.5</v>
      </c>
      <c r="BI317" s="79">
        <f>PI()*13*13/4</f>
        <v>132.73228961416876</v>
      </c>
      <c r="BJ317" s="79">
        <v>2</v>
      </c>
      <c r="BK317" s="57">
        <f t="shared" si="881"/>
        <v>265.46457922833753</v>
      </c>
      <c r="BL317" s="57">
        <f t="shared" si="841"/>
        <v>1518</v>
      </c>
      <c r="BM317" s="80">
        <f>PI()*35*35/4*2+PI()*16*16/4</f>
        <v>2125.2874301534948</v>
      </c>
      <c r="BN317" s="80">
        <v>2</v>
      </c>
      <c r="BO317" s="57">
        <f t="shared" si="892"/>
        <v>4250.5748603069896</v>
      </c>
      <c r="BP317" s="57">
        <f t="shared" si="807"/>
        <v>1362226.0106034847</v>
      </c>
      <c r="BQ317" s="77">
        <f t="shared" si="808"/>
        <v>3.7252902984619141E-9</v>
      </c>
      <c r="BR317" s="57">
        <f t="shared" si="843"/>
        <v>4427234534.4613256</v>
      </c>
      <c r="BS317" s="57">
        <v>310.80638179699935</v>
      </c>
      <c r="BT317" s="57">
        <f t="shared" si="810"/>
        <v>194.24341691785526</v>
      </c>
      <c r="BU317" s="57"/>
      <c r="BV317" s="57">
        <v>3.3E-3</v>
      </c>
      <c r="BW317" s="57">
        <v>30000</v>
      </c>
      <c r="BX317" s="57">
        <v>200000</v>
      </c>
      <c r="BY317" s="77">
        <f>50</f>
        <v>50</v>
      </c>
      <c r="BZ317" s="77">
        <f>BY317+50</f>
        <v>100</v>
      </c>
      <c r="CA317" s="77">
        <f>BY317+50*2</f>
        <v>150</v>
      </c>
      <c r="CB317" s="77">
        <f>CA317+50+92.5</f>
        <v>292.5</v>
      </c>
      <c r="CC317" s="77">
        <f>CB317+183</f>
        <v>475.5</v>
      </c>
      <c r="CD317" s="77">
        <f>CB317+183*2</f>
        <v>658.5</v>
      </c>
      <c r="CE317" s="77">
        <f>CB317+183*3</f>
        <v>841.5</v>
      </c>
      <c r="CF317" s="77">
        <f>CB317+183*4</f>
        <v>1024.5</v>
      </c>
      <c r="CG317" s="77">
        <f>CB317+183*5</f>
        <v>1207.5</v>
      </c>
      <c r="CH317" s="77">
        <f>CG317+92.5+50</f>
        <v>1350</v>
      </c>
      <c r="CI317" s="77">
        <f>CH317+50</f>
        <v>1400</v>
      </c>
      <c r="CJ317" s="77">
        <f>CH317+50*2</f>
        <v>1450</v>
      </c>
      <c r="DM317" s="77">
        <f t="shared" si="943"/>
        <v>1924.2255003237483</v>
      </c>
      <c r="DN317" s="77">
        <f>PI()*16*16/4*2</f>
        <v>402.12385965949352</v>
      </c>
      <c r="DO317" s="77">
        <f t="shared" si="944"/>
        <v>1924.2255003237483</v>
      </c>
      <c r="DP317" s="77">
        <f t="shared" si="954"/>
        <v>265.46457922833753</v>
      </c>
      <c r="DQ317" s="77">
        <f t="shared" si="954"/>
        <v>265.46457922833753</v>
      </c>
      <c r="DR317" s="77">
        <f t="shared" si="954"/>
        <v>265.46457922833753</v>
      </c>
      <c r="DS317" s="77">
        <f t="shared" si="955"/>
        <v>265.46457922833753</v>
      </c>
      <c r="DT317" s="77">
        <f t="shared" si="955"/>
        <v>265.46457922833753</v>
      </c>
      <c r="DU317" s="77">
        <f t="shared" si="955"/>
        <v>265.46457922833753</v>
      </c>
      <c r="DV317" s="77">
        <f>PI()*35*35/4*2</f>
        <v>1924.2255003237483</v>
      </c>
      <c r="DW317" s="77">
        <f>PI()*16*16/4*2</f>
        <v>402.12385965949352</v>
      </c>
      <c r="DX317" s="77">
        <f>PI()*35*35/4*2</f>
        <v>1924.2255003237483</v>
      </c>
      <c r="FA317" s="77">
        <f t="shared" si="948"/>
        <v>-1065683.3679398722</v>
      </c>
      <c r="FB317" s="77">
        <f t="shared" si="948"/>
        <v>-180010.40314327675</v>
      </c>
      <c r="FC317" s="77">
        <f t="shared" si="948"/>
        <v>-657072.44339226838</v>
      </c>
      <c r="FD317" s="77">
        <f t="shared" si="949"/>
        <v>-10319.605738054464</v>
      </c>
      <c r="FE317" s="77">
        <f t="shared" si="950"/>
        <v>92840.476412833188</v>
      </c>
      <c r="FF317" s="77">
        <f t="shared" si="951"/>
        <v>177064.87434530113</v>
      </c>
      <c r="FG317" s="77">
        <f t="shared" si="956"/>
        <v>177064.87434530113</v>
      </c>
      <c r="FH317" s="77">
        <f t="shared" si="956"/>
        <v>177064.87434530113</v>
      </c>
      <c r="FI317" s="77">
        <f t="shared" si="956"/>
        <v>177064.87434530113</v>
      </c>
      <c r="FJ317" s="77">
        <f t="shared" si="957"/>
        <v>1187247.1336997526</v>
      </c>
      <c r="FK317" s="77">
        <f t="shared" si="957"/>
        <v>248110.42140990749</v>
      </c>
      <c r="FL317" s="77">
        <f t="shared" si="957"/>
        <v>1187247.1336997526</v>
      </c>
      <c r="GO317" s="77">
        <f t="shared" si="854"/>
        <v>745978357.55791056</v>
      </c>
      <c r="GP317" s="77">
        <f t="shared" si="855"/>
        <v>117006762.04312989</v>
      </c>
      <c r="GQ317" s="77">
        <f t="shared" si="856"/>
        <v>394243466.03536105</v>
      </c>
      <c r="GR317" s="77">
        <f t="shared" si="857"/>
        <v>4721219.6251599174</v>
      </c>
      <c r="GS317" s="77">
        <f t="shared" si="883"/>
        <v>-25484710.775322709</v>
      </c>
      <c r="GT317" s="77">
        <f t="shared" si="933"/>
        <v>-16201436.002595054</v>
      </c>
      <c r="GU317" s="77">
        <f t="shared" si="953"/>
        <v>16201436.002595054</v>
      </c>
      <c r="GV317" s="77">
        <f t="shared" si="953"/>
        <v>48604308.007785156</v>
      </c>
      <c r="GW317" s="77">
        <f t="shared" si="953"/>
        <v>81007180.012975261</v>
      </c>
      <c r="GX317" s="77">
        <f t="shared" si="958"/>
        <v>712348280.21985161</v>
      </c>
      <c r="GY317" s="77">
        <f t="shared" si="958"/>
        <v>161271773.91643986</v>
      </c>
      <c r="GZ317" s="77">
        <f t="shared" si="958"/>
        <v>831072993.58982682</v>
      </c>
      <c r="IC317" s="82">
        <v>336</v>
      </c>
    </row>
    <row r="318" spans="1:237" s="77" customFormat="1">
      <c r="A318" s="77">
        <v>318</v>
      </c>
      <c r="C318" s="123" t="s">
        <v>335</v>
      </c>
      <c r="D318" s="124" t="s">
        <v>342</v>
      </c>
      <c r="E318" s="130">
        <v>3</v>
      </c>
      <c r="F318" s="125">
        <f t="shared" si="884"/>
        <v>0.12216404886561955</v>
      </c>
      <c r="G318" s="125">
        <v>7.4999999999999997E-3</v>
      </c>
      <c r="H318" s="125"/>
      <c r="I318" s="125">
        <v>1.7600000000000001E-2</v>
      </c>
      <c r="J318" s="125">
        <f t="shared" si="925"/>
        <v>2.1666666666666665</v>
      </c>
      <c r="K318" s="125">
        <f t="shared" si="911"/>
        <v>7.5</v>
      </c>
      <c r="L318" s="125">
        <f t="shared" si="912"/>
        <v>0.11937958115183245</v>
      </c>
      <c r="M318" s="125">
        <f t="shared" si="913"/>
        <v>0.11790575916230367</v>
      </c>
      <c r="N318" s="125">
        <f t="shared" si="914"/>
        <v>1.7056335078534028</v>
      </c>
      <c r="O318" s="125">
        <f t="shared" si="915"/>
        <v>0</v>
      </c>
      <c r="P318" s="125">
        <v>7.0000000000000007E-2</v>
      </c>
      <c r="Q318" s="125" t="s">
        <v>3</v>
      </c>
      <c r="R318" s="126">
        <f t="shared" si="916"/>
        <v>0</v>
      </c>
      <c r="S318" s="75">
        <f t="shared" si="809"/>
        <v>0.75504893530566919</v>
      </c>
      <c r="T318" s="59">
        <f t="shared" si="789"/>
        <v>1.0745897025875226</v>
      </c>
      <c r="U318" s="59">
        <f t="shared" si="790"/>
        <v>0.82170240648246662</v>
      </c>
      <c r="V318" s="59">
        <f t="shared" si="791"/>
        <v>0.9780673019869468</v>
      </c>
      <c r="W318" s="59">
        <f t="shared" si="792"/>
        <v>0.91017743761348358</v>
      </c>
      <c r="X318" s="59">
        <f t="shared" si="793"/>
        <v>1.1902938269024244</v>
      </c>
      <c r="Y318" s="127">
        <v>1400000</v>
      </c>
      <c r="Z318" s="57">
        <f t="shared" si="794"/>
        <v>1666411.3576633942</v>
      </c>
      <c r="AA318" s="57">
        <f t="shared" si="795"/>
        <v>1274248.412658877</v>
      </c>
      <c r="AB318" s="57">
        <f t="shared" si="887"/>
        <v>1547848.7971123517</v>
      </c>
      <c r="AC318" s="57">
        <f t="shared" si="796"/>
        <v>0.17</v>
      </c>
      <c r="AD318" s="57">
        <f t="shared" si="797"/>
        <v>2.1666666666666665</v>
      </c>
      <c r="AE318" s="57">
        <f t="shared" si="798"/>
        <v>802200.00000000023</v>
      </c>
      <c r="AF318" s="57">
        <f t="shared" si="799"/>
        <v>268242.70746938069</v>
      </c>
      <c r="AG318" s="57">
        <f t="shared" si="880"/>
        <v>1006005.7051894963</v>
      </c>
      <c r="AH318" s="57">
        <f t="shared" si="888"/>
        <v>1903219212.3993986</v>
      </c>
      <c r="AI318" s="57">
        <f t="shared" si="889"/>
        <v>3127289378.215744</v>
      </c>
      <c r="AJ318" s="77">
        <f t="shared" si="926"/>
        <v>802200.00000000012</v>
      </c>
      <c r="AK318" s="77">
        <v>38.200000000000003</v>
      </c>
      <c r="AL318" s="78">
        <f t="shared" si="800"/>
        <v>3.4063123527005175</v>
      </c>
      <c r="AM318" s="57">
        <f t="shared" si="801"/>
        <v>0.99947368421052629</v>
      </c>
      <c r="AN318" s="57">
        <f t="shared" si="802"/>
        <v>0.79947368421052634</v>
      </c>
      <c r="AO318" s="77">
        <v>1500</v>
      </c>
      <c r="AP318" s="79">
        <f>50*4</f>
        <v>200</v>
      </c>
      <c r="AQ318" s="57">
        <f t="shared" si="803"/>
        <v>153.78178389602371</v>
      </c>
      <c r="AR318" s="57">
        <f t="shared" si="890"/>
        <v>1100</v>
      </c>
      <c r="AS318" s="57">
        <f t="shared" si="804"/>
        <v>1346.2182161039764</v>
      </c>
      <c r="AT318" s="77">
        <v>200</v>
      </c>
      <c r="AU318" s="77">
        <v>3250</v>
      </c>
      <c r="AV318" s="57">
        <f t="shared" si="805"/>
        <v>300000</v>
      </c>
      <c r="AW318" s="77">
        <v>0</v>
      </c>
      <c r="AX318" s="77">
        <f t="shared" si="806"/>
        <v>300000</v>
      </c>
      <c r="AY318" s="78">
        <f t="shared" si="917"/>
        <v>300000</v>
      </c>
      <c r="AZ318" s="77">
        <f t="shared" si="937"/>
        <v>563</v>
      </c>
      <c r="BA318" s="77">
        <v>563</v>
      </c>
      <c r="BB318" s="77">
        <v>617</v>
      </c>
      <c r="BC318" s="77">
        <v>0</v>
      </c>
      <c r="BD318" s="77">
        <v>8.0999999999999996E-3</v>
      </c>
      <c r="BE318" s="77">
        <v>8.0000000000000002E-3</v>
      </c>
      <c r="BF318" s="77">
        <v>0.1056</v>
      </c>
      <c r="BG318" s="77">
        <v>0</v>
      </c>
      <c r="BH318" s="79">
        <v>160</v>
      </c>
      <c r="BI318" s="79">
        <f>PI()*13*13/4</f>
        <v>132.73228961416876</v>
      </c>
      <c r="BJ318" s="79">
        <v>2</v>
      </c>
      <c r="BK318" s="57">
        <f t="shared" si="881"/>
        <v>265.46457922833753</v>
      </c>
      <c r="BL318" s="57">
        <f t="shared" si="841"/>
        <v>1782</v>
      </c>
      <c r="BM318" s="80">
        <f>PI()*35*35/4*2+PI()*16*16/4</f>
        <v>2125.2874301534948</v>
      </c>
      <c r="BN318" s="80">
        <v>2</v>
      </c>
      <c r="BO318" s="57">
        <f t="shared" si="892"/>
        <v>4250.5748603069896</v>
      </c>
      <c r="BP318" s="57">
        <f t="shared" si="807"/>
        <v>1369294.2227817255</v>
      </c>
      <c r="BQ318" s="77">
        <f t="shared" si="808"/>
        <v>6.5192580223083496E-9</v>
      </c>
      <c r="BR318" s="57">
        <f t="shared" si="843"/>
        <v>4450206224.0406075</v>
      </c>
      <c r="BS318" s="57">
        <v>307.56356779204742</v>
      </c>
      <c r="BT318" s="57">
        <f t="shared" si="810"/>
        <v>195.09762405116041</v>
      </c>
      <c r="BU318" s="57"/>
      <c r="BV318" s="57">
        <v>3.3E-3</v>
      </c>
      <c r="BW318" s="57">
        <v>30000</v>
      </c>
      <c r="BX318" s="57">
        <v>200000</v>
      </c>
      <c r="BY318" s="77">
        <f>50</f>
        <v>50</v>
      </c>
      <c r="BZ318" s="77">
        <f>BY318+50</f>
        <v>100</v>
      </c>
      <c r="CA318" s="77">
        <f>BY318+50*2</f>
        <v>150</v>
      </c>
      <c r="CB318" s="77">
        <f>CA318+50+92.5</f>
        <v>292.5</v>
      </c>
      <c r="CC318" s="77">
        <f>CB318+152.5*1</f>
        <v>445</v>
      </c>
      <c r="CD318" s="77">
        <f>CB318+152.5*2</f>
        <v>597.5</v>
      </c>
      <c r="CE318" s="77">
        <f>CB318+152.5*3</f>
        <v>750</v>
      </c>
      <c r="CF318" s="77">
        <f>CB318+152.5*4</f>
        <v>902.5</v>
      </c>
      <c r="CG318" s="77">
        <f>CB318+152.5*5</f>
        <v>1055</v>
      </c>
      <c r="CH318" s="77">
        <f>CB318+152.5*6</f>
        <v>1207.5</v>
      </c>
      <c r="CI318" s="77">
        <f>CH318+92.5+50</f>
        <v>1350</v>
      </c>
      <c r="CJ318" s="77">
        <f>CI318+50</f>
        <v>1400</v>
      </c>
      <c r="CK318" s="77">
        <f>CI318+50*2</f>
        <v>1450</v>
      </c>
      <c r="DM318" s="77">
        <f t="shared" si="943"/>
        <v>1924.2255003237483</v>
      </c>
      <c r="DN318" s="77">
        <f>PI()*16*16/4*2</f>
        <v>402.12385965949352</v>
      </c>
      <c r="DO318" s="77">
        <f t="shared" si="944"/>
        <v>1924.2255003237483</v>
      </c>
      <c r="DP318" s="77">
        <f t="shared" si="954"/>
        <v>265.46457922833753</v>
      </c>
      <c r="DQ318" s="77">
        <f t="shared" si="954"/>
        <v>265.46457922833753</v>
      </c>
      <c r="DR318" s="77">
        <f t="shared" si="954"/>
        <v>265.46457922833753</v>
      </c>
      <c r="DS318" s="77">
        <f t="shared" si="955"/>
        <v>265.46457922833753</v>
      </c>
      <c r="DT318" s="77">
        <f t="shared" si="955"/>
        <v>265.46457922833753</v>
      </c>
      <c r="DU318" s="77">
        <f t="shared" si="955"/>
        <v>265.46457922833753</v>
      </c>
      <c r="DV318" s="77">
        <f>PI()*13*13/4*2</f>
        <v>265.46457922833753</v>
      </c>
      <c r="DW318" s="77">
        <f>PI()*35*35/4*2</f>
        <v>1924.2255003237483</v>
      </c>
      <c r="DX318" s="77">
        <f>PI()*16*16/4*2</f>
        <v>402.12385965949352</v>
      </c>
      <c r="DY318" s="77">
        <f>PI()*35*35/4*2</f>
        <v>1924.2255003237483</v>
      </c>
      <c r="FA318" s="77">
        <f t="shared" si="948"/>
        <v>-1063529.2616550939</v>
      </c>
      <c r="FB318" s="77">
        <f t="shared" si="948"/>
        <v>-179110.07463894491</v>
      </c>
      <c r="FC318" s="77">
        <f t="shared" si="948"/>
        <v>-650610.12453793373</v>
      </c>
      <c r="FD318" s="77">
        <f t="shared" si="949"/>
        <v>-8581.1100821801883</v>
      </c>
      <c r="FE318" s="77">
        <f t="shared" si="950"/>
        <v>78292.020214570904</v>
      </c>
      <c r="FF318" s="77">
        <f t="shared" si="951"/>
        <v>149456.55810555402</v>
      </c>
      <c r="FG318" s="77">
        <f t="shared" si="956"/>
        <v>149456.55810555402</v>
      </c>
      <c r="FH318" s="77">
        <f t="shared" si="956"/>
        <v>149456.55810555402</v>
      </c>
      <c r="FI318" s="77">
        <f t="shared" si="956"/>
        <v>149456.55810555402</v>
      </c>
      <c r="FJ318" s="77">
        <f>IF(ABS(-$BV318*($BS318-CH318)/$BS318*$BX318)&gt;$BA318,$BA318*SIGN(-($BS318-CH318)),-$BV318*($BS318-CH318)/$BS318*$BX318)*DV318</f>
        <v>149456.55810555402</v>
      </c>
      <c r="FK318" s="77">
        <f>IF(ABS(-$BV318*($BS318-CI318)/$BS318*$BX318)&gt;$BB318,$BB318*SIGN(-($BS318-CI318)),-$BV318*($BS318-CI318)/$BS318*$BX318)*DW318</f>
        <v>1187247.1336997526</v>
      </c>
      <c r="FL318" s="77">
        <f>IF(ABS(-$BV318*($BS318-CJ318)/$BS318*$BX318)&gt;$BB318,$BB318*SIGN(-($BS318-CJ318)),-$BV318*($BS318-CJ318)/$BS318*$BX318)*DX318</f>
        <v>248110.42140990749</v>
      </c>
      <c r="FM318" s="77">
        <f>IF(ABS(-$BV318*($BS318-CK318)/$BS318*$BX318)&gt;$BB318,$BB318*SIGN(-($BS318-CK318)),-$BV318*($BS318-CK318)/$BS318*$BX318)*DY318</f>
        <v>1187247.1336997526</v>
      </c>
      <c r="GO318" s="77">
        <f t="shared" si="854"/>
        <v>744470483.15856576</v>
      </c>
      <c r="GP318" s="77">
        <f t="shared" si="855"/>
        <v>116421548.51531419</v>
      </c>
      <c r="GQ318" s="77">
        <f t="shared" si="856"/>
        <v>390366074.72276026</v>
      </c>
      <c r="GR318" s="77">
        <f t="shared" si="857"/>
        <v>3925857.8625974362</v>
      </c>
      <c r="GS318" s="77">
        <f t="shared" si="883"/>
        <v>-23879066.165444124</v>
      </c>
      <c r="GT318" s="77">
        <f t="shared" si="933"/>
        <v>-22792125.111096989</v>
      </c>
      <c r="GU318" s="77">
        <f t="shared" si="953"/>
        <v>0</v>
      </c>
      <c r="GV318" s="77">
        <f t="shared" si="953"/>
        <v>22792125.111096989</v>
      </c>
      <c r="GW318" s="77">
        <f t="shared" si="953"/>
        <v>45584250.222193979</v>
      </c>
      <c r="GX318" s="77">
        <f t="shared" si="958"/>
        <v>68376375.333290964</v>
      </c>
      <c r="GY318" s="77">
        <f t="shared" si="958"/>
        <v>712348280.21985161</v>
      </c>
      <c r="GZ318" s="77">
        <f t="shared" si="958"/>
        <v>161271773.91643986</v>
      </c>
      <c r="HA318" s="77">
        <f>FM318*(CK318-0.5*$AO318)</f>
        <v>831072993.58982682</v>
      </c>
      <c r="IC318" s="82">
        <v>337</v>
      </c>
    </row>
    <row r="319" spans="1:237" s="77" customFormat="1">
      <c r="A319" s="77">
        <v>319</v>
      </c>
      <c r="C319" s="123" t="s">
        <v>335</v>
      </c>
      <c r="D319" s="124" t="s">
        <v>343</v>
      </c>
      <c r="E319" s="130">
        <v>3</v>
      </c>
      <c r="F319" s="125">
        <f t="shared" si="884"/>
        <v>0.1789272030651341</v>
      </c>
      <c r="G319" s="125">
        <v>7.4999999999999997E-3</v>
      </c>
      <c r="H319" s="125"/>
      <c r="I319" s="125">
        <v>2.01E-2</v>
      </c>
      <c r="J319" s="125">
        <f t="shared" si="925"/>
        <v>2.1666666666666665</v>
      </c>
      <c r="K319" s="125">
        <f t="shared" si="911"/>
        <v>7.5</v>
      </c>
      <c r="L319" s="125">
        <f t="shared" si="912"/>
        <v>0.15048659003831416</v>
      </c>
      <c r="M319" s="125">
        <f t="shared" si="913"/>
        <v>0.17475862068965514</v>
      </c>
      <c r="N319" s="125">
        <f t="shared" si="914"/>
        <v>2.4963678160919538</v>
      </c>
      <c r="O319" s="125">
        <f t="shared" si="915"/>
        <v>0</v>
      </c>
      <c r="P319" s="125">
        <v>7.0000000000000007E-2</v>
      </c>
      <c r="Q319" s="125" t="s">
        <v>3</v>
      </c>
      <c r="R319" s="126">
        <f t="shared" si="916"/>
        <v>0</v>
      </c>
      <c r="S319" s="75">
        <f t="shared" si="809"/>
        <v>0.91410614171122173</v>
      </c>
      <c r="T319" s="59">
        <f t="shared" ref="T319:T381" si="959">BP319/AA319</f>
        <v>1.7844017436302888</v>
      </c>
      <c r="U319" s="59">
        <f t="shared" ref="U319:U381" si="960">BP319/Z319</f>
        <v>0.83294234400548905</v>
      </c>
      <c r="V319" s="59">
        <f t="shared" ref="V319:V381" si="961">BP319/Y319</f>
        <v>0.96844239107172136</v>
      </c>
      <c r="W319" s="59">
        <f t="shared" ref="W319:W381" si="962">AA319/Y319</f>
        <v>0.54272665588269764</v>
      </c>
      <c r="X319" s="59">
        <f t="shared" ref="X319:X381" si="963">Z319/Y319</f>
        <v>1.1626763821546566</v>
      </c>
      <c r="Y319" s="127">
        <v>1401000</v>
      </c>
      <c r="Z319" s="57">
        <f t="shared" ref="Z319:Z381" si="964">(AC319*1*AK319^0.5+BE319*AZ319)*AX319</f>
        <v>1628909.6113986738</v>
      </c>
      <c r="AA319" s="57">
        <f t="shared" ref="AA319:AA381" si="965">IF(AF319&lt;0,AG319,AF319+AG319)</f>
        <v>760360.0448916594</v>
      </c>
      <c r="AB319" s="57">
        <f t="shared" si="887"/>
        <v>1284053.122889481</v>
      </c>
      <c r="AC319" s="57">
        <f t="shared" ref="AC319:AC381" si="966">IF(J319&lt;=1.5,0.25,IF(J319&gt;=2,0.17,0.25-(J319-1.5)/(2-1.5)*(0.25-0.17)))</f>
        <v>0.17</v>
      </c>
      <c r="AD319" s="57">
        <f t="shared" ref="AD319:AD381" si="967">IF(J319&lt;1.5,1.5,IF(J319&gt;2.2,2.2,J319))</f>
        <v>2.1666666666666665</v>
      </c>
      <c r="AE319" s="57">
        <f t="shared" ref="AE319:AE381" si="968">IF(P319&gt;0.2,0.2*AY319*AK319,P319*AY319*AK319)</f>
        <v>548100.00000000012</v>
      </c>
      <c r="AF319" s="57">
        <f t="shared" ref="AF319:AF381" si="969">(1/(AD319-0.5))*(0.4*AL319*AT319*AS319+0.1*AE319*AV319/AY319)</f>
        <v>206014.47582282356</v>
      </c>
      <c r="AG319" s="57">
        <f t="shared" si="880"/>
        <v>554345.56906883582</v>
      </c>
      <c r="AH319" s="57">
        <f t="shared" si="888"/>
        <v>1258694194.1839619</v>
      </c>
      <c r="AI319" s="57">
        <f t="shared" si="889"/>
        <v>2914478455.2068515</v>
      </c>
      <c r="AJ319" s="77">
        <f t="shared" si="926"/>
        <v>548100</v>
      </c>
      <c r="AK319" s="77">
        <v>26.1</v>
      </c>
      <c r="AL319" s="78">
        <f t="shared" ref="AL319:AL381" si="970">0.395*(AK319/0.76)^0.55</f>
        <v>2.7624975333423047</v>
      </c>
      <c r="AM319" s="57">
        <f t="shared" ref="AM319:AM381" si="971">IF(AK319&lt;=38,1,IF(AK319&gt;=60.8,0.94,(1-(AK319-38)*(1-0.94)/(60.8-38))))</f>
        <v>1</v>
      </c>
      <c r="AN319" s="57">
        <f t="shared" ref="AN319:AN381" si="972">IF(AK319&lt;=38,0.8,IF(AK319&gt;=60.8,0.74,0.8-(AK319-38)*(0.8-0.74)/(60.8-38)))</f>
        <v>0.8</v>
      </c>
      <c r="AO319" s="77">
        <v>1500</v>
      </c>
      <c r="AP319" s="79">
        <f>50*4</f>
        <v>200</v>
      </c>
      <c r="AQ319" s="57">
        <f t="shared" ref="AQ319:AQ381" si="973">0.5*BS319</f>
        <v>194.35422013030458</v>
      </c>
      <c r="AR319" s="57">
        <f t="shared" si="890"/>
        <v>1100</v>
      </c>
      <c r="AS319" s="57">
        <f t="shared" ref="AS319:AS381" si="974">AO319-AQ319</f>
        <v>1305.6457798696954</v>
      </c>
      <c r="AT319" s="77">
        <v>200</v>
      </c>
      <c r="AU319" s="77">
        <v>3250</v>
      </c>
      <c r="AV319" s="57">
        <f t="shared" ref="AV319:AV381" si="975">IF(Q319="R",AY319,AR319*AT319)</f>
        <v>300000</v>
      </c>
      <c r="AW319" s="77">
        <v>0</v>
      </c>
      <c r="AX319" s="77">
        <f t="shared" ref="AX319:AX381" si="976">AO319*AT319</f>
        <v>300000</v>
      </c>
      <c r="AY319" s="78">
        <f t="shared" si="917"/>
        <v>300000</v>
      </c>
      <c r="AZ319" s="77">
        <f t="shared" si="937"/>
        <v>633.5</v>
      </c>
      <c r="BA319" s="77">
        <f>(625+642)/2</f>
        <v>633.5</v>
      </c>
      <c r="BB319" s="77">
        <v>617</v>
      </c>
      <c r="BC319" s="77">
        <v>0</v>
      </c>
      <c r="BD319" s="77">
        <v>6.1999999999999998E-3</v>
      </c>
      <c r="BE319" s="77">
        <v>7.1999999999999998E-3</v>
      </c>
      <c r="BF319" s="77">
        <v>0.1056</v>
      </c>
      <c r="BG319" s="77">
        <v>0</v>
      </c>
      <c r="BH319" s="79">
        <v>187.5</v>
      </c>
      <c r="BI319" s="79">
        <f>PI()*10*10/4</f>
        <v>78.539816339744831</v>
      </c>
      <c r="BJ319" s="79">
        <v>2</v>
      </c>
      <c r="BK319" s="57">
        <f t="shared" si="881"/>
        <v>157.07963267948966</v>
      </c>
      <c r="BL319" s="57">
        <f t="shared" si="841"/>
        <v>1363.9999999999998</v>
      </c>
      <c r="BM319" s="80">
        <f>PI()*35*35/4*2+PI()*16*16/4</f>
        <v>2125.2874301534948</v>
      </c>
      <c r="BN319" s="80">
        <v>2</v>
      </c>
      <c r="BO319" s="57">
        <f t="shared" si="892"/>
        <v>4250.5748603069896</v>
      </c>
      <c r="BP319" s="57">
        <f t="shared" ref="BP319:BP381" si="977">BR319/AU319</f>
        <v>1356787.7898914816</v>
      </c>
      <c r="BQ319" s="77">
        <f t="shared" ref="BQ319:BQ381" si="978">AJ319-AM319*AT319*BS319*AK319+SUM(FA319:GN319)</f>
        <v>3.1897798180580139E-8</v>
      </c>
      <c r="BR319" s="57">
        <f t="shared" si="843"/>
        <v>4409560317.147315</v>
      </c>
      <c r="BS319" s="57">
        <v>388.70844026060917</v>
      </c>
      <c r="BT319" s="57">
        <f t="shared" si="810"/>
        <v>184.04733636036391</v>
      </c>
      <c r="BU319" s="57"/>
      <c r="BV319" s="57">
        <v>3.3E-3</v>
      </c>
      <c r="BW319" s="57">
        <v>30000</v>
      </c>
      <c r="BX319" s="57">
        <v>200000</v>
      </c>
      <c r="BY319" s="77">
        <f>50</f>
        <v>50</v>
      </c>
      <c r="BZ319" s="77">
        <f>BY319+50</f>
        <v>100</v>
      </c>
      <c r="CA319" s="77">
        <f>BY319+50*2</f>
        <v>150</v>
      </c>
      <c r="CB319" s="77">
        <f>CA319+50+92.5</f>
        <v>292.5</v>
      </c>
      <c r="CC319" s="77">
        <f>CB319+183</f>
        <v>475.5</v>
      </c>
      <c r="CD319" s="77">
        <f>CB319+183*2</f>
        <v>658.5</v>
      </c>
      <c r="CE319" s="77">
        <f>CB319+183*3</f>
        <v>841.5</v>
      </c>
      <c r="CF319" s="77">
        <f>CB319+183*4</f>
        <v>1024.5</v>
      </c>
      <c r="CG319" s="77">
        <f>CB319+183*5</f>
        <v>1207.5</v>
      </c>
      <c r="CH319" s="77">
        <f>CG319+92.5+50</f>
        <v>1350</v>
      </c>
      <c r="CI319" s="77">
        <f>CH319+50</f>
        <v>1400</v>
      </c>
      <c r="CJ319" s="77">
        <f>CH319+50*2</f>
        <v>1450</v>
      </c>
      <c r="DM319" s="77">
        <f t="shared" si="943"/>
        <v>1924.2255003237483</v>
      </c>
      <c r="DN319" s="77">
        <f>PI()*16*16/4*2</f>
        <v>402.12385965949352</v>
      </c>
      <c r="DO319" s="77">
        <f t="shared" si="944"/>
        <v>1924.2255003237483</v>
      </c>
      <c r="DP319" s="77">
        <f t="shared" ref="DP319:DU319" si="979">PI()*16*16/4*2</f>
        <v>402.12385965949352</v>
      </c>
      <c r="DQ319" s="77">
        <f t="shared" si="979"/>
        <v>402.12385965949352</v>
      </c>
      <c r="DR319" s="77">
        <f t="shared" si="979"/>
        <v>402.12385965949352</v>
      </c>
      <c r="DS319" s="77">
        <f t="shared" si="979"/>
        <v>402.12385965949352</v>
      </c>
      <c r="DT319" s="77">
        <f t="shared" si="979"/>
        <v>402.12385965949352</v>
      </c>
      <c r="DU319" s="77">
        <f t="shared" si="979"/>
        <v>402.12385965949352</v>
      </c>
      <c r="DV319" s="77">
        <f>PI()*35*35/4*2</f>
        <v>1924.2255003237483</v>
      </c>
      <c r="DW319" s="77">
        <f>PI()*16*16/4*2</f>
        <v>402.12385965949352</v>
      </c>
      <c r="DX319" s="77">
        <f>PI()*35*35/4*2</f>
        <v>1924.2255003237483</v>
      </c>
      <c r="FA319" s="77">
        <f t="shared" si="948"/>
        <v>-1106628.7512091878</v>
      </c>
      <c r="FB319" s="77">
        <f t="shared" si="948"/>
        <v>-197123.90210971722</v>
      </c>
      <c r="FC319" s="77">
        <f t="shared" si="948"/>
        <v>-779908.59320021537</v>
      </c>
      <c r="FD319" s="77">
        <f t="shared" si="949"/>
        <v>-65689.049973536385</v>
      </c>
      <c r="FE319" s="77">
        <f t="shared" si="950"/>
        <v>59259.40686241736</v>
      </c>
      <c r="FF319" s="77">
        <f t="shared" si="951"/>
        <v>184207.86369837107</v>
      </c>
      <c r="FG319" s="77">
        <f t="shared" si="956"/>
        <v>254745.46509428913</v>
      </c>
      <c r="FH319" s="77">
        <f t="shared" si="956"/>
        <v>254745.46509428913</v>
      </c>
      <c r="FI319" s="77">
        <f t="shared" si="956"/>
        <v>254745.46509428913</v>
      </c>
      <c r="FJ319" s="77">
        <f>IF(ABS(-$BV319*($BS319-CH319)/$BS319*$BX319)&gt;$BB319,$BB319*SIGN(-($BS319-CH319)),-$BV319*($BS319-CH319)/$BS319*$BX319)*DV319</f>
        <v>1187247.1336997526</v>
      </c>
      <c r="FK319" s="77">
        <f>IF(ABS(-$BV319*($BS319-CI319)/$BS319*$BX319)&gt;$BB319,$BB319*SIGN(-($BS319-CI319)),-$BV319*($BS319-CI319)/$BS319*$BX319)*DW319</f>
        <v>248110.42140990749</v>
      </c>
      <c r="FL319" s="77">
        <f>IF(ABS(-$BV319*($BS319-CJ319)/$BS319*$BX319)&gt;$BB319,$BB319*SIGN(-($BS319-CJ319)),-$BV319*($BS319-CJ319)/$BS319*$BX319)*DX319</f>
        <v>1187247.1336997526</v>
      </c>
      <c r="GO319" s="77">
        <f t="shared" si="854"/>
        <v>774640125.84643149</v>
      </c>
      <c r="GP319" s="77">
        <f t="shared" si="855"/>
        <v>128130536.37131619</v>
      </c>
      <c r="GQ319" s="77">
        <f t="shared" si="856"/>
        <v>467945155.92012924</v>
      </c>
      <c r="GR319" s="77">
        <f t="shared" si="857"/>
        <v>30052740.362892896</v>
      </c>
      <c r="GS319" s="77">
        <f t="shared" si="883"/>
        <v>-16266707.183733566</v>
      </c>
      <c r="GT319" s="77">
        <f t="shared" si="933"/>
        <v>-16855019.528400954</v>
      </c>
      <c r="GU319" s="77">
        <f t="shared" si="953"/>
        <v>23309210.056127455</v>
      </c>
      <c r="GV319" s="77">
        <f t="shared" si="953"/>
        <v>69927630.168382362</v>
      </c>
      <c r="GW319" s="77">
        <f t="shared" si="953"/>
        <v>116546050.28063728</v>
      </c>
      <c r="GX319" s="77">
        <f t="shared" si="958"/>
        <v>712348280.21985161</v>
      </c>
      <c r="GY319" s="77">
        <f t="shared" si="958"/>
        <v>161271773.91643986</v>
      </c>
      <c r="GZ319" s="77">
        <f t="shared" si="958"/>
        <v>831072993.58982682</v>
      </c>
      <c r="IC319" s="82">
        <v>338</v>
      </c>
    </row>
    <row r="320" spans="1:237" s="77" customFormat="1">
      <c r="A320" s="77">
        <v>320</v>
      </c>
      <c r="C320" s="123" t="s">
        <v>344</v>
      </c>
      <c r="D320" s="124" t="s">
        <v>345</v>
      </c>
      <c r="E320" s="129">
        <v>3</v>
      </c>
      <c r="F320" s="125">
        <f t="shared" si="884"/>
        <v>0.18624813153961137</v>
      </c>
      <c r="G320" s="125"/>
      <c r="H320" s="125">
        <v>1.35E-2</v>
      </c>
      <c r="I320" s="59">
        <v>1.4E-2</v>
      </c>
      <c r="J320" s="125">
        <f t="shared" si="925"/>
        <v>0.66666666666666663</v>
      </c>
      <c r="K320" s="125">
        <f t="shared" si="911"/>
        <v>7.5</v>
      </c>
      <c r="L320" s="125">
        <f t="shared" si="912"/>
        <v>9.6950672645739908E-2</v>
      </c>
      <c r="M320" s="125">
        <f t="shared" si="913"/>
        <v>9.8004484304932721E-2</v>
      </c>
      <c r="N320" s="125">
        <f t="shared" si="914"/>
        <v>1.3239215246636769</v>
      </c>
      <c r="O320" s="125">
        <f t="shared" si="915"/>
        <v>0</v>
      </c>
      <c r="P320" s="125">
        <v>7.0000000000000007E-2</v>
      </c>
      <c r="Q320" s="125" t="s">
        <v>3</v>
      </c>
      <c r="R320" s="126">
        <f t="shared" si="916"/>
        <v>0</v>
      </c>
      <c r="S320" s="75">
        <f t="shared" ref="S320:S382" si="980">Y320/AY320/SQRT(AK320)</f>
        <v>1.243825207169013</v>
      </c>
      <c r="T320" s="59">
        <f t="shared" si="959"/>
        <v>1.9889965314241451</v>
      </c>
      <c r="U320" s="59">
        <f t="shared" si="960"/>
        <v>1.6188804479069852</v>
      </c>
      <c r="V320" s="59">
        <f t="shared" si="961"/>
        <v>1.1772445579433433</v>
      </c>
      <c r="W320" s="59">
        <f t="shared" si="962"/>
        <v>0.59187863796847462</v>
      </c>
      <c r="X320" s="59">
        <f t="shared" si="963"/>
        <v>0.72719672380093092</v>
      </c>
      <c r="Y320" s="127">
        <v>2492000</v>
      </c>
      <c r="Z320" s="57">
        <f t="shared" si="964"/>
        <v>1812174.2357119198</v>
      </c>
      <c r="AA320" s="57">
        <f t="shared" si="965"/>
        <v>1474961.5658174388</v>
      </c>
      <c r="AB320" s="57"/>
      <c r="AC320" s="57">
        <f t="shared" si="966"/>
        <v>0.25</v>
      </c>
      <c r="AD320" s="57">
        <f t="shared" si="967"/>
        <v>1.5</v>
      </c>
      <c r="AE320" s="57">
        <f t="shared" si="968"/>
        <v>936600.00000000023</v>
      </c>
      <c r="AF320" s="57">
        <f t="shared" si="969"/>
        <v>503550.33101388277</v>
      </c>
      <c r="AG320" s="57">
        <f t="shared" si="880"/>
        <v>971411.234803556</v>
      </c>
      <c r="AH320" s="57"/>
      <c r="AI320" s="57"/>
      <c r="AJ320" s="77">
        <f t="shared" si="926"/>
        <v>936600.00000000012</v>
      </c>
      <c r="AK320" s="77">
        <v>44.6</v>
      </c>
      <c r="AL320" s="78">
        <f t="shared" si="970"/>
        <v>3.7092302433649063</v>
      </c>
      <c r="AM320" s="57">
        <f t="shared" si="971"/>
        <v>0.98263157894736841</v>
      </c>
      <c r="AN320" s="57">
        <f t="shared" si="972"/>
        <v>0.78263157894736846</v>
      </c>
      <c r="AO320" s="77">
        <v>1500</v>
      </c>
      <c r="AP320" s="79"/>
      <c r="AQ320" s="77">
        <f t="shared" si="973"/>
        <v>118.68128924088437</v>
      </c>
      <c r="AS320" s="77">
        <f t="shared" si="974"/>
        <v>1381.3187107591157</v>
      </c>
      <c r="AT320" s="77">
        <v>200</v>
      </c>
      <c r="AU320" s="77">
        <v>1000</v>
      </c>
      <c r="AV320" s="57">
        <f t="shared" si="975"/>
        <v>300000</v>
      </c>
      <c r="AW320" s="77">
        <v>0</v>
      </c>
      <c r="AX320" s="77">
        <f t="shared" si="976"/>
        <v>300000</v>
      </c>
      <c r="AY320" s="78">
        <f t="shared" si="917"/>
        <v>300000</v>
      </c>
      <c r="AZ320" s="77">
        <f t="shared" si="937"/>
        <v>470</v>
      </c>
      <c r="BA320" s="77">
        <v>470</v>
      </c>
      <c r="BB320" s="77">
        <v>617</v>
      </c>
      <c r="BC320" s="77">
        <v>0</v>
      </c>
      <c r="BD320" s="77">
        <v>9.1999999999999998E-3</v>
      </c>
      <c r="BE320" s="77">
        <v>9.2999999999999992E-3</v>
      </c>
      <c r="BF320" s="77">
        <v>9.5699999999999993E-2</v>
      </c>
      <c r="BG320" s="77">
        <v>0</v>
      </c>
      <c r="BH320" s="79">
        <v>215</v>
      </c>
      <c r="BI320" s="79">
        <f>PI()*16*16/4</f>
        <v>201.06192982974676</v>
      </c>
      <c r="BJ320" s="79">
        <v>2</v>
      </c>
      <c r="BK320" s="57">
        <f t="shared" si="881"/>
        <v>402.12385965949352</v>
      </c>
      <c r="BL320" s="57">
        <f t="shared" si="841"/>
        <v>0</v>
      </c>
      <c r="BM320" s="80"/>
      <c r="BN320" s="80"/>
      <c r="BO320" s="57"/>
      <c r="BP320" s="57">
        <f t="shared" si="977"/>
        <v>2933693.4383948115</v>
      </c>
      <c r="BQ320" s="77">
        <f t="shared" si="978"/>
        <v>0</v>
      </c>
      <c r="BR320" s="57">
        <f t="shared" si="843"/>
        <v>2933693438.3948116</v>
      </c>
      <c r="BS320" s="57">
        <v>237.36257848176874</v>
      </c>
      <c r="BT320" s="57">
        <f t="shared" ref="BT320:BT382" si="981">(AE320 + BD320*MAX(AW320/2,AT320*AP320) * BA320)/(0.85 * AK320  * AT320 * (1.05 - AK320/140))</f>
        <v>168.88786764705881</v>
      </c>
      <c r="BU320" s="57"/>
      <c r="BV320" s="57">
        <v>3.3E-3</v>
      </c>
      <c r="BW320" s="57">
        <v>30000</v>
      </c>
      <c r="BX320" s="57">
        <v>200000</v>
      </c>
      <c r="BY320" s="77">
        <v>50</v>
      </c>
      <c r="BZ320" s="77">
        <f>50+200</f>
        <v>250</v>
      </c>
      <c r="CA320" s="77">
        <f>50+200*2</f>
        <v>450</v>
      </c>
      <c r="CB320" s="77">
        <f>50+200*3</f>
        <v>650</v>
      </c>
      <c r="CC320" s="77">
        <f>50+200*4</f>
        <v>850</v>
      </c>
      <c r="CD320" s="77">
        <f>50+200*5</f>
        <v>1050</v>
      </c>
      <c r="CE320" s="77">
        <f>50+200*6</f>
        <v>1250</v>
      </c>
      <c r="CF320" s="77">
        <f>50+200*7</f>
        <v>1450</v>
      </c>
      <c r="DM320" s="77">
        <f t="shared" si="943"/>
        <v>1924.2255003237483</v>
      </c>
      <c r="DN320" s="77">
        <f>PI()*16*16/4*2</f>
        <v>402.12385965949352</v>
      </c>
      <c r="DO320" s="77">
        <f>PI()*16*16/4*2</f>
        <v>402.12385965949352</v>
      </c>
      <c r="DP320" s="77">
        <f>PI()*16*16/4*2</f>
        <v>402.12385965949352</v>
      </c>
      <c r="DQ320" s="77">
        <f>PI()*16*16/4*2</f>
        <v>402.12385965949352</v>
      </c>
      <c r="DR320" s="77">
        <f>PI()*16*16/4*2</f>
        <v>402.12385965949352</v>
      </c>
      <c r="DS320" s="77">
        <f>PI()*16*16/4*2</f>
        <v>402.12385965949352</v>
      </c>
      <c r="DT320" s="77">
        <f>PI()*35*35/4*2</f>
        <v>1924.2255003237483</v>
      </c>
      <c r="FA320" s="77">
        <f t="shared" ref="FA320:FA353" si="982">IF(ABS(-$BV320*($BS320-BY320)/$BS320*$BX320)&gt;$BB320,$BB320*SIGN(-($BS320-BY320)),-$BV320*($BS320-BY320)/$BS320*$BX320)*DM320</f>
        <v>-1002467.9685983248</v>
      </c>
      <c r="FB320" s="77">
        <f>IF(ABS(-$BV320*($BS320-BZ320)/$BS320*$BX320)&gt;$BA320,$BA320*SIGN(-($BS320-BZ320)),-$BV320*($BS320-BZ320)/$BS320*$BX320)*DN320</f>
        <v>14130.254965670478</v>
      </c>
      <c r="FC320" s="77">
        <f>IF(ABS(-$BV320*($BS320-CA320)/$BS320*$BX320)&gt;$BA320,$BA320*SIGN(-($BS320-CA320)),-$BV320*($BS320-CA320)/$BS320*$BX320)*DO320</f>
        <v>188998.21403996195</v>
      </c>
      <c r="FD320" s="77">
        <f t="shared" si="949"/>
        <v>188998.21403996195</v>
      </c>
      <c r="FE320" s="77">
        <f t="shared" si="950"/>
        <v>188998.21403996195</v>
      </c>
      <c r="FF320" s="77">
        <f t="shared" si="951"/>
        <v>188998.21403996195</v>
      </c>
      <c r="FG320" s="77">
        <f>IF(ABS(-$BV320*($BS320-CE320)/$BS320*$BX320)&gt;$BA320,$BA320*SIGN(-($BS320-CE320)),-$BV320*($BS320-CE320)/$BS320*$BX320)*DS320</f>
        <v>188998.21403996195</v>
      </c>
      <c r="FH320" s="77">
        <f>IF(ABS(-$BV320*($BS320-CF320)/$BS320*$BX320)&gt;$BB320,$BB320*SIGN(-($BS320-CF320)),-$BV320*($BS320-CF320)/$BS320*$BX320)*DT320</f>
        <v>1187247.1336997526</v>
      </c>
      <c r="GO320" s="77">
        <f t="shared" si="854"/>
        <v>701727578.01882732</v>
      </c>
      <c r="GP320" s="77">
        <f t="shared" si="855"/>
        <v>-7065127.4828352388</v>
      </c>
      <c r="GQ320" s="77">
        <f t="shared" si="856"/>
        <v>-56699464.211988583</v>
      </c>
      <c r="GR320" s="77">
        <f t="shared" si="857"/>
        <v>-18899821.403996196</v>
      </c>
      <c r="GS320" s="77">
        <f t="shared" si="883"/>
        <v>18899821.403996196</v>
      </c>
      <c r="GT320" s="77">
        <f t="shared" si="933"/>
        <v>56699464.211988583</v>
      </c>
      <c r="GU320" s="77">
        <f t="shared" ref="GU320:GU338" si="983">FG320*(CE320-0.5*$AO320)</f>
        <v>94499107.019980982</v>
      </c>
      <c r="GV320" s="77">
        <f t="shared" ref="GV320:GV338" si="984">FH320*(CF320-0.5*$AO320)</f>
        <v>831072993.58982682</v>
      </c>
      <c r="IC320" s="82">
        <v>339</v>
      </c>
    </row>
    <row r="321" spans="1:237" s="77" customFormat="1">
      <c r="A321" s="77">
        <v>321</v>
      </c>
      <c r="C321" s="123" t="s">
        <v>344</v>
      </c>
      <c r="D321" s="124" t="s">
        <v>346</v>
      </c>
      <c r="E321" s="129">
        <v>3</v>
      </c>
      <c r="F321" s="125">
        <f t="shared" si="884"/>
        <v>0.20953654188948309</v>
      </c>
      <c r="G321" s="125"/>
      <c r="H321" s="125">
        <v>1.4999999999999999E-2</v>
      </c>
      <c r="I321" s="59">
        <v>1.7000000000000001E-2</v>
      </c>
      <c r="J321" s="125">
        <f t="shared" si="925"/>
        <v>0.66666666666666663</v>
      </c>
      <c r="K321" s="125">
        <f t="shared" si="911"/>
        <v>7.5</v>
      </c>
      <c r="L321" s="125">
        <f t="shared" si="912"/>
        <v>0.10343850267379678</v>
      </c>
      <c r="M321" s="125">
        <f t="shared" si="913"/>
        <v>0.12127272727272727</v>
      </c>
      <c r="N321" s="125">
        <f t="shared" si="914"/>
        <v>1.5787941176470588</v>
      </c>
      <c r="O321" s="125">
        <f t="shared" si="915"/>
        <v>0</v>
      </c>
      <c r="P321" s="125">
        <v>7.0000000000000007E-2</v>
      </c>
      <c r="Q321" s="125" t="s">
        <v>3</v>
      </c>
      <c r="R321" s="126">
        <f t="shared" si="916"/>
        <v>0</v>
      </c>
      <c r="S321" s="75">
        <f t="shared" si="980"/>
        <v>1.281432024445275</v>
      </c>
      <c r="T321" s="59">
        <f t="shared" si="959"/>
        <v>1.8601298151311296</v>
      </c>
      <c r="U321" s="59">
        <f t="shared" si="960"/>
        <v>1.527101959052436</v>
      </c>
      <c r="V321" s="59">
        <f t="shared" si="961"/>
        <v>1.1817642168836306</v>
      </c>
      <c r="W321" s="59">
        <f t="shared" si="962"/>
        <v>0.63531276541595694</v>
      </c>
      <c r="X321" s="59">
        <f t="shared" si="963"/>
        <v>0.77386071694709457</v>
      </c>
      <c r="Y321" s="127">
        <v>2351000</v>
      </c>
      <c r="Z321" s="57">
        <f t="shared" si="964"/>
        <v>1819346.5455426194</v>
      </c>
      <c r="AA321" s="57">
        <f t="shared" si="965"/>
        <v>1493620.3114929148</v>
      </c>
      <c r="AB321" s="57"/>
      <c r="AC321" s="57">
        <f t="shared" si="966"/>
        <v>0.25</v>
      </c>
      <c r="AD321" s="57">
        <f t="shared" si="967"/>
        <v>1.5</v>
      </c>
      <c r="AE321" s="57">
        <f t="shared" si="968"/>
        <v>785400.00000000012</v>
      </c>
      <c r="AF321" s="57">
        <f t="shared" si="969"/>
        <v>449727.97689180099</v>
      </c>
      <c r="AG321" s="57">
        <f t="shared" si="880"/>
        <v>1043892.3346011139</v>
      </c>
      <c r="AH321" s="57"/>
      <c r="AI321" s="57"/>
      <c r="AJ321" s="77">
        <f t="shared" si="926"/>
        <v>785400.00000000012</v>
      </c>
      <c r="AK321" s="77">
        <v>37.4</v>
      </c>
      <c r="AL321" s="78">
        <f t="shared" si="970"/>
        <v>3.3668905685789854</v>
      </c>
      <c r="AM321" s="57">
        <f t="shared" si="971"/>
        <v>1</v>
      </c>
      <c r="AN321" s="57">
        <f t="shared" si="972"/>
        <v>0.8</v>
      </c>
      <c r="AO321" s="77">
        <v>1500</v>
      </c>
      <c r="AP321" s="79"/>
      <c r="AQ321" s="77">
        <f t="shared" si="973"/>
        <v>121.91846849783833</v>
      </c>
      <c r="AS321" s="77">
        <f t="shared" si="974"/>
        <v>1378.0815315021616</v>
      </c>
      <c r="AT321" s="77">
        <v>200</v>
      </c>
      <c r="AU321" s="77">
        <v>1000</v>
      </c>
      <c r="AV321" s="57">
        <f t="shared" si="975"/>
        <v>300000</v>
      </c>
      <c r="AW321" s="77">
        <v>0</v>
      </c>
      <c r="AX321" s="77">
        <f t="shared" si="976"/>
        <v>300000</v>
      </c>
      <c r="AY321" s="78">
        <f t="shared" si="917"/>
        <v>300000</v>
      </c>
      <c r="AZ321" s="77">
        <f t="shared" si="937"/>
        <v>667</v>
      </c>
      <c r="BA321" s="77">
        <v>667</v>
      </c>
      <c r="BB321" s="77">
        <v>617</v>
      </c>
      <c r="BC321" s="77">
        <v>0</v>
      </c>
      <c r="BD321" s="77">
        <v>5.7999999999999996E-3</v>
      </c>
      <c r="BE321" s="77">
        <v>6.7999999999999996E-3</v>
      </c>
      <c r="BF321" s="77">
        <v>9.5699999999999993E-2</v>
      </c>
      <c r="BG321" s="77">
        <v>0</v>
      </c>
      <c r="BH321" s="79">
        <v>187</v>
      </c>
      <c r="BI321" s="79">
        <f>PI()*13*13/4</f>
        <v>132.73228961416876</v>
      </c>
      <c r="BJ321" s="79">
        <v>2</v>
      </c>
      <c r="BK321" s="57">
        <f t="shared" si="881"/>
        <v>265.46457922833753</v>
      </c>
      <c r="BL321" s="57">
        <f t="shared" si="841"/>
        <v>0</v>
      </c>
      <c r="BM321" s="80"/>
      <c r="BN321" s="80"/>
      <c r="BO321" s="57"/>
      <c r="BP321" s="57">
        <f t="shared" si="977"/>
        <v>2778327.6738934158</v>
      </c>
      <c r="BQ321" s="77">
        <f t="shared" si="978"/>
        <v>0</v>
      </c>
      <c r="BR321" s="57">
        <f t="shared" si="843"/>
        <v>2778327673.8934159</v>
      </c>
      <c r="BS321" s="57">
        <v>243.83693699567667</v>
      </c>
      <c r="BT321" s="57">
        <f t="shared" si="981"/>
        <v>157.79304422498927</v>
      </c>
      <c r="BU321" s="57"/>
      <c r="BV321" s="57">
        <v>3.3E-3</v>
      </c>
      <c r="BW321" s="57">
        <v>30000</v>
      </c>
      <c r="BX321" s="57">
        <v>200000</v>
      </c>
      <c r="BY321" s="77">
        <v>50</v>
      </c>
      <c r="BZ321" s="77">
        <f>50+200</f>
        <v>250</v>
      </c>
      <c r="CA321" s="77">
        <f>50+200*2</f>
        <v>450</v>
      </c>
      <c r="CB321" s="77">
        <f>50+200*3</f>
        <v>650</v>
      </c>
      <c r="CC321" s="77">
        <f>50+200*4</f>
        <v>850</v>
      </c>
      <c r="CD321" s="77">
        <f>50+200*5</f>
        <v>1050</v>
      </c>
      <c r="CE321" s="77">
        <f>50+200*6</f>
        <v>1250</v>
      </c>
      <c r="CF321" s="77">
        <f>50+200*7</f>
        <v>1450</v>
      </c>
      <c r="DM321" s="77">
        <f t="shared" si="943"/>
        <v>1924.2255003237483</v>
      </c>
      <c r="DN321" s="77">
        <f t="shared" ref="DN321:DS321" si="985">PI()*13*13/4*2</f>
        <v>265.46457922833753</v>
      </c>
      <c r="DO321" s="77">
        <f t="shared" si="985"/>
        <v>265.46457922833753</v>
      </c>
      <c r="DP321" s="77">
        <f t="shared" si="985"/>
        <v>265.46457922833753</v>
      </c>
      <c r="DQ321" s="77">
        <f t="shared" si="985"/>
        <v>265.46457922833753</v>
      </c>
      <c r="DR321" s="77">
        <f t="shared" si="985"/>
        <v>265.46457922833753</v>
      </c>
      <c r="DS321" s="77">
        <f t="shared" si="985"/>
        <v>265.46457922833753</v>
      </c>
      <c r="DT321" s="77">
        <f>PI()*35*35/4*2</f>
        <v>1924.2255003237483</v>
      </c>
      <c r="FA321" s="77">
        <f t="shared" si="982"/>
        <v>-1009571.1826945469</v>
      </c>
      <c r="FB321" s="77">
        <f>IF(ABS(-$BV321*($BS321-BZ321)/$BS321*$BX321)&gt;$BA321,$BA321*SIGN(-($BS321-BZ321)),-$BV321*($BS321-BZ321)/$BS321*$BX321)*DN321</f>
        <v>4428.4080388174634</v>
      </c>
      <c r="FC321" s="77">
        <f>IF(ABS(-$BV321*($BS321-CA321)/$BS321*$BX321)&gt;$BA321,$BA321*SIGN(-($BS321-CA321)),-$BV321*($BS321-CA321)/$BS321*$BX321)*DO321</f>
        <v>148136.43230243365</v>
      </c>
      <c r="FD321" s="77">
        <f t="shared" si="949"/>
        <v>177064.87434530113</v>
      </c>
      <c r="FE321" s="77">
        <f t="shared" si="950"/>
        <v>177064.87434530113</v>
      </c>
      <c r="FF321" s="77">
        <f t="shared" si="951"/>
        <v>177064.87434530113</v>
      </c>
      <c r="FG321" s="77">
        <f>IF(ABS(-$BV321*($BS321-CE321)/$BS321*$BX321)&gt;$BA321,$BA321*SIGN(-($BS321-CE321)),-$BV321*($BS321-CE321)/$BS321*$BX321)*DS321</f>
        <v>177064.87434530113</v>
      </c>
      <c r="FH321" s="77">
        <f>IF(ABS(-$BV321*($BS321-CF321)/$BS321*$BX321)&gt;$BB321,$BB321*SIGN(-($BS321-CF321)),-$BV321*($BS321-CF321)/$BS321*$BX321)*DT321</f>
        <v>1187247.1336997526</v>
      </c>
      <c r="GO321" s="77">
        <f t="shared" si="854"/>
        <v>706699827.88618279</v>
      </c>
      <c r="GP321" s="77">
        <f t="shared" si="855"/>
        <v>-2214204.0194087317</v>
      </c>
      <c r="GQ321" s="77">
        <f t="shared" si="856"/>
        <v>-44440929.690730095</v>
      </c>
      <c r="GR321" s="77">
        <f t="shared" si="857"/>
        <v>-17706487.434530113</v>
      </c>
      <c r="GS321" s="77">
        <f t="shared" si="883"/>
        <v>17706487.434530113</v>
      </c>
      <c r="GT321" s="77">
        <f t="shared" si="933"/>
        <v>53119462.303590335</v>
      </c>
      <c r="GU321" s="77">
        <f t="shared" si="983"/>
        <v>88532437.172650561</v>
      </c>
      <c r="GV321" s="77">
        <f t="shared" si="984"/>
        <v>831072993.58982682</v>
      </c>
      <c r="IC321" s="82">
        <v>340</v>
      </c>
    </row>
    <row r="322" spans="1:237" s="77" customFormat="1">
      <c r="A322" s="77">
        <v>322</v>
      </c>
      <c r="C322" s="123" t="s">
        <v>335</v>
      </c>
      <c r="D322" s="124" t="s">
        <v>347</v>
      </c>
      <c r="E322" s="129">
        <v>3</v>
      </c>
      <c r="F322" s="125">
        <f t="shared" si="884"/>
        <v>0.14606175173282923</v>
      </c>
      <c r="G322" s="125"/>
      <c r="H322" s="125"/>
      <c r="I322" s="135">
        <v>1.2500000000000001E-2</v>
      </c>
      <c r="J322" s="125">
        <f t="shared" si="925"/>
        <v>1.1666666666666667</v>
      </c>
      <c r="K322" s="125">
        <f t="shared" si="911"/>
        <v>7.5</v>
      </c>
      <c r="L322" s="125">
        <f t="shared" si="912"/>
        <v>9.7731568998109641E-2</v>
      </c>
      <c r="M322" s="125">
        <f t="shared" si="913"/>
        <v>8.262759924385632E-2</v>
      </c>
      <c r="N322" s="125">
        <f t="shared" si="914"/>
        <v>1.1161984877126654</v>
      </c>
      <c r="O322" s="125">
        <f t="shared" si="915"/>
        <v>0</v>
      </c>
      <c r="P322" s="125">
        <v>7.0000000000000007E-2</v>
      </c>
      <c r="Q322" s="125" t="s">
        <v>3</v>
      </c>
      <c r="R322" s="126">
        <f t="shared" si="916"/>
        <v>0</v>
      </c>
      <c r="S322" s="75">
        <f t="shared" si="980"/>
        <v>1.0623419733725077</v>
      </c>
      <c r="T322" s="59">
        <f t="shared" si="959"/>
        <v>2.1160953180043989</v>
      </c>
      <c r="U322" s="59">
        <f t="shared" si="960"/>
        <v>1.6908598752168138</v>
      </c>
      <c r="V322" s="59">
        <f t="shared" si="961"/>
        <v>1.3544333930435457</v>
      </c>
      <c r="W322" s="59">
        <f t="shared" si="962"/>
        <v>0.64006256311783505</v>
      </c>
      <c r="X322" s="59">
        <f t="shared" si="963"/>
        <v>0.80103231077611958</v>
      </c>
      <c r="Y322" s="127">
        <v>2318000</v>
      </c>
      <c r="Z322" s="57">
        <f t="shared" si="964"/>
        <v>1856792.8963790452</v>
      </c>
      <c r="AA322" s="57">
        <f t="shared" si="965"/>
        <v>1483665.0213071415</v>
      </c>
      <c r="AB322" s="57">
        <f>(AH322+AI322)/AU322</f>
        <v>4438376.8333507152</v>
      </c>
      <c r="AC322" s="57">
        <f t="shared" si="966"/>
        <v>0.25</v>
      </c>
      <c r="AD322" s="57">
        <f t="shared" si="967"/>
        <v>1.5</v>
      </c>
      <c r="AE322" s="57">
        <f t="shared" si="968"/>
        <v>1110900.0000000002</v>
      </c>
      <c r="AF322" s="57">
        <f t="shared" si="969"/>
        <v>545780.64948802534</v>
      </c>
      <c r="AG322" s="57">
        <f t="shared" si="880"/>
        <v>937884.37181911606</v>
      </c>
      <c r="AH322" s="57">
        <f>AM322*AK322*AT322*AP322*(AS322-0.5*AP322)</f>
        <v>3609578040.8976078</v>
      </c>
      <c r="AI322" s="57">
        <f>BB322*BO322*(AS322-AQ322)</f>
        <v>4157581417.4661446</v>
      </c>
      <c r="AJ322" s="77">
        <f t="shared" si="926"/>
        <v>1110900</v>
      </c>
      <c r="AK322" s="77">
        <v>52.9</v>
      </c>
      <c r="AL322" s="78">
        <f t="shared" si="970"/>
        <v>4.0742740656730589</v>
      </c>
      <c r="AM322" s="57">
        <f t="shared" si="971"/>
        <v>0.96078947368421053</v>
      </c>
      <c r="AN322" s="57">
        <f t="shared" si="972"/>
        <v>0.76078947368421057</v>
      </c>
      <c r="AO322" s="77">
        <v>1500</v>
      </c>
      <c r="AP322" s="79">
        <v>300</v>
      </c>
      <c r="AQ322" s="57">
        <f t="shared" si="973"/>
        <v>166.35551977706854</v>
      </c>
      <c r="AR322" s="57">
        <f>AO322-2*AP322</f>
        <v>900</v>
      </c>
      <c r="AS322" s="57">
        <f t="shared" si="974"/>
        <v>1333.6444802229314</v>
      </c>
      <c r="AT322" s="77">
        <v>200</v>
      </c>
      <c r="AU322" s="77">
        <v>1750</v>
      </c>
      <c r="AV322" s="57">
        <f t="shared" si="975"/>
        <v>300000</v>
      </c>
      <c r="AW322" s="77">
        <v>0</v>
      </c>
      <c r="AX322" s="77">
        <f t="shared" si="976"/>
        <v>300000</v>
      </c>
      <c r="AY322" s="78">
        <f t="shared" si="917"/>
        <v>300000</v>
      </c>
      <c r="AZ322" s="77">
        <f t="shared" si="937"/>
        <v>470</v>
      </c>
      <c r="BA322" s="77">
        <v>470</v>
      </c>
      <c r="BB322" s="77">
        <v>617</v>
      </c>
      <c r="BC322" s="77">
        <v>0</v>
      </c>
      <c r="BD322" s="77">
        <v>1.0999999999999999E-2</v>
      </c>
      <c r="BE322" s="77">
        <v>9.2999999999999992E-3</v>
      </c>
      <c r="BF322" s="77">
        <v>9.5699999999999993E-2</v>
      </c>
      <c r="BG322" s="77">
        <v>0</v>
      </c>
      <c r="BH322" s="79">
        <v>215</v>
      </c>
      <c r="BI322" s="79">
        <f>PI()*16*16/4</f>
        <v>201.06192982974676</v>
      </c>
      <c r="BJ322" s="79">
        <v>2</v>
      </c>
      <c r="BK322" s="57">
        <f t="shared" si="881"/>
        <v>402.12385965949352</v>
      </c>
      <c r="BL322" s="57">
        <f t="shared" si="841"/>
        <v>1979.9999999999998</v>
      </c>
      <c r="BM322" s="80">
        <f>PI()*35*35/4</f>
        <v>962.11275016187415</v>
      </c>
      <c r="BN322" s="80">
        <v>6</v>
      </c>
      <c r="BO322" s="57">
        <f>BM322*BN322</f>
        <v>5772.6765009712453</v>
      </c>
      <c r="BP322" s="57">
        <f t="shared" si="977"/>
        <v>3139576.6050749389</v>
      </c>
      <c r="BQ322" s="77">
        <f t="shared" si="978"/>
        <v>5.634501576423645E-8</v>
      </c>
      <c r="BR322" s="57">
        <f t="shared" si="843"/>
        <v>5494259058.8811426</v>
      </c>
      <c r="BS322" s="57">
        <v>332.71103955413707</v>
      </c>
      <c r="BT322" s="57">
        <f t="shared" si="981"/>
        <v>235.10315556567613</v>
      </c>
      <c r="BU322" s="57"/>
      <c r="BV322" s="57">
        <v>3.3E-3</v>
      </c>
      <c r="BW322" s="57">
        <v>30000</v>
      </c>
      <c r="BX322" s="57">
        <v>200000</v>
      </c>
      <c r="BY322" s="77">
        <f>50</f>
        <v>50</v>
      </c>
      <c r="BZ322" s="77">
        <f>BY322+100</f>
        <v>150</v>
      </c>
      <c r="CA322" s="77">
        <f>BY322+100*2</f>
        <v>250</v>
      </c>
      <c r="CB322" s="77">
        <f>CA322+50+90</f>
        <v>390</v>
      </c>
      <c r="CC322" s="77">
        <f>CB322+180*1</f>
        <v>570</v>
      </c>
      <c r="CD322" s="77">
        <f>CB322+180*2</f>
        <v>750</v>
      </c>
      <c r="CE322" s="77">
        <f>CB322+180*3</f>
        <v>930</v>
      </c>
      <c r="CF322" s="77">
        <f>CB322+180*4</f>
        <v>1110</v>
      </c>
      <c r="CG322" s="77">
        <f>CF322+90+50</f>
        <v>1250</v>
      </c>
      <c r="CH322" s="77">
        <f>CG322+100</f>
        <v>1350</v>
      </c>
      <c r="CI322" s="77">
        <f>CG322+100*2</f>
        <v>1450</v>
      </c>
      <c r="DM322" s="77">
        <f t="shared" si="943"/>
        <v>1924.2255003237483</v>
      </c>
      <c r="DN322" s="77">
        <f t="shared" ref="DN322:DO325" si="986">PI()*35*35/4*2</f>
        <v>1924.2255003237483</v>
      </c>
      <c r="DO322" s="77">
        <f t="shared" si="986"/>
        <v>1924.2255003237483</v>
      </c>
      <c r="DP322" s="77">
        <f>PI()*16*16/4*2</f>
        <v>402.12385965949352</v>
      </c>
      <c r="DQ322" s="77">
        <f>PI()*16*16/4*2</f>
        <v>402.12385965949352</v>
      </c>
      <c r="DR322" s="77">
        <f>PI()*16*16/4*2</f>
        <v>402.12385965949352</v>
      </c>
      <c r="DS322" s="77">
        <f>PI()*16*16/4*2</f>
        <v>402.12385965949352</v>
      </c>
      <c r="DT322" s="77">
        <f>PI()*16*16/4*2</f>
        <v>402.12385965949352</v>
      </c>
      <c r="DU322" s="77">
        <f t="shared" ref="DU322:DW323" si="987">PI()*35*35/4*2</f>
        <v>1924.2255003237483</v>
      </c>
      <c r="DV322" s="77">
        <f t="shared" si="987"/>
        <v>1924.2255003237483</v>
      </c>
      <c r="DW322" s="77">
        <f t="shared" si="987"/>
        <v>1924.2255003237483</v>
      </c>
      <c r="FA322" s="77">
        <f t="shared" si="982"/>
        <v>-1079134.2027393985</v>
      </c>
      <c r="FB322" s="77">
        <f t="shared" ref="FB322:FC325" si="988">IF(ABS(-$BV322*($BS322-BZ322)/$BS322*$BX322)&gt;$BB322,$BB322*SIGN(-($BS322-BZ322)),-$BV322*($BS322-BZ322)/$BS322*$BX322)*DN322</f>
        <v>-697424.94779084809</v>
      </c>
      <c r="FC322" s="77">
        <f t="shared" si="988"/>
        <v>-315715.69284229755</v>
      </c>
      <c r="FD322" s="77">
        <f t="shared" si="949"/>
        <v>45699.085392597823</v>
      </c>
      <c r="FE322" s="77">
        <f t="shared" si="950"/>
        <v>188998.21403996195</v>
      </c>
      <c r="FF322" s="77">
        <f t="shared" si="951"/>
        <v>188998.21403996195</v>
      </c>
      <c r="FG322" s="77">
        <f>IF(ABS(-$BV322*($BS322-CE322)/$BS322*$BX322)&gt;$BA322,$BA322*SIGN(-($BS322-CE322)),-$BV322*($BS322-CE322)/$BS322*$BX322)*DS322</f>
        <v>188998.21403996195</v>
      </c>
      <c r="FH322" s="77">
        <f>IF(ABS(-$BV322*($BS322-CF322)/$BS322*$BX322)&gt;$BA322,$BA322*SIGN(-($BS322-CF322)),-$BV322*($BS322-CF322)/$BS322*$BX322)*DT322</f>
        <v>188998.21403996195</v>
      </c>
      <c r="FI322" s="77">
        <f t="shared" ref="FI322:FK323" si="989">IF(ABS(-$BV322*($BS322-CG322)/$BS322*$BX322)&gt;$BB322,$BB322*SIGN(-($BS322-CG322)),-$BV322*($BS322-CG322)/$BS322*$BX322)*DU322</f>
        <v>1187247.1336997526</v>
      </c>
      <c r="FJ322" s="77">
        <f t="shared" si="989"/>
        <v>1187247.1336997526</v>
      </c>
      <c r="FK322" s="77">
        <f t="shared" si="989"/>
        <v>1187247.1336997526</v>
      </c>
      <c r="GO322" s="77">
        <f t="shared" si="854"/>
        <v>755393941.91757894</v>
      </c>
      <c r="GP322" s="77">
        <f t="shared" si="855"/>
        <v>418454968.67450887</v>
      </c>
      <c r="GQ322" s="77">
        <f t="shared" si="856"/>
        <v>157857846.42114878</v>
      </c>
      <c r="GR322" s="77">
        <f t="shared" si="857"/>
        <v>-16451670.741335217</v>
      </c>
      <c r="GS322" s="77">
        <f t="shared" si="883"/>
        <v>-34019678.527193151</v>
      </c>
      <c r="GT322" s="77">
        <f t="shared" si="933"/>
        <v>0</v>
      </c>
      <c r="GU322" s="77">
        <f t="shared" si="983"/>
        <v>34019678.527193151</v>
      </c>
      <c r="GV322" s="77">
        <f t="shared" si="984"/>
        <v>68039357.054386303</v>
      </c>
      <c r="GW322" s="77">
        <f t="shared" ref="GW322:GY323" si="990">FI322*(CG322-0.5*$AO322)</f>
        <v>593623566.84987628</v>
      </c>
      <c r="GX322" s="77">
        <f t="shared" si="990"/>
        <v>712348280.21985161</v>
      </c>
      <c r="GY322" s="77">
        <f t="shared" si="990"/>
        <v>831072993.58982682</v>
      </c>
      <c r="IC322" s="82">
        <v>341</v>
      </c>
    </row>
    <row r="323" spans="1:237" s="77" customFormat="1">
      <c r="A323" s="77">
        <v>323</v>
      </c>
      <c r="C323" s="123" t="s">
        <v>335</v>
      </c>
      <c r="D323" s="124" t="s">
        <v>348</v>
      </c>
      <c r="E323" s="129">
        <v>3</v>
      </c>
      <c r="F323" s="125">
        <f t="shared" si="884"/>
        <v>0.13509766855702585</v>
      </c>
      <c r="G323" s="125"/>
      <c r="H323" s="125"/>
      <c r="I323" s="135">
        <v>1.2E-2</v>
      </c>
      <c r="J323" s="125">
        <f t="shared" si="925"/>
        <v>1.1666666666666667</v>
      </c>
      <c r="K323" s="125">
        <f t="shared" si="911"/>
        <v>7.5</v>
      </c>
      <c r="L323" s="125">
        <f t="shared" si="912"/>
        <v>8.8260869565217406E-2</v>
      </c>
      <c r="M323" s="125">
        <f t="shared" si="913"/>
        <v>8.5739130434782609E-2</v>
      </c>
      <c r="N323" s="125">
        <f t="shared" si="914"/>
        <v>1.1161984877126654</v>
      </c>
      <c r="O323" s="125">
        <f t="shared" si="915"/>
        <v>0</v>
      </c>
      <c r="P323" s="125">
        <v>7.0000000000000007E-2</v>
      </c>
      <c r="Q323" s="125" t="s">
        <v>3</v>
      </c>
      <c r="R323" s="126">
        <f t="shared" si="916"/>
        <v>0</v>
      </c>
      <c r="S323" s="75">
        <f t="shared" si="980"/>
        <v>0.98259758020304422</v>
      </c>
      <c r="T323" s="59">
        <f t="shared" si="959"/>
        <v>1.9979541618510752</v>
      </c>
      <c r="U323" s="59">
        <f t="shared" si="960"/>
        <v>1.6347897389542048</v>
      </c>
      <c r="V323" s="59">
        <f t="shared" si="961"/>
        <v>1.4534477106684141</v>
      </c>
      <c r="W323" s="59">
        <f t="shared" si="962"/>
        <v>0.72746799622360514</v>
      </c>
      <c r="X323" s="59">
        <f t="shared" si="963"/>
        <v>0.88907317928127105</v>
      </c>
      <c r="Y323" s="127">
        <v>2144000</v>
      </c>
      <c r="Z323" s="57">
        <f t="shared" si="964"/>
        <v>1906172.8963790452</v>
      </c>
      <c r="AA323" s="57">
        <f t="shared" si="965"/>
        <v>1559691.3839034094</v>
      </c>
      <c r="AB323" s="57">
        <f>(AH323+AI323)/AU323</f>
        <v>4458118.1373124951</v>
      </c>
      <c r="AC323" s="57">
        <f t="shared" si="966"/>
        <v>0.25</v>
      </c>
      <c r="AD323" s="57">
        <f t="shared" si="967"/>
        <v>1.5</v>
      </c>
      <c r="AE323" s="57">
        <f t="shared" si="968"/>
        <v>1110900.0000000002</v>
      </c>
      <c r="AF323" s="57">
        <f t="shared" si="969"/>
        <v>546887.53791206703</v>
      </c>
      <c r="AG323" s="57">
        <f t="shared" si="880"/>
        <v>1012803.8459913422</v>
      </c>
      <c r="AH323" s="57">
        <f>AM323*AK323*AT323*AP323*(AS323-0.5*AP323)</f>
        <v>3619934201.524457</v>
      </c>
      <c r="AI323" s="57">
        <f>BB323*BO323*(AS323-AQ323)</f>
        <v>4181772538.7724094</v>
      </c>
      <c r="AJ323" s="77">
        <f t="shared" si="926"/>
        <v>1110900</v>
      </c>
      <c r="AK323" s="77">
        <v>52.9</v>
      </c>
      <c r="AL323" s="78">
        <f t="shared" si="970"/>
        <v>4.0742740656730589</v>
      </c>
      <c r="AM323" s="57">
        <f t="shared" si="971"/>
        <v>0.96078947368421053</v>
      </c>
      <c r="AN323" s="57">
        <f t="shared" si="972"/>
        <v>0.76078947368421057</v>
      </c>
      <c r="AO323" s="77">
        <v>1500</v>
      </c>
      <c r="AP323" s="79">
        <v>300</v>
      </c>
      <c r="AQ323" s="57">
        <f t="shared" si="973"/>
        <v>162.95955154383319</v>
      </c>
      <c r="AR323" s="57">
        <f>AO323-2*AP323</f>
        <v>900</v>
      </c>
      <c r="AS323" s="57">
        <f t="shared" si="974"/>
        <v>1337.0404484561668</v>
      </c>
      <c r="AT323" s="77">
        <v>200</v>
      </c>
      <c r="AU323" s="77">
        <v>1750</v>
      </c>
      <c r="AV323" s="57">
        <f t="shared" si="975"/>
        <v>300000</v>
      </c>
      <c r="AW323" s="77">
        <v>0</v>
      </c>
      <c r="AX323" s="77">
        <f t="shared" si="976"/>
        <v>300000</v>
      </c>
      <c r="AY323" s="78">
        <f t="shared" si="917"/>
        <v>300000</v>
      </c>
      <c r="AZ323" s="77">
        <f t="shared" si="937"/>
        <v>667</v>
      </c>
      <c r="BA323" s="77">
        <v>667</v>
      </c>
      <c r="BB323" s="77">
        <v>617</v>
      </c>
      <c r="BC323" s="77">
        <v>0</v>
      </c>
      <c r="BD323" s="77">
        <v>7.0000000000000001E-3</v>
      </c>
      <c r="BE323" s="77">
        <v>6.7999999999999996E-3</v>
      </c>
      <c r="BF323" s="77">
        <v>9.5699999999999993E-2</v>
      </c>
      <c r="BG323" s="77">
        <v>0</v>
      </c>
      <c r="BH323" s="79">
        <v>187</v>
      </c>
      <c r="BI323" s="79">
        <f>PI()*13*13/4</f>
        <v>132.73228961416876</v>
      </c>
      <c r="BJ323" s="79">
        <v>2</v>
      </c>
      <c r="BK323" s="57">
        <f t="shared" si="881"/>
        <v>265.46457922833753</v>
      </c>
      <c r="BL323" s="57">
        <f t="shared" si="841"/>
        <v>1260</v>
      </c>
      <c r="BM323" s="80">
        <f>PI()*35*35/4</f>
        <v>962.11275016187415</v>
      </c>
      <c r="BN323" s="80">
        <v>6</v>
      </c>
      <c r="BO323" s="57">
        <f>BM323*BN323</f>
        <v>5772.6765009712453</v>
      </c>
      <c r="BP323" s="57">
        <f t="shared" si="977"/>
        <v>3116191.8916730797</v>
      </c>
      <c r="BQ323" s="77">
        <f t="shared" si="978"/>
        <v>5.1222741603851318E-8</v>
      </c>
      <c r="BR323" s="57">
        <f t="shared" si="843"/>
        <v>5453335810.4278898</v>
      </c>
      <c r="BS323" s="57">
        <v>325.91910308766637</v>
      </c>
      <c r="BT323" s="57">
        <f t="shared" si="981"/>
        <v>230.13010591659852</v>
      </c>
      <c r="BU323" s="57"/>
      <c r="BV323" s="57">
        <v>3.3E-3</v>
      </c>
      <c r="BW323" s="57">
        <v>30000</v>
      </c>
      <c r="BX323" s="57">
        <v>200000</v>
      </c>
      <c r="BY323" s="77">
        <f>50</f>
        <v>50</v>
      </c>
      <c r="BZ323" s="77">
        <f>BY323+100</f>
        <v>150</v>
      </c>
      <c r="CA323" s="77">
        <f>BY323+100*2</f>
        <v>250</v>
      </c>
      <c r="CB323" s="77">
        <f>CA323+50+90</f>
        <v>390</v>
      </c>
      <c r="CC323" s="77">
        <f>CB323+180*1</f>
        <v>570</v>
      </c>
      <c r="CD323" s="77">
        <f>CB323+180*2</f>
        <v>750</v>
      </c>
      <c r="CE323" s="77">
        <f>CB323+180*3</f>
        <v>930</v>
      </c>
      <c r="CF323" s="77">
        <f>CB323+180*4</f>
        <v>1110</v>
      </c>
      <c r="CG323" s="77">
        <f>CF323+90+50</f>
        <v>1250</v>
      </c>
      <c r="CH323" s="77">
        <f>CG323+100</f>
        <v>1350</v>
      </c>
      <c r="CI323" s="77">
        <f>CG323+100*2</f>
        <v>1450</v>
      </c>
      <c r="DM323" s="77">
        <f t="shared" si="943"/>
        <v>1924.2255003237483</v>
      </c>
      <c r="DN323" s="77">
        <f t="shared" si="986"/>
        <v>1924.2255003237483</v>
      </c>
      <c r="DO323" s="77">
        <f t="shared" si="986"/>
        <v>1924.2255003237483</v>
      </c>
      <c r="DP323" s="77">
        <f>PI()*13*13/4*2</f>
        <v>265.46457922833753</v>
      </c>
      <c r="DQ323" s="77">
        <f>PI()*13*13/4*2</f>
        <v>265.46457922833753</v>
      </c>
      <c r="DR323" s="77">
        <f>PI()*13*13/4*2</f>
        <v>265.46457922833753</v>
      </c>
      <c r="DS323" s="77">
        <f>PI()*13*13/4*2</f>
        <v>265.46457922833753</v>
      </c>
      <c r="DT323" s="77">
        <f>PI()*13*13/4*2</f>
        <v>265.46457922833753</v>
      </c>
      <c r="DU323" s="77">
        <f t="shared" si="987"/>
        <v>1924.2255003237483</v>
      </c>
      <c r="DV323" s="77">
        <f t="shared" si="987"/>
        <v>1924.2255003237483</v>
      </c>
      <c r="DW323" s="77">
        <f t="shared" si="987"/>
        <v>1924.2255003237483</v>
      </c>
      <c r="FA323" s="77">
        <f t="shared" si="982"/>
        <v>-1075156.919751514</v>
      </c>
      <c r="FB323" s="77">
        <f t="shared" si="988"/>
        <v>-685493.09882719407</v>
      </c>
      <c r="FC323" s="77">
        <f t="shared" si="988"/>
        <v>-295829.27790287405</v>
      </c>
      <c r="FD323" s="77">
        <f t="shared" si="949"/>
        <v>34448.418012333357</v>
      </c>
      <c r="FE323" s="77">
        <f t="shared" si="950"/>
        <v>131212.28276758079</v>
      </c>
      <c r="FF323" s="77">
        <f t="shared" si="951"/>
        <v>177064.87434530113</v>
      </c>
      <c r="FG323" s="77">
        <f>IF(ABS(-$BV323*($BS323-CE323)/$BS323*$BX323)&gt;$BA323,$BA323*SIGN(-($BS323-CE323)),-$BV323*($BS323-CE323)/$BS323*$BX323)*DS323</f>
        <v>177064.87434530113</v>
      </c>
      <c r="FH323" s="77">
        <f>IF(ABS(-$BV323*($BS323-CF323)/$BS323*$BX323)&gt;$BA323,$BA323*SIGN(-($BS323-CF323)),-$BV323*($BS323-CF323)/$BS323*$BX323)*DT323</f>
        <v>177064.87434530113</v>
      </c>
      <c r="FI323" s="77">
        <f t="shared" si="989"/>
        <v>1187247.1336997526</v>
      </c>
      <c r="FJ323" s="77">
        <f t="shared" si="989"/>
        <v>1187247.1336997526</v>
      </c>
      <c r="FK323" s="77">
        <f t="shared" si="989"/>
        <v>1187247.1336997526</v>
      </c>
      <c r="GO323" s="77">
        <f t="shared" si="854"/>
        <v>752609843.82605982</v>
      </c>
      <c r="GP323" s="77">
        <f t="shared" si="855"/>
        <v>411295859.29631644</v>
      </c>
      <c r="GQ323" s="77">
        <f t="shared" si="856"/>
        <v>147914638.95143703</v>
      </c>
      <c r="GR323" s="77">
        <f t="shared" si="857"/>
        <v>-12401430.484440008</v>
      </c>
      <c r="GS323" s="77">
        <f t="shared" si="883"/>
        <v>-23618210.898164544</v>
      </c>
      <c r="GT323" s="77">
        <f t="shared" si="933"/>
        <v>0</v>
      </c>
      <c r="GU323" s="77">
        <f t="shared" si="983"/>
        <v>31871677.382154204</v>
      </c>
      <c r="GV323" s="77">
        <f t="shared" si="984"/>
        <v>63743354.764308408</v>
      </c>
      <c r="GW323" s="77">
        <f t="shared" si="990"/>
        <v>593623566.84987628</v>
      </c>
      <c r="GX323" s="77">
        <f t="shared" si="990"/>
        <v>712348280.21985161</v>
      </c>
      <c r="GY323" s="77">
        <f t="shared" si="990"/>
        <v>831072993.58982682</v>
      </c>
      <c r="IC323" s="82">
        <v>342</v>
      </c>
    </row>
    <row r="324" spans="1:237" s="77" customFormat="1">
      <c r="A324" s="77">
        <v>324</v>
      </c>
      <c r="C324" s="123" t="s">
        <v>335</v>
      </c>
      <c r="D324" s="124" t="s">
        <v>611</v>
      </c>
      <c r="E324" s="129">
        <v>3</v>
      </c>
      <c r="F324" s="125">
        <f t="shared" si="884"/>
        <v>0.16473118279569893</v>
      </c>
      <c r="G324" s="125"/>
      <c r="H324" s="125"/>
      <c r="I324" s="135">
        <v>1.2E-2</v>
      </c>
      <c r="J324" s="125">
        <f t="shared" si="925"/>
        <v>1.1666666666666667</v>
      </c>
      <c r="K324" s="125">
        <f t="shared" si="911"/>
        <v>7.5</v>
      </c>
      <c r="L324" s="125">
        <f t="shared" si="912"/>
        <v>9.2683870967741944E-2</v>
      </c>
      <c r="M324" s="125">
        <f t="shared" si="913"/>
        <v>9.5492473118279561E-2</v>
      </c>
      <c r="N324" s="125">
        <f t="shared" si="914"/>
        <v>1.2698258064516128</v>
      </c>
      <c r="O324" s="125">
        <f t="shared" si="915"/>
        <v>0</v>
      </c>
      <c r="P324" s="125">
        <v>7.0000000000000007E-2</v>
      </c>
      <c r="Q324" s="125" t="s">
        <v>3</v>
      </c>
      <c r="R324" s="126">
        <f t="shared" si="916"/>
        <v>0</v>
      </c>
      <c r="S324" s="75">
        <f t="shared" si="980"/>
        <v>1.1233169010635662</v>
      </c>
      <c r="T324" s="59">
        <f t="shared" si="959"/>
        <v>2.2118275444058551</v>
      </c>
      <c r="U324" s="59">
        <f t="shared" si="960"/>
        <v>1.6437319295215413</v>
      </c>
      <c r="V324" s="59">
        <f t="shared" si="961"/>
        <v>1.318670574326559</v>
      </c>
      <c r="W324" s="59">
        <f t="shared" si="962"/>
        <v>0.59619050213102509</v>
      </c>
      <c r="X324" s="59">
        <f t="shared" si="963"/>
        <v>0.80224186842339829</v>
      </c>
      <c r="Y324" s="127">
        <v>2298000</v>
      </c>
      <c r="Z324" s="57">
        <f t="shared" si="964"/>
        <v>1843551.8136369693</v>
      </c>
      <c r="AA324" s="57">
        <f t="shared" si="965"/>
        <v>1370045.7738970956</v>
      </c>
      <c r="AB324" s="57">
        <f>(AH324+AI324)/AU324</f>
        <v>4213307.1046001706</v>
      </c>
      <c r="AC324" s="57">
        <f t="shared" si="966"/>
        <v>0.25</v>
      </c>
      <c r="AD324" s="57">
        <f t="shared" si="967"/>
        <v>1.5</v>
      </c>
      <c r="AE324" s="57">
        <f t="shared" si="968"/>
        <v>976500.00000000012</v>
      </c>
      <c r="AF324" s="57">
        <f t="shared" si="969"/>
        <v>502184.61643956037</v>
      </c>
      <c r="AG324" s="57">
        <f t="shared" si="880"/>
        <v>867861.15745753516</v>
      </c>
      <c r="AH324" s="57">
        <f>AM324*AK324*AT324*AP324*(AS324-0.5*AP324)</f>
        <v>3224957089.7195392</v>
      </c>
      <c r="AI324" s="57">
        <f>BB324*BO324*(AS324-AQ324)</f>
        <v>4148330343.330759</v>
      </c>
      <c r="AJ324" s="77">
        <f t="shared" si="926"/>
        <v>976500.00000000012</v>
      </c>
      <c r="AK324" s="77">
        <v>46.5</v>
      </c>
      <c r="AL324" s="78">
        <f t="shared" si="970"/>
        <v>3.7953230142933418</v>
      </c>
      <c r="AM324" s="57">
        <f t="shared" si="971"/>
        <v>0.97763157894736841</v>
      </c>
      <c r="AN324" s="57">
        <f t="shared" si="972"/>
        <v>0.77763157894736845</v>
      </c>
      <c r="AO324" s="77">
        <v>1500</v>
      </c>
      <c r="AP324" s="79">
        <v>300</v>
      </c>
      <c r="AQ324" s="57">
        <f t="shared" si="973"/>
        <v>167.65419268641145</v>
      </c>
      <c r="AR324" s="57">
        <f>AO324-2*AP324</f>
        <v>900</v>
      </c>
      <c r="AS324" s="57">
        <f t="shared" si="974"/>
        <v>1332.3458073135885</v>
      </c>
      <c r="AT324" s="77">
        <v>200</v>
      </c>
      <c r="AU324" s="77">
        <v>1750</v>
      </c>
      <c r="AV324" s="57">
        <f t="shared" si="975"/>
        <v>300000</v>
      </c>
      <c r="AW324" s="77">
        <v>0</v>
      </c>
      <c r="AX324" s="77">
        <f t="shared" si="976"/>
        <v>300000</v>
      </c>
      <c r="AY324" s="78">
        <f t="shared" si="917"/>
        <v>300000</v>
      </c>
      <c r="AZ324" s="77">
        <f t="shared" si="937"/>
        <v>653</v>
      </c>
      <c r="BA324" s="77">
        <v>653</v>
      </c>
      <c r="BB324" s="77">
        <v>617</v>
      </c>
      <c r="BC324" s="77">
        <v>0</v>
      </c>
      <c r="BD324" s="77">
        <v>6.6E-3</v>
      </c>
      <c r="BE324" s="77">
        <v>6.7999999999999996E-3</v>
      </c>
      <c r="BF324" s="77">
        <v>9.5699999999999993E-2</v>
      </c>
      <c r="BG324" s="77">
        <v>0</v>
      </c>
      <c r="BH324" s="79">
        <f>BH322*3/2</f>
        <v>322.5</v>
      </c>
      <c r="BI324" s="79">
        <f>PI()*16*16/4</f>
        <v>201.06192982974676</v>
      </c>
      <c r="BJ324" s="79">
        <v>2</v>
      </c>
      <c r="BK324" s="57">
        <f t="shared" si="881"/>
        <v>402.12385965949352</v>
      </c>
      <c r="BL324" s="57">
        <f t="shared" si="841"/>
        <v>1188</v>
      </c>
      <c r="BM324" s="80">
        <f>PI()*35*35/4</f>
        <v>962.11275016187415</v>
      </c>
      <c r="BN324" s="80">
        <v>6</v>
      </c>
      <c r="BO324" s="57">
        <f>BM324*BN324</f>
        <v>5772.6765009712453</v>
      </c>
      <c r="BP324" s="57">
        <f t="shared" si="977"/>
        <v>3030304.9798024325</v>
      </c>
      <c r="BQ324" s="77">
        <f t="shared" si="978"/>
        <v>4.3073669075965881E-8</v>
      </c>
      <c r="BR324" s="57">
        <f t="shared" si="843"/>
        <v>5303033714.6542568</v>
      </c>
      <c r="BS324" s="57">
        <v>335.3083853728229</v>
      </c>
      <c r="BT324" s="57">
        <f t="shared" si="981"/>
        <v>217.64966439151488</v>
      </c>
      <c r="BU324" s="57"/>
      <c r="BV324" s="57">
        <v>3.3E-3</v>
      </c>
      <c r="BW324" s="57">
        <v>30000</v>
      </c>
      <c r="BX324" s="57">
        <v>200000</v>
      </c>
      <c r="BY324" s="77">
        <f>50</f>
        <v>50</v>
      </c>
      <c r="BZ324" s="77">
        <f>BY324+100</f>
        <v>150</v>
      </c>
      <c r="CA324" s="77">
        <f>BY324+100*2</f>
        <v>250</v>
      </c>
      <c r="CB324" s="77">
        <f>CA324+50+150</f>
        <v>450</v>
      </c>
      <c r="CC324" s="77">
        <f>CB324+300</f>
        <v>750</v>
      </c>
      <c r="CD324" s="77">
        <f>CB324+300*2</f>
        <v>1050</v>
      </c>
      <c r="CE324" s="77">
        <f>CD324+150+50</f>
        <v>1250</v>
      </c>
      <c r="CF324" s="77">
        <f>CE324+100</f>
        <v>1350</v>
      </c>
      <c r="CG324" s="77">
        <f>CE324+100*2</f>
        <v>1450</v>
      </c>
      <c r="DM324" s="77">
        <f t="shared" si="943"/>
        <v>1924.2255003237483</v>
      </c>
      <c r="DN324" s="77">
        <f t="shared" si="986"/>
        <v>1924.2255003237483</v>
      </c>
      <c r="DO324" s="77">
        <f t="shared" si="986"/>
        <v>1924.2255003237483</v>
      </c>
      <c r="DP324" s="77">
        <f t="shared" ref="DP324:DR326" si="991">PI()*16*16/4*2</f>
        <v>402.12385965949352</v>
      </c>
      <c r="DQ324" s="77">
        <f t="shared" si="991"/>
        <v>402.12385965949352</v>
      </c>
      <c r="DR324" s="77">
        <f t="shared" si="991"/>
        <v>402.12385965949352</v>
      </c>
      <c r="DS324" s="77">
        <f t="shared" ref="DS324:DU325" si="992">PI()*35*35/4*2</f>
        <v>1924.2255003237483</v>
      </c>
      <c r="DT324" s="77">
        <f t="shared" si="992"/>
        <v>1924.2255003237483</v>
      </c>
      <c r="DU324" s="77">
        <f t="shared" si="992"/>
        <v>1924.2255003237483</v>
      </c>
      <c r="FA324" s="77">
        <f t="shared" si="982"/>
        <v>-1080612.5894731393</v>
      </c>
      <c r="FB324" s="77">
        <f t="shared" si="988"/>
        <v>-701860.1079920698</v>
      </c>
      <c r="FC324" s="77">
        <f t="shared" si="988"/>
        <v>-323107.62651100039</v>
      </c>
      <c r="FD324" s="77">
        <f t="shared" si="949"/>
        <v>90780.178066523615</v>
      </c>
      <c r="FE324" s="77">
        <f t="shared" si="950"/>
        <v>262586.88035764929</v>
      </c>
      <c r="FF324" s="77">
        <f t="shared" si="951"/>
        <v>262586.88035764929</v>
      </c>
      <c r="FG324" s="77">
        <f t="shared" ref="FG324:FI325" si="993">IF(ABS(-$BV324*($BS324-CE324)/$BS324*$BX324)&gt;$BB324,$BB324*SIGN(-($BS324-CE324)),-$BV324*($BS324-CE324)/$BS324*$BX324)*DS324</f>
        <v>1187247.1336997526</v>
      </c>
      <c r="FH324" s="77">
        <f t="shared" si="993"/>
        <v>1187247.1336997526</v>
      </c>
      <c r="FI324" s="77">
        <f t="shared" si="993"/>
        <v>1187247.1336997526</v>
      </c>
      <c r="GO324" s="77">
        <f t="shared" si="854"/>
        <v>756428812.63119745</v>
      </c>
      <c r="GP324" s="77">
        <f t="shared" si="855"/>
        <v>421116064.79524189</v>
      </c>
      <c r="GQ324" s="77">
        <f t="shared" si="856"/>
        <v>161553813.2555002</v>
      </c>
      <c r="GR324" s="77">
        <f t="shared" si="857"/>
        <v>-27234053.419957083</v>
      </c>
      <c r="GS324" s="77">
        <f t="shared" si="883"/>
        <v>0</v>
      </c>
      <c r="GT324" s="77">
        <f t="shared" si="933"/>
        <v>78776064.107294783</v>
      </c>
      <c r="GU324" s="77">
        <f t="shared" si="983"/>
        <v>593623566.84987628</v>
      </c>
      <c r="GV324" s="77">
        <f t="shared" si="984"/>
        <v>712348280.21985161</v>
      </c>
      <c r="GW324" s="77">
        <f>FI324*(CG324-0.5*$AO324)</f>
        <v>831072993.58982682</v>
      </c>
      <c r="IC324" s="82">
        <v>343</v>
      </c>
    </row>
    <row r="325" spans="1:237" s="77" customFormat="1">
      <c r="A325" s="77">
        <v>325</v>
      </c>
      <c r="C325" s="123" t="s">
        <v>335</v>
      </c>
      <c r="D325" s="124" t="s">
        <v>349</v>
      </c>
      <c r="E325" s="129">
        <v>3</v>
      </c>
      <c r="F325" s="125">
        <f t="shared" ref="F325:F355" si="994">Y325/AY325/AK325</f>
        <v>0.15469534050179212</v>
      </c>
      <c r="G325" s="125"/>
      <c r="H325" s="125"/>
      <c r="I325" s="135">
        <v>1.0500000000000001E-2</v>
      </c>
      <c r="J325" s="125">
        <f t="shared" si="925"/>
        <v>1.1666666666666667</v>
      </c>
      <c r="K325" s="125">
        <f t="shared" si="911"/>
        <v>7.5</v>
      </c>
      <c r="L325" s="125">
        <f t="shared" si="912"/>
        <v>9.2683870967741944E-2</v>
      </c>
      <c r="M325" s="125">
        <f t="shared" si="913"/>
        <v>7.1619354838709681E-2</v>
      </c>
      <c r="N325" s="125">
        <f t="shared" si="914"/>
        <v>1.2698258064516128</v>
      </c>
      <c r="O325" s="125">
        <f t="shared" si="915"/>
        <v>0</v>
      </c>
      <c r="P325" s="125">
        <v>7.0000000000000007E-2</v>
      </c>
      <c r="Q325" s="125" t="s">
        <v>3</v>
      </c>
      <c r="R325" s="126">
        <f t="shared" si="916"/>
        <v>0</v>
      </c>
      <c r="S325" s="75">
        <f t="shared" si="980"/>
        <v>1.0548815807202681</v>
      </c>
      <c r="T325" s="59">
        <f t="shared" si="959"/>
        <v>2.6103201537221667</v>
      </c>
      <c r="U325" s="59">
        <f t="shared" si="960"/>
        <v>2.0061312272652283</v>
      </c>
      <c r="V325" s="59">
        <f t="shared" si="961"/>
        <v>1.4042191750706361</v>
      </c>
      <c r="W325" s="59">
        <f t="shared" si="962"/>
        <v>0.53794902248611154</v>
      </c>
      <c r="X325" s="59">
        <f t="shared" si="963"/>
        <v>0.69996376906254376</v>
      </c>
      <c r="Y325" s="127">
        <v>2158000</v>
      </c>
      <c r="Z325" s="57">
        <f t="shared" si="964"/>
        <v>1510521.8136369695</v>
      </c>
      <c r="AA325" s="57">
        <f t="shared" si="965"/>
        <v>1160893.9905250287</v>
      </c>
      <c r="AB325" s="57">
        <f>(AH325+AI325)/AU325</f>
        <v>4213307.1046001706</v>
      </c>
      <c r="AC325" s="57">
        <f t="shared" si="966"/>
        <v>0.25</v>
      </c>
      <c r="AD325" s="57">
        <f t="shared" si="967"/>
        <v>1.5</v>
      </c>
      <c r="AE325" s="57">
        <f t="shared" si="968"/>
        <v>976500.00000000012</v>
      </c>
      <c r="AF325" s="57">
        <f t="shared" si="969"/>
        <v>502184.61643956037</v>
      </c>
      <c r="AG325" s="57">
        <f t="shared" si="880"/>
        <v>658709.37408546836</v>
      </c>
      <c r="AH325" s="57">
        <f>AM325*AK325*AT325*AP325*(AS325-0.5*AP325)</f>
        <v>3224957089.7195392</v>
      </c>
      <c r="AI325" s="57">
        <f>BB325*BO325*(AS325-AQ325)</f>
        <v>4148330343.330759</v>
      </c>
      <c r="AJ325" s="77">
        <f t="shared" si="926"/>
        <v>976500.00000000012</v>
      </c>
      <c r="AK325" s="77">
        <v>46.5</v>
      </c>
      <c r="AL325" s="78">
        <f t="shared" si="970"/>
        <v>3.7953230142933418</v>
      </c>
      <c r="AM325" s="57">
        <f t="shared" si="971"/>
        <v>0.97763157894736841</v>
      </c>
      <c r="AN325" s="57">
        <f t="shared" si="972"/>
        <v>0.77763157894736845</v>
      </c>
      <c r="AO325" s="77">
        <v>1500</v>
      </c>
      <c r="AP325" s="79">
        <v>300</v>
      </c>
      <c r="AQ325" s="57">
        <f t="shared" si="973"/>
        <v>167.65419268641145</v>
      </c>
      <c r="AR325" s="57">
        <f>AO325-2*AP325</f>
        <v>900</v>
      </c>
      <c r="AS325" s="57">
        <f t="shared" si="974"/>
        <v>1332.3458073135885</v>
      </c>
      <c r="AT325" s="77">
        <v>200</v>
      </c>
      <c r="AU325" s="77">
        <v>1750</v>
      </c>
      <c r="AV325" s="57">
        <f t="shared" si="975"/>
        <v>300000</v>
      </c>
      <c r="AW325" s="77">
        <v>0</v>
      </c>
      <c r="AX325" s="77">
        <f t="shared" si="976"/>
        <v>300000</v>
      </c>
      <c r="AY325" s="78">
        <f t="shared" si="917"/>
        <v>300000</v>
      </c>
      <c r="AZ325" s="77">
        <f t="shared" si="937"/>
        <v>653</v>
      </c>
      <c r="BA325" s="77">
        <v>653</v>
      </c>
      <c r="BB325" s="77">
        <v>617</v>
      </c>
      <c r="BC325" s="77">
        <v>0</v>
      </c>
      <c r="BD325" s="77">
        <v>6.6E-3</v>
      </c>
      <c r="BE325" s="77">
        <v>5.1000000000000004E-3</v>
      </c>
      <c r="BF325" s="77">
        <v>9.5699999999999993E-2</v>
      </c>
      <c r="BG325" s="77">
        <v>0</v>
      </c>
      <c r="BH325" s="79">
        <f>BH323*3/2</f>
        <v>280.5</v>
      </c>
      <c r="BI325" s="79">
        <f>PI()*13*13/4</f>
        <v>132.73228961416876</v>
      </c>
      <c r="BJ325" s="79">
        <v>2</v>
      </c>
      <c r="BK325" s="57">
        <f t="shared" si="881"/>
        <v>265.46457922833753</v>
      </c>
      <c r="BL325" s="57">
        <f t="shared" si="841"/>
        <v>1188</v>
      </c>
      <c r="BM325" s="80">
        <f>PI()*35*35/4</f>
        <v>962.11275016187415</v>
      </c>
      <c r="BN325" s="80">
        <v>6</v>
      </c>
      <c r="BO325" s="57">
        <f>BM325*BN325</f>
        <v>5772.6765009712453</v>
      </c>
      <c r="BP325" s="57">
        <f t="shared" si="977"/>
        <v>3030304.9798024325</v>
      </c>
      <c r="BQ325" s="77">
        <f t="shared" si="978"/>
        <v>4.3073669075965881E-8</v>
      </c>
      <c r="BR325" s="57">
        <f t="shared" si="843"/>
        <v>5303033714.6542568</v>
      </c>
      <c r="BS325" s="57">
        <v>335.3083853728229</v>
      </c>
      <c r="BT325" s="57">
        <f t="shared" si="981"/>
        <v>217.64966439151488</v>
      </c>
      <c r="BU325" s="57"/>
      <c r="BV325" s="57">
        <v>3.3E-3</v>
      </c>
      <c r="BW325" s="57">
        <v>30000</v>
      </c>
      <c r="BX325" s="57">
        <v>200000</v>
      </c>
      <c r="BY325" s="77">
        <f>50</f>
        <v>50</v>
      </c>
      <c r="BZ325" s="77">
        <f>BY325+100</f>
        <v>150</v>
      </c>
      <c r="CA325" s="77">
        <f>BY325+100*2</f>
        <v>250</v>
      </c>
      <c r="CB325" s="77">
        <f>CA325+50+150</f>
        <v>450</v>
      </c>
      <c r="CC325" s="77">
        <f>CB325+300</f>
        <v>750</v>
      </c>
      <c r="CD325" s="77">
        <f>CB325+300*2</f>
        <v>1050</v>
      </c>
      <c r="CE325" s="77">
        <f>CD325+150+50</f>
        <v>1250</v>
      </c>
      <c r="CF325" s="77">
        <f>CE325+100</f>
        <v>1350</v>
      </c>
      <c r="CG325" s="77">
        <f>CE325+100*2</f>
        <v>1450</v>
      </c>
      <c r="DM325" s="77">
        <f t="shared" si="943"/>
        <v>1924.2255003237483</v>
      </c>
      <c r="DN325" s="77">
        <f t="shared" si="986"/>
        <v>1924.2255003237483</v>
      </c>
      <c r="DO325" s="77">
        <f t="shared" si="986"/>
        <v>1924.2255003237483</v>
      </c>
      <c r="DP325" s="77">
        <f t="shared" si="991"/>
        <v>402.12385965949352</v>
      </c>
      <c r="DQ325" s="77">
        <f t="shared" si="991"/>
        <v>402.12385965949352</v>
      </c>
      <c r="DR325" s="77">
        <f t="shared" si="991"/>
        <v>402.12385965949352</v>
      </c>
      <c r="DS325" s="77">
        <f t="shared" si="992"/>
        <v>1924.2255003237483</v>
      </c>
      <c r="DT325" s="77">
        <f t="shared" si="992"/>
        <v>1924.2255003237483</v>
      </c>
      <c r="DU325" s="77">
        <f t="shared" si="992"/>
        <v>1924.2255003237483</v>
      </c>
      <c r="FA325" s="77">
        <f t="shared" si="982"/>
        <v>-1080612.5894731393</v>
      </c>
      <c r="FB325" s="77">
        <f t="shared" si="988"/>
        <v>-701860.1079920698</v>
      </c>
      <c r="FC325" s="77">
        <f t="shared" si="988"/>
        <v>-323107.62651100039</v>
      </c>
      <c r="FD325" s="77">
        <f t="shared" si="949"/>
        <v>90780.178066523615</v>
      </c>
      <c r="FE325" s="77">
        <f t="shared" si="950"/>
        <v>262586.88035764929</v>
      </c>
      <c r="FF325" s="77">
        <f t="shared" si="951"/>
        <v>262586.88035764929</v>
      </c>
      <c r="FG325" s="77">
        <f t="shared" si="993"/>
        <v>1187247.1336997526</v>
      </c>
      <c r="FH325" s="77">
        <f t="shared" si="993"/>
        <v>1187247.1336997526</v>
      </c>
      <c r="FI325" s="77">
        <f t="shared" si="993"/>
        <v>1187247.1336997526</v>
      </c>
      <c r="GO325" s="77">
        <f t="shared" si="854"/>
        <v>756428812.63119745</v>
      </c>
      <c r="GP325" s="77">
        <f t="shared" si="855"/>
        <v>421116064.79524189</v>
      </c>
      <c r="GQ325" s="77">
        <f t="shared" si="856"/>
        <v>161553813.2555002</v>
      </c>
      <c r="GR325" s="77">
        <f t="shared" si="857"/>
        <v>-27234053.419957083</v>
      </c>
      <c r="GS325" s="77">
        <f t="shared" si="883"/>
        <v>0</v>
      </c>
      <c r="GT325" s="77">
        <f t="shared" si="933"/>
        <v>78776064.107294783</v>
      </c>
      <c r="GU325" s="77">
        <f t="shared" si="983"/>
        <v>593623566.84987628</v>
      </c>
      <c r="GV325" s="77">
        <f t="shared" si="984"/>
        <v>712348280.21985161</v>
      </c>
      <c r="GW325" s="77">
        <f>FI325*(CG325-0.5*$AO325)</f>
        <v>831072993.58982682</v>
      </c>
      <c r="IC325" s="82">
        <v>344</v>
      </c>
    </row>
    <row r="326" spans="1:237" s="77" customFormat="1">
      <c r="A326" s="77">
        <v>326</v>
      </c>
      <c r="C326" s="123" t="s">
        <v>335</v>
      </c>
      <c r="D326" s="124" t="s">
        <v>350</v>
      </c>
      <c r="E326" s="129">
        <v>3</v>
      </c>
      <c r="F326" s="125">
        <f t="shared" si="994"/>
        <v>0.18923766816143497</v>
      </c>
      <c r="G326" s="125"/>
      <c r="H326" s="125"/>
      <c r="I326" s="135">
        <v>1.7999999999999999E-2</v>
      </c>
      <c r="J326" s="125">
        <f t="shared" si="925"/>
        <v>0.66666666666666663</v>
      </c>
      <c r="K326" s="125">
        <f t="shared" si="911"/>
        <v>7.5</v>
      </c>
      <c r="L326" s="125">
        <f t="shared" si="912"/>
        <v>9.6950672645739908E-2</v>
      </c>
      <c r="M326" s="125">
        <f t="shared" si="913"/>
        <v>9.8004484304932721E-2</v>
      </c>
      <c r="N326" s="125">
        <f t="shared" si="914"/>
        <v>1.3239215246636769</v>
      </c>
      <c r="O326" s="125">
        <f t="shared" si="915"/>
        <v>0</v>
      </c>
      <c r="P326" s="125">
        <v>7.0000000000000007E-2</v>
      </c>
      <c r="Q326" s="125" t="s">
        <v>3</v>
      </c>
      <c r="R326" s="126">
        <f t="shared" si="916"/>
        <v>0</v>
      </c>
      <c r="S326" s="75">
        <f t="shared" si="980"/>
        <v>1.2637902987768623</v>
      </c>
      <c r="T326" s="59">
        <f t="shared" si="959"/>
        <v>1.9889965314241453</v>
      </c>
      <c r="U326" s="59">
        <f t="shared" si="960"/>
        <v>1.6188804479069856</v>
      </c>
      <c r="V326" s="59">
        <f t="shared" si="961"/>
        <v>1.1586466976282828</v>
      </c>
      <c r="W326" s="59">
        <f t="shared" si="962"/>
        <v>0.5825282645408526</v>
      </c>
      <c r="X326" s="59">
        <f t="shared" si="963"/>
        <v>0.71570862389886247</v>
      </c>
      <c r="Y326" s="127">
        <v>2532000</v>
      </c>
      <c r="Z326" s="57">
        <f t="shared" si="964"/>
        <v>1812174.2357119198</v>
      </c>
      <c r="AA326" s="57">
        <f t="shared" si="965"/>
        <v>1474961.5658174388</v>
      </c>
      <c r="AB326" s="57"/>
      <c r="AC326" s="57">
        <f t="shared" si="966"/>
        <v>0.25</v>
      </c>
      <c r="AD326" s="57">
        <f t="shared" si="967"/>
        <v>1.5</v>
      </c>
      <c r="AE326" s="57">
        <f t="shared" si="968"/>
        <v>936600.00000000023</v>
      </c>
      <c r="AF326" s="57">
        <f t="shared" si="969"/>
        <v>503550.33101388277</v>
      </c>
      <c r="AG326" s="57">
        <f t="shared" si="880"/>
        <v>971411.234803556</v>
      </c>
      <c r="AH326" s="57"/>
      <c r="AI326" s="57"/>
      <c r="AJ326" s="77">
        <f t="shared" si="926"/>
        <v>936600.00000000012</v>
      </c>
      <c r="AK326" s="77">
        <v>44.6</v>
      </c>
      <c r="AL326" s="78">
        <f t="shared" si="970"/>
        <v>3.7092302433649063</v>
      </c>
      <c r="AM326" s="57">
        <f t="shared" si="971"/>
        <v>0.98263157894736841</v>
      </c>
      <c r="AN326" s="57">
        <f t="shared" si="972"/>
        <v>0.78263157894736846</v>
      </c>
      <c r="AO326" s="77">
        <v>1500</v>
      </c>
      <c r="AP326" s="79"/>
      <c r="AQ326" s="77">
        <f t="shared" si="973"/>
        <v>118.68128924088442</v>
      </c>
      <c r="AS326" s="77">
        <f t="shared" si="974"/>
        <v>1381.3187107591157</v>
      </c>
      <c r="AT326" s="77">
        <v>200</v>
      </c>
      <c r="AU326" s="77">
        <v>1000</v>
      </c>
      <c r="AV326" s="57">
        <f t="shared" si="975"/>
        <v>300000</v>
      </c>
      <c r="AW326" s="77">
        <v>0</v>
      </c>
      <c r="AX326" s="77">
        <f t="shared" si="976"/>
        <v>300000</v>
      </c>
      <c r="AY326" s="78">
        <f t="shared" si="917"/>
        <v>300000</v>
      </c>
      <c r="AZ326" s="77">
        <f t="shared" si="937"/>
        <v>470</v>
      </c>
      <c r="BA326" s="77">
        <v>470</v>
      </c>
      <c r="BB326" s="77">
        <v>617</v>
      </c>
      <c r="BC326" s="77">
        <v>0</v>
      </c>
      <c r="BD326" s="77">
        <v>9.1999999999999998E-3</v>
      </c>
      <c r="BE326" s="77">
        <v>9.2999999999999992E-3</v>
      </c>
      <c r="BF326" s="77">
        <v>9.5699999999999993E-2</v>
      </c>
      <c r="BG326" s="77">
        <v>0</v>
      </c>
      <c r="BH326" s="79">
        <v>215</v>
      </c>
      <c r="BI326" s="79">
        <f>PI()*16*16/4</f>
        <v>201.06192982974676</v>
      </c>
      <c r="BJ326" s="79">
        <v>2</v>
      </c>
      <c r="BK326" s="57">
        <f t="shared" si="881"/>
        <v>402.12385965949352</v>
      </c>
      <c r="BL326" s="57">
        <f t="shared" si="841"/>
        <v>0</v>
      </c>
      <c r="BM326" s="80"/>
      <c r="BN326" s="80"/>
      <c r="BO326" s="57"/>
      <c r="BP326" s="57">
        <f t="shared" si="977"/>
        <v>2933693.4383948119</v>
      </c>
      <c r="BQ326" s="77">
        <f t="shared" si="978"/>
        <v>0</v>
      </c>
      <c r="BR326" s="57">
        <f t="shared" si="843"/>
        <v>2933693438.3948121</v>
      </c>
      <c r="BS326" s="57">
        <v>237.36257848176885</v>
      </c>
      <c r="BT326" s="57">
        <f t="shared" si="981"/>
        <v>168.88786764705881</v>
      </c>
      <c r="BU326" s="57"/>
      <c r="BV326" s="57">
        <v>3.3E-3</v>
      </c>
      <c r="BW326" s="57">
        <v>30000</v>
      </c>
      <c r="BX326" s="57">
        <v>200000</v>
      </c>
      <c r="BY326" s="77">
        <v>50</v>
      </c>
      <c r="BZ326" s="77">
        <f>50+200</f>
        <v>250</v>
      </c>
      <c r="CA326" s="77">
        <f>50+200*2</f>
        <v>450</v>
      </c>
      <c r="CB326" s="77">
        <f>50+200*3</f>
        <v>650</v>
      </c>
      <c r="CC326" s="77">
        <f>50+200*4</f>
        <v>850</v>
      </c>
      <c r="CD326" s="77">
        <f>50+200*5</f>
        <v>1050</v>
      </c>
      <c r="CE326" s="77">
        <f>50+200*6</f>
        <v>1250</v>
      </c>
      <c r="CF326" s="77">
        <f>50+200*7</f>
        <v>1450</v>
      </c>
      <c r="DM326" s="77">
        <f t="shared" si="943"/>
        <v>1924.2255003237483</v>
      </c>
      <c r="DN326" s="77">
        <f>PI()*16*16/4*2</f>
        <v>402.12385965949352</v>
      </c>
      <c r="DO326" s="77">
        <f>PI()*16*16/4*2</f>
        <v>402.12385965949352</v>
      </c>
      <c r="DP326" s="77">
        <f t="shared" si="991"/>
        <v>402.12385965949352</v>
      </c>
      <c r="DQ326" s="77">
        <f t="shared" si="991"/>
        <v>402.12385965949352</v>
      </c>
      <c r="DR326" s="77">
        <f t="shared" si="991"/>
        <v>402.12385965949352</v>
      </c>
      <c r="DS326" s="77">
        <f>PI()*16*16/4*2</f>
        <v>402.12385965949352</v>
      </c>
      <c r="DT326" s="77">
        <f>PI()*35*35/4*2</f>
        <v>1924.2255003237483</v>
      </c>
      <c r="FA326" s="77">
        <f t="shared" si="982"/>
        <v>-1002467.9685983248</v>
      </c>
      <c r="FB326" s="77">
        <f>IF(ABS(-$BV326*($BS326-BZ326)/$BS326*$BX326)&gt;$BA326,$BA326*SIGN(-($BS326-BZ326)),-$BV326*($BS326-BZ326)/$BS326*$BX326)*DN326</f>
        <v>14130.254965670343</v>
      </c>
      <c r="FC326" s="77">
        <f>IF(ABS(-$BV326*($BS326-CA326)/$BS326*$BX326)&gt;$BA326,$BA326*SIGN(-($BS326-CA326)),-$BV326*($BS326-CA326)/$BS326*$BX326)*DO326</f>
        <v>188998.21403996195</v>
      </c>
      <c r="FD326" s="77">
        <f t="shared" si="949"/>
        <v>188998.21403996195</v>
      </c>
      <c r="FE326" s="77">
        <f t="shared" si="950"/>
        <v>188998.21403996195</v>
      </c>
      <c r="FF326" s="77">
        <f t="shared" si="951"/>
        <v>188998.21403996195</v>
      </c>
      <c r="FG326" s="77">
        <f>IF(ABS(-$BV326*($BS326-CE326)/$BS326*$BX326)&gt;$BA326,$BA326*SIGN(-($BS326-CE326)),-$BV326*($BS326-CE326)/$BS326*$BX326)*DS326</f>
        <v>188998.21403996195</v>
      </c>
      <c r="FH326" s="77">
        <f>IF(ABS(-$BV326*($BS326-CF326)/$BS326*$BX326)&gt;$BB326,$BB326*SIGN(-($BS326-CF326)),-$BV326*($BS326-CF326)/$BS326*$BX326)*DT326</f>
        <v>1187247.1336997526</v>
      </c>
      <c r="GO326" s="77">
        <f t="shared" si="854"/>
        <v>701727578.01882732</v>
      </c>
      <c r="GP326" s="77">
        <f t="shared" si="855"/>
        <v>-7065127.4828351717</v>
      </c>
      <c r="GQ326" s="77">
        <f t="shared" si="856"/>
        <v>-56699464.211988583</v>
      </c>
      <c r="GR326" s="77">
        <f t="shared" si="857"/>
        <v>-18899821.403996196</v>
      </c>
      <c r="GS326" s="77">
        <f t="shared" si="883"/>
        <v>18899821.403996196</v>
      </c>
      <c r="GT326" s="77">
        <f t="shared" si="933"/>
        <v>56699464.211988583</v>
      </c>
      <c r="GU326" s="77">
        <f t="shared" si="983"/>
        <v>94499107.019980982</v>
      </c>
      <c r="GV326" s="77">
        <f t="shared" si="984"/>
        <v>831072993.58982682</v>
      </c>
      <c r="IC326" s="82">
        <v>345</v>
      </c>
    </row>
    <row r="327" spans="1:237" s="77" customFormat="1">
      <c r="A327" s="77">
        <v>327</v>
      </c>
      <c r="C327" s="123" t="s">
        <v>335</v>
      </c>
      <c r="D327" s="124" t="s">
        <v>351</v>
      </c>
      <c r="E327" s="129">
        <v>3</v>
      </c>
      <c r="F327" s="125">
        <f t="shared" si="994"/>
        <v>0.21639928698752231</v>
      </c>
      <c r="G327" s="125"/>
      <c r="H327" s="125"/>
      <c r="I327" s="135">
        <v>1.2E-2</v>
      </c>
      <c r="J327" s="125">
        <f t="shared" si="925"/>
        <v>0.66666666666666663</v>
      </c>
      <c r="K327" s="125">
        <f t="shared" si="911"/>
        <v>7.5</v>
      </c>
      <c r="L327" s="125">
        <f t="shared" si="912"/>
        <v>0.10343850267379678</v>
      </c>
      <c r="M327" s="125">
        <f t="shared" si="913"/>
        <v>0.12127272727272727</v>
      </c>
      <c r="N327" s="125">
        <f t="shared" si="914"/>
        <v>1.5787941176470588</v>
      </c>
      <c r="O327" s="125">
        <f t="shared" si="915"/>
        <v>0</v>
      </c>
      <c r="P327" s="125">
        <v>7.0000000000000007E-2</v>
      </c>
      <c r="Q327" s="125" t="s">
        <v>3</v>
      </c>
      <c r="R327" s="126">
        <f t="shared" si="916"/>
        <v>0</v>
      </c>
      <c r="S327" s="75">
        <f t="shared" si="980"/>
        <v>1.3234015122727043</v>
      </c>
      <c r="T327" s="59">
        <f t="shared" si="959"/>
        <v>1.8601298151311296</v>
      </c>
      <c r="U327" s="59">
        <f t="shared" si="960"/>
        <v>1.527101959052436</v>
      </c>
      <c r="V327" s="59">
        <f t="shared" si="961"/>
        <v>1.1442865213729061</v>
      </c>
      <c r="W327" s="59">
        <f t="shared" si="962"/>
        <v>0.61516487293777378</v>
      </c>
      <c r="X327" s="59">
        <f t="shared" si="963"/>
        <v>0.74931900557768505</v>
      </c>
      <c r="Y327" s="127">
        <v>2428000</v>
      </c>
      <c r="Z327" s="57">
        <f t="shared" si="964"/>
        <v>1819346.5455426194</v>
      </c>
      <c r="AA327" s="57">
        <f t="shared" si="965"/>
        <v>1493620.3114929148</v>
      </c>
      <c r="AB327" s="57"/>
      <c r="AC327" s="57">
        <f t="shared" si="966"/>
        <v>0.25</v>
      </c>
      <c r="AD327" s="57">
        <f t="shared" si="967"/>
        <v>1.5</v>
      </c>
      <c r="AE327" s="57">
        <f t="shared" si="968"/>
        <v>785400.00000000012</v>
      </c>
      <c r="AF327" s="57">
        <f t="shared" si="969"/>
        <v>449727.97689180099</v>
      </c>
      <c r="AG327" s="57">
        <f t="shared" si="880"/>
        <v>1043892.3346011139</v>
      </c>
      <c r="AH327" s="57"/>
      <c r="AI327" s="57"/>
      <c r="AJ327" s="77">
        <f t="shared" si="926"/>
        <v>785400.00000000012</v>
      </c>
      <c r="AK327" s="77">
        <v>37.4</v>
      </c>
      <c r="AL327" s="78">
        <f t="shared" si="970"/>
        <v>3.3668905685789854</v>
      </c>
      <c r="AM327" s="57">
        <f t="shared" si="971"/>
        <v>1</v>
      </c>
      <c r="AN327" s="57">
        <f t="shared" si="972"/>
        <v>0.8</v>
      </c>
      <c r="AO327" s="77">
        <v>1500</v>
      </c>
      <c r="AP327" s="79"/>
      <c r="AQ327" s="77">
        <f t="shared" si="973"/>
        <v>121.91846849783833</v>
      </c>
      <c r="AS327" s="77">
        <f t="shared" si="974"/>
        <v>1378.0815315021616</v>
      </c>
      <c r="AT327" s="77">
        <v>200</v>
      </c>
      <c r="AU327" s="77">
        <v>1000</v>
      </c>
      <c r="AV327" s="57">
        <f t="shared" si="975"/>
        <v>300000</v>
      </c>
      <c r="AW327" s="77">
        <v>0</v>
      </c>
      <c r="AX327" s="77">
        <f t="shared" si="976"/>
        <v>300000</v>
      </c>
      <c r="AY327" s="78">
        <f t="shared" si="917"/>
        <v>300000</v>
      </c>
      <c r="AZ327" s="77">
        <f t="shared" si="937"/>
        <v>667</v>
      </c>
      <c r="BA327" s="77">
        <v>667</v>
      </c>
      <c r="BB327" s="77">
        <v>617</v>
      </c>
      <c r="BC327" s="77">
        <v>0</v>
      </c>
      <c r="BD327" s="77">
        <v>5.7999999999999996E-3</v>
      </c>
      <c r="BE327" s="77">
        <v>6.7999999999999996E-3</v>
      </c>
      <c r="BF327" s="77">
        <v>9.5699999999999993E-2</v>
      </c>
      <c r="BG327" s="77">
        <v>0</v>
      </c>
      <c r="BH327" s="79">
        <v>187</v>
      </c>
      <c r="BI327" s="79">
        <f>PI()*13*13/4</f>
        <v>132.73228961416876</v>
      </c>
      <c r="BJ327" s="79">
        <v>2</v>
      </c>
      <c r="BK327" s="57">
        <f t="shared" si="881"/>
        <v>265.46457922833753</v>
      </c>
      <c r="BL327" s="57">
        <f t="shared" si="841"/>
        <v>0</v>
      </c>
      <c r="BM327" s="80"/>
      <c r="BN327" s="80"/>
      <c r="BO327" s="57"/>
      <c r="BP327" s="57">
        <f t="shared" si="977"/>
        <v>2778327.6738934158</v>
      </c>
      <c r="BQ327" s="77">
        <f t="shared" si="978"/>
        <v>0</v>
      </c>
      <c r="BR327" s="57">
        <f t="shared" si="843"/>
        <v>2778327673.8934159</v>
      </c>
      <c r="BS327" s="57">
        <v>243.83693699567667</v>
      </c>
      <c r="BT327" s="57">
        <f t="shared" si="981"/>
        <v>157.79304422498927</v>
      </c>
      <c r="BU327" s="57"/>
      <c r="BV327" s="57">
        <v>3.3E-3</v>
      </c>
      <c r="BW327" s="57">
        <v>30000</v>
      </c>
      <c r="BX327" s="57">
        <v>200000</v>
      </c>
      <c r="BY327" s="77">
        <v>50</v>
      </c>
      <c r="BZ327" s="77">
        <f>50+200</f>
        <v>250</v>
      </c>
      <c r="CA327" s="77">
        <f>50+200*2</f>
        <v>450</v>
      </c>
      <c r="CB327" s="77">
        <f>50+200*3</f>
        <v>650</v>
      </c>
      <c r="CC327" s="77">
        <f>50+200*4</f>
        <v>850</v>
      </c>
      <c r="CD327" s="77">
        <f>50+200*5</f>
        <v>1050</v>
      </c>
      <c r="CE327" s="77">
        <f>50+200*6</f>
        <v>1250</v>
      </c>
      <c r="CF327" s="77">
        <f>50+200*7</f>
        <v>1450</v>
      </c>
      <c r="DM327" s="77">
        <f t="shared" si="943"/>
        <v>1924.2255003237483</v>
      </c>
      <c r="DN327" s="77">
        <f t="shared" ref="DN327:DS327" si="995">PI()*13*13/4*2</f>
        <v>265.46457922833753</v>
      </c>
      <c r="DO327" s="77">
        <f t="shared" si="995"/>
        <v>265.46457922833753</v>
      </c>
      <c r="DP327" s="77">
        <f t="shared" si="995"/>
        <v>265.46457922833753</v>
      </c>
      <c r="DQ327" s="77">
        <f t="shared" si="995"/>
        <v>265.46457922833753</v>
      </c>
      <c r="DR327" s="77">
        <f t="shared" si="995"/>
        <v>265.46457922833753</v>
      </c>
      <c r="DS327" s="77">
        <f t="shared" si="995"/>
        <v>265.46457922833753</v>
      </c>
      <c r="DT327" s="77">
        <f>PI()*35*35/4*2</f>
        <v>1924.2255003237483</v>
      </c>
      <c r="FA327" s="77">
        <f t="shared" si="982"/>
        <v>-1009571.1826945469</v>
      </c>
      <c r="FB327" s="77">
        <f>IF(ABS(-$BV327*($BS327-BZ327)/$BS327*$BX327)&gt;$BA327,$BA327*SIGN(-($BS327-BZ327)),-$BV327*($BS327-BZ327)/$BS327*$BX327)*DN327</f>
        <v>4428.4080388174634</v>
      </c>
      <c r="FC327" s="77">
        <f>IF(ABS(-$BV327*($BS327-CA327)/$BS327*$BX327)&gt;$BA327,$BA327*SIGN(-($BS327-CA327)),-$BV327*($BS327-CA327)/$BS327*$BX327)*DO327</f>
        <v>148136.43230243365</v>
      </c>
      <c r="FD327" s="77">
        <f t="shared" si="949"/>
        <v>177064.87434530113</v>
      </c>
      <c r="FE327" s="77">
        <f t="shared" si="950"/>
        <v>177064.87434530113</v>
      </c>
      <c r="FF327" s="77">
        <f t="shared" si="951"/>
        <v>177064.87434530113</v>
      </c>
      <c r="FG327" s="77">
        <f>IF(ABS(-$BV327*($BS327-CE327)/$BS327*$BX327)&gt;$BA327,$BA327*SIGN(-($BS327-CE327)),-$BV327*($BS327-CE327)/$BS327*$BX327)*DS327</f>
        <v>177064.87434530113</v>
      </c>
      <c r="FH327" s="77">
        <f>IF(ABS(-$BV327*($BS327-CF327)/$BS327*$BX327)&gt;$BB327,$BB327*SIGN(-($BS327-CF327)),-$BV327*($BS327-CF327)/$BS327*$BX327)*DT327</f>
        <v>1187247.1336997526</v>
      </c>
      <c r="GO327" s="77">
        <f t="shared" si="854"/>
        <v>706699827.88618279</v>
      </c>
      <c r="GP327" s="77">
        <f t="shared" si="855"/>
        <v>-2214204.0194087317</v>
      </c>
      <c r="GQ327" s="77">
        <f t="shared" si="856"/>
        <v>-44440929.690730095</v>
      </c>
      <c r="GR327" s="77">
        <f t="shared" si="857"/>
        <v>-17706487.434530113</v>
      </c>
      <c r="GS327" s="77">
        <f t="shared" si="883"/>
        <v>17706487.434530113</v>
      </c>
      <c r="GT327" s="77">
        <f t="shared" si="933"/>
        <v>53119462.303590335</v>
      </c>
      <c r="GU327" s="77">
        <f t="shared" si="983"/>
        <v>88532437.172650561</v>
      </c>
      <c r="GV327" s="77">
        <f t="shared" si="984"/>
        <v>831072993.58982682</v>
      </c>
      <c r="IC327" s="82">
        <v>346</v>
      </c>
    </row>
    <row r="328" spans="1:237" s="77" customFormat="1">
      <c r="A328" s="77">
        <v>328</v>
      </c>
      <c r="C328" s="123" t="s">
        <v>335</v>
      </c>
      <c r="D328" s="124" t="s">
        <v>352</v>
      </c>
      <c r="E328" s="129">
        <v>3</v>
      </c>
      <c r="F328" s="125">
        <f t="shared" si="994"/>
        <v>0.18410958904109589</v>
      </c>
      <c r="G328" s="125"/>
      <c r="H328" s="125"/>
      <c r="I328" s="135">
        <v>0.02</v>
      </c>
      <c r="J328" s="125">
        <f t="shared" si="925"/>
        <v>2.1666666666666665</v>
      </c>
      <c r="K328" s="125">
        <f t="shared" si="911"/>
        <v>7.5</v>
      </c>
      <c r="L328" s="125">
        <f t="shared" si="912"/>
        <v>0.14164383561643834</v>
      </c>
      <c r="M328" s="125">
        <f t="shared" si="913"/>
        <v>0.11975342465753423</v>
      </c>
      <c r="N328" s="125">
        <f t="shared" si="914"/>
        <v>2.1552739726027399</v>
      </c>
      <c r="O328" s="125">
        <f t="shared" si="915"/>
        <v>0</v>
      </c>
      <c r="P328" s="125">
        <v>7.0000000000000007E-2</v>
      </c>
      <c r="Q328" s="125" t="s">
        <v>3</v>
      </c>
      <c r="R328" s="126">
        <f t="shared" si="916"/>
        <v>0</v>
      </c>
      <c r="S328" s="75">
        <f t="shared" si="980"/>
        <v>1.1123023142815824</v>
      </c>
      <c r="T328" s="59">
        <f t="shared" si="959"/>
        <v>1.7318052471141085</v>
      </c>
      <c r="U328" s="59">
        <f t="shared" si="960"/>
        <v>1.2453476677583508</v>
      </c>
      <c r="V328" s="59">
        <f t="shared" si="961"/>
        <v>1.0003660820231473</v>
      </c>
      <c r="W328" s="59">
        <f t="shared" si="962"/>
        <v>0.57764352180487022</v>
      </c>
      <c r="X328" s="59">
        <f t="shared" si="963"/>
        <v>0.80328257555885985</v>
      </c>
      <c r="Y328" s="127">
        <v>2016000</v>
      </c>
      <c r="Z328" s="57">
        <f t="shared" si="964"/>
        <v>1619417.6723266614</v>
      </c>
      <c r="AA328" s="57">
        <f t="shared" si="965"/>
        <v>1164529.3399586184</v>
      </c>
      <c r="AB328" s="57">
        <f t="shared" ref="AB328:AB338" si="996">(AH328+AI328)/AU328</f>
        <v>2369839.4813261684</v>
      </c>
      <c r="AC328" s="57">
        <f t="shared" si="966"/>
        <v>0.17</v>
      </c>
      <c r="AD328" s="57">
        <f t="shared" si="967"/>
        <v>2.1666666666666665</v>
      </c>
      <c r="AE328" s="57">
        <f t="shared" si="968"/>
        <v>766500.00000000012</v>
      </c>
      <c r="AF328" s="57">
        <f t="shared" si="969"/>
        <v>252736.77812160831</v>
      </c>
      <c r="AG328" s="57">
        <f t="shared" si="880"/>
        <v>911792.5618370102</v>
      </c>
      <c r="AH328" s="57">
        <f t="shared" ref="AH328:AH338" si="997">AM328*AK328*AT328*AP328*(AS328-0.5*AP328)</f>
        <v>2510928469.7458892</v>
      </c>
      <c r="AI328" s="57">
        <f t="shared" ref="AI328:AI338" si="998">BB328*BO328*(AS328-AQ328)</f>
        <v>5191049844.5641575</v>
      </c>
      <c r="AJ328" s="77">
        <f t="shared" si="926"/>
        <v>766500</v>
      </c>
      <c r="AK328" s="77">
        <v>36.5</v>
      </c>
      <c r="AL328" s="78">
        <f t="shared" si="970"/>
        <v>3.3220846562275099</v>
      </c>
      <c r="AM328" s="57">
        <f t="shared" si="971"/>
        <v>1</v>
      </c>
      <c r="AN328" s="57">
        <f t="shared" si="972"/>
        <v>0.8</v>
      </c>
      <c r="AO328" s="77">
        <v>1500</v>
      </c>
      <c r="AP328" s="79">
        <v>300</v>
      </c>
      <c r="AQ328" s="57">
        <f t="shared" si="973"/>
        <v>203.45731975073548</v>
      </c>
      <c r="AR328" s="57">
        <f t="shared" ref="AR328:AR338" si="999">AO328-2*AP328</f>
        <v>900</v>
      </c>
      <c r="AS328" s="57">
        <f t="shared" si="974"/>
        <v>1296.5426802492645</v>
      </c>
      <c r="AT328" s="77">
        <v>200</v>
      </c>
      <c r="AU328" s="77">
        <v>3250</v>
      </c>
      <c r="AV328" s="57">
        <f t="shared" si="975"/>
        <v>300000</v>
      </c>
      <c r="AW328" s="77">
        <v>0</v>
      </c>
      <c r="AX328" s="77">
        <f t="shared" si="976"/>
        <v>300000</v>
      </c>
      <c r="AY328" s="78">
        <f t="shared" si="917"/>
        <v>300000</v>
      </c>
      <c r="AZ328" s="77">
        <f t="shared" si="937"/>
        <v>470</v>
      </c>
      <c r="BA328" s="77">
        <v>470</v>
      </c>
      <c r="BB328" s="77">
        <v>617</v>
      </c>
      <c r="BC328" s="77">
        <v>0</v>
      </c>
      <c r="BD328" s="77">
        <v>1.0999999999999999E-2</v>
      </c>
      <c r="BE328" s="77">
        <v>9.2999999999999992E-3</v>
      </c>
      <c r="BF328" s="77">
        <v>0.1275</v>
      </c>
      <c r="BG328" s="77">
        <v>0</v>
      </c>
      <c r="BH328" s="79">
        <v>215</v>
      </c>
      <c r="BI328" s="79">
        <f>PI()*16*16/4</f>
        <v>201.06192982974676</v>
      </c>
      <c r="BJ328" s="79">
        <v>2</v>
      </c>
      <c r="BK328" s="57">
        <f t="shared" si="881"/>
        <v>402.12385965949352</v>
      </c>
      <c r="BL328" s="57">
        <f t="shared" si="841"/>
        <v>1979.9999999999998</v>
      </c>
      <c r="BM328" s="80">
        <f>PI()*35*35/4</f>
        <v>962.11275016187415</v>
      </c>
      <c r="BN328" s="80">
        <v>8</v>
      </c>
      <c r="BO328" s="57">
        <f t="shared" ref="BO328:BO338" si="1000">BM328*BN328</f>
        <v>7696.9020012949932</v>
      </c>
      <c r="BP328" s="57">
        <f t="shared" si="977"/>
        <v>2016738.0213586648</v>
      </c>
      <c r="BQ328" s="77">
        <f t="shared" si="978"/>
        <v>1.0710209608078003E-8</v>
      </c>
      <c r="BR328" s="57">
        <f t="shared" si="843"/>
        <v>6554398569.4156609</v>
      </c>
      <c r="BS328" s="57">
        <v>406.91463950147096</v>
      </c>
      <c r="BT328" s="57">
        <f t="shared" si="981"/>
        <v>219.84605904594525</v>
      </c>
      <c r="BU328" s="57"/>
      <c r="BV328" s="57">
        <v>3.3E-3</v>
      </c>
      <c r="BW328" s="57">
        <v>30000</v>
      </c>
      <c r="BX328" s="57">
        <v>200000</v>
      </c>
      <c r="BY328" s="77">
        <f>50</f>
        <v>50</v>
      </c>
      <c r="BZ328" s="77">
        <f>BY328+50*1</f>
        <v>100</v>
      </c>
      <c r="CA328" s="77">
        <f>BY328+50*2</f>
        <v>150</v>
      </c>
      <c r="CB328" s="77">
        <f>BY328+50*3</f>
        <v>200</v>
      </c>
      <c r="CC328" s="77">
        <f>BY328+50*4</f>
        <v>250</v>
      </c>
      <c r="CD328" s="77">
        <f>CC328+50+90</f>
        <v>390</v>
      </c>
      <c r="CE328" s="77">
        <f>CD328+180*1</f>
        <v>570</v>
      </c>
      <c r="CF328" s="77">
        <f>CD328+180*2</f>
        <v>750</v>
      </c>
      <c r="CG328" s="77">
        <f>CD328+180*3</f>
        <v>930</v>
      </c>
      <c r="CH328" s="77">
        <f>CD328+180*4</f>
        <v>1110</v>
      </c>
      <c r="CI328" s="77">
        <f>CH328+90+50</f>
        <v>1250</v>
      </c>
      <c r="CJ328" s="77">
        <f>CI328+50</f>
        <v>1300</v>
      </c>
      <c r="CK328" s="77">
        <f>CI328+50*2</f>
        <v>1350</v>
      </c>
      <c r="CL328" s="77">
        <f>CI328+50*3</f>
        <v>1400</v>
      </c>
      <c r="CM328" s="77">
        <f>CI328+50*4</f>
        <v>1450</v>
      </c>
      <c r="DM328" s="77">
        <f t="shared" si="943"/>
        <v>1924.2255003237483</v>
      </c>
      <c r="DN328" s="77">
        <f>PI()*35*35/4</f>
        <v>962.11275016187415</v>
      </c>
      <c r="DO328" s="77">
        <f>PI()*35*35/4*2</f>
        <v>1924.2255003237483</v>
      </c>
      <c r="DP328" s="77">
        <f>PI()*35*35/4</f>
        <v>962.11275016187415</v>
      </c>
      <c r="DQ328" s="77">
        <f>PI()*35*35/4*2</f>
        <v>1924.2255003237483</v>
      </c>
      <c r="DR328" s="77">
        <f>PI()*16*16/4*2</f>
        <v>402.12385965949352</v>
      </c>
      <c r="DS328" s="77">
        <f>PI()*16*16/4*2</f>
        <v>402.12385965949352</v>
      </c>
      <c r="DT328" s="77">
        <f>PI()*16*16/4*2</f>
        <v>402.12385965949352</v>
      </c>
      <c r="DU328" s="77">
        <f>PI()*16*16/4*2</f>
        <v>402.12385965949352</v>
      </c>
      <c r="DV328" s="77">
        <f>PI()*16*16/4*2</f>
        <v>402.12385965949352</v>
      </c>
      <c r="DW328" s="77">
        <f>PI()*35*35/4*2</f>
        <v>1924.2255003237483</v>
      </c>
      <c r="DX328" s="77">
        <f>PI()*35*35/4</f>
        <v>962.11275016187415</v>
      </c>
      <c r="DY328" s="77">
        <f>PI()*35*35/4*2</f>
        <v>1924.2255003237483</v>
      </c>
      <c r="DZ328" s="77">
        <f>PI()*35*35/4</f>
        <v>962.11275016187415</v>
      </c>
      <c r="EA328" s="77">
        <f>PI()*35*35/4*2</f>
        <v>1924.2255003237483</v>
      </c>
      <c r="FA328" s="77">
        <f t="shared" si="982"/>
        <v>-1113937.8176758117</v>
      </c>
      <c r="FB328" s="77">
        <f t="shared" ref="FB328:FE329" si="1001">IF(ABS(-$BV328*($BS328-BZ328)/$BS328*$BX328)&gt;$BB328,$BB328*SIGN(-($BS328-BZ328)),-$BV328*($BS328-BZ328)/$BS328*$BX328)*DN328</f>
        <v>-478943.40256897488</v>
      </c>
      <c r="FC328" s="77">
        <f t="shared" si="1001"/>
        <v>-801835.79260008736</v>
      </c>
      <c r="FD328" s="77">
        <f t="shared" si="1001"/>
        <v>-322892.39003111265</v>
      </c>
      <c r="FE328" s="77">
        <f t="shared" si="1001"/>
        <v>-489733.76752436324</v>
      </c>
      <c r="FF328" s="77">
        <f>IF(ABS(-$BV328*($BS328-CD328)/$BS328*$BX328)&gt;$BA328,$BA328*SIGN(-($BS328-CD328)),-$BV328*($BS328-CD328)/$BS328*$BX328)*DR328</f>
        <v>-11032.227509467271</v>
      </c>
      <c r="FG328" s="77">
        <f>IF(ABS(-$BV328*($BS328-CE328)/$BS328*$BX328)&gt;$BA328,$BA328*SIGN(-($BS328-CE328)),-$BV328*($BS328-CE328)/$BS328*$BX328)*DS328</f>
        <v>106369.08935167047</v>
      </c>
      <c r="FH328" s="77">
        <f>IF(ABS(-$BV328*($BS328-CF328)/$BS328*$BX328)&gt;$BA328,$BA328*SIGN(-($BS328-CF328)),-$BV328*($BS328-CF328)/$BS328*$BX328)*DT328</f>
        <v>188998.21403996195</v>
      </c>
      <c r="FI328" s="77">
        <f>IF(ABS(-$BV328*($BS328-CG328)/$BS328*$BX328)&gt;$BA328,$BA328*SIGN(-($BS328-CG328)),-$BV328*($BS328-CG328)/$BS328*$BX328)*DU328</f>
        <v>188998.21403996195</v>
      </c>
      <c r="FJ328" s="77">
        <f>IF(ABS(-$BV328*($BS328-CH328)/$BS328*$BX328)&gt;$BA328,$BA328*SIGN(-($BS328-CH328)),-$BV328*($BS328-CH328)/$BS328*$BX328)*DV328</f>
        <v>188998.21403996195</v>
      </c>
      <c r="FK328" s="77">
        <f>IF(ABS(-$BV328*($BS328-CI328)/$BS328*$BX328)&gt;$BB328,$BB328*SIGN(-($BS328-CI328)),-$BV328*($BS328-CI328)/$BS328*$BX328)*DW328</f>
        <v>1187247.1336997526</v>
      </c>
      <c r="FL328" s="77">
        <f>IF(ABS(-$BV328*($BS328-CJ328)/$BS328*$BX328)&gt;$BB328,$BB328*SIGN(-($BS328-CJ328)),-$BV328*($BS328-CJ328)/$BS328*$BX328)*DX328</f>
        <v>593623.56684987631</v>
      </c>
      <c r="FM328" s="77">
        <f>IF(ABS(-$BV328*($BS328-CK328)/$BS328*$BX328)&gt;$BB328,$BB328*SIGN(-($BS328-CK328)),-$BV328*($BS328-CK328)/$BS328*$BX328)*DY328</f>
        <v>1187247.1336997526</v>
      </c>
      <c r="FN328" s="77">
        <f>IF(ABS(-$BV328*($BS328-CL328)/$BS328*$BX328)&gt;$BB328,$BB328*SIGN(-($BS328-CL328)),-$BV328*($BS328-CL328)/$BS328*$BX328)*DZ328</f>
        <v>593623.56684987631</v>
      </c>
      <c r="FO328" s="77">
        <f>IF(ABS(-$BV328*($BS328-CM328)/$BS328*$BX328)&gt;$BB328,$BB328*SIGN(-($BS328-CM328)),-$BV328*($BS328-CM328)/$BS328*$BX328)*EA328</f>
        <v>1187247.1336997526</v>
      </c>
      <c r="GO328" s="77">
        <f t="shared" si="854"/>
        <v>779756472.37306821</v>
      </c>
      <c r="GP328" s="77">
        <f t="shared" si="855"/>
        <v>311313211.66983366</v>
      </c>
      <c r="GQ328" s="77">
        <f t="shared" si="856"/>
        <v>481101475.56005239</v>
      </c>
      <c r="GR328" s="77">
        <f t="shared" si="857"/>
        <v>177590814.51711196</v>
      </c>
      <c r="GS328" s="77">
        <f t="shared" si="883"/>
        <v>244866883.76218161</v>
      </c>
      <c r="GT328" s="77">
        <f t="shared" si="933"/>
        <v>3971601.9034082177</v>
      </c>
      <c r="GU328" s="77">
        <f t="shared" si="983"/>
        <v>-19146436.083300684</v>
      </c>
      <c r="GV328" s="77">
        <f t="shared" si="984"/>
        <v>0</v>
      </c>
      <c r="GW328" s="77">
        <f t="shared" ref="GW328:HC328" si="1002">FI328*(CG328-0.5*$AO328)</f>
        <v>34019678.527193151</v>
      </c>
      <c r="GX328" s="77">
        <f t="shared" si="1002"/>
        <v>68039357.054386303</v>
      </c>
      <c r="GY328" s="77">
        <f t="shared" si="1002"/>
        <v>593623566.84987628</v>
      </c>
      <c r="GZ328" s="77">
        <f t="shared" si="1002"/>
        <v>326492961.76743197</v>
      </c>
      <c r="HA328" s="77">
        <f t="shared" si="1002"/>
        <v>712348280.21985161</v>
      </c>
      <c r="HB328" s="77">
        <f t="shared" si="1002"/>
        <v>385855318.45241958</v>
      </c>
      <c r="HC328" s="77">
        <f t="shared" si="1002"/>
        <v>831072993.58982682</v>
      </c>
      <c r="IC328" s="82">
        <v>347</v>
      </c>
    </row>
    <row r="329" spans="1:237" s="77" customFormat="1">
      <c r="A329" s="77">
        <v>329</v>
      </c>
      <c r="C329" s="123" t="s">
        <v>335</v>
      </c>
      <c r="D329" s="124" t="s">
        <v>353</v>
      </c>
      <c r="E329" s="129">
        <v>3</v>
      </c>
      <c r="F329" s="125">
        <f t="shared" si="994"/>
        <v>0.17899543378995433</v>
      </c>
      <c r="G329" s="125"/>
      <c r="H329" s="125"/>
      <c r="I329" s="135">
        <v>2.5499999999999998E-2</v>
      </c>
      <c r="J329" s="125">
        <f t="shared" si="925"/>
        <v>2.1666666666666665</v>
      </c>
      <c r="K329" s="125">
        <f t="shared" si="911"/>
        <v>7.5</v>
      </c>
      <c r="L329" s="125">
        <f t="shared" si="912"/>
        <v>0.10233424657534246</v>
      </c>
      <c r="M329" s="125">
        <f t="shared" si="913"/>
        <v>0.12426301369863013</v>
      </c>
      <c r="N329" s="125">
        <f t="shared" si="914"/>
        <v>2.1552739726027399</v>
      </c>
      <c r="O329" s="125">
        <f t="shared" si="915"/>
        <v>0</v>
      </c>
      <c r="P329" s="125">
        <v>7.0000000000000007E-2</v>
      </c>
      <c r="Q329" s="125" t="s">
        <v>3</v>
      </c>
      <c r="R329" s="126">
        <f t="shared" si="916"/>
        <v>0</v>
      </c>
      <c r="S329" s="75">
        <f t="shared" si="980"/>
        <v>1.0814050277737608</v>
      </c>
      <c r="T329" s="59">
        <f t="shared" si="959"/>
        <v>1.6012125726793318</v>
      </c>
      <c r="U329" s="59">
        <f t="shared" si="960"/>
        <v>1.1891857459443629</v>
      </c>
      <c r="V329" s="59">
        <f t="shared" si="961"/>
        <v>1.0125053085693865</v>
      </c>
      <c r="W329" s="59">
        <f t="shared" si="962"/>
        <v>0.63233659655516372</v>
      </c>
      <c r="X329" s="59">
        <f t="shared" si="963"/>
        <v>0.85142738384013339</v>
      </c>
      <c r="Y329" s="127">
        <v>1960000</v>
      </c>
      <c r="Z329" s="57">
        <f t="shared" si="964"/>
        <v>1668797.6723266614</v>
      </c>
      <c r="AA329" s="57">
        <f t="shared" si="965"/>
        <v>1239379.7292481209</v>
      </c>
      <c r="AB329" s="57">
        <f t="shared" si="996"/>
        <v>2397884.8564722231</v>
      </c>
      <c r="AC329" s="57">
        <f t="shared" si="966"/>
        <v>0.17</v>
      </c>
      <c r="AD329" s="57">
        <f t="shared" si="967"/>
        <v>2.1666666666666665</v>
      </c>
      <c r="AE329" s="57">
        <f t="shared" si="968"/>
        <v>766500.00000000012</v>
      </c>
      <c r="AF329" s="57">
        <f t="shared" si="969"/>
        <v>253980.31078288797</v>
      </c>
      <c r="AG329" s="57">
        <f t="shared" si="880"/>
        <v>985399.41846523283</v>
      </c>
      <c r="AH329" s="57">
        <f t="shared" si="997"/>
        <v>2528006956.1608963</v>
      </c>
      <c r="AI329" s="57">
        <f t="shared" si="998"/>
        <v>5265118827.3738279</v>
      </c>
      <c r="AJ329" s="77">
        <f t="shared" si="926"/>
        <v>766500</v>
      </c>
      <c r="AK329" s="77">
        <v>36.5</v>
      </c>
      <c r="AL329" s="78">
        <f t="shared" si="970"/>
        <v>3.3220846562275099</v>
      </c>
      <c r="AM329" s="57">
        <f t="shared" si="971"/>
        <v>1</v>
      </c>
      <c r="AN329" s="57">
        <f t="shared" si="972"/>
        <v>0.8</v>
      </c>
      <c r="AO329" s="77">
        <v>1500</v>
      </c>
      <c r="AP329" s="79">
        <v>300</v>
      </c>
      <c r="AQ329" s="57">
        <f t="shared" si="973"/>
        <v>195.65892412744449</v>
      </c>
      <c r="AR329" s="57">
        <f t="shared" si="999"/>
        <v>900</v>
      </c>
      <c r="AS329" s="57">
        <f t="shared" si="974"/>
        <v>1304.3410758725554</v>
      </c>
      <c r="AT329" s="77">
        <v>200</v>
      </c>
      <c r="AU329" s="77">
        <v>3250</v>
      </c>
      <c r="AV329" s="57">
        <f t="shared" si="975"/>
        <v>300000</v>
      </c>
      <c r="AW329" s="77">
        <v>0</v>
      </c>
      <c r="AX329" s="77">
        <f t="shared" si="976"/>
        <v>300000</v>
      </c>
      <c r="AY329" s="78">
        <f t="shared" si="917"/>
        <v>300000</v>
      </c>
      <c r="AZ329" s="77">
        <f t="shared" si="937"/>
        <v>667</v>
      </c>
      <c r="BA329" s="77">
        <v>667</v>
      </c>
      <c r="BB329" s="77">
        <v>617</v>
      </c>
      <c r="BC329" s="77">
        <v>0</v>
      </c>
      <c r="BD329" s="77">
        <v>5.5999999999999999E-3</v>
      </c>
      <c r="BE329" s="77">
        <v>6.7999999999999996E-3</v>
      </c>
      <c r="BF329" s="77">
        <v>0.1275</v>
      </c>
      <c r="BG329" s="77">
        <v>0</v>
      </c>
      <c r="BH329" s="79">
        <v>187.5</v>
      </c>
      <c r="BI329" s="79">
        <f>PI()*13*13/4</f>
        <v>132.73228961416876</v>
      </c>
      <c r="BJ329" s="79">
        <v>2</v>
      </c>
      <c r="BK329" s="57">
        <f t="shared" si="881"/>
        <v>265.46457922833753</v>
      </c>
      <c r="BL329" s="57">
        <f t="shared" si="841"/>
        <v>1008</v>
      </c>
      <c r="BM329" s="80">
        <f>PI()*35*35/4</f>
        <v>962.11275016187415</v>
      </c>
      <c r="BN329" s="80">
        <v>8</v>
      </c>
      <c r="BO329" s="57">
        <f t="shared" si="1000"/>
        <v>7696.9020012949932</v>
      </c>
      <c r="BP329" s="57">
        <f t="shared" si="977"/>
        <v>1984510.4047959973</v>
      </c>
      <c r="BQ329" s="77">
        <f t="shared" si="978"/>
        <v>1.1641532182693481E-8</v>
      </c>
      <c r="BR329" s="57">
        <f t="shared" si="843"/>
        <v>6449658815.5869913</v>
      </c>
      <c r="BS329" s="57">
        <v>391.31784825488899</v>
      </c>
      <c r="BT329" s="57">
        <f t="shared" si="981"/>
        <v>202.26817520537006</v>
      </c>
      <c r="BU329" s="57"/>
      <c r="BV329" s="57">
        <v>3.3E-3</v>
      </c>
      <c r="BW329" s="57">
        <v>30000</v>
      </c>
      <c r="BX329" s="57">
        <v>200000</v>
      </c>
      <c r="BY329" s="77">
        <f>50</f>
        <v>50</v>
      </c>
      <c r="BZ329" s="77">
        <f>BY329+50</f>
        <v>100</v>
      </c>
      <c r="CA329" s="77">
        <f>BY329+50*2</f>
        <v>150</v>
      </c>
      <c r="CB329" s="77">
        <f>BY329+50*3</f>
        <v>200</v>
      </c>
      <c r="CC329" s="77">
        <f>BY329+50*4</f>
        <v>250</v>
      </c>
      <c r="CD329" s="77">
        <f>CC329+50+112.5</f>
        <v>412.5</v>
      </c>
      <c r="CE329" s="77">
        <f>CD329+225*1</f>
        <v>637.5</v>
      </c>
      <c r="CF329" s="77">
        <f>CD329+225*2</f>
        <v>862.5</v>
      </c>
      <c r="CG329" s="77">
        <f>CD329+225*3</f>
        <v>1087.5</v>
      </c>
      <c r="CH329" s="77">
        <f>CG329+112.5+50</f>
        <v>1250</v>
      </c>
      <c r="CI329" s="77">
        <f>CH329+50</f>
        <v>1300</v>
      </c>
      <c r="CJ329" s="77">
        <f>CH329+50*2</f>
        <v>1350</v>
      </c>
      <c r="CK329" s="77">
        <f>CH329+50*3</f>
        <v>1400</v>
      </c>
      <c r="CL329" s="77">
        <f>CH329+50*4</f>
        <v>1450</v>
      </c>
      <c r="DM329" s="77">
        <f t="shared" si="943"/>
        <v>1924.2255003237483</v>
      </c>
      <c r="DN329" s="77">
        <f>PI()*35*35/4</f>
        <v>962.11275016187415</v>
      </c>
      <c r="DO329" s="77">
        <f>PI()*35*35/4*2</f>
        <v>1924.2255003237483</v>
      </c>
      <c r="DP329" s="77">
        <f>PI()*35*35/4</f>
        <v>962.11275016187415</v>
      </c>
      <c r="DQ329" s="77">
        <f>PI()*35*35/4*2</f>
        <v>1924.2255003237483</v>
      </c>
      <c r="DR329" s="77">
        <f>PI()*13*13/4*2</f>
        <v>265.46457922833753</v>
      </c>
      <c r="DS329" s="77">
        <f>PI()*13*13/4*2</f>
        <v>265.46457922833753</v>
      </c>
      <c r="DT329" s="77">
        <f>PI()*13*13/4*2</f>
        <v>265.46457922833753</v>
      </c>
      <c r="DU329" s="77">
        <f>PI()*13*13/4*2</f>
        <v>265.46457922833753</v>
      </c>
      <c r="DV329" s="77">
        <f>PI()*35*35/4*2</f>
        <v>1924.2255003237483</v>
      </c>
      <c r="DW329" s="77">
        <f>PI()*35*35/4</f>
        <v>962.11275016187415</v>
      </c>
      <c r="DX329" s="77">
        <f>PI()*35*35/4*2</f>
        <v>1924.2255003237483</v>
      </c>
      <c r="DY329" s="77">
        <f>PI()*35*35/4</f>
        <v>962.11275016187415</v>
      </c>
      <c r="DZ329" s="77">
        <f>PI()*35*35/4*2</f>
        <v>1924.2255003237483</v>
      </c>
      <c r="FA329" s="77">
        <f t="shared" si="982"/>
        <v>-1107718.0782051361</v>
      </c>
      <c r="FB329" s="77">
        <f t="shared" si="1001"/>
        <v>-472723.66309829924</v>
      </c>
      <c r="FC329" s="77">
        <f t="shared" si="1001"/>
        <v>-783176.57418806059</v>
      </c>
      <c r="FD329" s="77">
        <f t="shared" si="1001"/>
        <v>-310452.91108976142</v>
      </c>
      <c r="FE329" s="77">
        <f t="shared" si="1001"/>
        <v>-458635.07017098519</v>
      </c>
      <c r="FF329" s="77">
        <f>IF(ABS(-$BV329*($BS329-CD329)/$BS329*$BX329)&gt;$BA329,$BA329*SIGN(-($BS329-CD329)),-$BV329*($BS329-CD329)/$BS329*$BX329)*DR329</f>
        <v>9483.9866790145807</v>
      </c>
      <c r="FG329" s="77">
        <f>IF(ABS(-$BV329*($BS329-CE329)/$BS329*$BX329)&gt;$BA329,$BA329*SIGN(-($BS329-CE329)),-$BV329*($BS329-CE329)/$BS329*$BX329)*DS329</f>
        <v>110224.31884431496</v>
      </c>
      <c r="FH329" s="77">
        <f>IF(ABS(-$BV329*($BS329-CF329)/$BS329*$BX329)&gt;$BA329,$BA329*SIGN(-($BS329-CF329)),-$BV329*($BS329-CF329)/$BS329*$BX329)*DT329</f>
        <v>177064.87434530113</v>
      </c>
      <c r="FI329" s="77">
        <f>IF(ABS(-$BV329*($BS329-CG329)/$BS329*$BX329)&gt;$BA329,$BA329*SIGN(-($BS329-CG329)),-$BV329*($BS329-CG329)/$BS329*$BX329)*DU329</f>
        <v>177064.87434530113</v>
      </c>
      <c r="FJ329" s="77">
        <f>IF(ABS(-$BV329*($BS329-CH329)/$BS329*$BX329)&gt;$BB329,$BB329*SIGN(-($BS329-CH329)),-$BV329*($BS329-CH329)/$BS329*$BX329)*DV329</f>
        <v>1187247.1336997526</v>
      </c>
      <c r="FK329" s="77">
        <f>IF(ABS(-$BV329*($BS329-CI329)/$BS329*$BX329)&gt;$BB329,$BB329*SIGN(-($BS329-CI329)),-$BV329*($BS329-CI329)/$BS329*$BX329)*DW329</f>
        <v>593623.56684987631</v>
      </c>
      <c r="FL329" s="77">
        <f>IF(ABS(-$BV329*($BS329-CJ329)/$BS329*$BX329)&gt;$BB329,$BB329*SIGN(-($BS329-CJ329)),-$BV329*($BS329-CJ329)/$BS329*$BX329)*DX329</f>
        <v>1187247.1336997526</v>
      </c>
      <c r="FM329" s="77">
        <f>IF(ABS(-$BV329*($BS329-CK329)/$BS329*$BX329)&gt;$BB329,$BB329*SIGN(-($BS329-CK329)),-$BV329*($BS329-CK329)/$BS329*$BX329)*DY329</f>
        <v>593623.56684987631</v>
      </c>
      <c r="FN329" s="77">
        <f>IF(ABS(-$BV329*($BS329-CL329)/$BS329*$BX329)&gt;$BB329,$BB329*SIGN(-($BS329-CL329)),-$BV329*($BS329-CL329)/$BS329*$BX329)*DZ329</f>
        <v>1187247.1336997526</v>
      </c>
      <c r="GO329" s="77">
        <f t="shared" si="854"/>
        <v>775402654.74359524</v>
      </c>
      <c r="GP329" s="77">
        <f t="shared" si="855"/>
        <v>307270381.0138945</v>
      </c>
      <c r="GQ329" s="77">
        <f t="shared" si="856"/>
        <v>469905944.51283634</v>
      </c>
      <c r="GR329" s="77">
        <f t="shared" si="857"/>
        <v>170749101.09936878</v>
      </c>
      <c r="GS329" s="77">
        <f t="shared" si="883"/>
        <v>229317535.08549258</v>
      </c>
      <c r="GT329" s="77">
        <f t="shared" si="933"/>
        <v>-3200845.5041674208</v>
      </c>
      <c r="GU329" s="77">
        <f t="shared" si="983"/>
        <v>-12400235.869985433</v>
      </c>
      <c r="GV329" s="77">
        <f t="shared" si="984"/>
        <v>19919798.363846377</v>
      </c>
      <c r="GW329" s="77">
        <f t="shared" ref="GW329:HB329" si="1003">FI329*(CG329-0.5*$AO329)</f>
        <v>59759395.09153913</v>
      </c>
      <c r="GX329" s="77">
        <f t="shared" si="1003"/>
        <v>593623566.84987628</v>
      </c>
      <c r="GY329" s="77">
        <f t="shared" si="1003"/>
        <v>326492961.76743197</v>
      </c>
      <c r="GZ329" s="77">
        <f t="shared" si="1003"/>
        <v>712348280.21985161</v>
      </c>
      <c r="HA329" s="77">
        <f t="shared" si="1003"/>
        <v>385855318.45241958</v>
      </c>
      <c r="HB329" s="77">
        <f t="shared" si="1003"/>
        <v>831072993.58982682</v>
      </c>
      <c r="IC329" s="82">
        <v>348</v>
      </c>
    </row>
    <row r="330" spans="1:237" s="77" customFormat="1">
      <c r="A330" s="77">
        <v>330</v>
      </c>
      <c r="C330" s="123" t="s">
        <v>335</v>
      </c>
      <c r="D330" s="124" t="s">
        <v>354</v>
      </c>
      <c r="E330" s="129">
        <v>3</v>
      </c>
      <c r="F330" s="125">
        <f t="shared" si="994"/>
        <v>0.12200913242009132</v>
      </c>
      <c r="G330" s="125"/>
      <c r="H330" s="125"/>
      <c r="I330" s="135">
        <v>1.7999999999999999E-2</v>
      </c>
      <c r="J330" s="125">
        <f t="shared" si="925"/>
        <v>2.1666666666666665</v>
      </c>
      <c r="K330" s="125">
        <f t="shared" si="911"/>
        <v>7.5</v>
      </c>
      <c r="L330" s="125">
        <f t="shared" si="912"/>
        <v>8.4986301369863015E-2</v>
      </c>
      <c r="M330" s="125">
        <f t="shared" si="913"/>
        <v>5.9232876712328762E-2</v>
      </c>
      <c r="N330" s="125">
        <f t="shared" si="914"/>
        <v>1.6177232876712326</v>
      </c>
      <c r="O330" s="125">
        <f t="shared" si="915"/>
        <v>0</v>
      </c>
      <c r="P330" s="125">
        <v>7.0000000000000007E-2</v>
      </c>
      <c r="Q330" s="125" t="s">
        <v>3</v>
      </c>
      <c r="R330" s="126">
        <f t="shared" si="916"/>
        <v>0</v>
      </c>
      <c r="S330" s="75">
        <f t="shared" si="980"/>
        <v>0.73712097811517563</v>
      </c>
      <c r="T330" s="59">
        <f t="shared" si="959"/>
        <v>2.147879007351897</v>
      </c>
      <c r="U330" s="59">
        <f t="shared" si="960"/>
        <v>1.6213440143256734</v>
      </c>
      <c r="V330" s="59">
        <f t="shared" si="961"/>
        <v>1.1610542450796584</v>
      </c>
      <c r="W330" s="59">
        <f t="shared" si="962"/>
        <v>0.54055849566271097</v>
      </c>
      <c r="X330" s="59">
        <f t="shared" si="963"/>
        <v>0.71610604216067475</v>
      </c>
      <c r="Y330" s="127">
        <v>1336000</v>
      </c>
      <c r="Z330" s="57">
        <f t="shared" si="964"/>
        <v>956717.67232666153</v>
      </c>
      <c r="AA330" s="57">
        <f t="shared" si="965"/>
        <v>722186.15020538191</v>
      </c>
      <c r="AB330" s="57">
        <f t="shared" si="996"/>
        <v>2046521.075628283</v>
      </c>
      <c r="AC330" s="57">
        <f t="shared" si="966"/>
        <v>0.17</v>
      </c>
      <c r="AD330" s="57">
        <f t="shared" si="967"/>
        <v>2.1666666666666665</v>
      </c>
      <c r="AE330" s="57">
        <f t="shared" si="968"/>
        <v>766500.00000000012</v>
      </c>
      <c r="AF330" s="57">
        <f t="shared" si="969"/>
        <v>256965.38641046095</v>
      </c>
      <c r="AG330" s="57">
        <f t="shared" si="880"/>
        <v>465220.76379492093</v>
      </c>
      <c r="AH330" s="57">
        <f t="shared" si="997"/>
        <v>2569003525.966157</v>
      </c>
      <c r="AI330" s="57">
        <f t="shared" si="998"/>
        <v>4082189969.8257627</v>
      </c>
      <c r="AJ330" s="77">
        <f t="shared" si="926"/>
        <v>766500</v>
      </c>
      <c r="AK330" s="77">
        <v>36.5</v>
      </c>
      <c r="AL330" s="78">
        <f t="shared" si="970"/>
        <v>3.3220846562275099</v>
      </c>
      <c r="AM330" s="57">
        <f t="shared" si="971"/>
        <v>1</v>
      </c>
      <c r="AN330" s="57">
        <f t="shared" si="972"/>
        <v>0.8</v>
      </c>
      <c r="AO330" s="77">
        <v>1500</v>
      </c>
      <c r="AP330" s="79">
        <v>300</v>
      </c>
      <c r="AQ330" s="57">
        <f t="shared" si="973"/>
        <v>176.93902923919771</v>
      </c>
      <c r="AR330" s="57">
        <f t="shared" si="999"/>
        <v>900</v>
      </c>
      <c r="AS330" s="57">
        <f t="shared" si="974"/>
        <v>1323.0609707608023</v>
      </c>
      <c r="AT330" s="77">
        <v>200</v>
      </c>
      <c r="AU330" s="77">
        <v>3250</v>
      </c>
      <c r="AV330" s="57">
        <f t="shared" si="975"/>
        <v>300000</v>
      </c>
      <c r="AW330" s="77">
        <v>0</v>
      </c>
      <c r="AX330" s="77">
        <f t="shared" si="976"/>
        <v>300000</v>
      </c>
      <c r="AY330" s="78">
        <f t="shared" si="917"/>
        <v>300000</v>
      </c>
      <c r="AZ330" s="77">
        <f t="shared" si="937"/>
        <v>470</v>
      </c>
      <c r="BA330" s="77">
        <v>470</v>
      </c>
      <c r="BB330" s="77">
        <v>617</v>
      </c>
      <c r="BC330" s="77">
        <v>0</v>
      </c>
      <c r="BD330" s="77">
        <v>6.6E-3</v>
      </c>
      <c r="BE330" s="77">
        <v>4.5999999999999999E-3</v>
      </c>
      <c r="BF330" s="77">
        <v>9.5699999999999993E-2</v>
      </c>
      <c r="BG330" s="77">
        <v>0</v>
      </c>
      <c r="BH330" s="79">
        <v>430</v>
      </c>
      <c r="BI330" s="79">
        <f>PI()*16*16/4</f>
        <v>201.06192982974676</v>
      </c>
      <c r="BJ330" s="79">
        <v>2</v>
      </c>
      <c r="BK330" s="57">
        <f t="shared" si="881"/>
        <v>402.12385965949352</v>
      </c>
      <c r="BL330" s="57">
        <f t="shared" si="841"/>
        <v>1188</v>
      </c>
      <c r="BM330" s="80">
        <f>PI()*35*35/4</f>
        <v>962.11275016187415</v>
      </c>
      <c r="BN330" s="80">
        <v>6</v>
      </c>
      <c r="BO330" s="57">
        <f t="shared" si="1000"/>
        <v>5772.6765009712453</v>
      </c>
      <c r="BP330" s="57">
        <f t="shared" si="977"/>
        <v>1551168.4714264236</v>
      </c>
      <c r="BQ330" s="77">
        <f t="shared" si="978"/>
        <v>1.3737007975578308E-8</v>
      </c>
      <c r="BR330" s="57">
        <f t="shared" si="843"/>
        <v>5041297532.1358767</v>
      </c>
      <c r="BS330" s="57">
        <v>353.87805847839542</v>
      </c>
      <c r="BT330" s="57">
        <f t="shared" si="981"/>
        <v>194.5107762314</v>
      </c>
      <c r="BU330" s="57"/>
      <c r="BV330" s="57">
        <v>3.3E-3</v>
      </c>
      <c r="BW330" s="57">
        <v>30000</v>
      </c>
      <c r="BX330" s="57">
        <v>200000</v>
      </c>
      <c r="BY330" s="77">
        <f>50</f>
        <v>50</v>
      </c>
      <c r="BZ330" s="77">
        <f>BY330+100</f>
        <v>150</v>
      </c>
      <c r="CA330" s="77">
        <f>BY330+100*2</f>
        <v>250</v>
      </c>
      <c r="CB330" s="77">
        <f>CA330+50+150</f>
        <v>450</v>
      </c>
      <c r="CC330" s="77">
        <f>CB330+300</f>
        <v>750</v>
      </c>
      <c r="CD330" s="77">
        <f>CB330+300*2</f>
        <v>1050</v>
      </c>
      <c r="CE330" s="77">
        <f>CD330+150+50</f>
        <v>1250</v>
      </c>
      <c r="CF330" s="77">
        <f>CE330+100</f>
        <v>1350</v>
      </c>
      <c r="CG330" s="77">
        <f>CE330+100*2</f>
        <v>1450</v>
      </c>
      <c r="DM330" s="77">
        <f t="shared" si="943"/>
        <v>1924.2255003237483</v>
      </c>
      <c r="DN330" s="77">
        <f>PI()*35*35/4*2</f>
        <v>1924.2255003237483</v>
      </c>
      <c r="DO330" s="77">
        <f>PI()*35*35/4*2</f>
        <v>1924.2255003237483</v>
      </c>
      <c r="DP330" s="77">
        <f>PI()*16*16/4*2</f>
        <v>402.12385965949352</v>
      </c>
      <c r="DQ330" s="77">
        <f>PI()*16*16/4*2</f>
        <v>402.12385965949352</v>
      </c>
      <c r="DR330" s="77">
        <f>PI()*16*16/4*2</f>
        <v>402.12385965949352</v>
      </c>
      <c r="DS330" s="77">
        <f t="shared" ref="DS330:DU331" si="1004">PI()*35*35/4*2</f>
        <v>1924.2255003237483</v>
      </c>
      <c r="DT330" s="77">
        <f t="shared" si="1004"/>
        <v>1924.2255003237483</v>
      </c>
      <c r="DU330" s="77">
        <f t="shared" si="1004"/>
        <v>1924.2255003237483</v>
      </c>
      <c r="FA330" s="77">
        <f t="shared" si="982"/>
        <v>-1090550.0659576517</v>
      </c>
      <c r="FB330" s="77">
        <f t="shared" ref="FB330:FC337" si="1005">IF(ABS(-$BV330*($BS330-BZ330)/$BS330*$BX330)&gt;$BB330,$BB330*SIGN(-($BS330-BZ330)),-$BV330*($BS330-BZ330)/$BS330*$BX330)*DN330</f>
        <v>-731672.53744560678</v>
      </c>
      <c r="FC330" s="77">
        <f t="shared" si="1005"/>
        <v>-372795.00893356203</v>
      </c>
      <c r="FD330" s="77">
        <f t="shared" ref="FD330:FD338" si="1006">IF(ABS(-$BV330*($BS330-CB330)/$BS330*$BX330)&gt;$BA330,$BA330*SIGN(-($BS330-CB330)),-$BV330*($BS330-CB330)/$BS330*$BX330)*DP330</f>
        <v>72089.610049938798</v>
      </c>
      <c r="FE330" s="77">
        <f t="shared" ref="FE330:FE338" si="1007">IF(ABS(-$BV330*($BS330-CC330)/$BS330*$BX330)&gt;$BA330,$BA330*SIGN(-($BS330-CC330)),-$BV330*($BS330-CC330)/$BS330*$BX330)*DQ330</f>
        <v>188998.21403996195</v>
      </c>
      <c r="FF330" s="77">
        <f>IF(ABS(-$BV330*($BS330-CD330)/$BS330*$BX330)&gt;$BA330,$BA330*SIGN(-($BS330-CD330)),-$BV330*($BS330-CD330)/$BS330*$BX330)*DR330</f>
        <v>188998.21403996195</v>
      </c>
      <c r="FG330" s="77">
        <f t="shared" ref="FG330:FI331" si="1008">IF(ABS(-$BV330*($BS330-CE330)/$BS330*$BX330)&gt;$BB330,$BB330*SIGN(-($BS330-CE330)),-$BV330*($BS330-CE330)/$BS330*$BX330)*DS330</f>
        <v>1187247.1336997526</v>
      </c>
      <c r="FH330" s="77">
        <f t="shared" si="1008"/>
        <v>1187247.1336997526</v>
      </c>
      <c r="FI330" s="77">
        <f t="shared" si="1008"/>
        <v>1187247.1336997526</v>
      </c>
      <c r="GO330" s="77">
        <f t="shared" si="854"/>
        <v>763385046.17035615</v>
      </c>
      <c r="GP330" s="77">
        <f t="shared" si="855"/>
        <v>439003522.46736407</v>
      </c>
      <c r="GQ330" s="77">
        <f t="shared" si="856"/>
        <v>186397504.46678102</v>
      </c>
      <c r="GR330" s="77">
        <f t="shared" si="857"/>
        <v>-21626883.014981639</v>
      </c>
      <c r="GS330" s="77">
        <f t="shared" si="883"/>
        <v>0</v>
      </c>
      <c r="GT330" s="77">
        <f t="shared" si="933"/>
        <v>56699464.211988583</v>
      </c>
      <c r="GU330" s="77">
        <f t="shared" si="983"/>
        <v>593623566.84987628</v>
      </c>
      <c r="GV330" s="77">
        <f t="shared" si="984"/>
        <v>712348280.21985161</v>
      </c>
      <c r="GW330" s="77">
        <f>FI330*(CG330-0.5*$AO330)</f>
        <v>831072993.58982682</v>
      </c>
      <c r="IC330" s="82">
        <v>349</v>
      </c>
    </row>
    <row r="331" spans="1:237" s="77" customFormat="1">
      <c r="A331" s="77">
        <v>331</v>
      </c>
      <c r="C331" s="123" t="s">
        <v>335</v>
      </c>
      <c r="D331" s="124" t="s">
        <v>355</v>
      </c>
      <c r="E331" s="129">
        <v>3</v>
      </c>
      <c r="F331" s="125">
        <f t="shared" si="994"/>
        <v>0.13068493150684932</v>
      </c>
      <c r="G331" s="125"/>
      <c r="H331" s="125"/>
      <c r="I331" s="135">
        <v>1.7999999999999999E-2</v>
      </c>
      <c r="J331" s="125">
        <f t="shared" si="925"/>
        <v>2.1666666666666665</v>
      </c>
      <c r="K331" s="125">
        <f t="shared" si="911"/>
        <v>7.5</v>
      </c>
      <c r="L331" s="125">
        <f t="shared" si="912"/>
        <v>7.6750684931506843E-2</v>
      </c>
      <c r="M331" s="125">
        <f t="shared" si="913"/>
        <v>6.2131506849315066E-2</v>
      </c>
      <c r="N331" s="125">
        <f t="shared" si="914"/>
        <v>1.6177232876712326</v>
      </c>
      <c r="O331" s="125">
        <f t="shared" si="915"/>
        <v>0</v>
      </c>
      <c r="P331" s="125">
        <v>7.0000000000000007E-2</v>
      </c>
      <c r="Q331" s="125" t="s">
        <v>3</v>
      </c>
      <c r="R331" s="126">
        <f t="shared" si="916"/>
        <v>0</v>
      </c>
      <c r="S331" s="75">
        <f t="shared" si="980"/>
        <v>0.78953601772665893</v>
      </c>
      <c r="T331" s="59">
        <f t="shared" si="959"/>
        <v>2.0396876131007651</v>
      </c>
      <c r="U331" s="59">
        <f t="shared" si="960"/>
        <v>1.5636653441008681</v>
      </c>
      <c r="V331" s="59">
        <f t="shared" si="961"/>
        <v>1.0800957416686321</v>
      </c>
      <c r="W331" s="59">
        <f t="shared" si="962"/>
        <v>0.52953978576486693</v>
      </c>
      <c r="X331" s="59">
        <f t="shared" si="963"/>
        <v>0.69074610225482991</v>
      </c>
      <c r="Y331" s="127">
        <v>1431000</v>
      </c>
      <c r="Z331" s="57">
        <f t="shared" si="964"/>
        <v>988457.67232666165</v>
      </c>
      <c r="AA331" s="57">
        <f t="shared" si="965"/>
        <v>757771.43342952465</v>
      </c>
      <c r="AB331" s="57">
        <f t="shared" si="996"/>
        <v>2052042.8983387391</v>
      </c>
      <c r="AC331" s="57">
        <f t="shared" si="966"/>
        <v>0.17</v>
      </c>
      <c r="AD331" s="57">
        <f t="shared" si="967"/>
        <v>2.1666666666666665</v>
      </c>
      <c r="AE331" s="57">
        <f t="shared" si="968"/>
        <v>766500.00000000012</v>
      </c>
      <c r="AF331" s="57">
        <f t="shared" si="969"/>
        <v>257272.6461339074</v>
      </c>
      <c r="AG331" s="57">
        <f t="shared" si="880"/>
        <v>500498.78729561722</v>
      </c>
      <c r="AH331" s="57">
        <f t="shared" si="997"/>
        <v>2573223383.7762122</v>
      </c>
      <c r="AI331" s="57">
        <f t="shared" si="998"/>
        <v>4095916035.8246894</v>
      </c>
      <c r="AJ331" s="77">
        <f t="shared" si="926"/>
        <v>766500</v>
      </c>
      <c r="AK331" s="77">
        <v>36.5</v>
      </c>
      <c r="AL331" s="78">
        <f t="shared" si="970"/>
        <v>3.3220846562275099</v>
      </c>
      <c r="AM331" s="57">
        <f t="shared" si="971"/>
        <v>1</v>
      </c>
      <c r="AN331" s="57">
        <f t="shared" si="972"/>
        <v>0.8</v>
      </c>
      <c r="AO331" s="77">
        <v>1500</v>
      </c>
      <c r="AP331" s="79">
        <v>300</v>
      </c>
      <c r="AQ331" s="57">
        <f t="shared" si="973"/>
        <v>175.01215352684383</v>
      </c>
      <c r="AR331" s="57">
        <f t="shared" si="999"/>
        <v>900</v>
      </c>
      <c r="AS331" s="57">
        <f t="shared" si="974"/>
        <v>1324.9878464731562</v>
      </c>
      <c r="AT331" s="77">
        <v>200</v>
      </c>
      <c r="AU331" s="77">
        <v>3250</v>
      </c>
      <c r="AV331" s="57">
        <f t="shared" si="975"/>
        <v>300000</v>
      </c>
      <c r="AW331" s="77">
        <v>0</v>
      </c>
      <c r="AX331" s="77">
        <f t="shared" si="976"/>
        <v>300000</v>
      </c>
      <c r="AY331" s="78">
        <f t="shared" si="917"/>
        <v>300000</v>
      </c>
      <c r="AZ331" s="77">
        <f t="shared" si="937"/>
        <v>667</v>
      </c>
      <c r="BA331" s="77">
        <v>667</v>
      </c>
      <c r="BB331" s="77">
        <v>617</v>
      </c>
      <c r="BC331" s="77">
        <v>0</v>
      </c>
      <c r="BD331" s="77">
        <v>4.1999999999999997E-3</v>
      </c>
      <c r="BE331" s="77">
        <v>3.3999999999999998E-3</v>
      </c>
      <c r="BF331" s="77">
        <v>9.5699999999999993E-2</v>
      </c>
      <c r="BG331" s="77">
        <v>0</v>
      </c>
      <c r="BH331" s="79">
        <v>375</v>
      </c>
      <c r="BI331" s="79">
        <f>PI()*13*13/4</f>
        <v>132.73228961416876</v>
      </c>
      <c r="BJ331" s="79">
        <v>2</v>
      </c>
      <c r="BK331" s="57">
        <f t="shared" si="881"/>
        <v>265.46457922833753</v>
      </c>
      <c r="BL331" s="57">
        <f t="shared" si="841"/>
        <v>756</v>
      </c>
      <c r="BM331" s="80">
        <f>PI()*35*35/4</f>
        <v>962.11275016187415</v>
      </c>
      <c r="BN331" s="80">
        <v>6</v>
      </c>
      <c r="BO331" s="57">
        <f t="shared" si="1000"/>
        <v>5772.6765009712453</v>
      </c>
      <c r="BP331" s="57">
        <f t="shared" si="977"/>
        <v>1545617.0063278126</v>
      </c>
      <c r="BQ331" s="77">
        <f t="shared" si="978"/>
        <v>1.7462298274040222E-8</v>
      </c>
      <c r="BR331" s="57">
        <f t="shared" si="843"/>
        <v>5023255270.5653906</v>
      </c>
      <c r="BS331" s="57">
        <v>350.02430705368766</v>
      </c>
      <c r="BT331" s="57">
        <f t="shared" si="981"/>
        <v>190.82809440642308</v>
      </c>
      <c r="BU331" s="57"/>
      <c r="BV331" s="57">
        <v>3.3E-3</v>
      </c>
      <c r="BW331" s="57">
        <v>30000</v>
      </c>
      <c r="BX331" s="57">
        <v>200000</v>
      </c>
      <c r="BY331" s="77">
        <f>50</f>
        <v>50</v>
      </c>
      <c r="BZ331" s="77">
        <f>BY331+100</f>
        <v>150</v>
      </c>
      <c r="CA331" s="77">
        <f>BY331+100*2</f>
        <v>250</v>
      </c>
      <c r="CB331" s="77">
        <f>CA331+50+150</f>
        <v>450</v>
      </c>
      <c r="CC331" s="77">
        <f>CB331+300</f>
        <v>750</v>
      </c>
      <c r="CD331" s="77">
        <f>CB331+300*2</f>
        <v>1050</v>
      </c>
      <c r="CE331" s="77">
        <f>CD331+150+50</f>
        <v>1250</v>
      </c>
      <c r="CF331" s="77">
        <f>CE331+100</f>
        <v>1350</v>
      </c>
      <c r="CG331" s="77">
        <f>CE331+100*2</f>
        <v>1450</v>
      </c>
      <c r="DM331" s="77">
        <f t="shared" si="943"/>
        <v>1924.2255003237483</v>
      </c>
      <c r="DN331" s="77">
        <f>PI()*35*35/4*2</f>
        <v>1924.2255003237483</v>
      </c>
      <c r="DO331" s="77">
        <f>PI()*35*35/4*2</f>
        <v>1924.2255003237483</v>
      </c>
      <c r="DP331" s="77">
        <f>PI()*13*13/4*2</f>
        <v>265.46457922833753</v>
      </c>
      <c r="DQ331" s="77">
        <f>PI()*13*13/4*2</f>
        <v>265.46457922833753</v>
      </c>
      <c r="DR331" s="77">
        <f>PI()*13*13/4*2</f>
        <v>265.46457922833753</v>
      </c>
      <c r="DS331" s="77">
        <f t="shared" si="1004"/>
        <v>1924.2255003237483</v>
      </c>
      <c r="DT331" s="77">
        <f t="shared" si="1004"/>
        <v>1924.2255003237483</v>
      </c>
      <c r="DU331" s="77">
        <f t="shared" si="1004"/>
        <v>1924.2255003237483</v>
      </c>
      <c r="FA331" s="77">
        <f t="shared" si="982"/>
        <v>-1088574.4534659928</v>
      </c>
      <c r="FB331" s="77">
        <f t="shared" si="1005"/>
        <v>-725745.69997063058</v>
      </c>
      <c r="FC331" s="77">
        <f t="shared" si="1005"/>
        <v>-362916.94647526857</v>
      </c>
      <c r="FD331" s="77">
        <f t="shared" si="1006"/>
        <v>50043.391613969005</v>
      </c>
      <c r="FE331" s="77">
        <f t="shared" si="1007"/>
        <v>177064.87434530113</v>
      </c>
      <c r="FF331" s="77">
        <f>IF(ABS(-$BV331*($BS331-CD331)/$BS331*$BX331)&gt;$BA331,$BA331*SIGN(-($BS331-CD331)),-$BV331*($BS331-CD331)/$BS331*$BX331)*DR331</f>
        <v>177064.87434530113</v>
      </c>
      <c r="FG331" s="77">
        <f t="shared" si="1008"/>
        <v>1187247.1336997526</v>
      </c>
      <c r="FH331" s="77">
        <f t="shared" si="1008"/>
        <v>1187247.1336997526</v>
      </c>
      <c r="FI331" s="77">
        <f t="shared" si="1008"/>
        <v>1187247.1336997526</v>
      </c>
      <c r="GO331" s="77">
        <f t="shared" si="854"/>
        <v>762002117.42619503</v>
      </c>
      <c r="GP331" s="77">
        <f t="shared" si="855"/>
        <v>435447419.98237836</v>
      </c>
      <c r="GQ331" s="77">
        <f t="shared" si="856"/>
        <v>181458473.2376343</v>
      </c>
      <c r="GR331" s="77">
        <f t="shared" si="857"/>
        <v>-15013017.484190701</v>
      </c>
      <c r="GS331" s="77">
        <f t="shared" si="883"/>
        <v>0</v>
      </c>
      <c r="GT331" s="77">
        <f t="shared" si="933"/>
        <v>53119462.303590335</v>
      </c>
      <c r="GU331" s="77">
        <f t="shared" si="983"/>
        <v>593623566.84987628</v>
      </c>
      <c r="GV331" s="77">
        <f t="shared" si="984"/>
        <v>712348280.21985161</v>
      </c>
      <c r="GW331" s="77">
        <f>FI331*(CG331-0.5*$AO331)</f>
        <v>831072993.58982682</v>
      </c>
      <c r="IC331" s="82">
        <v>350</v>
      </c>
    </row>
    <row r="332" spans="1:237" s="77" customFormat="1">
      <c r="A332" s="77">
        <v>332</v>
      </c>
      <c r="C332" s="123" t="s">
        <v>356</v>
      </c>
      <c r="D332" s="124" t="s">
        <v>357</v>
      </c>
      <c r="E332" s="129">
        <v>3</v>
      </c>
      <c r="F332" s="125">
        <f t="shared" si="994"/>
        <v>8.8433048433048431E-2</v>
      </c>
      <c r="G332" s="125"/>
      <c r="H332" s="125">
        <v>1.2E-2</v>
      </c>
      <c r="I332" s="135">
        <v>1.2999999999999999E-2</v>
      </c>
      <c r="J332" s="125">
        <f t="shared" si="925"/>
        <v>2.7</v>
      </c>
      <c r="K332" s="125">
        <f t="shared" si="911"/>
        <v>6.9444444444444446</v>
      </c>
      <c r="L332" s="125">
        <f t="shared" si="912"/>
        <v>4.1907692307692306E-2</v>
      </c>
      <c r="M332" s="125">
        <f t="shared" si="913"/>
        <v>5.8205128205128208E-2</v>
      </c>
      <c r="N332" s="125">
        <f t="shared" si="914"/>
        <v>2.6879999999999997</v>
      </c>
      <c r="O332" s="125">
        <f t="shared" si="915"/>
        <v>0</v>
      </c>
      <c r="P332" s="125">
        <v>0</v>
      </c>
      <c r="Q332" s="125" t="s">
        <v>3</v>
      </c>
      <c r="R332" s="126">
        <f t="shared" si="916"/>
        <v>0</v>
      </c>
      <c r="S332" s="75">
        <f t="shared" si="980"/>
        <v>0.39050976822053607</v>
      </c>
      <c r="T332" s="59">
        <f t="shared" si="959"/>
        <v>1.8019965952521761</v>
      </c>
      <c r="U332" s="59">
        <f t="shared" si="960"/>
        <v>1.3548533540183261</v>
      </c>
      <c r="V332" s="59">
        <f t="shared" si="961"/>
        <v>1.4815475997097773</v>
      </c>
      <c r="W332" s="59">
        <f t="shared" si="962"/>
        <v>0.82217003273662992</v>
      </c>
      <c r="X332" s="59">
        <f t="shared" si="963"/>
        <v>1.0935114086817528</v>
      </c>
      <c r="Y332" s="127">
        <v>388000</v>
      </c>
      <c r="Z332" s="57">
        <f t="shared" si="964"/>
        <v>424282.42656852008</v>
      </c>
      <c r="AA332" s="57">
        <f t="shared" si="965"/>
        <v>319001.9727018124</v>
      </c>
      <c r="AB332" s="57">
        <f t="shared" si="996"/>
        <v>733715.32867127634</v>
      </c>
      <c r="AC332" s="57">
        <f t="shared" si="966"/>
        <v>0.17</v>
      </c>
      <c r="AD332" s="57">
        <f t="shared" si="967"/>
        <v>2.2000000000000002</v>
      </c>
      <c r="AE332" s="57">
        <f t="shared" si="968"/>
        <v>0</v>
      </c>
      <c r="AF332" s="57">
        <f t="shared" si="969"/>
        <v>113233.66326656581</v>
      </c>
      <c r="AG332" s="57">
        <f t="shared" si="880"/>
        <v>205768.30943524657</v>
      </c>
      <c r="AH332" s="57">
        <f t="shared" si="997"/>
        <v>694321394.94958806</v>
      </c>
      <c r="AI332" s="57">
        <f t="shared" si="998"/>
        <v>1781967839.3159697</v>
      </c>
      <c r="AJ332" s="77">
        <f t="shared" si="926"/>
        <v>0</v>
      </c>
      <c r="AK332" s="77">
        <v>19.5</v>
      </c>
      <c r="AL332" s="78">
        <f t="shared" si="970"/>
        <v>2.3532531902398768</v>
      </c>
      <c r="AM332" s="57">
        <f t="shared" si="971"/>
        <v>1</v>
      </c>
      <c r="AN332" s="57">
        <f t="shared" si="972"/>
        <v>0.8</v>
      </c>
      <c r="AO332" s="77">
        <v>1250</v>
      </c>
      <c r="AP332" s="79">
        <f>35+120+35</f>
        <v>190</v>
      </c>
      <c r="AQ332" s="57">
        <f t="shared" si="973"/>
        <v>113.8822987710481</v>
      </c>
      <c r="AR332" s="57">
        <f t="shared" si="999"/>
        <v>870</v>
      </c>
      <c r="AS332" s="57">
        <f t="shared" si="974"/>
        <v>1136.117701228952</v>
      </c>
      <c r="AT332" s="77">
        <v>180</v>
      </c>
      <c r="AU332" s="77">
        <v>3375</v>
      </c>
      <c r="AV332" s="57">
        <f t="shared" si="975"/>
        <v>225000</v>
      </c>
      <c r="AW332" s="77">
        <v>0</v>
      </c>
      <c r="AX332" s="77">
        <f t="shared" si="976"/>
        <v>225000</v>
      </c>
      <c r="AY332" s="78">
        <f t="shared" si="917"/>
        <v>225000</v>
      </c>
      <c r="AZ332" s="77">
        <f t="shared" si="937"/>
        <v>454</v>
      </c>
      <c r="BA332" s="77">
        <v>454</v>
      </c>
      <c r="BB332" s="77">
        <f>(636+644)/2</f>
        <v>640</v>
      </c>
      <c r="BC332" s="77">
        <v>0</v>
      </c>
      <c r="BD332" s="77">
        <v>1.8E-3</v>
      </c>
      <c r="BE332" s="77">
        <v>2.5000000000000001E-3</v>
      </c>
      <c r="BF332" s="77">
        <v>8.1900000000000001E-2</v>
      </c>
      <c r="BG332" s="77">
        <v>0</v>
      </c>
      <c r="BH332" s="79">
        <v>315</v>
      </c>
      <c r="BI332" s="79">
        <f t="shared" ref="BI332:BI341" si="1009">PI()*10*10/4</f>
        <v>78.539816339744831</v>
      </c>
      <c r="BJ332" s="79">
        <v>2</v>
      </c>
      <c r="BK332" s="57">
        <f t="shared" si="881"/>
        <v>157.07963267948966</v>
      </c>
      <c r="BL332" s="57">
        <f t="shared" si="841"/>
        <v>281.88</v>
      </c>
      <c r="BM332" s="80">
        <f>PI()*25*25/4*2+PI()*22*22/4</f>
        <v>1361.8804153311753</v>
      </c>
      <c r="BN332" s="80">
        <v>2</v>
      </c>
      <c r="BO332" s="57">
        <f t="shared" si="1000"/>
        <v>2723.7608306623506</v>
      </c>
      <c r="BP332" s="57">
        <f t="shared" si="977"/>
        <v>574840.46868739359</v>
      </c>
      <c r="BQ332" s="77">
        <f t="shared" si="978"/>
        <v>0</v>
      </c>
      <c r="BR332" s="57">
        <f t="shared" si="843"/>
        <v>1940086581.8199534</v>
      </c>
      <c r="BS332" s="57">
        <v>227.7645975420962</v>
      </c>
      <c r="BT332" s="57">
        <f t="shared" si="981"/>
        <v>10.285994144264039</v>
      </c>
      <c r="BU332" s="57"/>
      <c r="BV332" s="57">
        <v>3.3E-3</v>
      </c>
      <c r="BW332" s="57">
        <v>30000</v>
      </c>
      <c r="BX332" s="57">
        <v>200000</v>
      </c>
      <c r="BY332" s="77">
        <f>35</f>
        <v>35</v>
      </c>
      <c r="BZ332" s="77">
        <f>BY332+60</f>
        <v>95</v>
      </c>
      <c r="CA332" s="77">
        <f>BY332+60*2</f>
        <v>155</v>
      </c>
      <c r="CB332" s="77">
        <f>CA332+35+210</f>
        <v>400</v>
      </c>
      <c r="CC332" s="77">
        <f t="shared" ref="CC332:CC338" si="1010">CB332+450</f>
        <v>850</v>
      </c>
      <c r="CD332" s="77">
        <f>CC332+210+35</f>
        <v>1095</v>
      </c>
      <c r="CE332" s="77">
        <f>CD332+60</f>
        <v>1155</v>
      </c>
      <c r="CF332" s="77">
        <f>CD332+60*2</f>
        <v>1215</v>
      </c>
      <c r="DM332" s="77">
        <f>PI()*25*25/4*2</f>
        <v>981.74770424681037</v>
      </c>
      <c r="DN332" s="77">
        <f>PI()*25*25/4*2</f>
        <v>981.74770424681037</v>
      </c>
      <c r="DO332" s="77">
        <f>PI()*22*22/4*2</f>
        <v>760.26542216872986</v>
      </c>
      <c r="DP332" s="77">
        <f t="shared" ref="DP332:DQ338" si="1011">PI()*10*10/4*2</f>
        <v>157.07963267948966</v>
      </c>
      <c r="DQ332" s="77">
        <f t="shared" si="1011"/>
        <v>157.07963267948966</v>
      </c>
      <c r="DR332" s="77">
        <f>PI()*22*22/4*2</f>
        <v>760.26542216872986</v>
      </c>
      <c r="DS332" s="77">
        <f>PI()*25*25/4*2</f>
        <v>981.74770424681037</v>
      </c>
      <c r="DT332" s="77">
        <f>PI()*25*25/4*2</f>
        <v>981.74770424681037</v>
      </c>
      <c r="FA332" s="77">
        <f t="shared" si="982"/>
        <v>-548384.13902733009</v>
      </c>
      <c r="FB332" s="77">
        <f t="shared" si="1005"/>
        <v>-377693.83198350482</v>
      </c>
      <c r="FC332" s="77">
        <f t="shared" si="1005"/>
        <v>-160303.52971328783</v>
      </c>
      <c r="FD332" s="77">
        <f t="shared" si="1006"/>
        <v>71314.153236488302</v>
      </c>
      <c r="FE332" s="77">
        <f t="shared" si="1007"/>
        <v>71314.153236488302</v>
      </c>
      <c r="FF332" s="77">
        <f t="shared" ref="FF332:FH337" si="1012">IF(ABS(-$BV332*($BS332-CD332)/$BS332*$BX332)&gt;$BB332,$BB332*SIGN(-($BS332-CD332)),-$BV332*($BS332-CD332)/$BS332*$BX332)*DR332</f>
        <v>486569.87018798711</v>
      </c>
      <c r="FG332" s="77">
        <f t="shared" si="1012"/>
        <v>628318.5307179587</v>
      </c>
      <c r="FH332" s="77">
        <f t="shared" si="1012"/>
        <v>628318.5307179587</v>
      </c>
      <c r="GO332" s="77">
        <f t="shared" si="854"/>
        <v>323546642.02612478</v>
      </c>
      <c r="GP332" s="77">
        <f t="shared" si="855"/>
        <v>200177730.95125756</v>
      </c>
      <c r="GQ332" s="77">
        <f t="shared" si="856"/>
        <v>75342658.965245277</v>
      </c>
      <c r="GR332" s="77">
        <f t="shared" si="857"/>
        <v>-16045684.478209868</v>
      </c>
      <c r="GS332" s="77">
        <f t="shared" si="883"/>
        <v>16045684.478209868</v>
      </c>
      <c r="GT332" s="77">
        <f t="shared" si="933"/>
        <v>228687838.98835394</v>
      </c>
      <c r="GU332" s="77">
        <f t="shared" si="983"/>
        <v>333008821.28051811</v>
      </c>
      <c r="GV332" s="77">
        <f t="shared" si="984"/>
        <v>370707933.12359565</v>
      </c>
      <c r="IC332" s="82">
        <v>351</v>
      </c>
    </row>
    <row r="333" spans="1:237" s="77" customFormat="1">
      <c r="A333" s="77">
        <v>333</v>
      </c>
      <c r="C333" s="123" t="s">
        <v>356</v>
      </c>
      <c r="D333" s="124" t="s">
        <v>284</v>
      </c>
      <c r="E333" s="129">
        <v>3</v>
      </c>
      <c r="F333" s="125">
        <f t="shared" si="994"/>
        <v>0.11008547008547008</v>
      </c>
      <c r="G333" s="125"/>
      <c r="H333" s="125">
        <v>1.4500000000000001E-2</v>
      </c>
      <c r="I333" s="135">
        <v>1.7999999999999999E-2</v>
      </c>
      <c r="J333" s="125">
        <f t="shared" si="925"/>
        <v>2.7</v>
      </c>
      <c r="K333" s="125">
        <f t="shared" ref="K333:K363" si="1013">AO333/AT333</f>
        <v>6.9444444444444446</v>
      </c>
      <c r="L333" s="125">
        <f t="shared" ref="L333:L363" si="1014">BD333*BA333/AK333</f>
        <v>4.1907692307692306E-2</v>
      </c>
      <c r="M333" s="125">
        <f t="shared" ref="M333:M363" si="1015">BE333*BA333/AK333</f>
        <v>5.8205128205128208E-2</v>
      </c>
      <c r="N333" s="125">
        <f t="shared" ref="N333:N363" si="1016">BF333*BB333/AK333</f>
        <v>2.3679384615384613</v>
      </c>
      <c r="O333" s="125">
        <f t="shared" ref="O333:O363" si="1017">BG333*BC333/AK333</f>
        <v>0</v>
      </c>
      <c r="P333" s="125">
        <v>0.245</v>
      </c>
      <c r="Q333" s="125" t="s">
        <v>3</v>
      </c>
      <c r="R333" s="126">
        <f t="shared" si="916"/>
        <v>0</v>
      </c>
      <c r="S333" s="75">
        <f t="shared" si="980"/>
        <v>0.48612427332607971</v>
      </c>
      <c r="T333" s="59">
        <f t="shared" si="959"/>
        <v>1.7537109908657456</v>
      </c>
      <c r="U333" s="59">
        <f t="shared" si="960"/>
        <v>1.4263366811334646</v>
      </c>
      <c r="V333" s="59">
        <f t="shared" si="961"/>
        <v>1.2529391059523725</v>
      </c>
      <c r="W333" s="59">
        <f t="shared" si="962"/>
        <v>0.71445016452445242</v>
      </c>
      <c r="X333" s="59">
        <f t="shared" si="963"/>
        <v>0.87843152498658406</v>
      </c>
      <c r="Y333" s="127">
        <v>483000</v>
      </c>
      <c r="Z333" s="57">
        <f t="shared" si="964"/>
        <v>424282.42656852008</v>
      </c>
      <c r="AA333" s="57">
        <f t="shared" si="965"/>
        <v>345079.42946531053</v>
      </c>
      <c r="AB333" s="57">
        <f t="shared" si="996"/>
        <v>544518.14520631463</v>
      </c>
      <c r="AC333" s="57">
        <f t="shared" si="966"/>
        <v>0.17</v>
      </c>
      <c r="AD333" s="57">
        <f t="shared" si="967"/>
        <v>2.2000000000000002</v>
      </c>
      <c r="AE333" s="57">
        <f t="shared" si="968"/>
        <v>877500</v>
      </c>
      <c r="AF333" s="57">
        <f t="shared" si="969"/>
        <v>155785.50648984942</v>
      </c>
      <c r="AG333" s="57">
        <f t="shared" si="880"/>
        <v>189293.92297546109</v>
      </c>
      <c r="AH333" s="57">
        <f t="shared" si="997"/>
        <v>603468154.65876472</v>
      </c>
      <c r="AI333" s="57">
        <f t="shared" si="998"/>
        <v>1234280585.4125473</v>
      </c>
      <c r="AJ333" s="77">
        <f t="shared" si="926"/>
        <v>1074937.5</v>
      </c>
      <c r="AK333" s="77">
        <v>19.5</v>
      </c>
      <c r="AL333" s="78">
        <f t="shared" si="970"/>
        <v>2.3532531902398768</v>
      </c>
      <c r="AM333" s="57">
        <f t="shared" si="971"/>
        <v>1</v>
      </c>
      <c r="AN333" s="57">
        <f t="shared" si="972"/>
        <v>0.8</v>
      </c>
      <c r="AO333" s="77">
        <v>1250</v>
      </c>
      <c r="AP333" s="79">
        <f>35+110+35</f>
        <v>180</v>
      </c>
      <c r="AQ333" s="57">
        <f t="shared" si="973"/>
        <v>204.8430600526041</v>
      </c>
      <c r="AR333" s="57">
        <f t="shared" si="999"/>
        <v>890</v>
      </c>
      <c r="AS333" s="57">
        <f t="shared" si="974"/>
        <v>1045.1569399473958</v>
      </c>
      <c r="AT333" s="77">
        <v>180</v>
      </c>
      <c r="AU333" s="77">
        <v>3375</v>
      </c>
      <c r="AV333" s="57">
        <f t="shared" si="975"/>
        <v>225000</v>
      </c>
      <c r="AW333" s="77">
        <v>0</v>
      </c>
      <c r="AX333" s="77">
        <f t="shared" si="976"/>
        <v>225000</v>
      </c>
      <c r="AY333" s="78">
        <f t="shared" si="917"/>
        <v>225000</v>
      </c>
      <c r="AZ333" s="77">
        <f t="shared" si="937"/>
        <v>454</v>
      </c>
      <c r="BA333" s="77">
        <v>454</v>
      </c>
      <c r="BB333" s="77">
        <v>644</v>
      </c>
      <c r="BC333" s="77">
        <v>0</v>
      </c>
      <c r="BD333" s="77">
        <v>1.8E-3</v>
      </c>
      <c r="BE333" s="77">
        <v>2.5000000000000001E-3</v>
      </c>
      <c r="BF333" s="77">
        <v>7.17E-2</v>
      </c>
      <c r="BG333" s="77">
        <v>0</v>
      </c>
      <c r="BH333" s="79">
        <v>315</v>
      </c>
      <c r="BI333" s="79">
        <f t="shared" si="1009"/>
        <v>78.539816339744831</v>
      </c>
      <c r="BJ333" s="79">
        <v>2</v>
      </c>
      <c r="BK333" s="57">
        <f t="shared" si="881"/>
        <v>157.07963267948966</v>
      </c>
      <c r="BL333" s="57">
        <f t="shared" si="841"/>
        <v>288.35999999999996</v>
      </c>
      <c r="BM333" s="80">
        <f>PI()*22*22/4</f>
        <v>380.13271108436493</v>
      </c>
      <c r="BN333" s="80">
        <v>6</v>
      </c>
      <c r="BO333" s="57">
        <f t="shared" si="1000"/>
        <v>2280.7962665061896</v>
      </c>
      <c r="BP333" s="57">
        <f t="shared" si="977"/>
        <v>605169.58817499585</v>
      </c>
      <c r="BQ333" s="77">
        <f t="shared" si="978"/>
        <v>4.0745362639427185E-9</v>
      </c>
      <c r="BR333" s="57">
        <f t="shared" si="843"/>
        <v>2042447360.090611</v>
      </c>
      <c r="BS333" s="57">
        <v>409.6861201052082</v>
      </c>
      <c r="BT333" s="57">
        <f t="shared" si="981"/>
        <v>332.69733652737114</v>
      </c>
      <c r="BU333" s="57"/>
      <c r="BV333" s="57">
        <v>3.3E-3</v>
      </c>
      <c r="BW333" s="57">
        <v>30000</v>
      </c>
      <c r="BX333" s="57">
        <v>200000</v>
      </c>
      <c r="BY333" s="77">
        <f>35</f>
        <v>35</v>
      </c>
      <c r="BZ333" s="77">
        <f>BY333+55*1</f>
        <v>90</v>
      </c>
      <c r="CA333" s="77">
        <f>BY333+55*2</f>
        <v>145</v>
      </c>
      <c r="CB333" s="77">
        <f>CA333+35+220</f>
        <v>400</v>
      </c>
      <c r="CC333" s="77">
        <f t="shared" si="1010"/>
        <v>850</v>
      </c>
      <c r="CD333" s="77">
        <f>CC333+220+35</f>
        <v>1105</v>
      </c>
      <c r="CE333" s="77">
        <f>CD333+55</f>
        <v>1160</v>
      </c>
      <c r="CF333" s="77">
        <f>CD333+55*2</f>
        <v>1215</v>
      </c>
      <c r="DM333" s="77">
        <f>PI()*22*22/4*2</f>
        <v>760.26542216872986</v>
      </c>
      <c r="DN333" s="77">
        <f>PI()*22*22/4*2</f>
        <v>760.26542216872986</v>
      </c>
      <c r="DO333" s="77">
        <f>PI()*22*22/4*2</f>
        <v>760.26542216872986</v>
      </c>
      <c r="DP333" s="77">
        <f t="shared" si="1011"/>
        <v>157.07963267948966</v>
      </c>
      <c r="DQ333" s="77">
        <f t="shared" si="1011"/>
        <v>157.07963267948966</v>
      </c>
      <c r="DR333" s="77">
        <f>PI()*22*22/4*2</f>
        <v>760.26542216872986</v>
      </c>
      <c r="DS333" s="77">
        <f>PI()*22*22/4*2</f>
        <v>760.26542216872986</v>
      </c>
      <c r="DT333" s="77">
        <f>PI()*22*22/4*2</f>
        <v>760.26542216872986</v>
      </c>
      <c r="FA333" s="77">
        <f t="shared" si="982"/>
        <v>-458907.89465408737</v>
      </c>
      <c r="FB333" s="77">
        <f t="shared" si="1005"/>
        <v>-391545.01983265637</v>
      </c>
      <c r="FC333" s="77">
        <f t="shared" si="1005"/>
        <v>-324182.14501122542</v>
      </c>
      <c r="FD333" s="77">
        <f t="shared" si="1006"/>
        <v>-2451.1077992204605</v>
      </c>
      <c r="FE333" s="77">
        <f t="shared" si="1007"/>
        <v>71314.153236488302</v>
      </c>
      <c r="FF333" s="77">
        <f t="shared" si="1012"/>
        <v>489610.93187666201</v>
      </c>
      <c r="FG333" s="77">
        <f t="shared" si="1012"/>
        <v>489610.93187666201</v>
      </c>
      <c r="FH333" s="77">
        <f t="shared" si="1012"/>
        <v>489610.93187666201</v>
      </c>
      <c r="GO333" s="77">
        <f t="shared" si="854"/>
        <v>270755657.84591156</v>
      </c>
      <c r="GP333" s="77">
        <f t="shared" si="855"/>
        <v>209476585.61047116</v>
      </c>
      <c r="GQ333" s="77">
        <f t="shared" si="856"/>
        <v>155607429.60538819</v>
      </c>
      <c r="GR333" s="77">
        <f t="shared" si="857"/>
        <v>551499.25482460356</v>
      </c>
      <c r="GS333" s="77">
        <f t="shared" si="883"/>
        <v>16045684.478209868</v>
      </c>
      <c r="GT333" s="77">
        <f t="shared" si="933"/>
        <v>235013247.30079776</v>
      </c>
      <c r="GU333" s="77">
        <f t="shared" si="983"/>
        <v>261941848.55401418</v>
      </c>
      <c r="GV333" s="77">
        <f t="shared" si="984"/>
        <v>288870449.80723059</v>
      </c>
      <c r="IC333" s="82">
        <v>352</v>
      </c>
    </row>
    <row r="334" spans="1:237" s="77" customFormat="1">
      <c r="A334" s="77">
        <v>334</v>
      </c>
      <c r="C334" s="123" t="s">
        <v>356</v>
      </c>
      <c r="D334" s="124" t="s">
        <v>285</v>
      </c>
      <c r="E334" s="129">
        <v>3</v>
      </c>
      <c r="F334" s="125">
        <f t="shared" si="994"/>
        <v>8.4102564102564101E-2</v>
      </c>
      <c r="G334" s="125"/>
      <c r="H334" s="125">
        <v>1.4500000000000001E-2</v>
      </c>
      <c r="I334" s="135">
        <v>1.55E-2</v>
      </c>
      <c r="J334" s="125">
        <f t="shared" si="925"/>
        <v>2.7</v>
      </c>
      <c r="K334" s="125">
        <f t="shared" si="1013"/>
        <v>6.9444444444444446</v>
      </c>
      <c r="L334" s="125">
        <f t="shared" si="1014"/>
        <v>4.9846153846153846E-2</v>
      </c>
      <c r="M334" s="125">
        <f t="shared" si="1015"/>
        <v>5.5384615384615386E-2</v>
      </c>
      <c r="N334" s="125">
        <f t="shared" si="1016"/>
        <v>2.8995076923076928</v>
      </c>
      <c r="O334" s="125">
        <f t="shared" si="1017"/>
        <v>0</v>
      </c>
      <c r="P334" s="125">
        <v>0</v>
      </c>
      <c r="Q334" s="125" t="s">
        <v>3</v>
      </c>
      <c r="R334" s="126">
        <f t="shared" si="916"/>
        <v>0</v>
      </c>
      <c r="S334" s="75">
        <f t="shared" si="980"/>
        <v>0.37138686719942737</v>
      </c>
      <c r="T334" s="59">
        <f t="shared" si="959"/>
        <v>1.9986917904301358</v>
      </c>
      <c r="U334" s="59">
        <f t="shared" si="960"/>
        <v>1.4875257207921062</v>
      </c>
      <c r="V334" s="59">
        <f t="shared" si="961"/>
        <v>1.6604956412085623</v>
      </c>
      <c r="W334" s="59">
        <f t="shared" si="962"/>
        <v>0.8307912451330024</v>
      </c>
      <c r="X334" s="59">
        <f t="shared" si="963"/>
        <v>1.1162802888035777</v>
      </c>
      <c r="Y334" s="127">
        <v>369000</v>
      </c>
      <c r="Z334" s="57">
        <f t="shared" si="964"/>
        <v>411907.42656852014</v>
      </c>
      <c r="AA334" s="57">
        <f t="shared" si="965"/>
        <v>306561.96945407789</v>
      </c>
      <c r="AB334" s="57">
        <f t="shared" si="996"/>
        <v>764172.71934469917</v>
      </c>
      <c r="AC334" s="57">
        <f t="shared" si="966"/>
        <v>0.17</v>
      </c>
      <c r="AD334" s="57">
        <f t="shared" si="967"/>
        <v>2.2000000000000002</v>
      </c>
      <c r="AE334" s="57">
        <f t="shared" si="968"/>
        <v>0</v>
      </c>
      <c r="AF334" s="57">
        <f t="shared" si="969"/>
        <v>112554.71171925042</v>
      </c>
      <c r="AG334" s="57">
        <f t="shared" si="880"/>
        <v>194007.25773482749</v>
      </c>
      <c r="AH334" s="57">
        <f t="shared" si="997"/>
        <v>689778347.54344606</v>
      </c>
      <c r="AI334" s="57">
        <f t="shared" si="998"/>
        <v>1889304580.2449133</v>
      </c>
      <c r="AJ334" s="77">
        <f t="shared" si="926"/>
        <v>0</v>
      </c>
      <c r="AK334" s="77">
        <v>19.5</v>
      </c>
      <c r="AL334" s="78">
        <f t="shared" si="970"/>
        <v>2.3532531902398768</v>
      </c>
      <c r="AM334" s="57">
        <f t="shared" si="971"/>
        <v>1</v>
      </c>
      <c r="AN334" s="57">
        <f t="shared" si="972"/>
        <v>0.8</v>
      </c>
      <c r="AO334" s="77">
        <v>1250</v>
      </c>
      <c r="AP334" s="79">
        <f>35+120+35</f>
        <v>190</v>
      </c>
      <c r="AQ334" s="57">
        <f t="shared" si="973"/>
        <v>120.69448561486561</v>
      </c>
      <c r="AR334" s="57">
        <f t="shared" si="999"/>
        <v>870</v>
      </c>
      <c r="AS334" s="57">
        <f t="shared" si="974"/>
        <v>1129.3055143851343</v>
      </c>
      <c r="AT334" s="77">
        <v>180</v>
      </c>
      <c r="AU334" s="77">
        <v>3375</v>
      </c>
      <c r="AV334" s="57">
        <f t="shared" si="975"/>
        <v>225000</v>
      </c>
      <c r="AW334" s="77">
        <v>0</v>
      </c>
      <c r="AX334" s="77">
        <f t="shared" si="976"/>
        <v>225000</v>
      </c>
      <c r="AY334" s="78">
        <f t="shared" si="917"/>
        <v>225000</v>
      </c>
      <c r="AZ334" s="77">
        <f t="shared" si="937"/>
        <v>540</v>
      </c>
      <c r="BA334" s="77">
        <v>540</v>
      </c>
      <c r="BB334" s="77">
        <v>636</v>
      </c>
      <c r="BC334" s="77">
        <v>0</v>
      </c>
      <c r="BD334" s="77">
        <v>1.8E-3</v>
      </c>
      <c r="BE334" s="77">
        <v>2E-3</v>
      </c>
      <c r="BF334" s="77">
        <v>8.8900000000000007E-2</v>
      </c>
      <c r="BG334" s="77">
        <v>0</v>
      </c>
      <c r="BH334" s="79">
        <v>395</v>
      </c>
      <c r="BI334" s="79">
        <f t="shared" si="1009"/>
        <v>78.539816339744831</v>
      </c>
      <c r="BJ334" s="79">
        <v>2</v>
      </c>
      <c r="BK334" s="57">
        <f t="shared" si="881"/>
        <v>157.07963267948966</v>
      </c>
      <c r="BL334" s="57">
        <f t="shared" ref="BL334:BL396" si="1018">IF(BF334=0,FALSE,BD334*AR334*AT334)</f>
        <v>281.88</v>
      </c>
      <c r="BM334" s="80">
        <f>PI()*25*25/4</f>
        <v>490.87385212340519</v>
      </c>
      <c r="BN334" s="80">
        <v>6</v>
      </c>
      <c r="BO334" s="57">
        <f t="shared" si="1000"/>
        <v>2945.2431127404311</v>
      </c>
      <c r="BP334" s="57">
        <f t="shared" si="977"/>
        <v>612722.89160595951</v>
      </c>
      <c r="BQ334" s="77">
        <f t="shared" si="978"/>
        <v>1.9790604710578918E-9</v>
      </c>
      <c r="BR334" s="57">
        <f t="shared" si="843"/>
        <v>2067939759.1701133</v>
      </c>
      <c r="BS334" s="57">
        <v>241.38897122973123</v>
      </c>
      <c r="BT334" s="57">
        <f t="shared" si="981"/>
        <v>12.234442374234758</v>
      </c>
      <c r="BU334" s="57"/>
      <c r="BV334" s="57">
        <v>3.3E-3</v>
      </c>
      <c r="BW334" s="57">
        <v>30000</v>
      </c>
      <c r="BX334" s="57">
        <v>200000</v>
      </c>
      <c r="BY334" s="77">
        <f>35</f>
        <v>35</v>
      </c>
      <c r="BZ334" s="77">
        <f>BY334+60</f>
        <v>95</v>
      </c>
      <c r="CA334" s="77">
        <f>BY334+60*2</f>
        <v>155</v>
      </c>
      <c r="CB334" s="77">
        <f>CA334+35+210</f>
        <v>400</v>
      </c>
      <c r="CC334" s="77">
        <f t="shared" si="1010"/>
        <v>850</v>
      </c>
      <c r="CD334" s="77">
        <f>CC334+210+35</f>
        <v>1095</v>
      </c>
      <c r="CE334" s="77">
        <f>CD334+60</f>
        <v>1155</v>
      </c>
      <c r="CF334" s="77">
        <f>CD334+60*2</f>
        <v>1215</v>
      </c>
      <c r="DM334" s="77">
        <f>PI()*25*25/4*2</f>
        <v>981.74770424681037</v>
      </c>
      <c r="DN334" s="77">
        <f>PI()*25*25/4*2</f>
        <v>981.74770424681037</v>
      </c>
      <c r="DO334" s="77">
        <f>PI()*25*25/4*2</f>
        <v>981.74770424681037</v>
      </c>
      <c r="DP334" s="77">
        <f t="shared" si="1011"/>
        <v>157.07963267948966</v>
      </c>
      <c r="DQ334" s="77">
        <f t="shared" si="1011"/>
        <v>157.07963267948966</v>
      </c>
      <c r="DR334" s="77">
        <f>PI()*25*25/4*2</f>
        <v>981.74770424681037</v>
      </c>
      <c r="DS334" s="77">
        <f>PI()*25*25/4*2</f>
        <v>981.74770424681037</v>
      </c>
      <c r="DT334" s="77">
        <f>PI()*25*25/4*2</f>
        <v>981.74770424681037</v>
      </c>
      <c r="FA334" s="77">
        <f t="shared" si="982"/>
        <v>-554003.98970969033</v>
      </c>
      <c r="FB334" s="77">
        <f t="shared" si="1005"/>
        <v>-392947.71240705403</v>
      </c>
      <c r="FC334" s="77">
        <f t="shared" si="1005"/>
        <v>-231891.43510441767</v>
      </c>
      <c r="FD334" s="77">
        <f t="shared" si="1006"/>
        <v>68120.804887682214</v>
      </c>
      <c r="FE334" s="77">
        <f t="shared" si="1007"/>
        <v>84823.001646924415</v>
      </c>
      <c r="FF334" s="77">
        <f t="shared" si="1012"/>
        <v>624391.53990097134</v>
      </c>
      <c r="FG334" s="77">
        <f t="shared" si="1012"/>
        <v>624391.53990097134</v>
      </c>
      <c r="FH334" s="77">
        <f t="shared" si="1012"/>
        <v>624391.53990097134</v>
      </c>
      <c r="GO334" s="77">
        <f t="shared" si="854"/>
        <v>326862353.92871732</v>
      </c>
      <c r="GP334" s="77">
        <f t="shared" si="855"/>
        <v>208262287.57573864</v>
      </c>
      <c r="GQ334" s="77">
        <f t="shared" si="856"/>
        <v>108988974.49907631</v>
      </c>
      <c r="GR334" s="77">
        <f t="shared" si="857"/>
        <v>-15327181.099728499</v>
      </c>
      <c r="GS334" s="77">
        <f t="shared" si="883"/>
        <v>19085175.370557994</v>
      </c>
      <c r="GT334" s="77">
        <f t="shared" si="933"/>
        <v>293464023.75345653</v>
      </c>
      <c r="GU334" s="77">
        <f t="shared" si="983"/>
        <v>330927516.14751482</v>
      </c>
      <c r="GV334" s="77">
        <f t="shared" si="984"/>
        <v>368391008.54157311</v>
      </c>
      <c r="IC334" s="82">
        <v>353</v>
      </c>
    </row>
    <row r="335" spans="1:237" s="77" customFormat="1">
      <c r="A335" s="77">
        <v>335</v>
      </c>
      <c r="C335" s="123" t="s">
        <v>356</v>
      </c>
      <c r="D335" s="124" t="s">
        <v>21</v>
      </c>
      <c r="E335" s="129">
        <v>3</v>
      </c>
      <c r="F335" s="125">
        <f t="shared" si="994"/>
        <v>0.10985754985754986</v>
      </c>
      <c r="G335" s="125"/>
      <c r="H335" s="125">
        <v>1.35E-2</v>
      </c>
      <c r="I335" s="135">
        <v>1.7500000000000002E-2</v>
      </c>
      <c r="J335" s="125">
        <f t="shared" si="925"/>
        <v>2.7</v>
      </c>
      <c r="K335" s="125">
        <f t="shared" si="1013"/>
        <v>6.9444444444444446</v>
      </c>
      <c r="L335" s="125">
        <f t="shared" si="1014"/>
        <v>4.9846153846153846E-2</v>
      </c>
      <c r="M335" s="125">
        <f t="shared" si="1015"/>
        <v>5.5384615384615386E-2</v>
      </c>
      <c r="N335" s="125">
        <f t="shared" si="1016"/>
        <v>2.4582564102564097</v>
      </c>
      <c r="O335" s="125">
        <f t="shared" si="1017"/>
        <v>0</v>
      </c>
      <c r="P335" s="125">
        <v>0.245</v>
      </c>
      <c r="Q335" s="125" t="s">
        <v>3</v>
      </c>
      <c r="R335" s="126">
        <f t="shared" si="916"/>
        <v>0</v>
      </c>
      <c r="S335" s="75">
        <f t="shared" si="980"/>
        <v>0.48511780485128453</v>
      </c>
      <c r="T335" s="59">
        <f t="shared" si="959"/>
        <v>1.9401680626343951</v>
      </c>
      <c r="U335" s="59">
        <f t="shared" si="960"/>
        <v>1.5752408584841371</v>
      </c>
      <c r="V335" s="59">
        <f t="shared" si="961"/>
        <v>1.346168896771343</v>
      </c>
      <c r="W335" s="59">
        <f t="shared" si="962"/>
        <v>0.69384138554651331</v>
      </c>
      <c r="X335" s="59">
        <f t="shared" si="963"/>
        <v>0.85457972317120356</v>
      </c>
      <c r="Y335" s="127">
        <v>482000</v>
      </c>
      <c r="Z335" s="57">
        <f t="shared" si="964"/>
        <v>411907.42656852014</v>
      </c>
      <c r="AA335" s="57">
        <f t="shared" si="965"/>
        <v>334431.5478334194</v>
      </c>
      <c r="AB335" s="57">
        <f t="shared" si="996"/>
        <v>582662.33371770021</v>
      </c>
      <c r="AC335" s="57">
        <f t="shared" si="966"/>
        <v>0.17</v>
      </c>
      <c r="AD335" s="57">
        <f t="shared" si="967"/>
        <v>2.2000000000000002</v>
      </c>
      <c r="AE335" s="57">
        <f t="shared" si="968"/>
        <v>877500</v>
      </c>
      <c r="AF335" s="57">
        <f t="shared" si="969"/>
        <v>155453.21781982644</v>
      </c>
      <c r="AG335" s="57">
        <f t="shared" si="880"/>
        <v>178978.33001359293</v>
      </c>
      <c r="AH335" s="57">
        <f t="shared" si="997"/>
        <v>631436230.39122856</v>
      </c>
      <c r="AI335" s="57">
        <f t="shared" si="998"/>
        <v>1335049145.9060099</v>
      </c>
      <c r="AJ335" s="77">
        <f t="shared" si="926"/>
        <v>1074937.5</v>
      </c>
      <c r="AK335" s="77">
        <v>19.5</v>
      </c>
      <c r="AL335" s="78">
        <f t="shared" si="970"/>
        <v>2.3532531902398768</v>
      </c>
      <c r="AM335" s="57">
        <f t="shared" si="971"/>
        <v>1</v>
      </c>
      <c r="AN335" s="57">
        <f t="shared" si="972"/>
        <v>0.8</v>
      </c>
      <c r="AO335" s="77">
        <v>1250</v>
      </c>
      <c r="AP335" s="79">
        <f>35+120+35</f>
        <v>190</v>
      </c>
      <c r="AQ335" s="57">
        <f t="shared" si="973"/>
        <v>208.17704244830026</v>
      </c>
      <c r="AR335" s="57">
        <f t="shared" si="999"/>
        <v>870</v>
      </c>
      <c r="AS335" s="57">
        <f t="shared" si="974"/>
        <v>1041.8229575516998</v>
      </c>
      <c r="AT335" s="77">
        <v>180</v>
      </c>
      <c r="AU335" s="77">
        <v>3375</v>
      </c>
      <c r="AV335" s="57">
        <f t="shared" si="975"/>
        <v>225000</v>
      </c>
      <c r="AW335" s="77">
        <v>0</v>
      </c>
      <c r="AX335" s="77">
        <f t="shared" si="976"/>
        <v>225000</v>
      </c>
      <c r="AY335" s="78">
        <f t="shared" si="917"/>
        <v>225000</v>
      </c>
      <c r="AZ335" s="77">
        <f t="shared" si="937"/>
        <v>540</v>
      </c>
      <c r="BA335" s="77">
        <v>540</v>
      </c>
      <c r="BB335" s="77">
        <f>(636+644)/2</f>
        <v>640</v>
      </c>
      <c r="BC335" s="77">
        <v>0</v>
      </c>
      <c r="BD335" s="77">
        <v>1.8E-3</v>
      </c>
      <c r="BE335" s="77">
        <v>2E-3</v>
      </c>
      <c r="BF335" s="77">
        <v>7.4899999999999994E-2</v>
      </c>
      <c r="BG335" s="77">
        <v>0</v>
      </c>
      <c r="BH335" s="79">
        <v>395</v>
      </c>
      <c r="BI335" s="79">
        <f t="shared" si="1009"/>
        <v>78.539816339744831</v>
      </c>
      <c r="BJ335" s="79">
        <v>2</v>
      </c>
      <c r="BK335" s="57">
        <f t="shared" si="881"/>
        <v>157.07963267948966</v>
      </c>
      <c r="BL335" s="57">
        <f t="shared" si="1018"/>
        <v>281.88</v>
      </c>
      <c r="BM335" s="80">
        <f>PI()*25*25/4+PI()*22*22/4*2</f>
        <v>1251.139274292135</v>
      </c>
      <c r="BN335" s="80">
        <v>2</v>
      </c>
      <c r="BO335" s="57">
        <f t="shared" si="1000"/>
        <v>2502.2785485842701</v>
      </c>
      <c r="BP335" s="57">
        <f t="shared" si="977"/>
        <v>648853.40824378736</v>
      </c>
      <c r="BQ335" s="77">
        <f t="shared" si="978"/>
        <v>6.0535967350006104E-9</v>
      </c>
      <c r="BR335" s="57">
        <f t="shared" si="843"/>
        <v>2189880252.8227825</v>
      </c>
      <c r="BS335" s="57">
        <v>416.35408489660051</v>
      </c>
      <c r="BT335" s="57">
        <f t="shared" si="981"/>
        <v>335.18715287019785</v>
      </c>
      <c r="BU335" s="57"/>
      <c r="BV335" s="57">
        <v>3.3E-3</v>
      </c>
      <c r="BW335" s="57">
        <v>30000</v>
      </c>
      <c r="BX335" s="57">
        <v>200000</v>
      </c>
      <c r="BY335" s="77">
        <f>35</f>
        <v>35</v>
      </c>
      <c r="BZ335" s="77">
        <f>BY335+60</f>
        <v>95</v>
      </c>
      <c r="CA335" s="77">
        <f>BY335+60*2</f>
        <v>155</v>
      </c>
      <c r="CB335" s="77">
        <f>CA335+35+210</f>
        <v>400</v>
      </c>
      <c r="CC335" s="77">
        <f t="shared" si="1010"/>
        <v>850</v>
      </c>
      <c r="CD335" s="77">
        <f>CC335+210+35</f>
        <v>1095</v>
      </c>
      <c r="CE335" s="77">
        <f>CD335+60</f>
        <v>1155</v>
      </c>
      <c r="CF335" s="77">
        <f>CD335+60*2</f>
        <v>1215</v>
      </c>
      <c r="DM335" s="77">
        <f>PI()*25*25/4*2</f>
        <v>981.74770424681037</v>
      </c>
      <c r="DN335" s="77">
        <f t="shared" ref="DN335:DO337" si="1019">PI()*22*22/4*2</f>
        <v>760.26542216872986</v>
      </c>
      <c r="DO335" s="77">
        <f t="shared" si="1019"/>
        <v>760.26542216872986</v>
      </c>
      <c r="DP335" s="77">
        <f t="shared" si="1011"/>
        <v>157.07963267948966</v>
      </c>
      <c r="DQ335" s="77">
        <f t="shared" si="1011"/>
        <v>157.07963267948966</v>
      </c>
      <c r="DR335" s="77">
        <f t="shared" ref="DR335:DS337" si="1020">PI()*22*22/4*2</f>
        <v>760.26542216872986</v>
      </c>
      <c r="DS335" s="77">
        <f t="shared" si="1020"/>
        <v>760.26542216872986</v>
      </c>
      <c r="DT335" s="77">
        <f>PI()*25*25/4*2</f>
        <v>981.74770424681037</v>
      </c>
      <c r="FA335" s="77">
        <f t="shared" si="982"/>
        <v>-593484.52967367263</v>
      </c>
      <c r="FB335" s="77">
        <f t="shared" si="1005"/>
        <v>-387284.54746145819</v>
      </c>
      <c r="FC335" s="77">
        <f t="shared" si="1005"/>
        <v>-314974.67514362442</v>
      </c>
      <c r="FD335" s="77">
        <f t="shared" si="1006"/>
        <v>-4072.1824750282258</v>
      </c>
      <c r="FE335" s="77">
        <f t="shared" si="1007"/>
        <v>84823.001646924415</v>
      </c>
      <c r="FF335" s="77">
        <f t="shared" si="1012"/>
        <v>486569.87018798711</v>
      </c>
      <c r="FG335" s="77">
        <f t="shared" si="1012"/>
        <v>486569.87018798711</v>
      </c>
      <c r="FH335" s="77">
        <f t="shared" si="1012"/>
        <v>628318.5307179587</v>
      </c>
      <c r="GO335" s="77">
        <f t="shared" si="854"/>
        <v>350155872.50746685</v>
      </c>
      <c r="GP335" s="77">
        <f t="shared" si="855"/>
        <v>205260810.15457284</v>
      </c>
      <c r="GQ335" s="77">
        <f t="shared" si="856"/>
        <v>148038097.31750348</v>
      </c>
      <c r="GR335" s="77">
        <f t="shared" si="857"/>
        <v>916241.05688135081</v>
      </c>
      <c r="GS335" s="77">
        <f t="shared" si="883"/>
        <v>19085175.370557994</v>
      </c>
      <c r="GT335" s="77">
        <f t="shared" si="933"/>
        <v>228687838.98835394</v>
      </c>
      <c r="GU335" s="77">
        <f t="shared" si="983"/>
        <v>257882031.19963318</v>
      </c>
      <c r="GV335" s="77">
        <f t="shared" si="984"/>
        <v>370707933.12359565</v>
      </c>
      <c r="IC335" s="82">
        <v>354</v>
      </c>
    </row>
    <row r="336" spans="1:237" s="77" customFormat="1">
      <c r="A336" s="77">
        <v>336</v>
      </c>
      <c r="C336" s="123" t="s">
        <v>356</v>
      </c>
      <c r="D336" s="124" t="s">
        <v>23</v>
      </c>
      <c r="E336" s="129">
        <v>3</v>
      </c>
      <c r="F336" s="125">
        <f t="shared" si="994"/>
        <v>6.9961066187481269E-2</v>
      </c>
      <c r="G336" s="125"/>
      <c r="H336" s="125">
        <v>1.4999999999999999E-2</v>
      </c>
      <c r="I336" s="135">
        <v>1.4999999999999999E-2</v>
      </c>
      <c r="J336" s="125">
        <f t="shared" si="925"/>
        <v>2.7</v>
      </c>
      <c r="K336" s="125">
        <f t="shared" si="1013"/>
        <v>6.9444444444444446</v>
      </c>
      <c r="L336" s="125">
        <f t="shared" si="1014"/>
        <v>2.202695417789757E-2</v>
      </c>
      <c r="M336" s="125">
        <f t="shared" si="1015"/>
        <v>3.059299191374663E-2</v>
      </c>
      <c r="N336" s="125">
        <f t="shared" si="1016"/>
        <v>1.2446037735849056</v>
      </c>
      <c r="O336" s="125">
        <f t="shared" si="1017"/>
        <v>0</v>
      </c>
      <c r="P336" s="125">
        <v>0.14199999999999999</v>
      </c>
      <c r="Q336" s="125" t="s">
        <v>3</v>
      </c>
      <c r="R336" s="126">
        <f t="shared" si="916"/>
        <v>0</v>
      </c>
      <c r="S336" s="75">
        <f t="shared" si="980"/>
        <v>0.42613124036557909</v>
      </c>
      <c r="T336" s="59">
        <f t="shared" si="959"/>
        <v>1.5212847209312768</v>
      </c>
      <c r="U336" s="59">
        <f t="shared" si="960"/>
        <v>1.3411070179198927</v>
      </c>
      <c r="V336" s="59">
        <f t="shared" si="961"/>
        <v>1.1214659936604621</v>
      </c>
      <c r="W336" s="59">
        <f t="shared" si="962"/>
        <v>0.73718349907171898</v>
      </c>
      <c r="X336" s="59">
        <f t="shared" si="963"/>
        <v>0.83622408851450036</v>
      </c>
      <c r="Y336" s="127">
        <v>584000</v>
      </c>
      <c r="Z336" s="57">
        <f t="shared" si="964"/>
        <v>488354.86769246822</v>
      </c>
      <c r="AA336" s="57">
        <f t="shared" si="965"/>
        <v>430515.16345788387</v>
      </c>
      <c r="AB336" s="57">
        <f t="shared" si="996"/>
        <v>793663.99379556219</v>
      </c>
      <c r="AC336" s="57">
        <f t="shared" si="966"/>
        <v>0.17</v>
      </c>
      <c r="AD336" s="57">
        <f t="shared" si="967"/>
        <v>2.2000000000000002</v>
      </c>
      <c r="AE336" s="57">
        <f t="shared" si="968"/>
        <v>1185345</v>
      </c>
      <c r="AF336" s="57">
        <f t="shared" si="969"/>
        <v>228262.32585441601</v>
      </c>
      <c r="AG336" s="57">
        <f t="shared" si="880"/>
        <v>202252.83760346789</v>
      </c>
      <c r="AH336" s="57">
        <f t="shared" si="997"/>
        <v>1234143568.1008239</v>
      </c>
      <c r="AI336" s="57">
        <f t="shared" si="998"/>
        <v>1444472410.9591985</v>
      </c>
      <c r="AJ336" s="77">
        <f t="shared" si="926"/>
        <v>1185344.9999999998</v>
      </c>
      <c r="AK336" s="77">
        <v>37.1</v>
      </c>
      <c r="AL336" s="78">
        <f t="shared" si="970"/>
        <v>3.3520097265878674</v>
      </c>
      <c r="AM336" s="57">
        <f t="shared" si="971"/>
        <v>1</v>
      </c>
      <c r="AN336" s="57">
        <f t="shared" si="972"/>
        <v>0.8</v>
      </c>
      <c r="AO336" s="77">
        <v>1250</v>
      </c>
      <c r="AP336" s="79">
        <f>35+110+35</f>
        <v>180</v>
      </c>
      <c r="AQ336" s="57">
        <f t="shared" si="973"/>
        <v>133.29242945257747</v>
      </c>
      <c r="AR336" s="57">
        <f t="shared" si="999"/>
        <v>890</v>
      </c>
      <c r="AS336" s="57">
        <f t="shared" si="974"/>
        <v>1116.7075705474226</v>
      </c>
      <c r="AT336" s="77">
        <v>180</v>
      </c>
      <c r="AU336" s="77">
        <v>3375</v>
      </c>
      <c r="AV336" s="57">
        <f t="shared" si="975"/>
        <v>225000</v>
      </c>
      <c r="AW336" s="77">
        <v>0</v>
      </c>
      <c r="AX336" s="77">
        <f t="shared" si="976"/>
        <v>225000</v>
      </c>
      <c r="AY336" s="78">
        <f t="shared" si="917"/>
        <v>225000</v>
      </c>
      <c r="AZ336" s="77">
        <f t="shared" si="937"/>
        <v>454</v>
      </c>
      <c r="BA336" s="77">
        <v>454</v>
      </c>
      <c r="BB336" s="77">
        <v>644</v>
      </c>
      <c r="BC336" s="77">
        <v>0</v>
      </c>
      <c r="BD336" s="77">
        <v>1.8E-3</v>
      </c>
      <c r="BE336" s="77">
        <v>2.5000000000000001E-3</v>
      </c>
      <c r="BF336" s="77">
        <v>7.17E-2</v>
      </c>
      <c r="BG336" s="77">
        <v>0</v>
      </c>
      <c r="BH336" s="79">
        <v>315</v>
      </c>
      <c r="BI336" s="79">
        <f t="shared" si="1009"/>
        <v>78.539816339744831</v>
      </c>
      <c r="BJ336" s="79">
        <v>2</v>
      </c>
      <c r="BK336" s="57">
        <f t="shared" si="881"/>
        <v>157.07963267948966</v>
      </c>
      <c r="BL336" s="57">
        <f t="shared" si="1018"/>
        <v>288.35999999999996</v>
      </c>
      <c r="BM336" s="80">
        <f>PI()*22*22/4</f>
        <v>380.13271108436493</v>
      </c>
      <c r="BN336" s="80">
        <v>6</v>
      </c>
      <c r="BO336" s="57">
        <f t="shared" si="1000"/>
        <v>2280.7962665061896</v>
      </c>
      <c r="BP336" s="57">
        <f t="shared" si="977"/>
        <v>654936.14029770985</v>
      </c>
      <c r="BQ336" s="77">
        <f t="shared" si="978"/>
        <v>1.3969838619232178E-9</v>
      </c>
      <c r="BR336" s="57">
        <f t="shared" si="843"/>
        <v>2210409473.5047708</v>
      </c>
      <c r="BS336" s="57">
        <v>266.58485890515493</v>
      </c>
      <c r="BT336" s="57">
        <f t="shared" si="981"/>
        <v>271.959313228957</v>
      </c>
      <c r="BU336" s="57"/>
      <c r="BV336" s="57">
        <v>3.3E-3</v>
      </c>
      <c r="BW336" s="57">
        <v>30000</v>
      </c>
      <c r="BX336" s="57">
        <v>200000</v>
      </c>
      <c r="BY336" s="77">
        <f>35</f>
        <v>35</v>
      </c>
      <c r="BZ336" s="77">
        <f>BY336+55*1</f>
        <v>90</v>
      </c>
      <c r="CA336" s="77">
        <f>BY336+55*2</f>
        <v>145</v>
      </c>
      <c r="CB336" s="77">
        <f>CA336+35+220</f>
        <v>400</v>
      </c>
      <c r="CC336" s="77">
        <f t="shared" si="1010"/>
        <v>850</v>
      </c>
      <c r="CD336" s="77">
        <f>CC336+220+35</f>
        <v>1105</v>
      </c>
      <c r="CE336" s="77">
        <f>CD336+55</f>
        <v>1160</v>
      </c>
      <c r="CF336" s="77">
        <f>CD336+55*2</f>
        <v>1215</v>
      </c>
      <c r="DM336" s="77">
        <f>PI()*22*22/4*2</f>
        <v>760.26542216872986</v>
      </c>
      <c r="DN336" s="77">
        <f t="shared" si="1019"/>
        <v>760.26542216872986</v>
      </c>
      <c r="DO336" s="77">
        <f t="shared" si="1019"/>
        <v>760.26542216872986</v>
      </c>
      <c r="DP336" s="77">
        <f t="shared" si="1011"/>
        <v>157.07963267948966</v>
      </c>
      <c r="DQ336" s="77">
        <f t="shared" si="1011"/>
        <v>157.07963267948966</v>
      </c>
      <c r="DR336" s="77">
        <f t="shared" si="1020"/>
        <v>760.26542216872986</v>
      </c>
      <c r="DS336" s="77">
        <f t="shared" si="1020"/>
        <v>760.26542216872986</v>
      </c>
      <c r="DT336" s="77">
        <f>PI()*22*22/4*2</f>
        <v>760.26542216872986</v>
      </c>
      <c r="FA336" s="77">
        <f t="shared" si="982"/>
        <v>-435896.97638002579</v>
      </c>
      <c r="FB336" s="77">
        <f t="shared" si="1005"/>
        <v>-332374.08712792641</v>
      </c>
      <c r="FC336" s="77">
        <f t="shared" si="1005"/>
        <v>-228851.19787582694</v>
      </c>
      <c r="FD336" s="77">
        <f t="shared" si="1006"/>
        <v>51884.000285931106</v>
      </c>
      <c r="FE336" s="77">
        <f t="shared" si="1007"/>
        <v>71314.153236488302</v>
      </c>
      <c r="FF336" s="77">
        <f t="shared" si="1012"/>
        <v>489610.93187666201</v>
      </c>
      <c r="FG336" s="77">
        <f t="shared" si="1012"/>
        <v>489610.93187666201</v>
      </c>
      <c r="FH336" s="77">
        <f t="shared" si="1012"/>
        <v>489610.93187666201</v>
      </c>
      <c r="GO336" s="77">
        <f t="shared" si="854"/>
        <v>257179216.06421521</v>
      </c>
      <c r="GP336" s="77">
        <f t="shared" si="855"/>
        <v>177820136.61344063</v>
      </c>
      <c r="GQ336" s="77">
        <f t="shared" si="856"/>
        <v>109848574.98039693</v>
      </c>
      <c r="GR336" s="77">
        <f t="shared" si="857"/>
        <v>-11673900.064334499</v>
      </c>
      <c r="GS336" s="77">
        <f t="shared" si="883"/>
        <v>16045684.478209868</v>
      </c>
      <c r="GT336" s="77">
        <f t="shared" si="933"/>
        <v>235013247.30079776</v>
      </c>
      <c r="GU336" s="77">
        <f t="shared" si="983"/>
        <v>261941848.55401418</v>
      </c>
      <c r="GV336" s="77">
        <f t="shared" si="984"/>
        <v>288870449.80723059</v>
      </c>
      <c r="IC336" s="82">
        <v>355</v>
      </c>
    </row>
    <row r="337" spans="1:237" s="77" customFormat="1">
      <c r="A337" s="77">
        <v>337</v>
      </c>
      <c r="C337" s="123" t="s">
        <v>356</v>
      </c>
      <c r="D337" s="124" t="s">
        <v>24</v>
      </c>
      <c r="E337" s="129">
        <v>3</v>
      </c>
      <c r="F337" s="125">
        <f t="shared" si="994"/>
        <v>6.876310272536687E-2</v>
      </c>
      <c r="G337" s="125"/>
      <c r="H337" s="125">
        <v>1.4500000000000001E-2</v>
      </c>
      <c r="I337" s="135">
        <v>1.4999999999999999E-2</v>
      </c>
      <c r="J337" s="125">
        <f t="shared" ref="J337:J354" si="1021">AU337/AO337</f>
        <v>2.7</v>
      </c>
      <c r="K337" s="125">
        <f t="shared" si="1013"/>
        <v>6.9444444444444446</v>
      </c>
      <c r="L337" s="125">
        <f t="shared" si="1014"/>
        <v>2.6199460916442048E-2</v>
      </c>
      <c r="M337" s="125">
        <f t="shared" si="1015"/>
        <v>2.9110512129380053E-2</v>
      </c>
      <c r="N337" s="125">
        <f t="shared" si="1016"/>
        <v>1.2920754716981129</v>
      </c>
      <c r="O337" s="125">
        <f t="shared" si="1017"/>
        <v>0</v>
      </c>
      <c r="P337" s="125">
        <v>0.14199999999999999</v>
      </c>
      <c r="Q337" s="125" t="s">
        <v>3</v>
      </c>
      <c r="R337" s="126">
        <f t="shared" si="916"/>
        <v>0</v>
      </c>
      <c r="S337" s="75">
        <f t="shared" si="980"/>
        <v>0.41883447255110001</v>
      </c>
      <c r="T337" s="59">
        <f t="shared" si="959"/>
        <v>1.6677308343625283</v>
      </c>
      <c r="U337" s="59">
        <f t="shared" si="960"/>
        <v>1.4691567763408024</v>
      </c>
      <c r="V337" s="59">
        <f t="shared" si="961"/>
        <v>1.2182736028261119</v>
      </c>
      <c r="W337" s="59">
        <f t="shared" si="962"/>
        <v>0.73049773843857935</v>
      </c>
      <c r="X337" s="59">
        <f t="shared" si="963"/>
        <v>0.82923321897642543</v>
      </c>
      <c r="Y337" s="127">
        <v>574000</v>
      </c>
      <c r="Z337" s="57">
        <f t="shared" si="964"/>
        <v>475979.86769246822</v>
      </c>
      <c r="AA337" s="57">
        <f t="shared" si="965"/>
        <v>419305.70186374453</v>
      </c>
      <c r="AB337" s="57">
        <f t="shared" si="996"/>
        <v>847367.357333772</v>
      </c>
      <c r="AC337" s="57">
        <f t="shared" si="966"/>
        <v>0.17</v>
      </c>
      <c r="AD337" s="57">
        <f t="shared" si="967"/>
        <v>2.2000000000000002</v>
      </c>
      <c r="AE337" s="57">
        <f t="shared" si="968"/>
        <v>1185345</v>
      </c>
      <c r="AF337" s="57">
        <f t="shared" si="969"/>
        <v>227900.51351000945</v>
      </c>
      <c r="AG337" s="57">
        <f t="shared" si="880"/>
        <v>191405.18835373511</v>
      </c>
      <c r="AH337" s="57">
        <f t="shared" si="997"/>
        <v>1293129338.2018595</v>
      </c>
      <c r="AI337" s="57">
        <f t="shared" si="998"/>
        <v>1566735492.7996211</v>
      </c>
      <c r="AJ337" s="77">
        <f t="shared" si="926"/>
        <v>1185344.9999999998</v>
      </c>
      <c r="AK337" s="77">
        <v>37.1</v>
      </c>
      <c r="AL337" s="78">
        <f t="shared" si="970"/>
        <v>3.3520097265878674</v>
      </c>
      <c r="AM337" s="57">
        <f t="shared" si="971"/>
        <v>1</v>
      </c>
      <c r="AN337" s="57">
        <f t="shared" si="972"/>
        <v>0.8</v>
      </c>
      <c r="AO337" s="77">
        <v>1250</v>
      </c>
      <c r="AP337" s="79">
        <f>35+120+35</f>
        <v>190</v>
      </c>
      <c r="AQ337" s="57">
        <f t="shared" si="973"/>
        <v>135.84098753025671</v>
      </c>
      <c r="AR337" s="57">
        <f t="shared" si="999"/>
        <v>870</v>
      </c>
      <c r="AS337" s="57">
        <f t="shared" si="974"/>
        <v>1114.1590124697432</v>
      </c>
      <c r="AT337" s="77">
        <v>180</v>
      </c>
      <c r="AU337" s="77">
        <v>3375</v>
      </c>
      <c r="AV337" s="57">
        <f t="shared" si="975"/>
        <v>225000</v>
      </c>
      <c r="AW337" s="77">
        <v>0</v>
      </c>
      <c r="AX337" s="77">
        <f t="shared" si="976"/>
        <v>225000</v>
      </c>
      <c r="AY337" s="78">
        <f t="shared" si="917"/>
        <v>225000</v>
      </c>
      <c r="AZ337" s="77">
        <f t="shared" si="937"/>
        <v>540</v>
      </c>
      <c r="BA337" s="77">
        <v>540</v>
      </c>
      <c r="BB337" s="77">
        <f>(636+644)/2</f>
        <v>640</v>
      </c>
      <c r="BC337" s="77">
        <v>0</v>
      </c>
      <c r="BD337" s="77">
        <v>1.8E-3</v>
      </c>
      <c r="BE337" s="77">
        <v>2E-3</v>
      </c>
      <c r="BF337" s="77">
        <v>7.4899999999999994E-2</v>
      </c>
      <c r="BG337" s="77">
        <v>0</v>
      </c>
      <c r="BH337" s="79">
        <v>395</v>
      </c>
      <c r="BI337" s="79">
        <f t="shared" si="1009"/>
        <v>78.539816339744831</v>
      </c>
      <c r="BJ337" s="79">
        <v>2</v>
      </c>
      <c r="BK337" s="57">
        <f t="shared" si="881"/>
        <v>157.07963267948966</v>
      </c>
      <c r="BL337" s="57">
        <f t="shared" si="1018"/>
        <v>281.88</v>
      </c>
      <c r="BM337" s="80">
        <f>PI()*25*25/4+PI()*22*22/4*2</f>
        <v>1251.139274292135</v>
      </c>
      <c r="BN337" s="80">
        <v>2</v>
      </c>
      <c r="BO337" s="57">
        <f t="shared" si="1000"/>
        <v>2502.2785485842701</v>
      </c>
      <c r="BP337" s="57">
        <f t="shared" si="977"/>
        <v>699289.04802218825</v>
      </c>
      <c r="BQ337" s="77">
        <f t="shared" si="978"/>
        <v>3.8417056202888489E-9</v>
      </c>
      <c r="BR337" s="57">
        <f t="shared" si="843"/>
        <v>2360100537.0748854</v>
      </c>
      <c r="BS337" s="57">
        <v>271.68197506051342</v>
      </c>
      <c r="BT337" s="57">
        <f t="shared" si="981"/>
        <v>273.4775535018718</v>
      </c>
      <c r="BU337" s="57"/>
      <c r="BV337" s="57">
        <v>3.3E-3</v>
      </c>
      <c r="BW337" s="57">
        <v>30000</v>
      </c>
      <c r="BX337" s="57">
        <v>200000</v>
      </c>
      <c r="BY337" s="77">
        <f>35</f>
        <v>35</v>
      </c>
      <c r="BZ337" s="77">
        <f>BY337+60</f>
        <v>95</v>
      </c>
      <c r="CA337" s="77">
        <f>BY337+60*2</f>
        <v>155</v>
      </c>
      <c r="CB337" s="77">
        <f>CA337+35+210</f>
        <v>400</v>
      </c>
      <c r="CC337" s="77">
        <f t="shared" si="1010"/>
        <v>850</v>
      </c>
      <c r="CD337" s="77">
        <f>CC337+210+35</f>
        <v>1095</v>
      </c>
      <c r="CE337" s="77">
        <f>CD337+60</f>
        <v>1155</v>
      </c>
      <c r="CF337" s="77">
        <f>CD337+60*2</f>
        <v>1215</v>
      </c>
      <c r="DM337" s="77">
        <f>PI()*25*25/4*2</f>
        <v>981.74770424681037</v>
      </c>
      <c r="DN337" s="77">
        <f t="shared" si="1019"/>
        <v>760.26542216872986</v>
      </c>
      <c r="DO337" s="77">
        <f t="shared" si="1019"/>
        <v>760.26542216872986</v>
      </c>
      <c r="DP337" s="77">
        <f t="shared" si="1011"/>
        <v>157.07963267948966</v>
      </c>
      <c r="DQ337" s="77">
        <f t="shared" si="1011"/>
        <v>157.07963267948966</v>
      </c>
      <c r="DR337" s="77">
        <f t="shared" si="1020"/>
        <v>760.26542216872986</v>
      </c>
      <c r="DS337" s="77">
        <f t="shared" si="1020"/>
        <v>760.26542216872986</v>
      </c>
      <c r="DT337" s="77">
        <f>PI()*25*25/4*2</f>
        <v>981.74770424681037</v>
      </c>
      <c r="FA337" s="77">
        <f t="shared" si="982"/>
        <v>-564479.51873263926</v>
      </c>
      <c r="FB337" s="77">
        <f t="shared" si="1005"/>
        <v>-326317.67189260281</v>
      </c>
      <c r="FC337" s="77">
        <f t="shared" si="1005"/>
        <v>-215502.40447864978</v>
      </c>
      <c r="FD337" s="77">
        <f t="shared" si="1006"/>
        <v>48965.551817147032</v>
      </c>
      <c r="FE337" s="77">
        <f t="shared" si="1007"/>
        <v>84823.001646924415</v>
      </c>
      <c r="FF337" s="77">
        <f t="shared" si="1012"/>
        <v>486569.87018798711</v>
      </c>
      <c r="FG337" s="77">
        <f t="shared" si="1012"/>
        <v>486569.87018798711</v>
      </c>
      <c r="FH337" s="77">
        <f t="shared" si="1012"/>
        <v>628318.5307179587</v>
      </c>
      <c r="GO337" s="77">
        <f t="shared" si="854"/>
        <v>333042916.05225718</v>
      </c>
      <c r="GP337" s="77">
        <f t="shared" si="855"/>
        <v>172948366.1030795</v>
      </c>
      <c r="GQ337" s="77">
        <f t="shared" si="856"/>
        <v>101286130.1049654</v>
      </c>
      <c r="GR337" s="77">
        <f t="shared" si="857"/>
        <v>-11017249.158858081</v>
      </c>
      <c r="GS337" s="77">
        <f t="shared" si="883"/>
        <v>19085175.370557994</v>
      </c>
      <c r="GT337" s="77">
        <f t="shared" si="933"/>
        <v>228687838.98835394</v>
      </c>
      <c r="GU337" s="77">
        <f t="shared" si="983"/>
        <v>257882031.19963318</v>
      </c>
      <c r="GV337" s="77">
        <f t="shared" si="984"/>
        <v>370707933.12359565</v>
      </c>
      <c r="IC337" s="82">
        <v>356</v>
      </c>
    </row>
    <row r="338" spans="1:237" s="77" customFormat="1">
      <c r="A338" s="77">
        <v>338</v>
      </c>
      <c r="C338" s="123" t="s">
        <v>356</v>
      </c>
      <c r="D338" s="124" t="s">
        <v>358</v>
      </c>
      <c r="E338" s="129">
        <v>1</v>
      </c>
      <c r="F338" s="125">
        <f t="shared" si="994"/>
        <v>3.7979797979797981E-2</v>
      </c>
      <c r="G338" s="125">
        <v>1.2480000000000001E-5</v>
      </c>
      <c r="H338" s="125"/>
      <c r="I338" s="125">
        <f>(34.9+34.8)/2/AU338</f>
        <v>1.0325925925925924E-2</v>
      </c>
      <c r="J338" s="125">
        <f t="shared" si="1021"/>
        <v>2.7</v>
      </c>
      <c r="K338" s="125">
        <f t="shared" si="1013"/>
        <v>6.9444444444444446</v>
      </c>
      <c r="L338" s="125">
        <f t="shared" si="1014"/>
        <v>5.563636363636363E-2</v>
      </c>
      <c r="M338" s="125">
        <f t="shared" si="1015"/>
        <v>6.545454545454546E-2</v>
      </c>
      <c r="N338" s="125">
        <f t="shared" si="1016"/>
        <v>0.74659090909090908</v>
      </c>
      <c r="O338" s="125">
        <f t="shared" si="1017"/>
        <v>0</v>
      </c>
      <c r="P338" s="125">
        <v>0</v>
      </c>
      <c r="Q338" s="125" t="s">
        <v>3</v>
      </c>
      <c r="R338" s="126">
        <f t="shared" si="916"/>
        <v>0</v>
      </c>
      <c r="S338" s="75">
        <f t="shared" si="980"/>
        <v>0.15427466869409703</v>
      </c>
      <c r="T338" s="59">
        <f t="shared" si="959"/>
        <v>0.4919047448408907</v>
      </c>
      <c r="U338" s="59">
        <f t="shared" si="960"/>
        <v>0.38579119562592046</v>
      </c>
      <c r="V338" s="59">
        <f t="shared" si="961"/>
        <v>1.0899893662946862</v>
      </c>
      <c r="W338" s="59">
        <f t="shared" si="962"/>
        <v>2.2158545485208712</v>
      </c>
      <c r="X338" s="59">
        <f t="shared" si="963"/>
        <v>2.8253349963734951</v>
      </c>
      <c r="Y338" s="127">
        <v>141000</v>
      </c>
      <c r="Z338" s="57">
        <f t="shared" si="964"/>
        <v>398372.2344886628</v>
      </c>
      <c r="AA338" s="57">
        <f t="shared" si="965"/>
        <v>312435.49134144286</v>
      </c>
      <c r="AB338" s="57">
        <f t="shared" si="996"/>
        <v>282143.03832358803</v>
      </c>
      <c r="AC338" s="57">
        <f t="shared" si="966"/>
        <v>0.17</v>
      </c>
      <c r="AD338" s="57">
        <f t="shared" si="967"/>
        <v>2.2000000000000002</v>
      </c>
      <c r="AE338" s="57">
        <f t="shared" si="968"/>
        <v>0</v>
      </c>
      <c r="AF338" s="57">
        <f t="shared" si="969"/>
        <v>108126.2021304276</v>
      </c>
      <c r="AG338" s="57">
        <f t="shared" si="880"/>
        <v>204309.28921101525</v>
      </c>
      <c r="AH338" s="57">
        <f t="shared" si="997"/>
        <v>527126562.71097952</v>
      </c>
      <c r="AI338" s="57">
        <f t="shared" si="998"/>
        <v>425106191.6311301</v>
      </c>
      <c r="AJ338" s="77">
        <f t="shared" si="926"/>
        <v>0</v>
      </c>
      <c r="AK338" s="77">
        <v>16.5</v>
      </c>
      <c r="AL338" s="78">
        <f t="shared" si="970"/>
        <v>2.1466724822207914</v>
      </c>
      <c r="AM338" s="57">
        <f t="shared" si="971"/>
        <v>1</v>
      </c>
      <c r="AN338" s="57">
        <f t="shared" si="972"/>
        <v>0.8</v>
      </c>
      <c r="AO338" s="77">
        <v>1250</v>
      </c>
      <c r="AP338" s="79">
        <f>30+100+30</f>
        <v>160</v>
      </c>
      <c r="AQ338" s="57">
        <f t="shared" si="973"/>
        <v>60.726930322012883</v>
      </c>
      <c r="AR338" s="57">
        <f t="shared" si="999"/>
        <v>930</v>
      </c>
      <c r="AS338" s="57">
        <f t="shared" si="974"/>
        <v>1189.2730696779872</v>
      </c>
      <c r="AT338" s="77">
        <v>180</v>
      </c>
      <c r="AU338" s="77">
        <v>3375</v>
      </c>
      <c r="AV338" s="57">
        <f t="shared" si="975"/>
        <v>225000</v>
      </c>
      <c r="AW338" s="77">
        <v>0</v>
      </c>
      <c r="AX338" s="77">
        <f t="shared" si="976"/>
        <v>225000</v>
      </c>
      <c r="AY338" s="78">
        <f t="shared" si="917"/>
        <v>225000</v>
      </c>
      <c r="AZ338" s="77">
        <f t="shared" si="937"/>
        <v>540</v>
      </c>
      <c r="BA338" s="77">
        <v>540</v>
      </c>
      <c r="BB338" s="77">
        <f>(555+540)/2</f>
        <v>547.5</v>
      </c>
      <c r="BC338" s="77">
        <v>0</v>
      </c>
      <c r="BD338" s="77">
        <v>1.6999999999999999E-3</v>
      </c>
      <c r="BE338" s="77">
        <v>2E-3</v>
      </c>
      <c r="BF338" s="77">
        <v>2.2499999999999999E-2</v>
      </c>
      <c r="BG338" s="77">
        <v>0</v>
      </c>
      <c r="BH338" s="79">
        <v>395</v>
      </c>
      <c r="BI338" s="79">
        <f t="shared" si="1009"/>
        <v>78.539816339744831</v>
      </c>
      <c r="BJ338" s="79">
        <v>2</v>
      </c>
      <c r="BK338" s="57">
        <f t="shared" si="881"/>
        <v>157.07963267948966</v>
      </c>
      <c r="BL338" s="57">
        <f t="shared" si="1018"/>
        <v>284.58</v>
      </c>
      <c r="BM338" s="80">
        <f>PI()*13*13/4*2+PI()*10*10/4</f>
        <v>344.00439556808237</v>
      </c>
      <c r="BN338" s="80">
        <v>2</v>
      </c>
      <c r="BO338" s="57">
        <f t="shared" si="1000"/>
        <v>688.00879113616475</v>
      </c>
      <c r="BP338" s="57">
        <f t="shared" si="977"/>
        <v>153688.50064755077</v>
      </c>
      <c r="BQ338" s="77">
        <f t="shared" si="978"/>
        <v>2.5029294192790985E-9</v>
      </c>
      <c r="BR338" s="57">
        <f t="shared" si="843"/>
        <v>518698689.68548381</v>
      </c>
      <c r="BS338" s="57">
        <v>121.45386064402577</v>
      </c>
      <c r="BT338" s="57">
        <f t="shared" si="981"/>
        <v>11.235109717868339</v>
      </c>
      <c r="BU338" s="57"/>
      <c r="BV338" s="57">
        <v>3.3E-3</v>
      </c>
      <c r="BW338" s="57">
        <v>30000</v>
      </c>
      <c r="BX338" s="57">
        <v>200000</v>
      </c>
      <c r="BY338" s="77">
        <f>30</f>
        <v>30</v>
      </c>
      <c r="BZ338" s="77">
        <f>BY338+50</f>
        <v>80</v>
      </c>
      <c r="CA338" s="77">
        <f>BY338+50*2</f>
        <v>130</v>
      </c>
      <c r="CB338" s="77">
        <f>CA338+30+240</f>
        <v>400</v>
      </c>
      <c r="CC338" s="77">
        <f t="shared" si="1010"/>
        <v>850</v>
      </c>
      <c r="CD338" s="77">
        <f>CC338+240+30</f>
        <v>1120</v>
      </c>
      <c r="CE338" s="77">
        <f>CD338+50</f>
        <v>1170</v>
      </c>
      <c r="CF338" s="77">
        <f>CD338+50*2</f>
        <v>1220</v>
      </c>
      <c r="DM338" s="77">
        <f>PI()*13*13/4*2</f>
        <v>265.46457922833753</v>
      </c>
      <c r="DN338" s="77">
        <f>PI()*13*13/4*2</f>
        <v>265.46457922833753</v>
      </c>
      <c r="DO338" s="77">
        <f>PI()*10*10/4*2</f>
        <v>157.07963267948966</v>
      </c>
      <c r="DP338" s="77">
        <f t="shared" si="1011"/>
        <v>157.07963267948966</v>
      </c>
      <c r="DQ338" s="77">
        <f t="shared" si="1011"/>
        <v>157.07963267948966</v>
      </c>
      <c r="DR338" s="77">
        <f>PI()*10*10/4*2</f>
        <v>157.07963267948966</v>
      </c>
      <c r="DS338" s="77">
        <f>PI()*13*13/4*2</f>
        <v>265.46457922833753</v>
      </c>
      <c r="DT338" s="77">
        <f>PI()*13*13/4*2</f>
        <v>265.46457922833753</v>
      </c>
      <c r="FA338" s="77">
        <f t="shared" si="982"/>
        <v>-131929.29342812594</v>
      </c>
      <c r="FB338" s="77">
        <f>IF(ABS(-$BV338*($BS338-BZ338)/$BS338*$BX338)&gt;$BB338,$BB338*SIGN(-($BS338-BZ338)),-$BV338*($BS338-BZ338)/$BS338*$BX338)*DN338</f>
        <v>-59800.411990497829</v>
      </c>
      <c r="FC338" s="77">
        <f>IF(ABS(-$BV338*($BS338-CA338)/$BS338*$BX338)&gt;$BA338,$BA338*SIGN(-($BS338-CA338)),-$BV338*($BS338-CA338)/$BS338*$BX338)*DO338</f>
        <v>7294.9523355800329</v>
      </c>
      <c r="FD338" s="77">
        <f t="shared" si="1006"/>
        <v>84823.001646924415</v>
      </c>
      <c r="FE338" s="77">
        <f t="shared" si="1007"/>
        <v>84823.001646924415</v>
      </c>
      <c r="FF338" s="77">
        <f>IF(ABS(-$BV338*($BS338-CD338)/$BS338*$BX338)&gt;$BA338,$BA338*SIGN(-($BS338-CD338)),-$BV338*($BS338-CD338)/$BS338*$BX338)*DR338</f>
        <v>84823.001646924415</v>
      </c>
      <c r="FG338" s="77">
        <f>IF(ABS(-$BV338*($BS338-CE338)/$BS338*$BX338)&gt;$BB338,$BB338*SIGN(-($BS338-CE338)),-$BV338*($BS338-CE338)/$BS338*$BX338)*DS338</f>
        <v>145341.85712751478</v>
      </c>
      <c r="FH338" s="77">
        <f>IF(ABS(-$BV338*($BS338-CF338)/$BS338*$BX338)&gt;$BB338,$BB338*SIGN(-($BS338-CF338)),-$BV338*($BS338-CF338)/$BS338*$BX338)*DT338</f>
        <v>145341.85712751478</v>
      </c>
      <c r="GO338" s="77">
        <f t="shared" si="854"/>
        <v>78497929.589734927</v>
      </c>
      <c r="GP338" s="77">
        <f t="shared" si="855"/>
        <v>32591224.534821317</v>
      </c>
      <c r="GQ338" s="77">
        <f t="shared" si="856"/>
        <v>-3611001.4061121163</v>
      </c>
      <c r="GR338" s="77">
        <f t="shared" si="857"/>
        <v>-19085175.370557994</v>
      </c>
      <c r="GS338" s="77">
        <f t="shared" si="883"/>
        <v>19085175.370557994</v>
      </c>
      <c r="GT338" s="77">
        <f t="shared" si="933"/>
        <v>41987385.815227583</v>
      </c>
      <c r="GU338" s="77">
        <f t="shared" si="983"/>
        <v>79211312.134495556</v>
      </c>
      <c r="GV338" s="77">
        <f t="shared" si="984"/>
        <v>86478404.990871295</v>
      </c>
      <c r="IC338" s="82">
        <v>357</v>
      </c>
    </row>
    <row r="339" spans="1:237" s="77" customFormat="1">
      <c r="A339" s="77">
        <v>339</v>
      </c>
      <c r="C339" s="123" t="s">
        <v>356</v>
      </c>
      <c r="D339" s="124" t="s">
        <v>359</v>
      </c>
      <c r="E339" s="129">
        <v>1</v>
      </c>
      <c r="F339" s="125">
        <f t="shared" si="994"/>
        <v>6.1683501683501674E-2</v>
      </c>
      <c r="G339" s="125">
        <v>1.024E-5</v>
      </c>
      <c r="H339" s="125"/>
      <c r="I339" s="125">
        <f>(18.4+18.3)/2/AU339</f>
        <v>5.4370370370370371E-3</v>
      </c>
      <c r="J339" s="125">
        <f t="shared" si="1021"/>
        <v>2.7</v>
      </c>
      <c r="K339" s="125">
        <f t="shared" si="1013"/>
        <v>6.9444444444444446</v>
      </c>
      <c r="L339" s="125">
        <f t="shared" si="1014"/>
        <v>4.581818181818182E-2</v>
      </c>
      <c r="M339" s="125">
        <f t="shared" si="1015"/>
        <v>6.545454545454546E-2</v>
      </c>
      <c r="N339" s="125">
        <f t="shared" si="1016"/>
        <v>0.79045454545454552</v>
      </c>
      <c r="O339" s="125">
        <f t="shared" si="1017"/>
        <v>0</v>
      </c>
      <c r="P339" s="125">
        <v>0.29199999999999998</v>
      </c>
      <c r="Q339" s="125" t="s">
        <v>3</v>
      </c>
      <c r="R339" s="126">
        <f t="shared" si="916"/>
        <v>0</v>
      </c>
      <c r="S339" s="75">
        <f t="shared" si="980"/>
        <v>0.25055956830459725</v>
      </c>
      <c r="T339" s="59">
        <f t="shared" si="959"/>
        <v>0.64287389556242791</v>
      </c>
      <c r="U339" s="59">
        <f t="shared" si="960"/>
        <v>0.51688542639299462</v>
      </c>
      <c r="V339" s="59">
        <f t="shared" si="961"/>
        <v>0.89918254273712883</v>
      </c>
      <c r="W339" s="59">
        <f t="shared" si="962"/>
        <v>1.3986919502314921</v>
      </c>
      <c r="X339" s="59">
        <f t="shared" si="963"/>
        <v>1.7396167444919772</v>
      </c>
      <c r="Y339" s="127">
        <v>229000</v>
      </c>
      <c r="Z339" s="57">
        <f t="shared" si="964"/>
        <v>398372.2344886628</v>
      </c>
      <c r="AA339" s="57">
        <f t="shared" si="965"/>
        <v>320300.4566030117</v>
      </c>
      <c r="AB339" s="57"/>
      <c r="AC339" s="57">
        <f t="shared" si="966"/>
        <v>0.17</v>
      </c>
      <c r="AD339" s="57">
        <f t="shared" si="967"/>
        <v>2.2000000000000002</v>
      </c>
      <c r="AE339" s="57">
        <f t="shared" si="968"/>
        <v>742500</v>
      </c>
      <c r="AF339" s="57">
        <f t="shared" si="969"/>
        <v>139409.1957582802</v>
      </c>
      <c r="AG339" s="57">
        <f t="shared" si="880"/>
        <v>180891.26084473153</v>
      </c>
      <c r="AH339" s="57"/>
      <c r="AI339" s="57"/>
      <c r="AJ339" s="77">
        <f t="shared" si="926"/>
        <v>1084050</v>
      </c>
      <c r="AK339" s="77">
        <v>16.5</v>
      </c>
      <c r="AL339" s="78">
        <f t="shared" si="970"/>
        <v>2.1466724822207914</v>
      </c>
      <c r="AM339" s="57">
        <f t="shared" si="971"/>
        <v>1</v>
      </c>
      <c r="AN339" s="57">
        <f t="shared" si="972"/>
        <v>0.8</v>
      </c>
      <c r="AO339" s="77">
        <v>1250</v>
      </c>
      <c r="AP339" s="79"/>
      <c r="AQ339" s="77">
        <f t="shared" si="973"/>
        <v>197.0419779075969</v>
      </c>
      <c r="AS339" s="77">
        <f t="shared" si="974"/>
        <v>1052.9580220924031</v>
      </c>
      <c r="AT339" s="77">
        <v>180</v>
      </c>
      <c r="AU339" s="77">
        <v>3375</v>
      </c>
      <c r="AV339" s="57">
        <f t="shared" si="975"/>
        <v>225000</v>
      </c>
      <c r="AW339" s="77">
        <v>0</v>
      </c>
      <c r="AX339" s="77">
        <f t="shared" si="976"/>
        <v>225000</v>
      </c>
      <c r="AY339" s="78">
        <f t="shared" si="917"/>
        <v>225000</v>
      </c>
      <c r="AZ339" s="77">
        <f t="shared" si="937"/>
        <v>540</v>
      </c>
      <c r="BA339" s="77">
        <v>540</v>
      </c>
      <c r="BB339" s="77">
        <v>555</v>
      </c>
      <c r="BC339" s="77">
        <v>0</v>
      </c>
      <c r="BD339" s="77">
        <v>1.4E-3</v>
      </c>
      <c r="BE339" s="77">
        <v>2E-3</v>
      </c>
      <c r="BF339" s="77">
        <v>2.35E-2</v>
      </c>
      <c r="BG339" s="77">
        <v>0</v>
      </c>
      <c r="BH339" s="79">
        <v>395</v>
      </c>
      <c r="BI339" s="79">
        <f t="shared" si="1009"/>
        <v>78.539816339744831</v>
      </c>
      <c r="BJ339" s="79">
        <v>2</v>
      </c>
      <c r="BK339" s="57">
        <f t="shared" si="881"/>
        <v>157.07963267948966</v>
      </c>
      <c r="BL339" s="57">
        <f t="shared" si="1018"/>
        <v>0</v>
      </c>
      <c r="BM339" s="80"/>
      <c r="BN339" s="80"/>
      <c r="BO339" s="57"/>
      <c r="BP339" s="57">
        <f t="shared" si="977"/>
        <v>205912.8022868025</v>
      </c>
      <c r="BQ339" s="77">
        <f t="shared" si="978"/>
        <v>2.9103830456733704E-10</v>
      </c>
      <c r="BR339" s="57">
        <f t="shared" ref="BR339:BR401" si="1022">-AM339*AT339*BS339*AK339*(BS339/2-0.5*AO339)+SUM(GO339:IB339)</f>
        <v>694955707.71795845</v>
      </c>
      <c r="BS339" s="57">
        <v>394.0839558151938</v>
      </c>
      <c r="BT339" s="57">
        <f t="shared" si="981"/>
        <v>315.52851025467658</v>
      </c>
      <c r="BU339" s="57"/>
      <c r="BV339" s="57">
        <v>3.3E-3</v>
      </c>
      <c r="BW339" s="57">
        <v>30000</v>
      </c>
      <c r="BX339" s="57">
        <v>200000</v>
      </c>
      <c r="BY339" s="77">
        <v>30</v>
      </c>
      <c r="BZ339" s="77">
        <f>30+30+340</f>
        <v>400</v>
      </c>
      <c r="CA339" s="77">
        <f>BZ339+450</f>
        <v>850</v>
      </c>
      <c r="CB339" s="77">
        <f>CA339+340+30</f>
        <v>1220</v>
      </c>
      <c r="DM339" s="77">
        <f>PI()*13*13/4*2</f>
        <v>265.46457922833753</v>
      </c>
      <c r="DN339" s="77">
        <f>PI()*10*10/4*2</f>
        <v>157.07963267948966</v>
      </c>
      <c r="DO339" s="77">
        <f>PI()*10*10/4*2</f>
        <v>157.07963267948966</v>
      </c>
      <c r="DP339" s="77">
        <f>PI()*13*13/4*2</f>
        <v>265.46457922833753</v>
      </c>
      <c r="FA339" s="77">
        <f t="shared" si="982"/>
        <v>-147332.84147172733</v>
      </c>
      <c r="FB339" s="77">
        <f>IF(ABS(-$BV339*($BS339-BZ339)/$BS339*$BX339)&gt;$BA339,$BA339*SIGN(-($BS339-BZ339)),-$BV339*($BS339-BZ339)/$BS339*$BX339)*DN339</f>
        <v>1556.3471242014098</v>
      </c>
      <c r="FC339" s="77">
        <f>IF(ABS(-$BV339*($BS339-CA339)/$BS339*$BX339)&gt;$BA339,$BA339*SIGN(-($BS339-CA339)),-$BV339*($BS339-CA339)/$BS339*$BX339)*DO339</f>
        <v>84823.001646924415</v>
      </c>
      <c r="FD339" s="77">
        <f>IF(ABS(-$BV339*($BS339-CB339)/$BS339*$BX339)&gt;$BB339,$BB339*SIGN(-($BS339-CB339)),-$BV339*($BS339-CB339)/$BS339*$BX339)*DP339</f>
        <v>147332.84147172733</v>
      </c>
      <c r="GO339" s="77">
        <f t="shared" si="854"/>
        <v>87663040.675677761</v>
      </c>
      <c r="GP339" s="77">
        <f t="shared" si="855"/>
        <v>-350178.10294531722</v>
      </c>
      <c r="GQ339" s="77">
        <f t="shared" si="856"/>
        <v>19085175.370557994</v>
      </c>
      <c r="GR339" s="77">
        <f t="shared" si="857"/>
        <v>87663040.675677761</v>
      </c>
      <c r="IC339" s="82">
        <v>358</v>
      </c>
    </row>
    <row r="340" spans="1:237" s="77" customFormat="1">
      <c r="A340" s="77">
        <v>340</v>
      </c>
      <c r="C340" s="123" t="s">
        <v>356</v>
      </c>
      <c r="D340" s="124" t="s">
        <v>360</v>
      </c>
      <c r="E340" s="129">
        <v>1</v>
      </c>
      <c r="F340" s="125">
        <f t="shared" si="994"/>
        <v>6.6801346801346806E-2</v>
      </c>
      <c r="G340" s="125">
        <v>9.9199999999999999E-5</v>
      </c>
      <c r="H340" s="125"/>
      <c r="I340" s="125">
        <f>(28.4+28.3)/2/AU340</f>
        <v>8.4000000000000012E-3</v>
      </c>
      <c r="J340" s="125">
        <f t="shared" si="1021"/>
        <v>2.7</v>
      </c>
      <c r="K340" s="125">
        <f t="shared" si="1013"/>
        <v>6.9444444444444446</v>
      </c>
      <c r="L340" s="125">
        <f t="shared" si="1014"/>
        <v>7.8545454545454529E-2</v>
      </c>
      <c r="M340" s="125">
        <f t="shared" si="1015"/>
        <v>6.545454545454546E-2</v>
      </c>
      <c r="N340" s="125">
        <f t="shared" si="1016"/>
        <v>0.24222727272727274</v>
      </c>
      <c r="O340" s="125">
        <f t="shared" si="1017"/>
        <v>7.9854545454545442E-2</v>
      </c>
      <c r="P340" s="125">
        <v>0.29199999999999998</v>
      </c>
      <c r="Q340" s="125" t="s">
        <v>3</v>
      </c>
      <c r="R340" s="126">
        <f t="shared" si="916"/>
        <v>0</v>
      </c>
      <c r="S340" s="75">
        <f t="shared" si="980"/>
        <v>0.27134835344777347</v>
      </c>
      <c r="T340" s="59">
        <f t="shared" si="959"/>
        <v>0.69326702373323701</v>
      </c>
      <c r="U340" s="59">
        <f t="shared" si="960"/>
        <v>0.55406627494435501</v>
      </c>
      <c r="V340" s="59">
        <f t="shared" si="961"/>
        <v>0.89001862904996976</v>
      </c>
      <c r="W340" s="59">
        <f t="shared" si="962"/>
        <v>1.2838034964611862</v>
      </c>
      <c r="X340" s="59">
        <f t="shared" si="963"/>
        <v>1.606339655196221</v>
      </c>
      <c r="Y340" s="127">
        <v>248000</v>
      </c>
      <c r="Z340" s="57">
        <f t="shared" si="964"/>
        <v>398372.2344886628</v>
      </c>
      <c r="AA340" s="57">
        <f t="shared" si="965"/>
        <v>318383.26712237415</v>
      </c>
      <c r="AB340" s="57">
        <f>(AH340+AI340)/AU340</f>
        <v>294123.53955321497</v>
      </c>
      <c r="AC340" s="57">
        <f t="shared" si="966"/>
        <v>0.17</v>
      </c>
      <c r="AD340" s="57">
        <f t="shared" si="967"/>
        <v>2.2000000000000002</v>
      </c>
      <c r="AE340" s="57">
        <f t="shared" si="968"/>
        <v>742500</v>
      </c>
      <c r="AF340" s="57">
        <f t="shared" si="969"/>
        <v>138745.70385979034</v>
      </c>
      <c r="AG340" s="57">
        <f t="shared" si="880"/>
        <v>179637.5632625838</v>
      </c>
      <c r="AH340" s="57">
        <f>AM340*AK340*AT340*AP340*(AS340-0.5*AP340)</f>
        <v>798033343.18110096</v>
      </c>
      <c r="AI340" s="57">
        <f>BB340*BO340*(AS340-AQ340)</f>
        <v>194633602.81099966</v>
      </c>
      <c r="AJ340" s="77">
        <f t="shared" si="926"/>
        <v>1084050</v>
      </c>
      <c r="AK340" s="77">
        <v>16.5</v>
      </c>
      <c r="AL340" s="78">
        <f t="shared" si="970"/>
        <v>2.1466724822207914</v>
      </c>
      <c r="AM340" s="57">
        <f t="shared" si="971"/>
        <v>1</v>
      </c>
      <c r="AN340" s="57">
        <f t="shared" si="972"/>
        <v>0.8</v>
      </c>
      <c r="AO340" s="77">
        <v>1250</v>
      </c>
      <c r="AP340" s="79">
        <f>40+220+40</f>
        <v>300</v>
      </c>
      <c r="AQ340" s="57">
        <f t="shared" si="973"/>
        <v>204.33968217609325</v>
      </c>
      <c r="AR340" s="57">
        <f>AO340-2*AP340</f>
        <v>650</v>
      </c>
      <c r="AS340" s="57">
        <f t="shared" si="974"/>
        <v>1045.6603178239068</v>
      </c>
      <c r="AT340" s="77">
        <v>180</v>
      </c>
      <c r="AU340" s="77">
        <v>3375</v>
      </c>
      <c r="AV340" s="57">
        <f t="shared" si="975"/>
        <v>225000</v>
      </c>
      <c r="AW340" s="77">
        <v>0</v>
      </c>
      <c r="AX340" s="77">
        <f t="shared" si="976"/>
        <v>225000</v>
      </c>
      <c r="AY340" s="78">
        <f t="shared" si="917"/>
        <v>225000</v>
      </c>
      <c r="AZ340" s="77">
        <f t="shared" si="937"/>
        <v>540</v>
      </c>
      <c r="BA340" s="77">
        <v>540</v>
      </c>
      <c r="BB340" s="77">
        <f>(555+540)/2</f>
        <v>547.5</v>
      </c>
      <c r="BC340" s="77">
        <v>540</v>
      </c>
      <c r="BD340" s="77">
        <v>2.3999999999999998E-3</v>
      </c>
      <c r="BE340" s="77">
        <v>2E-3</v>
      </c>
      <c r="BF340" s="77">
        <v>7.3000000000000001E-3</v>
      </c>
      <c r="BG340" s="77">
        <v>2.4399999999999999E-3</v>
      </c>
      <c r="BH340" s="79">
        <v>395</v>
      </c>
      <c r="BI340" s="79">
        <f t="shared" si="1009"/>
        <v>78.539816339744831</v>
      </c>
      <c r="BJ340" s="79">
        <v>2</v>
      </c>
      <c r="BK340" s="57">
        <f t="shared" si="881"/>
        <v>157.07963267948966</v>
      </c>
      <c r="BL340" s="57">
        <f t="shared" si="1018"/>
        <v>280.79999999999995</v>
      </c>
      <c r="BM340" s="80">
        <f>PI()*13*13/4+PI()*10*10/4</f>
        <v>211.27210595391358</v>
      </c>
      <c r="BN340" s="80">
        <v>2</v>
      </c>
      <c r="BO340" s="57">
        <f>BM340*BN340</f>
        <v>422.54421190782716</v>
      </c>
      <c r="BP340" s="57">
        <f t="shared" si="977"/>
        <v>220724.62000439249</v>
      </c>
      <c r="BQ340" s="77">
        <f t="shared" si="978"/>
        <v>2.6193447411060333E-10</v>
      </c>
      <c r="BR340" s="57">
        <f t="shared" si="1022"/>
        <v>744945592.51482463</v>
      </c>
      <c r="BS340" s="57">
        <v>408.6793643521865</v>
      </c>
      <c r="BT340" s="57">
        <f t="shared" si="981"/>
        <v>345.26850656668103</v>
      </c>
      <c r="BU340" s="57"/>
      <c r="BV340" s="57">
        <v>3.3E-3</v>
      </c>
      <c r="BW340" s="57">
        <v>30000</v>
      </c>
      <c r="BX340" s="57">
        <v>200000</v>
      </c>
      <c r="BY340" s="77">
        <f>40</f>
        <v>40</v>
      </c>
      <c r="BZ340" s="77">
        <f>BY340+220</f>
        <v>260</v>
      </c>
      <c r="CA340" s="77">
        <f>BZ340+40+100</f>
        <v>400</v>
      </c>
      <c r="CB340" s="77">
        <f>CA340+450</f>
        <v>850</v>
      </c>
      <c r="CC340" s="77">
        <f>CB340+100+40</f>
        <v>990</v>
      </c>
      <c r="CD340" s="77">
        <f>CC340+220</f>
        <v>1210</v>
      </c>
      <c r="DM340" s="77">
        <f>PI()*13*13/4*2</f>
        <v>265.46457922833753</v>
      </c>
      <c r="DN340" s="77">
        <f>PI()*10*10/4*2</f>
        <v>157.07963267948966</v>
      </c>
      <c r="DO340" s="77">
        <f>PI()*10*10/4*2</f>
        <v>157.07963267948966</v>
      </c>
      <c r="DP340" s="77">
        <f>PI()*10*10/4*2</f>
        <v>157.07963267948966</v>
      </c>
      <c r="DQ340" s="77">
        <f>PI()*10*10/4*2</f>
        <v>157.07963267948966</v>
      </c>
      <c r="DR340" s="77">
        <f>PI()*13*13/4*2</f>
        <v>265.46457922833753</v>
      </c>
      <c r="FA340" s="77">
        <f t="shared" si="982"/>
        <v>-145341.85712751478</v>
      </c>
      <c r="FB340" s="77">
        <f>IF(ABS(-$BV340*($BS340-BZ340)/$BS340*$BX340)&gt;$BA340,$BA340*SIGN(-($BS340-BZ340)),-$BV340*($BS340-BZ340)/$BS340*$BX340)*DN340</f>
        <v>-37716.536004889429</v>
      </c>
      <c r="FC340" s="77">
        <f>IF(ABS(-$BV340*($BS340-CA340)/$BS340*$BX340)&gt;$BA340,$BA340*SIGN(-($BS340-CA340)),-$BV340*($BS340-CA340)/$BS340*$BX340)*DO340</f>
        <v>-2201.7551629650998</v>
      </c>
      <c r="FD340" s="77">
        <f>IF(ABS(-$BV340*($BS340-CB340)/$BS340*$BX340)&gt;$BA340,$BA340*SIGN(-($BS340-CB340)),-$BV340*($BS340-CB340)/$BS340*$BX340)*DP340</f>
        <v>84823.001646924415</v>
      </c>
      <c r="FE340" s="77">
        <f>IF(ABS(-$BV340*($BS340-CC340)/$BS340*$BX340)&gt;$BA340,$BA340*SIGN(-($BS340-CC340)),-$BV340*($BS340-CC340)/$BS340*$BX340)*DQ340</f>
        <v>84823.001646924415</v>
      </c>
      <c r="FF340" s="77">
        <f>IF(ABS(-$BV340*($BS340-CD340)/$BS340*$BX340)&gt;$BB340,$BB340*SIGN(-($BS340-CD340)),-$BV340*($BS340-CD340)/$BS340*$BX340)*DR340</f>
        <v>145341.85712751478</v>
      </c>
      <c r="GO340" s="77">
        <f t="shared" si="854"/>
        <v>85024986.419596151</v>
      </c>
      <c r="GP340" s="77">
        <f t="shared" si="855"/>
        <v>13766535.641784642</v>
      </c>
      <c r="GQ340" s="77">
        <f t="shared" si="856"/>
        <v>495394.91166714748</v>
      </c>
      <c r="GR340" s="77">
        <f t="shared" si="857"/>
        <v>19085175.370557994</v>
      </c>
      <c r="GS340" s="77">
        <f>FE340*(CC340-0.5*$AO340)</f>
        <v>30960395.601127412</v>
      </c>
      <c r="GT340" s="77">
        <f>FF340*(CD340-0.5*$AO340)</f>
        <v>85024986.419596151</v>
      </c>
      <c r="IC340" s="82">
        <v>359</v>
      </c>
    </row>
    <row r="341" spans="1:237" s="77" customFormat="1">
      <c r="A341" s="77">
        <v>341</v>
      </c>
      <c r="C341" s="123" t="s">
        <v>356</v>
      </c>
      <c r="D341" s="124" t="s">
        <v>361</v>
      </c>
      <c r="E341" s="129">
        <v>1</v>
      </c>
      <c r="F341" s="125">
        <f t="shared" si="994"/>
        <v>2.074074074074074E-2</v>
      </c>
      <c r="G341" s="125">
        <v>5.7599999999999997E-5</v>
      </c>
      <c r="H341" s="125"/>
      <c r="I341" s="125">
        <f>(20.9+20.1)/2/AU341</f>
        <v>6.0740740740740738E-3</v>
      </c>
      <c r="J341" s="125">
        <f t="shared" si="1021"/>
        <v>2.7</v>
      </c>
      <c r="K341" s="125">
        <f t="shared" si="1013"/>
        <v>6.9444444444444446</v>
      </c>
      <c r="L341" s="125">
        <f t="shared" si="1014"/>
        <v>4.581818181818182E-2</v>
      </c>
      <c r="M341" s="125">
        <f t="shared" si="1015"/>
        <v>5.2363636363636362E-2</v>
      </c>
      <c r="N341" s="125">
        <f t="shared" si="1016"/>
        <v>0.79045454545454552</v>
      </c>
      <c r="O341" s="125">
        <f t="shared" si="1017"/>
        <v>0</v>
      </c>
      <c r="P341" s="125">
        <v>0</v>
      </c>
      <c r="Q341" s="125" t="s">
        <v>3</v>
      </c>
      <c r="R341" s="126">
        <f t="shared" si="916"/>
        <v>0</v>
      </c>
      <c r="S341" s="75">
        <f t="shared" si="980"/>
        <v>8.4249287159187725E-2</v>
      </c>
      <c r="T341" s="59">
        <f t="shared" si="959"/>
        <v>0.29255415516989353</v>
      </c>
      <c r="U341" s="59">
        <f t="shared" si="960"/>
        <v>0.23291604373657082</v>
      </c>
      <c r="V341" s="59">
        <f t="shared" si="961"/>
        <v>1.0580203255324607</v>
      </c>
      <c r="W341" s="59">
        <f t="shared" si="962"/>
        <v>3.6164939271433072</v>
      </c>
      <c r="X341" s="59">
        <f t="shared" si="963"/>
        <v>4.5424965518008147</v>
      </c>
      <c r="Y341" s="127">
        <v>77000</v>
      </c>
      <c r="Z341" s="57">
        <f t="shared" si="964"/>
        <v>349772.23448866274</v>
      </c>
      <c r="AA341" s="57">
        <f t="shared" si="965"/>
        <v>278470.03239003464</v>
      </c>
      <c r="AB341" s="57"/>
      <c r="AC341" s="57">
        <f t="shared" si="966"/>
        <v>0.17</v>
      </c>
      <c r="AD341" s="57">
        <f t="shared" si="967"/>
        <v>2.2000000000000002</v>
      </c>
      <c r="AE341" s="57">
        <f t="shared" si="968"/>
        <v>0</v>
      </c>
      <c r="AF341" s="57">
        <f t="shared" si="969"/>
        <v>110363.64501795745</v>
      </c>
      <c r="AG341" s="57">
        <f t="shared" si="880"/>
        <v>168106.38737207718</v>
      </c>
      <c r="AH341" s="57"/>
      <c r="AI341" s="57"/>
      <c r="AJ341" s="77">
        <f t="shared" si="926"/>
        <v>0</v>
      </c>
      <c r="AK341" s="77">
        <v>16.5</v>
      </c>
      <c r="AL341" s="78">
        <f t="shared" si="970"/>
        <v>2.1466724822207914</v>
      </c>
      <c r="AM341" s="57">
        <f t="shared" si="971"/>
        <v>1</v>
      </c>
      <c r="AN341" s="57">
        <f t="shared" si="972"/>
        <v>0.8</v>
      </c>
      <c r="AO341" s="77">
        <v>1250</v>
      </c>
      <c r="AP341" s="79"/>
      <c r="AQ341" s="77">
        <f t="shared" si="973"/>
        <v>36.117441422439285</v>
      </c>
      <c r="AS341" s="77">
        <f t="shared" si="974"/>
        <v>1213.8825585775608</v>
      </c>
      <c r="AT341" s="77">
        <v>180</v>
      </c>
      <c r="AU341" s="77">
        <v>3375</v>
      </c>
      <c r="AV341" s="57">
        <f t="shared" si="975"/>
        <v>225000</v>
      </c>
      <c r="AW341" s="77">
        <v>0</v>
      </c>
      <c r="AX341" s="77">
        <f t="shared" si="976"/>
        <v>225000</v>
      </c>
      <c r="AY341" s="78">
        <f t="shared" si="917"/>
        <v>225000</v>
      </c>
      <c r="AZ341" s="77">
        <f t="shared" si="937"/>
        <v>540</v>
      </c>
      <c r="BA341" s="77">
        <v>540</v>
      </c>
      <c r="BB341" s="77">
        <v>555</v>
      </c>
      <c r="BC341" s="77">
        <v>0</v>
      </c>
      <c r="BD341" s="77">
        <v>1.4E-3</v>
      </c>
      <c r="BE341" s="77">
        <v>1.6000000000000001E-3</v>
      </c>
      <c r="BF341" s="77">
        <v>2.35E-2</v>
      </c>
      <c r="BG341" s="77">
        <v>0</v>
      </c>
      <c r="BH341" s="79">
        <v>490</v>
      </c>
      <c r="BI341" s="79">
        <f t="shared" si="1009"/>
        <v>78.539816339744831</v>
      </c>
      <c r="BJ341" s="79">
        <v>2</v>
      </c>
      <c r="BK341" s="57">
        <f t="shared" si="881"/>
        <v>157.07963267948966</v>
      </c>
      <c r="BL341" s="57">
        <f t="shared" si="1018"/>
        <v>0</v>
      </c>
      <c r="BM341" s="80"/>
      <c r="BN341" s="80"/>
      <c r="BO341" s="57"/>
      <c r="BP341" s="57">
        <f t="shared" si="977"/>
        <v>81467.565065999472</v>
      </c>
      <c r="BQ341" s="77">
        <f t="shared" si="978"/>
        <v>4.0745362639427185E-10</v>
      </c>
      <c r="BR341" s="57">
        <f t="shared" si="1022"/>
        <v>274953032.09774822</v>
      </c>
      <c r="BS341" s="57">
        <v>72.23488284487857</v>
      </c>
      <c r="BT341" s="57">
        <f t="shared" si="981"/>
        <v>0</v>
      </c>
      <c r="BU341" s="57"/>
      <c r="BV341" s="57">
        <v>3.3E-3</v>
      </c>
      <c r="BW341" s="57">
        <v>30000</v>
      </c>
      <c r="BX341" s="57">
        <v>200000</v>
      </c>
      <c r="BY341" s="77">
        <v>30</v>
      </c>
      <c r="BZ341" s="77">
        <f>30+30+340</f>
        <v>400</v>
      </c>
      <c r="CA341" s="77">
        <f>BZ341+450</f>
        <v>850</v>
      </c>
      <c r="CB341" s="77">
        <f>CA341+340+30</f>
        <v>1220</v>
      </c>
      <c r="DM341" s="77">
        <f>PI()*13*13/4*2</f>
        <v>265.46457922833753</v>
      </c>
      <c r="DN341" s="77">
        <f>PI()*10*10/4*2</f>
        <v>157.07963267948966</v>
      </c>
      <c r="DO341" s="77">
        <f>PI()*10*10/4*2</f>
        <v>157.07963267948966</v>
      </c>
      <c r="DP341" s="77">
        <f>PI()*13*13/4*2</f>
        <v>265.46457922833753</v>
      </c>
      <c r="FA341" s="77">
        <f t="shared" si="982"/>
        <v>-102441.24271628643</v>
      </c>
      <c r="FB341" s="77">
        <f>IF(ABS(-$BV341*($BS341-BZ341)/$BS341*$BX341)&gt;$BA341,$BA341*SIGN(-($BS341-BZ341)),-$BV341*($BS341-BZ341)/$BS341*$BX341)*DN341</f>
        <v>84823.001646924415</v>
      </c>
      <c r="FC341" s="77">
        <f>IF(ABS(-$BV341*($BS341-CA341)/$BS341*$BX341)&gt;$BA341,$BA341*SIGN(-($BS341-CA341)),-$BV341*($BS341-CA341)/$BS341*$BX341)*DO341</f>
        <v>84823.001646924415</v>
      </c>
      <c r="FD341" s="77">
        <f>IF(ABS(-$BV341*($BS341-CB341)/$BS341*$BX341)&gt;$BB341,$BB341*SIGN(-($BS341-CB341)),-$BV341*($BS341-CB341)/$BS341*$BX341)*DP341</f>
        <v>147332.84147172733</v>
      </c>
      <c r="GO341" s="77">
        <f t="shared" si="854"/>
        <v>60952539.416190431</v>
      </c>
      <c r="GP341" s="77">
        <f t="shared" si="855"/>
        <v>-19085175.370557994</v>
      </c>
      <c r="GQ341" s="77">
        <f t="shared" si="856"/>
        <v>19085175.370557994</v>
      </c>
      <c r="GR341" s="77">
        <f t="shared" si="857"/>
        <v>87663040.675677761</v>
      </c>
      <c r="IC341" s="82">
        <v>360</v>
      </c>
    </row>
    <row r="342" spans="1:237" s="77" customFormat="1">
      <c r="A342" s="77">
        <v>342</v>
      </c>
      <c r="C342" s="122" t="s">
        <v>362</v>
      </c>
      <c r="D342" s="122" t="s">
        <v>363</v>
      </c>
      <c r="E342" s="131">
        <v>1</v>
      </c>
      <c r="F342" s="125">
        <f t="shared" si="994"/>
        <v>4.178415234446909E-2</v>
      </c>
      <c r="G342" s="122">
        <v>3.7000000000000002E-3</v>
      </c>
      <c r="H342" s="122"/>
      <c r="I342" s="149">
        <v>1.4999999999999999E-2</v>
      </c>
      <c r="J342" s="125">
        <f t="shared" si="1021"/>
        <v>1.2000000000000002</v>
      </c>
      <c r="K342" s="125">
        <f t="shared" si="1013"/>
        <v>20.000000000000004</v>
      </c>
      <c r="L342" s="125">
        <f t="shared" si="1014"/>
        <v>3.8450177460107107E-2</v>
      </c>
      <c r="M342" s="125">
        <f t="shared" si="1015"/>
        <v>3.904452137341767E-2</v>
      </c>
      <c r="N342" s="125">
        <f t="shared" si="1016"/>
        <v>0.56162675687581565</v>
      </c>
      <c r="O342" s="125">
        <f t="shared" si="1017"/>
        <v>0.1183082383387911</v>
      </c>
      <c r="P342" s="122">
        <v>9.5000000000000001E-2</v>
      </c>
      <c r="Q342" s="125" t="s">
        <v>3</v>
      </c>
      <c r="R342" s="126">
        <f t="shared" si="916"/>
        <v>0</v>
      </c>
      <c r="S342" s="75">
        <f t="shared" si="980"/>
        <v>0.25103166213069988</v>
      </c>
      <c r="T342" s="59">
        <f t="shared" si="959"/>
        <v>1.4850868894519853</v>
      </c>
      <c r="U342" s="59">
        <f t="shared" si="960"/>
        <v>1.3284745877747732</v>
      </c>
      <c r="V342" s="59">
        <f t="shared" si="961"/>
        <v>2.5643864356440229</v>
      </c>
      <c r="W342" s="59">
        <f t="shared" si="962"/>
        <v>1.7267585175371873</v>
      </c>
      <c r="X342" s="59">
        <f t="shared" si="963"/>
        <v>1.9303240417563663</v>
      </c>
      <c r="Y342" s="127">
        <f>(172+143)/2*4448</f>
        <v>700560</v>
      </c>
      <c r="Z342" s="57">
        <f t="shared" si="964"/>
        <v>1352307.81069284</v>
      </c>
      <c r="AA342" s="57">
        <f t="shared" si="965"/>
        <v>1209697.947045852</v>
      </c>
      <c r="AB342" s="57">
        <f t="shared" ref="AB342:AB353" si="1023">(AH342+AI342)/AU342</f>
        <v>3024168.3685401008</v>
      </c>
      <c r="AC342" s="57">
        <f t="shared" si="966"/>
        <v>0.25</v>
      </c>
      <c r="AD342" s="57">
        <f t="shared" si="967"/>
        <v>1.5</v>
      </c>
      <c r="AE342" s="57">
        <f t="shared" si="968"/>
        <v>1592785.6918415998</v>
      </c>
      <c r="AF342" s="57">
        <f t="shared" si="969"/>
        <v>723346.1870386994</v>
      </c>
      <c r="AG342" s="57">
        <f t="shared" si="880"/>
        <v>486351.76000715268</v>
      </c>
      <c r="AH342" s="57">
        <f t="shared" ref="AH342:AH353" si="1024">AM342*AK342*AT342*AP342*(AS342-0.5*AP342)</f>
        <v>7121471448.2900543</v>
      </c>
      <c r="AI342" s="57">
        <f t="shared" ref="AI342:AI353" si="1025">BB342*BO342*(AS342-AQ342)</f>
        <v>3939726776.4822202</v>
      </c>
      <c r="AJ342" s="77">
        <f t="shared" si="926"/>
        <v>1592785.6918415998</v>
      </c>
      <c r="AK342" s="77">
        <f>5231*0.0069</f>
        <v>36.093899999999998</v>
      </c>
      <c r="AL342" s="78">
        <f t="shared" si="970"/>
        <v>3.3017046075512666</v>
      </c>
      <c r="AM342" s="57">
        <f t="shared" si="971"/>
        <v>1</v>
      </c>
      <c r="AN342" s="57">
        <f t="shared" si="972"/>
        <v>0.8</v>
      </c>
      <c r="AO342" s="77">
        <f>10*304.8</f>
        <v>3048</v>
      </c>
      <c r="AP342" s="79">
        <f>20*25.4</f>
        <v>508</v>
      </c>
      <c r="AQ342" s="57">
        <f t="shared" si="973"/>
        <v>245.48468728898101</v>
      </c>
      <c r="AR342" s="57">
        <f t="shared" ref="AR342:AR353" si="1026">AO342-2*AP342</f>
        <v>2032</v>
      </c>
      <c r="AS342" s="57">
        <f t="shared" si="974"/>
        <v>2802.5153127110189</v>
      </c>
      <c r="AT342" s="77">
        <f>6*25.4</f>
        <v>152.39999999999998</v>
      </c>
      <c r="AU342" s="77">
        <f>12*304.8</f>
        <v>3657.6000000000004</v>
      </c>
      <c r="AV342" s="57">
        <f t="shared" si="975"/>
        <v>464515.19999999995</v>
      </c>
      <c r="AW342" s="77">
        <v>0</v>
      </c>
      <c r="AX342" s="77">
        <f t="shared" si="976"/>
        <v>464515.19999999995</v>
      </c>
      <c r="AY342" s="78">
        <f t="shared" si="917"/>
        <v>464515.19999999995</v>
      </c>
      <c r="AZ342" s="77">
        <f t="shared" si="937"/>
        <v>521.95150000000001</v>
      </c>
      <c r="BA342" s="77">
        <f>75.7*6.895</f>
        <v>521.95150000000001</v>
      </c>
      <c r="BB342" s="77">
        <f>84*6.895</f>
        <v>579.17999999999995</v>
      </c>
      <c r="BC342" s="77">
        <f>75.7*6.895</f>
        <v>521.95150000000001</v>
      </c>
      <c r="BD342" s="77">
        <f>(PI()*0.25*0.25*13*2)/(4*80*6)</f>
        <v>2.6589000323351117E-3</v>
      </c>
      <c r="BE342" s="77">
        <v>2.7000000000000001E-3</v>
      </c>
      <c r="BF342" s="77">
        <v>3.5000000000000003E-2</v>
      </c>
      <c r="BG342" s="77">
        <f>(2*PI()*0.25*0.25)/(4*2*6)</f>
        <v>8.181230868723419E-3</v>
      </c>
      <c r="BH342" s="79">
        <f>6*25.4</f>
        <v>152.39999999999998</v>
      </c>
      <c r="BI342" s="79">
        <f>PI()*2/8*25.4*2/8*25.4/4</f>
        <v>31.669217443593606</v>
      </c>
      <c r="BJ342" s="79">
        <v>2</v>
      </c>
      <c r="BK342" s="57">
        <f t="shared" si="881"/>
        <v>63.338434887187212</v>
      </c>
      <c r="BL342" s="57">
        <f t="shared" si="1018"/>
        <v>823.39965353343382</v>
      </c>
      <c r="BM342" s="80">
        <f>PI()*4/8*25.4*4/8*25.4/4</f>
        <v>126.67686977437442</v>
      </c>
      <c r="BN342" s="80">
        <f>7*3</f>
        <v>21</v>
      </c>
      <c r="BO342" s="57">
        <f t="shared" ref="BO342:BO353" si="1027">BM342*BN342</f>
        <v>2660.2142652618627</v>
      </c>
      <c r="BP342" s="57">
        <f t="shared" si="977"/>
        <v>1796506.5613547766</v>
      </c>
      <c r="BQ342" s="77">
        <f t="shared" si="978"/>
        <v>1.3271346688270569E-8</v>
      </c>
      <c r="BR342" s="57">
        <f t="shared" si="1022"/>
        <v>6570902398.8112316</v>
      </c>
      <c r="BS342" s="57">
        <v>490.96937457796201</v>
      </c>
      <c r="BT342" s="57">
        <f t="shared" si="981"/>
        <v>459.03141720749585</v>
      </c>
      <c r="BU342" s="57"/>
      <c r="BV342" s="57">
        <v>3.3E-3</v>
      </c>
      <c r="BW342" s="57">
        <v>30000</v>
      </c>
      <c r="BX342" s="57">
        <v>200000</v>
      </c>
      <c r="BY342" s="77">
        <f>1*25.4</f>
        <v>25.4</v>
      </c>
      <c r="BZ342" s="77">
        <f>BY342+3*25.4</f>
        <v>101.6</v>
      </c>
      <c r="CA342" s="77">
        <f>BY342+3*2*25.4</f>
        <v>177.79999999999998</v>
      </c>
      <c r="CB342" s="77">
        <f>BY342+3*3*25.4</f>
        <v>254</v>
      </c>
      <c r="CC342" s="77">
        <f>BY342+3*4*25.4</f>
        <v>330.19999999999993</v>
      </c>
      <c r="CD342" s="77">
        <f>BY342+3*5*25.4</f>
        <v>406.4</v>
      </c>
      <c r="CE342" s="77">
        <f>BY342+3*6*25.4</f>
        <v>482.59999999999997</v>
      </c>
      <c r="CF342" s="77">
        <f>CE342+1*25.4+4*25.4</f>
        <v>609.59999999999991</v>
      </c>
      <c r="CG342" s="77">
        <f>CF342+6*25.4*1</f>
        <v>761.99999999999989</v>
      </c>
      <c r="CH342" s="77">
        <f>CF342+6*25.4*2</f>
        <v>914.39999999999986</v>
      </c>
      <c r="CI342" s="77">
        <f>CF342+6*25.4*3</f>
        <v>1066.7999999999997</v>
      </c>
      <c r="CJ342" s="77">
        <f>CF342+6*25.4*4</f>
        <v>1219.1999999999998</v>
      </c>
      <c r="CK342" s="77">
        <f>CF342+6*25.4*5</f>
        <v>1371.6</v>
      </c>
      <c r="CL342" s="77">
        <f>CF342+6*25.4*6</f>
        <v>1523.9999999999998</v>
      </c>
      <c r="CM342" s="77">
        <f>CF342+6*25.4*7</f>
        <v>1676.3999999999996</v>
      </c>
      <c r="CN342" s="77">
        <f>CF342+6*25.4*8</f>
        <v>1828.7999999999997</v>
      </c>
      <c r="CO342" s="77">
        <f>CF342+6*25.4*9</f>
        <v>1981.1999999999998</v>
      </c>
      <c r="CP342" s="77">
        <f>CF342+6*25.4*10</f>
        <v>2133.5999999999995</v>
      </c>
      <c r="CQ342" s="77">
        <f>CF342+6*25.4*11</f>
        <v>2285.9999999999995</v>
      </c>
      <c r="CR342" s="77">
        <f>CF342+6*25.4*12</f>
        <v>2438.3999999999996</v>
      </c>
      <c r="CS342" s="77">
        <f>CR342+4*25.4+1*25.4</f>
        <v>2565.3999999999996</v>
      </c>
      <c r="CT342" s="77">
        <f>CS342+3*25.4*1</f>
        <v>2641.5999999999995</v>
      </c>
      <c r="CU342" s="77">
        <f>CS342+3*25.4*2</f>
        <v>2717.7999999999997</v>
      </c>
      <c r="CV342" s="77">
        <f>CS342+3*25.4*3</f>
        <v>2793.9999999999995</v>
      </c>
      <c r="CW342" s="77">
        <f>CS342+3*25.4*4</f>
        <v>2870.2</v>
      </c>
      <c r="CX342" s="77">
        <f>CS342+3*25.4*5</f>
        <v>2946.3999999999996</v>
      </c>
      <c r="CY342" s="77">
        <f>CS342+3*25.4*6</f>
        <v>3022.5999999999995</v>
      </c>
      <c r="DM342" s="77">
        <f t="shared" ref="DM342:DS343" si="1028">PI()*4/8*25.4*4/8*25.4/4*3</f>
        <v>380.03060932312326</v>
      </c>
      <c r="DN342" s="77">
        <f t="shared" si="1028"/>
        <v>380.03060932312326</v>
      </c>
      <c r="DO342" s="77">
        <f t="shared" si="1028"/>
        <v>380.03060932312326</v>
      </c>
      <c r="DP342" s="77">
        <f t="shared" si="1028"/>
        <v>380.03060932312326</v>
      </c>
      <c r="DQ342" s="77">
        <f t="shared" si="1028"/>
        <v>380.03060932312326</v>
      </c>
      <c r="DR342" s="77">
        <f t="shared" si="1028"/>
        <v>380.03060932312326</v>
      </c>
      <c r="DS342" s="77">
        <f t="shared" si="1028"/>
        <v>380.03060932312326</v>
      </c>
      <c r="DT342" s="77">
        <f t="shared" ref="DT342:EF343" si="1029">PI()*2/8*25.4*2/8*25.4/4*2</f>
        <v>63.338434887187212</v>
      </c>
      <c r="DU342" s="77">
        <f t="shared" si="1029"/>
        <v>63.338434887187212</v>
      </c>
      <c r="DV342" s="77">
        <f t="shared" si="1029"/>
        <v>63.338434887187212</v>
      </c>
      <c r="DW342" s="77">
        <f t="shared" si="1029"/>
        <v>63.338434887187212</v>
      </c>
      <c r="DX342" s="77">
        <f t="shared" si="1029"/>
        <v>63.338434887187212</v>
      </c>
      <c r="DY342" s="77">
        <f t="shared" si="1029"/>
        <v>63.338434887187212</v>
      </c>
      <c r="DZ342" s="77">
        <f t="shared" si="1029"/>
        <v>63.338434887187212</v>
      </c>
      <c r="EA342" s="77">
        <f t="shared" si="1029"/>
        <v>63.338434887187212</v>
      </c>
      <c r="EB342" s="77">
        <f t="shared" si="1029"/>
        <v>63.338434887187212</v>
      </c>
      <c r="EC342" s="77">
        <f t="shared" si="1029"/>
        <v>63.338434887187212</v>
      </c>
      <c r="ED342" s="77">
        <f t="shared" si="1029"/>
        <v>63.338434887187212</v>
      </c>
      <c r="EE342" s="77">
        <f t="shared" si="1029"/>
        <v>63.338434887187212</v>
      </c>
      <c r="EF342" s="77">
        <f t="shared" si="1029"/>
        <v>63.338434887187212</v>
      </c>
      <c r="EG342" s="77">
        <f t="shared" ref="EG342:EM343" si="1030">PI()*4/8*25.4*4/8*25.4/4*3</f>
        <v>380.03060932312326</v>
      </c>
      <c r="EH342" s="77">
        <f t="shared" si="1030"/>
        <v>380.03060932312326</v>
      </c>
      <c r="EI342" s="77">
        <f t="shared" si="1030"/>
        <v>380.03060932312326</v>
      </c>
      <c r="EJ342" s="77">
        <f t="shared" si="1030"/>
        <v>380.03060932312326</v>
      </c>
      <c r="EK342" s="77">
        <f t="shared" si="1030"/>
        <v>380.03060932312326</v>
      </c>
      <c r="EL342" s="77">
        <f t="shared" si="1030"/>
        <v>380.03060932312326</v>
      </c>
      <c r="EM342" s="77">
        <f t="shared" si="1030"/>
        <v>380.03060932312326</v>
      </c>
      <c r="FA342" s="77">
        <f t="shared" si="982"/>
        <v>-220106.12830776651</v>
      </c>
      <c r="FB342" s="77">
        <f t="shared" ref="FB342:FC345" si="1031">IF(ABS(-$BV342*($BS342-BZ342)/$BS342*$BX342)&gt;$BB342,$BB342*SIGN(-($BS342-BZ342)),-$BV342*($BS342-BZ342)/$BS342*$BX342)*DN342</f>
        <v>-198916.08377382706</v>
      </c>
      <c r="FC342" s="77">
        <f t="shared" si="1031"/>
        <v>-159987.99498925137</v>
      </c>
      <c r="FD342" s="77">
        <f>IF(ABS(-$BV342*($BS342-CB342)/$BS342*$BX342)&gt;$BB342,$BB342*SIGN(-($BS342-CB342)),-$BV342*($BS342-CB342)/$BS342*$BX342)*DP342</f>
        <v>-121059.90620467564</v>
      </c>
      <c r="FE342" s="77">
        <f t="shared" ref="FE342:FG343" si="1032">IF(ABS(-$BV342*($BS342-CC342)/$BS342*$BX342)&gt;$BB342,$BB342*SIGN(-($BS342-CC342)),-$BV342*($BS342-CC342)/$BS342*$BX342)*DQ342</f>
        <v>-82131.817420099964</v>
      </c>
      <c r="FF342" s="77">
        <f t="shared" si="1032"/>
        <v>-43203.728635524232</v>
      </c>
      <c r="FG342" s="77">
        <f t="shared" si="1032"/>
        <v>-4275.6398509485243</v>
      </c>
      <c r="FH342" s="77">
        <f t="shared" ref="FH342:FT345" si="1033">IF(ABS(-$BV342*($BS342-CF342)/$BS342*$BX342)&gt;$BA342,$BA342*SIGN(-($BS342-CF342)),-$BV342*($BS342-CF342)/$BS342*$BX342)*DT342</f>
        <v>10100.751353890717</v>
      </c>
      <c r="FI342" s="77">
        <f t="shared" si="1033"/>
        <v>23076.780948749285</v>
      </c>
      <c r="FJ342" s="77">
        <f t="shared" si="1033"/>
        <v>33059.5910970197</v>
      </c>
      <c r="FK342" s="77">
        <f t="shared" si="1033"/>
        <v>33059.5910970197</v>
      </c>
      <c r="FL342" s="77">
        <f t="shared" si="1033"/>
        <v>33059.5910970197</v>
      </c>
      <c r="FM342" s="77">
        <f t="shared" si="1033"/>
        <v>33059.5910970197</v>
      </c>
      <c r="FN342" s="77">
        <f t="shared" si="1033"/>
        <v>33059.5910970197</v>
      </c>
      <c r="FO342" s="77">
        <f t="shared" si="1033"/>
        <v>33059.5910970197</v>
      </c>
      <c r="FP342" s="77">
        <f t="shared" si="1033"/>
        <v>33059.5910970197</v>
      </c>
      <c r="FQ342" s="77">
        <f t="shared" si="1033"/>
        <v>33059.5910970197</v>
      </c>
      <c r="FR342" s="77">
        <f t="shared" si="1033"/>
        <v>33059.5910970197</v>
      </c>
      <c r="FS342" s="77">
        <f t="shared" si="1033"/>
        <v>33059.5910970197</v>
      </c>
      <c r="FT342" s="77">
        <f t="shared" si="1033"/>
        <v>33059.5910970197</v>
      </c>
      <c r="FU342" s="77">
        <f t="shared" ref="FU342:GA343" si="1034">IF(ABS(-$BV342*($BS342-CS342)/$BS342*$BX342)&gt;$BB342,$BB342*SIGN(-($BS342-CS342)),-$BV342*($BS342-CS342)/$BS342*$BX342)*EG342</f>
        <v>220106.12830776651</v>
      </c>
      <c r="FV342" s="77">
        <f t="shared" si="1034"/>
        <v>220106.12830776651</v>
      </c>
      <c r="FW342" s="77">
        <f t="shared" si="1034"/>
        <v>220106.12830776651</v>
      </c>
      <c r="FX342" s="77">
        <f t="shared" si="1034"/>
        <v>220106.12830776651</v>
      </c>
      <c r="FY342" s="77">
        <f t="shared" si="1034"/>
        <v>220106.12830776651</v>
      </c>
      <c r="FZ342" s="77">
        <f t="shared" si="1034"/>
        <v>220106.12830776651</v>
      </c>
      <c r="GA342" s="77">
        <f t="shared" si="1034"/>
        <v>220106.12830776651</v>
      </c>
      <c r="GO342" s="77">
        <f t="shared" si="854"/>
        <v>329851043.88201886</v>
      </c>
      <c r="GP342" s="77">
        <f t="shared" si="855"/>
        <v>282938237.55989164</v>
      </c>
      <c r="GQ342" s="77">
        <f t="shared" si="856"/>
        <v>215375838.85453019</v>
      </c>
      <c r="GR342" s="77">
        <f t="shared" si="857"/>
        <v>153746080.87993807</v>
      </c>
      <c r="GS342" s="77">
        <f t="shared" ref="GS342:HB345" si="1035">FE342*(CC342-0.5*$AO342)</f>
        <v>98048963.636115357</v>
      </c>
      <c r="GT342" s="77">
        <f t="shared" si="1035"/>
        <v>48284487.12306188</v>
      </c>
      <c r="GU342" s="77">
        <f t="shared" si="1035"/>
        <v>4452651.3407777939</v>
      </c>
      <c r="GV342" s="77">
        <f t="shared" si="1035"/>
        <v>-9236127.0379976723</v>
      </c>
      <c r="GW342" s="77">
        <f t="shared" si="1035"/>
        <v>-17584507.082946956</v>
      </c>
      <c r="GX342" s="77">
        <f t="shared" si="1035"/>
        <v>-20153126.732743215</v>
      </c>
      <c r="GY342" s="77">
        <f t="shared" si="1035"/>
        <v>-15114845.049557416</v>
      </c>
      <c r="GZ342" s="77">
        <f t="shared" si="1035"/>
        <v>-10076563.366371611</v>
      </c>
      <c r="HA342" s="77">
        <f t="shared" si="1035"/>
        <v>-5038281.6831858056</v>
      </c>
      <c r="HB342" s="77">
        <f t="shared" si="1035"/>
        <v>-7.5168807363797214E-9</v>
      </c>
      <c r="HC342" s="77">
        <f t="shared" ref="HC342:HL345" si="1036">FO342*(CM342-0.5*$AO342)</f>
        <v>5038281.6831857907</v>
      </c>
      <c r="HD342" s="77">
        <f t="shared" si="1036"/>
        <v>10076563.366371596</v>
      </c>
      <c r="HE342" s="77">
        <f t="shared" si="1036"/>
        <v>15114845.049557401</v>
      </c>
      <c r="HF342" s="77">
        <f t="shared" si="1036"/>
        <v>20153126.732743192</v>
      </c>
      <c r="HG342" s="77">
        <f t="shared" si="1036"/>
        <v>25191408.415928997</v>
      </c>
      <c r="HH342" s="77">
        <f t="shared" si="1036"/>
        <v>30229690.099114802</v>
      </c>
      <c r="HI342" s="77">
        <f t="shared" si="1036"/>
        <v>229218522.01970798</v>
      </c>
      <c r="HJ342" s="77">
        <f t="shared" si="1036"/>
        <v>245990608.99675974</v>
      </c>
      <c r="HK342" s="77">
        <f t="shared" si="1036"/>
        <v>262762695.9738116</v>
      </c>
      <c r="HL342" s="77">
        <f t="shared" si="1036"/>
        <v>279534782.95086336</v>
      </c>
      <c r="HM342" s="77">
        <f t="shared" ref="HM342:HO345" si="1037">FY342*(CW342-0.5*$AO342)</f>
        <v>296306869.92791522</v>
      </c>
      <c r="HN342" s="77">
        <f t="shared" si="1037"/>
        <v>313078956.90496701</v>
      </c>
      <c r="HO342" s="77">
        <f t="shared" si="1037"/>
        <v>329851043.8820188</v>
      </c>
      <c r="IC342" s="82">
        <v>361</v>
      </c>
    </row>
    <row r="343" spans="1:237" s="77" customFormat="1">
      <c r="A343" s="77">
        <v>343</v>
      </c>
      <c r="C343" s="122" t="s">
        <v>362</v>
      </c>
      <c r="D343" s="122" t="s">
        <v>364</v>
      </c>
      <c r="E343" s="131">
        <v>1</v>
      </c>
      <c r="F343" s="125">
        <f t="shared" si="994"/>
        <v>5.9258468310226034E-2</v>
      </c>
      <c r="G343" s="122">
        <v>4.3E-3</v>
      </c>
      <c r="H343" s="122"/>
      <c r="I343" s="149">
        <v>1.4999999999999999E-2</v>
      </c>
      <c r="J343" s="125">
        <f t="shared" si="1021"/>
        <v>1.2000000000000002</v>
      </c>
      <c r="K343" s="125">
        <f t="shared" si="1013"/>
        <v>20.000000000000004</v>
      </c>
      <c r="L343" s="125">
        <f t="shared" si="1014"/>
        <v>3.4422878366219462E-2</v>
      </c>
      <c r="M343" s="125">
        <f t="shared" si="1015"/>
        <v>3.4954970272864601E-2</v>
      </c>
      <c r="N343" s="125">
        <f t="shared" si="1016"/>
        <v>0.50280156858076186</v>
      </c>
      <c r="O343" s="125">
        <f t="shared" si="1017"/>
        <v>0.10591654881913679</v>
      </c>
      <c r="P343" s="122">
        <v>0.13</v>
      </c>
      <c r="Q343" s="125" t="s">
        <v>3</v>
      </c>
      <c r="R343" s="126">
        <f t="shared" si="916"/>
        <v>0</v>
      </c>
      <c r="S343" s="75">
        <f t="shared" si="980"/>
        <v>0.37626420987414527</v>
      </c>
      <c r="T343" s="59">
        <f t="shared" si="959"/>
        <v>1.5599258182288227</v>
      </c>
      <c r="U343" s="59">
        <f t="shared" si="960"/>
        <v>1.4748932547554532</v>
      </c>
      <c r="V343" s="59">
        <f t="shared" si="961"/>
        <v>1.8499582116794744</v>
      </c>
      <c r="W343" s="59">
        <f t="shared" si="962"/>
        <v>1.1859270422102259</v>
      </c>
      <c r="X343" s="59">
        <f t="shared" si="963"/>
        <v>1.2542997303124892</v>
      </c>
      <c r="Y343" s="127">
        <f>(254+245)/2*4448</f>
        <v>1109776</v>
      </c>
      <c r="Z343" s="57">
        <f t="shared" si="964"/>
        <v>1391991.737507273</v>
      </c>
      <c r="AA343" s="57">
        <f t="shared" si="965"/>
        <v>1316113.3691958957</v>
      </c>
      <c r="AB343" s="57">
        <f t="shared" si="1023"/>
        <v>3181287.6214164654</v>
      </c>
      <c r="AC343" s="57">
        <f t="shared" si="966"/>
        <v>0.25</v>
      </c>
      <c r="AD343" s="57">
        <f t="shared" si="967"/>
        <v>1.5</v>
      </c>
      <c r="AE343" s="57">
        <f t="shared" si="968"/>
        <v>2434603.5952991997</v>
      </c>
      <c r="AF343" s="57">
        <f t="shared" si="969"/>
        <v>835655.06610137131</v>
      </c>
      <c r="AG343" s="57">
        <f t="shared" si="880"/>
        <v>480458.30309452437</v>
      </c>
      <c r="AH343" s="57">
        <f t="shared" si="1024"/>
        <v>7800798069.2398901</v>
      </c>
      <c r="AI343" s="57">
        <f t="shared" si="1025"/>
        <v>3835079534.8529758</v>
      </c>
      <c r="AJ343" s="77">
        <f t="shared" si="926"/>
        <v>2434603.5952991997</v>
      </c>
      <c r="AK343" s="77">
        <f>5843*0.0069</f>
        <v>40.316699999999997</v>
      </c>
      <c r="AL343" s="78">
        <f t="shared" si="970"/>
        <v>3.5088625579703949</v>
      </c>
      <c r="AM343" s="57">
        <f t="shared" si="971"/>
        <v>0.99390342105263163</v>
      </c>
      <c r="AN343" s="57">
        <f t="shared" si="972"/>
        <v>0.79390342105263167</v>
      </c>
      <c r="AO343" s="77">
        <f>10*304.8</f>
        <v>3048</v>
      </c>
      <c r="AP343" s="79">
        <f>20*25.4</f>
        <v>508</v>
      </c>
      <c r="AQ343" s="57">
        <f t="shared" si="973"/>
        <v>279.44468209233241</v>
      </c>
      <c r="AR343" s="57">
        <f t="shared" si="1026"/>
        <v>2032</v>
      </c>
      <c r="AS343" s="57">
        <f t="shared" si="974"/>
        <v>2768.5553179076678</v>
      </c>
      <c r="AT343" s="77">
        <f>6*25.4</f>
        <v>152.39999999999998</v>
      </c>
      <c r="AU343" s="77">
        <f>12*304.8</f>
        <v>3657.6000000000004</v>
      </c>
      <c r="AV343" s="57">
        <f t="shared" si="975"/>
        <v>464515.19999999995</v>
      </c>
      <c r="AW343" s="77">
        <v>0</v>
      </c>
      <c r="AX343" s="77">
        <f t="shared" si="976"/>
        <v>464515.19999999995</v>
      </c>
      <c r="AY343" s="78">
        <f t="shared" si="917"/>
        <v>464515.19999999995</v>
      </c>
      <c r="AZ343" s="77">
        <f t="shared" si="937"/>
        <v>521.95150000000001</v>
      </c>
      <c r="BA343" s="77">
        <f>75.7*6.895</f>
        <v>521.95150000000001</v>
      </c>
      <c r="BB343" s="77">
        <f>84*6.895</f>
        <v>579.17999999999995</v>
      </c>
      <c r="BC343" s="77">
        <f>75.7*6.895</f>
        <v>521.95150000000001</v>
      </c>
      <c r="BD343" s="77">
        <f>(PI()*0.25*0.25*13*2)/(4*80*6)</f>
        <v>2.6589000323351117E-3</v>
      </c>
      <c r="BE343" s="77">
        <v>2.7000000000000001E-3</v>
      </c>
      <c r="BF343" s="77">
        <v>3.5000000000000003E-2</v>
      </c>
      <c r="BG343" s="77">
        <f>(2*PI()*0.25*0.25)/(4*2*6)</f>
        <v>8.181230868723419E-3</v>
      </c>
      <c r="BH343" s="79">
        <f>6*25.4</f>
        <v>152.39999999999998</v>
      </c>
      <c r="BI343" s="79">
        <f>PI()*2/8*25.4*2/8*25.4/4</f>
        <v>31.669217443593606</v>
      </c>
      <c r="BJ343" s="79">
        <v>2</v>
      </c>
      <c r="BK343" s="57">
        <f t="shared" si="881"/>
        <v>63.338434887187212</v>
      </c>
      <c r="BL343" s="57">
        <f t="shared" si="1018"/>
        <v>823.39965353343382</v>
      </c>
      <c r="BM343" s="80">
        <f>PI()*4/8*25.4*4/8*25.4/4</f>
        <v>126.67686977437442</v>
      </c>
      <c r="BN343" s="80">
        <f>7*3</f>
        <v>21</v>
      </c>
      <c r="BO343" s="57">
        <f t="shared" si="1027"/>
        <v>2660.2142652618627</v>
      </c>
      <c r="BP343" s="57">
        <f t="shared" si="977"/>
        <v>2053039.2243248003</v>
      </c>
      <c r="BQ343" s="77">
        <f t="shared" si="978"/>
        <v>6.7520886659622192E-9</v>
      </c>
      <c r="BR343" s="57">
        <f t="shared" si="1022"/>
        <v>7509196266.8903904</v>
      </c>
      <c r="BS343" s="57">
        <v>558.88936418466483</v>
      </c>
      <c r="BT343" s="57">
        <f t="shared" si="981"/>
        <v>638.74328320536563</v>
      </c>
      <c r="BU343" s="57"/>
      <c r="BV343" s="57">
        <v>3.3E-3</v>
      </c>
      <c r="BW343" s="57">
        <v>30000</v>
      </c>
      <c r="BX343" s="57">
        <v>200000</v>
      </c>
      <c r="BY343" s="77">
        <f>1*25.4</f>
        <v>25.4</v>
      </c>
      <c r="BZ343" s="77">
        <f>BY343+3*25.4</f>
        <v>101.6</v>
      </c>
      <c r="CA343" s="77">
        <f>BY343+3*2*25.4</f>
        <v>177.79999999999998</v>
      </c>
      <c r="CB343" s="77">
        <f>BY343+3*3*25.4</f>
        <v>254</v>
      </c>
      <c r="CC343" s="77">
        <f>BY343+3*4*25.4</f>
        <v>330.19999999999993</v>
      </c>
      <c r="CD343" s="77">
        <f>BY343+3*5*25.4</f>
        <v>406.4</v>
      </c>
      <c r="CE343" s="77">
        <f>BY343+3*6*25.4</f>
        <v>482.59999999999997</v>
      </c>
      <c r="CF343" s="77">
        <f>CE343+1*25.4+4*25.4</f>
        <v>609.59999999999991</v>
      </c>
      <c r="CG343" s="77">
        <f>CF343+6*25.4*1</f>
        <v>761.99999999999989</v>
      </c>
      <c r="CH343" s="77">
        <f>CF343+6*25.4*2</f>
        <v>914.39999999999986</v>
      </c>
      <c r="CI343" s="77">
        <f>CF343+6*25.4*3</f>
        <v>1066.7999999999997</v>
      </c>
      <c r="CJ343" s="77">
        <f>CF343+6*25.4*4</f>
        <v>1219.1999999999998</v>
      </c>
      <c r="CK343" s="77">
        <f>CF343+6*25.4*5</f>
        <v>1371.6</v>
      </c>
      <c r="CL343" s="77">
        <f>CF343+6*25.4*6</f>
        <v>1523.9999999999998</v>
      </c>
      <c r="CM343" s="77">
        <f>CF343+6*25.4*7</f>
        <v>1676.3999999999996</v>
      </c>
      <c r="CN343" s="77">
        <f>CF343+6*25.4*8</f>
        <v>1828.7999999999997</v>
      </c>
      <c r="CO343" s="77">
        <f>CF343+6*25.4*9</f>
        <v>1981.1999999999998</v>
      </c>
      <c r="CP343" s="77">
        <f>CF343+6*25.4*10</f>
        <v>2133.5999999999995</v>
      </c>
      <c r="CQ343" s="77">
        <f>CF343+6*25.4*11</f>
        <v>2285.9999999999995</v>
      </c>
      <c r="CR343" s="77">
        <f>CF343+6*25.4*12</f>
        <v>2438.3999999999996</v>
      </c>
      <c r="CS343" s="77">
        <f>CR343+4*25.4+1*25.4</f>
        <v>2565.3999999999996</v>
      </c>
      <c r="CT343" s="77">
        <f>CS343+3*25.4*1</f>
        <v>2641.5999999999995</v>
      </c>
      <c r="CU343" s="77">
        <f>CS343+3*25.4*2</f>
        <v>2717.7999999999997</v>
      </c>
      <c r="CV343" s="77">
        <f>CS343+3*25.4*3</f>
        <v>2793.9999999999995</v>
      </c>
      <c r="CW343" s="77">
        <f>CS343+3*25.4*4</f>
        <v>2870.2</v>
      </c>
      <c r="CX343" s="77">
        <f>CS343+3*25.4*5</f>
        <v>2946.3999999999996</v>
      </c>
      <c r="CY343" s="77">
        <f>CS343+3*25.4*6</f>
        <v>3022.5999999999995</v>
      </c>
      <c r="DM343" s="77">
        <f t="shared" si="1028"/>
        <v>380.03060932312326</v>
      </c>
      <c r="DN343" s="77">
        <f t="shared" si="1028"/>
        <v>380.03060932312326</v>
      </c>
      <c r="DO343" s="77">
        <f t="shared" si="1028"/>
        <v>380.03060932312326</v>
      </c>
      <c r="DP343" s="77">
        <f t="shared" si="1028"/>
        <v>380.03060932312326</v>
      </c>
      <c r="DQ343" s="77">
        <f t="shared" si="1028"/>
        <v>380.03060932312326</v>
      </c>
      <c r="DR343" s="77">
        <f t="shared" si="1028"/>
        <v>380.03060932312326</v>
      </c>
      <c r="DS343" s="77">
        <f t="shared" si="1028"/>
        <v>380.03060932312326</v>
      </c>
      <c r="DT343" s="77">
        <f t="shared" si="1029"/>
        <v>63.338434887187212</v>
      </c>
      <c r="DU343" s="77">
        <f t="shared" si="1029"/>
        <v>63.338434887187212</v>
      </c>
      <c r="DV343" s="77">
        <f t="shared" si="1029"/>
        <v>63.338434887187212</v>
      </c>
      <c r="DW343" s="77">
        <f t="shared" si="1029"/>
        <v>63.338434887187212</v>
      </c>
      <c r="DX343" s="77">
        <f t="shared" si="1029"/>
        <v>63.338434887187212</v>
      </c>
      <c r="DY343" s="77">
        <f t="shared" si="1029"/>
        <v>63.338434887187212</v>
      </c>
      <c r="DZ343" s="77">
        <f t="shared" si="1029"/>
        <v>63.338434887187212</v>
      </c>
      <c r="EA343" s="77">
        <f t="shared" si="1029"/>
        <v>63.338434887187212</v>
      </c>
      <c r="EB343" s="77">
        <f t="shared" si="1029"/>
        <v>63.338434887187212</v>
      </c>
      <c r="EC343" s="77">
        <f t="shared" si="1029"/>
        <v>63.338434887187212</v>
      </c>
      <c r="ED343" s="77">
        <f t="shared" si="1029"/>
        <v>63.338434887187212</v>
      </c>
      <c r="EE343" s="77">
        <f t="shared" si="1029"/>
        <v>63.338434887187212</v>
      </c>
      <c r="EF343" s="77">
        <f t="shared" si="1029"/>
        <v>63.338434887187212</v>
      </c>
      <c r="EG343" s="77">
        <f t="shared" si="1030"/>
        <v>380.03060932312326</v>
      </c>
      <c r="EH343" s="77">
        <f t="shared" si="1030"/>
        <v>380.03060932312326</v>
      </c>
      <c r="EI343" s="77">
        <f t="shared" si="1030"/>
        <v>380.03060932312326</v>
      </c>
      <c r="EJ343" s="77">
        <f t="shared" si="1030"/>
        <v>380.03060932312326</v>
      </c>
      <c r="EK343" s="77">
        <f t="shared" si="1030"/>
        <v>380.03060932312326</v>
      </c>
      <c r="EL343" s="77">
        <f t="shared" si="1030"/>
        <v>380.03060932312326</v>
      </c>
      <c r="EM343" s="77">
        <f t="shared" si="1030"/>
        <v>380.03060932312326</v>
      </c>
      <c r="FA343" s="77">
        <f t="shared" si="982"/>
        <v>-220106.12830776651</v>
      </c>
      <c r="FB343" s="77">
        <f t="shared" si="1031"/>
        <v>-205223.82088029207</v>
      </c>
      <c r="FC343" s="77">
        <f t="shared" si="1031"/>
        <v>-171026.53492556515</v>
      </c>
      <c r="FD343" s="77">
        <f>IF(ABS(-$BV343*($BS343-CB343)/$BS343*$BX343)&gt;$BB343,$BB343*SIGN(-($BS343-CB343)),-$BV343*($BS343-CB343)/$BS343*$BX343)*DP343</f>
        <v>-136829.24897083818</v>
      </c>
      <c r="FE343" s="77">
        <f t="shared" si="1032"/>
        <v>-102631.96301611126</v>
      </c>
      <c r="FF343" s="77">
        <f t="shared" si="1032"/>
        <v>-68434.677061384282</v>
      </c>
      <c r="FG343" s="77">
        <f t="shared" si="1032"/>
        <v>-34237.391106657335</v>
      </c>
      <c r="FH343" s="77">
        <f t="shared" si="1033"/>
        <v>3793.0142474257041</v>
      </c>
      <c r="FI343" s="77">
        <f t="shared" si="1033"/>
        <v>15192.109565668021</v>
      </c>
      <c r="FJ343" s="77">
        <f t="shared" si="1033"/>
        <v>26591.204883910334</v>
      </c>
      <c r="FK343" s="77">
        <f t="shared" si="1033"/>
        <v>33059.5910970197</v>
      </c>
      <c r="FL343" s="77">
        <f t="shared" si="1033"/>
        <v>33059.5910970197</v>
      </c>
      <c r="FM343" s="77">
        <f t="shared" si="1033"/>
        <v>33059.5910970197</v>
      </c>
      <c r="FN343" s="77">
        <f t="shared" si="1033"/>
        <v>33059.5910970197</v>
      </c>
      <c r="FO343" s="77">
        <f t="shared" si="1033"/>
        <v>33059.5910970197</v>
      </c>
      <c r="FP343" s="77">
        <f t="shared" si="1033"/>
        <v>33059.5910970197</v>
      </c>
      <c r="FQ343" s="77">
        <f t="shared" si="1033"/>
        <v>33059.5910970197</v>
      </c>
      <c r="FR343" s="77">
        <f t="shared" si="1033"/>
        <v>33059.5910970197</v>
      </c>
      <c r="FS343" s="77">
        <f t="shared" si="1033"/>
        <v>33059.5910970197</v>
      </c>
      <c r="FT343" s="77">
        <f t="shared" si="1033"/>
        <v>33059.5910970197</v>
      </c>
      <c r="FU343" s="77">
        <f t="shared" si="1034"/>
        <v>220106.12830776651</v>
      </c>
      <c r="FV343" s="77">
        <f t="shared" si="1034"/>
        <v>220106.12830776651</v>
      </c>
      <c r="FW343" s="77">
        <f t="shared" si="1034"/>
        <v>220106.12830776651</v>
      </c>
      <c r="FX343" s="77">
        <f t="shared" si="1034"/>
        <v>220106.12830776651</v>
      </c>
      <c r="FY343" s="77">
        <f t="shared" si="1034"/>
        <v>220106.12830776651</v>
      </c>
      <c r="FZ343" s="77">
        <f t="shared" si="1034"/>
        <v>220106.12830776651</v>
      </c>
      <c r="GA343" s="77">
        <f t="shared" si="1034"/>
        <v>220106.12830776651</v>
      </c>
      <c r="GO343" s="77">
        <f t="shared" ref="GO343:GO405" si="1038">FA343*(BY343-0.5*$AO343)</f>
        <v>329851043.88201886</v>
      </c>
      <c r="GP343" s="77">
        <f t="shared" ref="GP343:GP405" si="1039">FB343*(BZ343-0.5*$AO343)</f>
        <v>291910362.82012749</v>
      </c>
      <c r="GQ343" s="77">
        <f t="shared" ref="GQ343:GQ405" si="1040">FC343*(CA343-0.5*$AO343)</f>
        <v>230235921.31679583</v>
      </c>
      <c r="GR343" s="77">
        <f t="shared" ref="GR343:GR405" si="1041">FD343*(CB343-0.5*$AO343)</f>
        <v>173773146.19296449</v>
      </c>
      <c r="GS343" s="77">
        <f t="shared" si="1035"/>
        <v>122522037.44863364</v>
      </c>
      <c r="GT343" s="77">
        <f t="shared" si="1035"/>
        <v>76482595.083803073</v>
      </c>
      <c r="GU343" s="77">
        <f t="shared" si="1035"/>
        <v>35654819.098472953</v>
      </c>
      <c r="GV343" s="77">
        <f t="shared" si="1035"/>
        <v>-3468332.2278460641</v>
      </c>
      <c r="GW343" s="77">
        <f t="shared" si="1035"/>
        <v>-11576387.489039034</v>
      </c>
      <c r="GX343" s="77">
        <f t="shared" si="1035"/>
        <v>-16209998.497231742</v>
      </c>
      <c r="GY343" s="77">
        <f t="shared" si="1035"/>
        <v>-15114845.049557416</v>
      </c>
      <c r="GZ343" s="77">
        <f t="shared" si="1035"/>
        <v>-10076563.366371611</v>
      </c>
      <c r="HA343" s="77">
        <f t="shared" si="1035"/>
        <v>-5038281.6831858056</v>
      </c>
      <c r="HB343" s="77">
        <f t="shared" si="1035"/>
        <v>-7.5168807363797214E-9</v>
      </c>
      <c r="HC343" s="77">
        <f t="shared" si="1036"/>
        <v>5038281.6831857907</v>
      </c>
      <c r="HD343" s="77">
        <f t="shared" si="1036"/>
        <v>10076563.366371596</v>
      </c>
      <c r="HE343" s="77">
        <f t="shared" si="1036"/>
        <v>15114845.049557401</v>
      </c>
      <c r="HF343" s="77">
        <f t="shared" si="1036"/>
        <v>20153126.732743192</v>
      </c>
      <c r="HG343" s="77">
        <f t="shared" si="1036"/>
        <v>25191408.415928997</v>
      </c>
      <c r="HH343" s="77">
        <f t="shared" si="1036"/>
        <v>30229690.099114802</v>
      </c>
      <c r="HI343" s="77">
        <f t="shared" si="1036"/>
        <v>229218522.01970798</v>
      </c>
      <c r="HJ343" s="77">
        <f t="shared" si="1036"/>
        <v>245990608.99675974</v>
      </c>
      <c r="HK343" s="77">
        <f t="shared" si="1036"/>
        <v>262762695.9738116</v>
      </c>
      <c r="HL343" s="77">
        <f t="shared" si="1036"/>
        <v>279534782.95086336</v>
      </c>
      <c r="HM343" s="77">
        <f t="shared" si="1037"/>
        <v>296306869.92791522</v>
      </c>
      <c r="HN343" s="77">
        <f t="shared" si="1037"/>
        <v>313078956.90496701</v>
      </c>
      <c r="HO343" s="77">
        <f t="shared" si="1037"/>
        <v>329851043.8820188</v>
      </c>
      <c r="IC343" s="82">
        <v>362</v>
      </c>
    </row>
    <row r="344" spans="1:237" s="77" customFormat="1">
      <c r="A344" s="77">
        <v>344</v>
      </c>
      <c r="C344" s="122" t="s">
        <v>362</v>
      </c>
      <c r="D344" s="122" t="s">
        <v>365</v>
      </c>
      <c r="E344" s="131">
        <v>1</v>
      </c>
      <c r="F344" s="125">
        <f t="shared" si="994"/>
        <v>5.8520187661022162E-2</v>
      </c>
      <c r="G344" s="122">
        <v>1.6999999999999999E-3</v>
      </c>
      <c r="H344" s="122"/>
      <c r="I344" s="149">
        <v>1.2500000000000001E-2</v>
      </c>
      <c r="J344" s="125">
        <f t="shared" si="1021"/>
        <v>1.2000000000000002</v>
      </c>
      <c r="K344" s="125">
        <f t="shared" si="1013"/>
        <v>20.000000000000004</v>
      </c>
      <c r="L344" s="125">
        <f t="shared" si="1014"/>
        <v>0.15582725478043546</v>
      </c>
      <c r="M344" s="125">
        <f t="shared" si="1015"/>
        <v>2.7793098480880039E-2</v>
      </c>
      <c r="N344" s="125">
        <f t="shared" si="1016"/>
        <v>0.20284154986599379</v>
      </c>
      <c r="O344" s="125">
        <f t="shared" si="1017"/>
        <v>0.14202418697652697</v>
      </c>
      <c r="P344" s="122">
        <v>0.1</v>
      </c>
      <c r="Q344" s="125" t="s">
        <v>3</v>
      </c>
      <c r="R344" s="126">
        <f t="shared" si="916"/>
        <v>0</v>
      </c>
      <c r="S344" s="75">
        <f t="shared" si="980"/>
        <v>0.3430401289174308</v>
      </c>
      <c r="T344" s="59">
        <f t="shared" si="959"/>
        <v>1.2425463834354413</v>
      </c>
      <c r="U344" s="59">
        <f t="shared" si="960"/>
        <v>1.0922386717559407</v>
      </c>
      <c r="V344" s="59">
        <f t="shared" si="961"/>
        <v>1.5614676922024315</v>
      </c>
      <c r="W344" s="59">
        <f t="shared" si="962"/>
        <v>1.2566675280847255</v>
      </c>
      <c r="X344" s="59">
        <f t="shared" si="963"/>
        <v>1.4296030094705707</v>
      </c>
      <c r="Y344" s="127">
        <f>(204+216)/2*4448</f>
        <v>934080</v>
      </c>
      <c r="Z344" s="57">
        <f t="shared" si="964"/>
        <v>1335363.5790862706</v>
      </c>
      <c r="AA344" s="57">
        <f t="shared" si="965"/>
        <v>1173828.0046333803</v>
      </c>
      <c r="AB344" s="57">
        <f t="shared" si="1023"/>
        <v>2490403.9972387808</v>
      </c>
      <c r="AC344" s="57">
        <f t="shared" si="966"/>
        <v>0.25</v>
      </c>
      <c r="AD344" s="57">
        <f t="shared" si="967"/>
        <v>1.5</v>
      </c>
      <c r="AE344" s="57">
        <f t="shared" si="968"/>
        <v>1596167.1302400001</v>
      </c>
      <c r="AF344" s="57">
        <f t="shared" si="969"/>
        <v>697414.65817604295</v>
      </c>
      <c r="AG344" s="57">
        <f t="shared" si="880"/>
        <v>476413.34645733738</v>
      </c>
      <c r="AH344" s="57">
        <f t="shared" si="1024"/>
        <v>7576719181.3072901</v>
      </c>
      <c r="AI344" s="57">
        <f t="shared" si="1025"/>
        <v>1532182478.9932752</v>
      </c>
      <c r="AJ344" s="77">
        <f t="shared" si="926"/>
        <v>1596167.1302400001</v>
      </c>
      <c r="AK344" s="77">
        <f>4980*0.0069</f>
        <v>34.362000000000002</v>
      </c>
      <c r="AL344" s="78">
        <f t="shared" si="970"/>
        <v>3.2136069524508186</v>
      </c>
      <c r="AM344" s="57">
        <f t="shared" si="971"/>
        <v>1</v>
      </c>
      <c r="AN344" s="57">
        <f t="shared" si="972"/>
        <v>0.8</v>
      </c>
      <c r="AO344" s="77">
        <f>10*304.8</f>
        <v>3048</v>
      </c>
      <c r="AP344" s="79">
        <f>23.25*25.4</f>
        <v>590.54999999999995</v>
      </c>
      <c r="AQ344" s="57">
        <f t="shared" si="973"/>
        <v>302.75302359972562</v>
      </c>
      <c r="AR344" s="57">
        <f t="shared" si="1026"/>
        <v>1866.9</v>
      </c>
      <c r="AS344" s="57">
        <f t="shared" si="974"/>
        <v>2745.2469764002744</v>
      </c>
      <c r="AT344" s="77">
        <f>6*25.4</f>
        <v>152.39999999999998</v>
      </c>
      <c r="AU344" s="77">
        <f>12*304.8</f>
        <v>3657.6000000000004</v>
      </c>
      <c r="AV344" s="57">
        <f t="shared" si="975"/>
        <v>464515.19999999995</v>
      </c>
      <c r="AW344" s="77">
        <v>0</v>
      </c>
      <c r="AX344" s="77">
        <f t="shared" si="976"/>
        <v>464515.19999999995</v>
      </c>
      <c r="AY344" s="78">
        <f t="shared" si="917"/>
        <v>464515.19999999995</v>
      </c>
      <c r="AZ344" s="77">
        <f>75.7*6.895</f>
        <v>521.95150000000001</v>
      </c>
      <c r="BA344" s="77">
        <f>51.3*6.895</f>
        <v>353.71349999999995</v>
      </c>
      <c r="BB344" s="77">
        <f>51.3*6.895</f>
        <v>353.71349999999995</v>
      </c>
      <c r="BC344" s="77">
        <f>75.7*6.895</f>
        <v>521.95150000000001</v>
      </c>
      <c r="BD344" s="77">
        <f>(PI()*0.5*0.5*17*2)/(4*73.5*6)</f>
        <v>1.5138059838726329E-2</v>
      </c>
      <c r="BE344" s="77">
        <v>2.7000000000000001E-3</v>
      </c>
      <c r="BF344" s="77">
        <f>(PI()*0.5*0.5*14)/(4*23.25*6)</f>
        <v>1.9705330264452106E-2</v>
      </c>
      <c r="BG344" s="77">
        <f>(2*PI()*0.25*0.25)/(4*1.75*6)</f>
        <v>9.3499781356839087E-3</v>
      </c>
      <c r="BH344" s="79">
        <f>6*25.4</f>
        <v>152.39999999999998</v>
      </c>
      <c r="BI344" s="79">
        <f>PI()*2/8*25.4*2/8*25.4/4</f>
        <v>31.669217443593606</v>
      </c>
      <c r="BJ344" s="79">
        <v>2</v>
      </c>
      <c r="BK344" s="57">
        <f t="shared" si="881"/>
        <v>63.338434887187212</v>
      </c>
      <c r="BL344" s="57">
        <f t="shared" si="1018"/>
        <v>4307.0135723287312</v>
      </c>
      <c r="BM344" s="80">
        <f>PI()*4/8*25.4*4/8*25.4/4</f>
        <v>126.67686977437442</v>
      </c>
      <c r="BN344" s="80">
        <v>14</v>
      </c>
      <c r="BO344" s="57">
        <f t="shared" si="1027"/>
        <v>1773.476176841242</v>
      </c>
      <c r="BP344" s="57">
        <f t="shared" si="977"/>
        <v>1458535.7419324473</v>
      </c>
      <c r="BQ344" s="77">
        <f t="shared" si="978"/>
        <v>2.7939677238464355E-9</v>
      </c>
      <c r="BR344" s="57">
        <f t="shared" si="1022"/>
        <v>5334740329.6921196</v>
      </c>
      <c r="BS344" s="57">
        <v>605.50604719945125</v>
      </c>
      <c r="BT344" s="57">
        <f t="shared" si="981"/>
        <v>580.25898629427195</v>
      </c>
      <c r="BU344" s="57"/>
      <c r="BV344" s="57">
        <v>3.3E-3</v>
      </c>
      <c r="BW344" s="57">
        <v>30000</v>
      </c>
      <c r="BX344" s="57">
        <v>200000</v>
      </c>
      <c r="BY344" s="77">
        <f>25.4</f>
        <v>25.4</v>
      </c>
      <c r="BZ344" s="77">
        <f>BY344+4.25*25.4*1</f>
        <v>133.35</v>
      </c>
      <c r="CA344" s="77">
        <f>BY344+4.25*25.4*2</f>
        <v>241.29999999999998</v>
      </c>
      <c r="CB344" s="77">
        <f>BY344+4.25*25.4*3</f>
        <v>349.24999999999994</v>
      </c>
      <c r="CC344" s="77">
        <f>BY344+4.25*25.4*4</f>
        <v>457.19999999999993</v>
      </c>
      <c r="CD344" s="77">
        <f>BY344+4.25*25.4*5</f>
        <v>565.15</v>
      </c>
      <c r="CE344" s="77">
        <f>CD344+1*25.4+2.75*25.4</f>
        <v>660.4</v>
      </c>
      <c r="CF344" s="77">
        <f>CE344+4.25*25.4*1</f>
        <v>768.34999999999991</v>
      </c>
      <c r="CG344" s="77">
        <f>CE344+4.25*25.4*2</f>
        <v>876.3</v>
      </c>
      <c r="CH344" s="77">
        <f>CE344+4.25*25.4*3</f>
        <v>984.25</v>
      </c>
      <c r="CI344" s="77">
        <f>CE344+4.25*25.4*4</f>
        <v>1092.1999999999998</v>
      </c>
      <c r="CJ344" s="77">
        <f>CE344+4.25*25.4*5</f>
        <v>1200.1500000000001</v>
      </c>
      <c r="CK344" s="77">
        <f>CE344+4.25*25.4*6</f>
        <v>1308.0999999999999</v>
      </c>
      <c r="CL344" s="77">
        <f>CE344+4.25*25.4*7</f>
        <v>1416.0499999999997</v>
      </c>
      <c r="CM344" s="77">
        <f>CE344+4.25*25.4*8</f>
        <v>1524</v>
      </c>
      <c r="CN344" s="77">
        <f>CE344+4.25*25.4*9</f>
        <v>1631.9499999999998</v>
      </c>
      <c r="CO344" s="77">
        <f>CE344+4.25*25.4*10</f>
        <v>1739.9</v>
      </c>
      <c r="CP344" s="77">
        <f>CE344+4.25*25.4*11</f>
        <v>1847.85</v>
      </c>
      <c r="CQ344" s="77">
        <f>CE344+4.25*25.4*12</f>
        <v>1955.7999999999997</v>
      </c>
      <c r="CR344" s="77">
        <f>CE344+4.25*25.4*13</f>
        <v>2063.75</v>
      </c>
      <c r="CS344" s="77">
        <f>CE344+4.25*25.4*14</f>
        <v>2171.6999999999998</v>
      </c>
      <c r="CT344" s="77">
        <f>CE344+4.25*25.4*15</f>
        <v>2279.6499999999996</v>
      </c>
      <c r="CU344" s="77">
        <f>CE344+4.25*25.4*16</f>
        <v>2387.6</v>
      </c>
      <c r="CV344" s="77">
        <f>CU344+2.75*25.4+1*25.4</f>
        <v>2482.85</v>
      </c>
      <c r="CW344" s="77">
        <f>CV344+4.25*25.4*1</f>
        <v>2590.7999999999997</v>
      </c>
      <c r="CX344" s="77">
        <f>CV344+4.25*25.4*2</f>
        <v>2698.75</v>
      </c>
      <c r="CY344" s="77">
        <f>CV344+4.25*25.4*3</f>
        <v>2806.7</v>
      </c>
      <c r="CZ344" s="77">
        <f>CV344+4.25*25.4*4</f>
        <v>2914.6499999999996</v>
      </c>
      <c r="DA344" s="77">
        <f>CV344+4.25*25.4*5</f>
        <v>3022.6</v>
      </c>
      <c r="DM344" s="77">
        <f>PI()*4/8*25.4*4/8*25.4/4*3</f>
        <v>380.03060932312326</v>
      </c>
      <c r="DN344" s="77">
        <f>PI()*4/8*25.4*4/8*25.4/4*2</f>
        <v>253.35373954874885</v>
      </c>
      <c r="DO344" s="77">
        <f>PI()*4/8*25.4*4/8*25.4/4*2</f>
        <v>253.35373954874885</v>
      </c>
      <c r="DP344" s="77">
        <f>PI()*4/8*25.4*4/8*25.4/4*2</f>
        <v>253.35373954874885</v>
      </c>
      <c r="DQ344" s="77">
        <f>PI()*4/8*25.4*4/8*25.4/4*2</f>
        <v>253.35373954874885</v>
      </c>
      <c r="DR344" s="77">
        <f>PI()*4/8*25.4*4/8*25.4/4*3</f>
        <v>380.03060932312326</v>
      </c>
      <c r="DS344" s="77">
        <f t="shared" ref="DS344:EI344" si="1042">PI()*4/8*25.4*4/8*25.4/4*2</f>
        <v>253.35373954874885</v>
      </c>
      <c r="DT344" s="77">
        <f t="shared" si="1042"/>
        <v>253.35373954874885</v>
      </c>
      <c r="DU344" s="77">
        <f t="shared" si="1042"/>
        <v>253.35373954874885</v>
      </c>
      <c r="DV344" s="77">
        <f t="shared" si="1042"/>
        <v>253.35373954874885</v>
      </c>
      <c r="DW344" s="77">
        <f t="shared" si="1042"/>
        <v>253.35373954874885</v>
      </c>
      <c r="DX344" s="77">
        <f t="shared" si="1042"/>
        <v>253.35373954874885</v>
      </c>
      <c r="DY344" s="77">
        <f t="shared" si="1042"/>
        <v>253.35373954874885</v>
      </c>
      <c r="DZ344" s="77">
        <f t="shared" si="1042"/>
        <v>253.35373954874885</v>
      </c>
      <c r="EA344" s="77">
        <f t="shared" si="1042"/>
        <v>253.35373954874885</v>
      </c>
      <c r="EB344" s="77">
        <f t="shared" si="1042"/>
        <v>253.35373954874885</v>
      </c>
      <c r="EC344" s="77">
        <f t="shared" si="1042"/>
        <v>253.35373954874885</v>
      </c>
      <c r="ED344" s="77">
        <f t="shared" si="1042"/>
        <v>253.35373954874885</v>
      </c>
      <c r="EE344" s="77">
        <f t="shared" si="1042"/>
        <v>253.35373954874885</v>
      </c>
      <c r="EF344" s="77">
        <f t="shared" si="1042"/>
        <v>253.35373954874885</v>
      </c>
      <c r="EG344" s="77">
        <f t="shared" si="1042"/>
        <v>253.35373954874885</v>
      </c>
      <c r="EH344" s="77">
        <f t="shared" si="1042"/>
        <v>253.35373954874885</v>
      </c>
      <c r="EI344" s="77">
        <f t="shared" si="1042"/>
        <v>253.35373954874885</v>
      </c>
      <c r="EJ344" s="77">
        <f>PI()*4/8*25.4*4/8*25.4/4*3</f>
        <v>380.03060932312326</v>
      </c>
      <c r="EK344" s="77">
        <f>PI()*4/8*25.4*4/8*25.4/4*2</f>
        <v>253.35373954874885</v>
      </c>
      <c r="EL344" s="77">
        <f>PI()*4/8*25.4*4/8*25.4/4*2</f>
        <v>253.35373954874885</v>
      </c>
      <c r="EM344" s="77">
        <f>PI()*4/8*25.4*4/8*25.4/4*2</f>
        <v>253.35373954874885</v>
      </c>
      <c r="EN344" s="77">
        <f>PI()*4/8*25.4*4/8*25.4/4*2</f>
        <v>253.35373954874885</v>
      </c>
      <c r="EO344" s="77">
        <f>PI()*4/8*25.4*4/8*25.4/4*3</f>
        <v>380.03060932312326</v>
      </c>
      <c r="FA344" s="77">
        <f t="shared" si="982"/>
        <v>-134421.95693081454</v>
      </c>
      <c r="FB344" s="77">
        <f t="shared" si="1031"/>
        <v>-89614.637953876358</v>
      </c>
      <c r="FC344" s="77">
        <f t="shared" si="1031"/>
        <v>-89614.637953876358</v>
      </c>
      <c r="FD344" s="77">
        <f>IF(ABS(-$BV344*($BS344-CB344)/$BS344*$BX344)&gt;$BB344,$BB344*SIGN(-($BS344-CB344)),-$BV344*($BS344-CB344)/$BS344*$BX344)*DP344</f>
        <v>-70766.365707756951</v>
      </c>
      <c r="FE344" s="77">
        <f>IF(ABS(-$BV344*($BS344-CC344)/$BS344*$BX344)&gt;$BB344,$BB344*SIGN(-($BS344-CC344)),-$BV344*($BS344-CC344)/$BS344*$BX344)*DQ344</f>
        <v>-40955.443149482504</v>
      </c>
      <c r="FF344" s="77">
        <f>IF(ABS(-$BV344*($BS344-CD344)/$BS344*$BX344)&gt;$BB344,$BB344*SIGN(-($BS344-CD344)),-$BV344*($BS344-CD344)/$BS344*$BX344)*DR344</f>
        <v>-16716.780886812088</v>
      </c>
      <c r="FG344" s="77">
        <f>IF(ABS(-$BV344*($BS344-CE344)/$BS344*$BX344)&gt;$BA344,$BA344*SIGN(-($BS344-CE344)),-$BV344*($BS344-CE344)/$BS344*$BX344)*DS344</f>
        <v>15159.234607269389</v>
      </c>
      <c r="FH344" s="77">
        <f t="shared" si="1033"/>
        <v>44970.157165543809</v>
      </c>
      <c r="FI344" s="77">
        <f t="shared" si="1033"/>
        <v>74781.079723818271</v>
      </c>
      <c r="FJ344" s="77">
        <f t="shared" si="1033"/>
        <v>89614.637953876358</v>
      </c>
      <c r="FK344" s="77">
        <f t="shared" si="1033"/>
        <v>89614.637953876358</v>
      </c>
      <c r="FL344" s="77">
        <f t="shared" si="1033"/>
        <v>89614.637953876358</v>
      </c>
      <c r="FM344" s="77">
        <f t="shared" si="1033"/>
        <v>89614.637953876358</v>
      </c>
      <c r="FN344" s="77">
        <f t="shared" si="1033"/>
        <v>89614.637953876358</v>
      </c>
      <c r="FO344" s="77">
        <f t="shared" si="1033"/>
        <v>89614.637953876358</v>
      </c>
      <c r="FP344" s="77">
        <f t="shared" si="1033"/>
        <v>89614.637953876358</v>
      </c>
      <c r="FQ344" s="77">
        <f t="shared" si="1033"/>
        <v>89614.637953876358</v>
      </c>
      <c r="FR344" s="77">
        <f t="shared" si="1033"/>
        <v>89614.637953876358</v>
      </c>
      <c r="FS344" s="77">
        <f t="shared" si="1033"/>
        <v>89614.637953876358</v>
      </c>
      <c r="FT344" s="77">
        <f t="shared" si="1033"/>
        <v>89614.637953876358</v>
      </c>
      <c r="FU344" s="77">
        <f>IF(ABS(-$BV344*($BS344-CS344)/$BS344*$BX344)&gt;$BA344,$BA344*SIGN(-($BS344-CS344)),-$BV344*($BS344-CS344)/$BS344*$BX344)*EG344</f>
        <v>89614.637953876358</v>
      </c>
      <c r="FV344" s="77">
        <f>IF(ABS(-$BV344*($BS344-CT344)/$BS344*$BX344)&gt;$BA344,$BA344*SIGN(-($BS344-CT344)),-$BV344*($BS344-CT344)/$BS344*$BX344)*EH344</f>
        <v>89614.637953876358</v>
      </c>
      <c r="FW344" s="77">
        <f>IF(ABS(-$BV344*($BS344-CU344)/$BS344*$BX344)&gt;$BA344,$BA344*SIGN(-($BS344-CU344)),-$BV344*($BS344-CU344)/$BS344*$BX344)*EI344</f>
        <v>89614.637953876358</v>
      </c>
      <c r="FX344" s="77">
        <f t="shared" ref="FX344:GC344" si="1043">IF(ABS(-$BV344*($BS344-CV344)/$BS344*$BX344)&gt;$BB344,$BB344*SIGN(-($BS344-CV344)),-$BV344*($BS344-CV344)/$BS344*$BX344)*EJ344</f>
        <v>134421.95693081454</v>
      </c>
      <c r="FY344" s="77">
        <f t="shared" si="1043"/>
        <v>89614.637953876358</v>
      </c>
      <c r="FZ344" s="77">
        <f t="shared" si="1043"/>
        <v>89614.637953876358</v>
      </c>
      <c r="GA344" s="77">
        <f t="shared" si="1043"/>
        <v>89614.637953876358</v>
      </c>
      <c r="GB344" s="77">
        <f t="shared" si="1043"/>
        <v>89614.637953876358</v>
      </c>
      <c r="GC344" s="77">
        <f t="shared" si="1043"/>
        <v>134421.95693081454</v>
      </c>
      <c r="GO344" s="77">
        <f t="shared" si="1038"/>
        <v>201444744.65651867</v>
      </c>
      <c r="GP344" s="77">
        <f t="shared" si="1039"/>
        <v>124622596.27055816</v>
      </c>
      <c r="GQ344" s="77">
        <f t="shared" si="1040"/>
        <v>114948696.10343722</v>
      </c>
      <c r="GR344" s="77">
        <f t="shared" si="1041"/>
        <v>83132788.115187481</v>
      </c>
      <c r="GS344" s="77">
        <f t="shared" si="1035"/>
        <v>43691266.751867943</v>
      </c>
      <c r="GT344" s="77">
        <f t="shared" si="1035"/>
        <v>16028885.353319772</v>
      </c>
      <c r="GU344" s="77">
        <f t="shared" si="1035"/>
        <v>-13091515.006837845</v>
      </c>
      <c r="GV344" s="77">
        <f t="shared" si="1035"/>
        <v>-33981699.262143187</v>
      </c>
      <c r="GW344" s="77">
        <f t="shared" si="1035"/>
        <v>-48435705.337117098</v>
      </c>
      <c r="GX344" s="77">
        <f t="shared" si="1035"/>
        <v>-48369500.835604765</v>
      </c>
      <c r="GY344" s="77">
        <f t="shared" si="1035"/>
        <v>-38695600.668483831</v>
      </c>
      <c r="GZ344" s="77">
        <f t="shared" si="1035"/>
        <v>-29021700.501362849</v>
      </c>
      <c r="HA344" s="77">
        <f t="shared" si="1035"/>
        <v>-19347800.334241915</v>
      </c>
      <c r="HB344" s="77">
        <f t="shared" si="1035"/>
        <v>-9673900.1671209764</v>
      </c>
      <c r="HC344" s="77">
        <f t="shared" si="1036"/>
        <v>0</v>
      </c>
      <c r="HD344" s="77">
        <f t="shared" si="1036"/>
        <v>9673900.1671209373</v>
      </c>
      <c r="HE344" s="77">
        <f t="shared" si="1036"/>
        <v>19347800.334241915</v>
      </c>
      <c r="HF344" s="77">
        <f t="shared" si="1036"/>
        <v>29021700.501362849</v>
      </c>
      <c r="HG344" s="77">
        <f t="shared" si="1036"/>
        <v>38695600.668483786</v>
      </c>
      <c r="HH344" s="77">
        <f t="shared" si="1036"/>
        <v>48369500.835604765</v>
      </c>
      <c r="HI344" s="77">
        <f t="shared" si="1036"/>
        <v>58043401.002725698</v>
      </c>
      <c r="HJ344" s="77">
        <f t="shared" si="1036"/>
        <v>67717301.169846639</v>
      </c>
      <c r="HK344" s="77">
        <f t="shared" si="1036"/>
        <v>77391201.336967617</v>
      </c>
      <c r="HL344" s="77">
        <f t="shared" si="1036"/>
        <v>128890493.40311152</v>
      </c>
      <c r="HM344" s="77">
        <f t="shared" si="1037"/>
        <v>95600895.769195274</v>
      </c>
      <c r="HN344" s="77">
        <f t="shared" si="1037"/>
        <v>105274795.93631625</v>
      </c>
      <c r="HO344" s="77">
        <f t="shared" si="1037"/>
        <v>114948696.10343719</v>
      </c>
      <c r="HP344" s="77">
        <f>GB344*(CZ344-0.5*$AO344)</f>
        <v>124622596.27055812</v>
      </c>
      <c r="HQ344" s="77">
        <f>GC344*(DA344-0.5*$AO344)</f>
        <v>201444744.65651867</v>
      </c>
      <c r="IC344" s="82">
        <v>363</v>
      </c>
    </row>
    <row r="345" spans="1:237" s="77" customFormat="1">
      <c r="A345" s="77">
        <v>345</v>
      </c>
      <c r="C345" s="122" t="s">
        <v>362</v>
      </c>
      <c r="D345" s="122" t="s">
        <v>366</v>
      </c>
      <c r="E345" s="131">
        <v>1</v>
      </c>
      <c r="F345" s="125">
        <f t="shared" si="994"/>
        <v>6.0747179821209543E-2</v>
      </c>
      <c r="G345" s="122">
        <v>3.0000000000000001E-3</v>
      </c>
      <c r="H345" s="122"/>
      <c r="I345" s="149">
        <v>0.01</v>
      </c>
      <c r="J345" s="125">
        <f t="shared" si="1021"/>
        <v>1.2000000000000002</v>
      </c>
      <c r="K345" s="125">
        <f t="shared" si="1013"/>
        <v>20.000000000000004</v>
      </c>
      <c r="L345" s="125">
        <f t="shared" si="1014"/>
        <v>4.7081666267280026E-2</v>
      </c>
      <c r="M345" s="125">
        <f t="shared" si="1015"/>
        <v>4.7809431485100147E-2</v>
      </c>
      <c r="N345" s="125">
        <f t="shared" si="1016"/>
        <v>0.54934414522607611</v>
      </c>
      <c r="O345" s="125">
        <f t="shared" si="1017"/>
        <v>0.1448666654377847</v>
      </c>
      <c r="P345" s="122">
        <v>0.11700000000000001</v>
      </c>
      <c r="Q345" s="125" t="s">
        <v>3</v>
      </c>
      <c r="R345" s="126">
        <f t="shared" si="916"/>
        <v>0</v>
      </c>
      <c r="S345" s="75">
        <f t="shared" si="980"/>
        <v>0.32981187464694367</v>
      </c>
      <c r="T345" s="59">
        <f t="shared" si="959"/>
        <v>1.3663376104266034</v>
      </c>
      <c r="U345" s="59">
        <f t="shared" si="960"/>
        <v>1.2161932635494659</v>
      </c>
      <c r="V345" s="59">
        <f t="shared" si="961"/>
        <v>1.8790562242920423</v>
      </c>
      <c r="W345" s="59">
        <f t="shared" si="962"/>
        <v>1.3752503114551287</v>
      </c>
      <c r="X345" s="59">
        <f t="shared" si="963"/>
        <v>1.545030942539517</v>
      </c>
      <c r="Y345" s="127">
        <f>(159+215)/2*4448</f>
        <v>831776</v>
      </c>
      <c r="Z345" s="57">
        <f t="shared" si="964"/>
        <v>1285119.6572617493</v>
      </c>
      <c r="AA345" s="57">
        <f t="shared" si="965"/>
        <v>1143900.203060901</v>
      </c>
      <c r="AB345" s="57">
        <f t="shared" si="1023"/>
        <v>2423866.7286111885</v>
      </c>
      <c r="AC345" s="57">
        <f t="shared" si="966"/>
        <v>0.25</v>
      </c>
      <c r="AD345" s="57">
        <f t="shared" si="967"/>
        <v>1.5</v>
      </c>
      <c r="AE345" s="57">
        <f t="shared" si="968"/>
        <v>1602013.3327411199</v>
      </c>
      <c r="AF345" s="57">
        <f t="shared" si="969"/>
        <v>661113.49121185753</v>
      </c>
      <c r="AG345" s="57">
        <f t="shared" si="880"/>
        <v>482786.7118490435</v>
      </c>
      <c r="AH345" s="57">
        <f t="shared" si="1024"/>
        <v>5769010573.6914215</v>
      </c>
      <c r="AI345" s="57">
        <f t="shared" si="1025"/>
        <v>3096524372.8768625</v>
      </c>
      <c r="AJ345" s="77">
        <f t="shared" si="926"/>
        <v>1602013.3327411199</v>
      </c>
      <c r="AK345" s="77">
        <f>4272*0.0069</f>
        <v>29.476800000000001</v>
      </c>
      <c r="AL345" s="78">
        <f t="shared" si="970"/>
        <v>2.9536824598213225</v>
      </c>
      <c r="AM345" s="57">
        <f t="shared" si="971"/>
        <v>1</v>
      </c>
      <c r="AN345" s="57">
        <f t="shared" si="972"/>
        <v>0.8</v>
      </c>
      <c r="AO345" s="77">
        <f>10*304.8</f>
        <v>3048</v>
      </c>
      <c r="AP345" s="79">
        <f>20*25.4</f>
        <v>508</v>
      </c>
      <c r="AQ345" s="57">
        <f t="shared" si="973"/>
        <v>266.02764174134364</v>
      </c>
      <c r="AR345" s="57">
        <f t="shared" si="1026"/>
        <v>2032</v>
      </c>
      <c r="AS345" s="57">
        <f t="shared" si="974"/>
        <v>2781.9723582586562</v>
      </c>
      <c r="AT345" s="77">
        <f>6*25.4</f>
        <v>152.39999999999998</v>
      </c>
      <c r="AU345" s="77">
        <f>12*304.8</f>
        <v>3657.6000000000004</v>
      </c>
      <c r="AV345" s="57">
        <f t="shared" si="975"/>
        <v>464515.19999999995</v>
      </c>
      <c r="AW345" s="77">
        <v>0</v>
      </c>
      <c r="AX345" s="77">
        <f t="shared" si="976"/>
        <v>464515.19999999995</v>
      </c>
      <c r="AY345" s="78">
        <f t="shared" si="917"/>
        <v>464515.19999999995</v>
      </c>
      <c r="AZ345" s="77">
        <f t="shared" ref="AZ345:AZ375" si="1044">BA345</f>
        <v>521.95150000000001</v>
      </c>
      <c r="BA345" s="77">
        <f>75.7*6.895</f>
        <v>521.95150000000001</v>
      </c>
      <c r="BB345" s="77">
        <f>67.1*6.895</f>
        <v>462.65449999999993</v>
      </c>
      <c r="BC345" s="77">
        <f>75.7*6.895</f>
        <v>521.95150000000001</v>
      </c>
      <c r="BD345" s="77">
        <f>(PI()*0.25*0.25*13*2)/(4*80*6)</f>
        <v>2.6589000323351117E-3</v>
      </c>
      <c r="BE345" s="77">
        <v>2.7000000000000001E-3</v>
      </c>
      <c r="BF345" s="77">
        <v>3.5000000000000003E-2</v>
      </c>
      <c r="BG345" s="77">
        <f>(2*PI()*0.25*0.25)/(4*2*6)</f>
        <v>8.181230868723419E-3</v>
      </c>
      <c r="BH345" s="79">
        <f>6*25.4</f>
        <v>152.39999999999998</v>
      </c>
      <c r="BI345" s="79">
        <f>PI()*2/8*25.4*2/8*25.4/4</f>
        <v>31.669217443593606</v>
      </c>
      <c r="BJ345" s="79">
        <v>2</v>
      </c>
      <c r="BK345" s="57">
        <f t="shared" si="881"/>
        <v>63.338434887187212</v>
      </c>
      <c r="BL345" s="57">
        <f t="shared" si="1018"/>
        <v>823.39965353343382</v>
      </c>
      <c r="BM345" s="80">
        <f>PI()*4/8*25.4*4/8*25.4/4</f>
        <v>126.67686977437442</v>
      </c>
      <c r="BN345" s="80">
        <f>7*3</f>
        <v>21</v>
      </c>
      <c r="BO345" s="57">
        <f t="shared" si="1027"/>
        <v>2660.2142652618627</v>
      </c>
      <c r="BP345" s="57">
        <f t="shared" si="977"/>
        <v>1562953.8700167378</v>
      </c>
      <c r="BQ345" s="77">
        <f t="shared" si="978"/>
        <v>1.0244548320770264E-8</v>
      </c>
      <c r="BR345" s="57">
        <f t="shared" si="1022"/>
        <v>5716660074.9732208</v>
      </c>
      <c r="BS345" s="57">
        <v>532.05528348268729</v>
      </c>
      <c r="BT345" s="57">
        <f t="shared" si="981"/>
        <v>533.30834807814631</v>
      </c>
      <c r="BU345" s="57"/>
      <c r="BV345" s="57">
        <v>3.3E-3</v>
      </c>
      <c r="BW345" s="57">
        <v>30000</v>
      </c>
      <c r="BX345" s="57">
        <v>200000</v>
      </c>
      <c r="BY345" s="77">
        <f>1*25.4</f>
        <v>25.4</v>
      </c>
      <c r="BZ345" s="77">
        <f>BY345+3*25.4</f>
        <v>101.6</v>
      </c>
      <c r="CA345" s="77">
        <f>BY345+3*2*25.4</f>
        <v>177.79999999999998</v>
      </c>
      <c r="CB345" s="77">
        <f>BY345+3*3*25.4</f>
        <v>254</v>
      </c>
      <c r="CC345" s="77">
        <f>BY345+3*4*25.4</f>
        <v>330.19999999999993</v>
      </c>
      <c r="CD345" s="77">
        <f>BY345+3*5*25.4</f>
        <v>406.4</v>
      </c>
      <c r="CE345" s="77">
        <f>BY345+3*6*25.4</f>
        <v>482.59999999999997</v>
      </c>
      <c r="CF345" s="77">
        <f>CE345+1*25.4+4*25.4</f>
        <v>609.59999999999991</v>
      </c>
      <c r="CG345" s="77">
        <f>CF345+6*25.4*1</f>
        <v>761.99999999999989</v>
      </c>
      <c r="CH345" s="77">
        <f>CF345+6*25.4*2</f>
        <v>914.39999999999986</v>
      </c>
      <c r="CI345" s="77">
        <f>CF345+6*25.4*3</f>
        <v>1066.7999999999997</v>
      </c>
      <c r="CJ345" s="77">
        <f>CF345+6*25.4*4</f>
        <v>1219.1999999999998</v>
      </c>
      <c r="CK345" s="77">
        <f>CF345+6*25.4*5</f>
        <v>1371.6</v>
      </c>
      <c r="CL345" s="77">
        <f>CF345+6*25.4*6</f>
        <v>1523.9999999999998</v>
      </c>
      <c r="CM345" s="77">
        <f>CF345+6*25.4*7</f>
        <v>1676.3999999999996</v>
      </c>
      <c r="CN345" s="77">
        <f>CF345+6*25.4*8</f>
        <v>1828.7999999999997</v>
      </c>
      <c r="CO345" s="77">
        <f>CF345+6*25.4*9</f>
        <v>1981.1999999999998</v>
      </c>
      <c r="CP345" s="77">
        <f>CF345+6*25.4*10</f>
        <v>2133.5999999999995</v>
      </c>
      <c r="CQ345" s="77">
        <f>CF345+6*25.4*11</f>
        <v>2285.9999999999995</v>
      </c>
      <c r="CR345" s="77">
        <f>CF345+6*25.4*12</f>
        <v>2438.3999999999996</v>
      </c>
      <c r="CS345" s="77">
        <f>CR345+4*25.4+1*25.4</f>
        <v>2565.3999999999996</v>
      </c>
      <c r="CT345" s="77">
        <f>CS345+3*25.4*1</f>
        <v>2641.5999999999995</v>
      </c>
      <c r="CU345" s="77">
        <f>CS345+3*25.4*2</f>
        <v>2717.7999999999997</v>
      </c>
      <c r="CV345" s="77">
        <f>CS345+3*25.4*3</f>
        <v>2793.9999999999995</v>
      </c>
      <c r="CW345" s="77">
        <f>CS345+3*25.4*4</f>
        <v>2870.2</v>
      </c>
      <c r="CX345" s="77">
        <f>CS345+3*25.4*5</f>
        <v>2946.3999999999996</v>
      </c>
      <c r="CY345" s="77">
        <f>CS345+3*25.4*6</f>
        <v>3022.5999999999995</v>
      </c>
      <c r="DM345" s="77">
        <f>PI()*4/8*25.4*4/8*25.4/4*3</f>
        <v>380.03060932312326</v>
      </c>
      <c r="DN345" s="77">
        <f>PI()*4/8*25.4*4/8*25.4/4*3</f>
        <v>380.03060932312326</v>
      </c>
      <c r="DO345" s="77">
        <f>PI()*4/8*25.4*4/8*25.4/4*3</f>
        <v>380.03060932312326</v>
      </c>
      <c r="DP345" s="77">
        <f>PI()*4/8*25.4*4/8*25.4/4*3</f>
        <v>380.03060932312326</v>
      </c>
      <c r="DQ345" s="77">
        <f>PI()*4/8*25.4*4/8*25.4/4*3</f>
        <v>380.03060932312326</v>
      </c>
      <c r="DR345" s="77">
        <f>PI()*4/8*25.4*4/8*25.4/4*3</f>
        <v>380.03060932312326</v>
      </c>
      <c r="DS345" s="77">
        <f>PI()*4/8*25.4*4/8*25.4/4*3</f>
        <v>380.03060932312326</v>
      </c>
      <c r="DT345" s="77">
        <f t="shared" ref="DT345:EF345" si="1045">PI()*2/8*25.4*2/8*25.4/4*2</f>
        <v>63.338434887187212</v>
      </c>
      <c r="DU345" s="77">
        <f t="shared" si="1045"/>
        <v>63.338434887187212</v>
      </c>
      <c r="DV345" s="77">
        <f t="shared" si="1045"/>
        <v>63.338434887187212</v>
      </c>
      <c r="DW345" s="77">
        <f t="shared" si="1045"/>
        <v>63.338434887187212</v>
      </c>
      <c r="DX345" s="77">
        <f t="shared" si="1045"/>
        <v>63.338434887187212</v>
      </c>
      <c r="DY345" s="77">
        <f t="shared" si="1045"/>
        <v>63.338434887187212</v>
      </c>
      <c r="DZ345" s="77">
        <f t="shared" si="1045"/>
        <v>63.338434887187212</v>
      </c>
      <c r="EA345" s="77">
        <f t="shared" si="1045"/>
        <v>63.338434887187212</v>
      </c>
      <c r="EB345" s="77">
        <f t="shared" si="1045"/>
        <v>63.338434887187212</v>
      </c>
      <c r="EC345" s="77">
        <f t="shared" si="1045"/>
        <v>63.338434887187212</v>
      </c>
      <c r="ED345" s="77">
        <f t="shared" si="1045"/>
        <v>63.338434887187212</v>
      </c>
      <c r="EE345" s="77">
        <f t="shared" si="1045"/>
        <v>63.338434887187212</v>
      </c>
      <c r="EF345" s="77">
        <f t="shared" si="1045"/>
        <v>63.338434887187212</v>
      </c>
      <c r="EG345" s="77">
        <f>PI()*4/8*25.4*4/8*25.4/4*3</f>
        <v>380.03060932312326</v>
      </c>
      <c r="EH345" s="77">
        <f>PI()*4/8*25.4*4/8*25.4/4*3</f>
        <v>380.03060932312326</v>
      </c>
      <c r="EI345" s="77">
        <f>PI()*4/8*25.4*4/8*25.4/4*3</f>
        <v>380.03060932312326</v>
      </c>
      <c r="EJ345" s="77">
        <f>PI()*4/8*25.4*4/8*25.4/4*3</f>
        <v>380.03060932312326</v>
      </c>
      <c r="EK345" s="77">
        <f>PI()*4/8*25.4*4/8*25.4/4*3</f>
        <v>380.03060932312326</v>
      </c>
      <c r="EL345" s="77">
        <f>PI()*4/8*25.4*4/8*25.4/4*3</f>
        <v>380.03060932312326</v>
      </c>
      <c r="EM345" s="77">
        <f>PI()*4/8*25.4*4/8*25.4/4*3</f>
        <v>380.03060932312326</v>
      </c>
      <c r="FA345" s="77">
        <f t="shared" si="982"/>
        <v>-175822.8715410849</v>
      </c>
      <c r="FB345" s="77">
        <f t="shared" si="1031"/>
        <v>-175822.8715410849</v>
      </c>
      <c r="FC345" s="77">
        <f t="shared" si="1031"/>
        <v>-167002.16044350175</v>
      </c>
      <c r="FD345" s="77">
        <f>IF(ABS(-$BV345*($BS345-CB345)/$BS345*$BX345)&gt;$BB345,$BB345*SIGN(-($BS345-CB345)),-$BV345*($BS345-CB345)/$BS345*$BX345)*DP345</f>
        <v>-131080.14256789046</v>
      </c>
      <c r="FE345" s="77">
        <f>IF(ABS(-$BV345*($BS345-CC345)/$BS345*$BX345)&gt;$BB345,$BB345*SIGN(-($BS345-CC345)),-$BV345*($BS345-CC345)/$BS345*$BX345)*DQ345</f>
        <v>-95158.12469227922</v>
      </c>
      <c r="FF345" s="77">
        <f>IF(ABS(-$BV345*($BS345-CD345)/$BS345*$BX345)&gt;$BB345,$BB345*SIGN(-($BS345-CD345)),-$BV345*($BS345-CD345)/$BS345*$BX345)*DR345</f>
        <v>-59236.106816667918</v>
      </c>
      <c r="FG345" s="77">
        <f>IF(ABS(-$BV345*($BS345-CE345)/$BS345*$BX345)&gt;$BB345,$BB345*SIGN(-($BS345-CE345)),-$BV345*($BS345-CE345)/$BS345*$BX345)*DS345</f>
        <v>-23314.088941056649</v>
      </c>
      <c r="FH345" s="77">
        <f t="shared" si="1033"/>
        <v>6092.6568086047955</v>
      </c>
      <c r="FI345" s="77">
        <f t="shared" si="1033"/>
        <v>18066.662767141886</v>
      </c>
      <c r="FJ345" s="77">
        <f t="shared" si="1033"/>
        <v>30040.668725678977</v>
      </c>
      <c r="FK345" s="77">
        <f t="shared" si="1033"/>
        <v>33059.5910970197</v>
      </c>
      <c r="FL345" s="77">
        <f t="shared" si="1033"/>
        <v>33059.5910970197</v>
      </c>
      <c r="FM345" s="77">
        <f t="shared" si="1033"/>
        <v>33059.5910970197</v>
      </c>
      <c r="FN345" s="77">
        <f t="shared" si="1033"/>
        <v>33059.5910970197</v>
      </c>
      <c r="FO345" s="77">
        <f t="shared" si="1033"/>
        <v>33059.5910970197</v>
      </c>
      <c r="FP345" s="77">
        <f t="shared" si="1033"/>
        <v>33059.5910970197</v>
      </c>
      <c r="FQ345" s="77">
        <f t="shared" si="1033"/>
        <v>33059.5910970197</v>
      </c>
      <c r="FR345" s="77">
        <f t="shared" si="1033"/>
        <v>33059.5910970197</v>
      </c>
      <c r="FS345" s="77">
        <f t="shared" si="1033"/>
        <v>33059.5910970197</v>
      </c>
      <c r="FT345" s="77">
        <f t="shared" si="1033"/>
        <v>33059.5910970197</v>
      </c>
      <c r="FU345" s="77">
        <f t="shared" ref="FU345:GA345" si="1046">IF(ABS(-$BV345*($BS345-CS345)/$BS345*$BX345)&gt;$BB345,$BB345*SIGN(-($BS345-CS345)),-$BV345*($BS345-CS345)/$BS345*$BX345)*EG345</f>
        <v>175822.8715410849</v>
      </c>
      <c r="FV345" s="77">
        <f t="shared" si="1046"/>
        <v>175822.8715410849</v>
      </c>
      <c r="FW345" s="77">
        <f t="shared" si="1046"/>
        <v>175822.8715410849</v>
      </c>
      <c r="FX345" s="77">
        <f t="shared" si="1046"/>
        <v>175822.8715410849</v>
      </c>
      <c r="FY345" s="77">
        <f t="shared" si="1046"/>
        <v>175822.8715410849</v>
      </c>
      <c r="FZ345" s="77">
        <f t="shared" si="1046"/>
        <v>175822.8715410849</v>
      </c>
      <c r="GA345" s="77">
        <f t="shared" si="1046"/>
        <v>175822.8715410849</v>
      </c>
      <c r="GO345" s="77">
        <f t="shared" si="1038"/>
        <v>263488155.29146981</v>
      </c>
      <c r="GP345" s="77">
        <f t="shared" si="1039"/>
        <v>250090452.48003918</v>
      </c>
      <c r="GQ345" s="77">
        <f t="shared" si="1040"/>
        <v>224818308.38904205</v>
      </c>
      <c r="GR345" s="77">
        <f t="shared" si="1041"/>
        <v>166471781.06122088</v>
      </c>
      <c r="GS345" s="77">
        <f t="shared" si="1035"/>
        <v>113599769.25764295</v>
      </c>
      <c r="GT345" s="77">
        <f t="shared" si="1035"/>
        <v>66202272.978308059</v>
      </c>
      <c r="GU345" s="77">
        <f t="shared" si="1035"/>
        <v>24279292.223216396</v>
      </c>
      <c r="GV345" s="77">
        <f t="shared" si="1035"/>
        <v>-5571125.3857882256</v>
      </c>
      <c r="GW345" s="77">
        <f t="shared" si="1035"/>
        <v>-13766797.028562119</v>
      </c>
      <c r="GX345" s="77">
        <f t="shared" si="1035"/>
        <v>-18312791.655173909</v>
      </c>
      <c r="GY345" s="77">
        <f t="shared" si="1035"/>
        <v>-15114845.049557416</v>
      </c>
      <c r="GZ345" s="77">
        <f t="shared" si="1035"/>
        <v>-10076563.366371611</v>
      </c>
      <c r="HA345" s="77">
        <f t="shared" si="1035"/>
        <v>-5038281.6831858056</v>
      </c>
      <c r="HB345" s="77">
        <f t="shared" si="1035"/>
        <v>-7.5168807363797214E-9</v>
      </c>
      <c r="HC345" s="77">
        <f t="shared" si="1036"/>
        <v>5038281.6831857907</v>
      </c>
      <c r="HD345" s="77">
        <f t="shared" si="1036"/>
        <v>10076563.366371596</v>
      </c>
      <c r="HE345" s="77">
        <f t="shared" si="1036"/>
        <v>15114845.049557401</v>
      </c>
      <c r="HF345" s="77">
        <f t="shared" si="1036"/>
        <v>20153126.732743192</v>
      </c>
      <c r="HG345" s="77">
        <f t="shared" si="1036"/>
        <v>25191408.415928997</v>
      </c>
      <c r="HH345" s="77">
        <f t="shared" si="1036"/>
        <v>30229690.099114802</v>
      </c>
      <c r="HI345" s="77">
        <f t="shared" si="1036"/>
        <v>183101938.42288575</v>
      </c>
      <c r="HJ345" s="77">
        <f t="shared" si="1036"/>
        <v>196499641.23431638</v>
      </c>
      <c r="HK345" s="77">
        <f t="shared" si="1036"/>
        <v>209897344.0457471</v>
      </c>
      <c r="HL345" s="77">
        <f t="shared" si="1036"/>
        <v>223295046.85717773</v>
      </c>
      <c r="HM345" s="77">
        <f t="shared" si="1037"/>
        <v>236692749.66860846</v>
      </c>
      <c r="HN345" s="77">
        <f t="shared" si="1037"/>
        <v>250090452.48003909</v>
      </c>
      <c r="HO345" s="77">
        <f t="shared" si="1037"/>
        <v>263488155.29146972</v>
      </c>
      <c r="IC345" s="82">
        <v>364</v>
      </c>
    </row>
    <row r="346" spans="1:237" s="77" customFormat="1">
      <c r="A346" s="77">
        <v>346</v>
      </c>
      <c r="C346" s="122" t="s">
        <v>367</v>
      </c>
      <c r="D346" s="122" t="s">
        <v>304</v>
      </c>
      <c r="E346" s="126">
        <v>1</v>
      </c>
      <c r="F346" s="125">
        <f t="shared" si="994"/>
        <v>0.1171785078999686</v>
      </c>
      <c r="G346" s="122"/>
      <c r="H346" s="122"/>
      <c r="I346" s="122">
        <f>(15.6+15.47)/2/AU346</f>
        <v>7.6716049382716048E-3</v>
      </c>
      <c r="J346" s="125">
        <f t="shared" si="1021"/>
        <v>2.0249999999999999</v>
      </c>
      <c r="K346" s="125">
        <f t="shared" si="1013"/>
        <v>10</v>
      </c>
      <c r="L346" s="125">
        <f t="shared" si="1014"/>
        <v>8.9801192842942329E-2</v>
      </c>
      <c r="M346" s="125">
        <f t="shared" si="1015"/>
        <v>0.13233859997907291</v>
      </c>
      <c r="N346" s="125">
        <f t="shared" si="1016"/>
        <v>0.48563879878623001</v>
      </c>
      <c r="O346" s="125">
        <f t="shared" si="1017"/>
        <v>0.26769749921523489</v>
      </c>
      <c r="P346" s="132">
        <v>0.4</v>
      </c>
      <c r="Q346" s="122" t="s">
        <v>3</v>
      </c>
      <c r="R346" s="133">
        <v>0</v>
      </c>
      <c r="S346" s="75">
        <f t="shared" si="980"/>
        <v>0.51229929052161949</v>
      </c>
      <c r="T346" s="59">
        <f t="shared" si="959"/>
        <v>0.81123241787660727</v>
      </c>
      <c r="U346" s="59">
        <f t="shared" si="960"/>
        <v>0.58078640143630178</v>
      </c>
      <c r="V346" s="59">
        <f t="shared" si="961"/>
        <v>0.8486528260614904</v>
      </c>
      <c r="W346" s="59">
        <f t="shared" si="962"/>
        <v>1.0461278511068759</v>
      </c>
      <c r="X346" s="59">
        <f t="shared" si="963"/>
        <v>1.4612133203579614</v>
      </c>
      <c r="Y346" s="127">
        <f>(215.89+232.06)/2*1000</f>
        <v>223975</v>
      </c>
      <c r="Z346" s="57">
        <f t="shared" si="964"/>
        <v>327275.25342717441</v>
      </c>
      <c r="AA346" s="57">
        <f t="shared" si="965"/>
        <v>234306.48545166253</v>
      </c>
      <c r="AB346" s="57">
        <f t="shared" si="1023"/>
        <v>138441.45860460369</v>
      </c>
      <c r="AC346" s="57">
        <f t="shared" si="966"/>
        <v>0.17</v>
      </c>
      <c r="AD346" s="57">
        <f t="shared" si="967"/>
        <v>2.0249999999999999</v>
      </c>
      <c r="AE346" s="57">
        <f t="shared" si="968"/>
        <v>382280</v>
      </c>
      <c r="AF346" s="57">
        <f t="shared" si="969"/>
        <v>73199.629305678565</v>
      </c>
      <c r="AG346" s="57">
        <f t="shared" si="880"/>
        <v>161106.85614598397</v>
      </c>
      <c r="AH346" s="57">
        <f t="shared" si="1024"/>
        <v>263164988.52384964</v>
      </c>
      <c r="AI346" s="57">
        <f t="shared" si="1025"/>
        <v>17178965.150472838</v>
      </c>
      <c r="AJ346" s="77">
        <v>774400</v>
      </c>
      <c r="AK346" s="77">
        <f>0.76*25.15</f>
        <v>19.114000000000001</v>
      </c>
      <c r="AL346" s="78">
        <f t="shared" si="970"/>
        <v>2.3275176863907161</v>
      </c>
      <c r="AM346" s="57">
        <f t="shared" si="971"/>
        <v>1</v>
      </c>
      <c r="AN346" s="57">
        <f t="shared" si="972"/>
        <v>0.8</v>
      </c>
      <c r="AO346" s="77">
        <v>1000</v>
      </c>
      <c r="AP346" s="79">
        <v>200</v>
      </c>
      <c r="AQ346" s="57">
        <f t="shared" si="973"/>
        <v>211.59101045346432</v>
      </c>
      <c r="AR346" s="57">
        <f t="shared" si="1026"/>
        <v>600</v>
      </c>
      <c r="AS346" s="57">
        <f t="shared" si="974"/>
        <v>788.40898954653562</v>
      </c>
      <c r="AT346" s="77">
        <v>100</v>
      </c>
      <c r="AU346" s="77">
        <f>1900+125</f>
        <v>2025</v>
      </c>
      <c r="AV346" s="57">
        <f t="shared" si="975"/>
        <v>100000</v>
      </c>
      <c r="AW346" s="77">
        <v>0</v>
      </c>
      <c r="AX346" s="77">
        <f t="shared" si="976"/>
        <v>100000</v>
      </c>
      <c r="AY346" s="78">
        <f>AO346*AT346</f>
        <v>100000</v>
      </c>
      <c r="AZ346" s="77">
        <f t="shared" si="1044"/>
        <v>451.7</v>
      </c>
      <c r="BA346" s="77">
        <v>451.7</v>
      </c>
      <c r="BB346" s="77">
        <v>395</v>
      </c>
      <c r="BC346" s="77">
        <v>631.70000000000005</v>
      </c>
      <c r="BD346" s="77">
        <v>3.8E-3</v>
      </c>
      <c r="BE346" s="77">
        <v>5.5999999999999999E-3</v>
      </c>
      <c r="BF346" s="77">
        <v>2.35E-2</v>
      </c>
      <c r="BG346" s="77">
        <v>8.0999999999999996E-3</v>
      </c>
      <c r="BH346" s="79">
        <v>100</v>
      </c>
      <c r="BI346" s="79">
        <f>PI()*6*6/4</f>
        <v>28.274333882308138</v>
      </c>
      <c r="BJ346" s="79">
        <v>2</v>
      </c>
      <c r="BK346" s="57">
        <f t="shared" si="881"/>
        <v>56.548667764616276</v>
      </c>
      <c r="BL346" s="57">
        <f t="shared" si="1018"/>
        <v>227.99999999999997</v>
      </c>
      <c r="BM346" s="80">
        <f>PI()*4*4/4</f>
        <v>12.566370614359172</v>
      </c>
      <c r="BN346" s="80">
        <v>6</v>
      </c>
      <c r="BO346" s="57">
        <f t="shared" si="1027"/>
        <v>75.398223686155035</v>
      </c>
      <c r="BP346" s="57">
        <f t="shared" si="977"/>
        <v>190077.01671712231</v>
      </c>
      <c r="BQ346" s="77">
        <f t="shared" si="978"/>
        <v>7.8580342233181E-10</v>
      </c>
      <c r="BR346" s="57">
        <f t="shared" si="1022"/>
        <v>384905958.85217267</v>
      </c>
      <c r="BS346" s="57">
        <v>423.18202090692864</v>
      </c>
      <c r="BT346" s="57">
        <f t="shared" si="981"/>
        <v>280.71355278370521</v>
      </c>
      <c r="BU346" s="57"/>
      <c r="BV346" s="57">
        <v>3.3E-3</v>
      </c>
      <c r="BW346" s="57">
        <v>30000</v>
      </c>
      <c r="BX346" s="57">
        <v>200000</v>
      </c>
      <c r="BY346" s="77">
        <f>20</f>
        <v>20</v>
      </c>
      <c r="BZ346" s="77">
        <f>BY346+90</f>
        <v>110</v>
      </c>
      <c r="CA346" s="77">
        <f>BY346+90*2</f>
        <v>200</v>
      </c>
      <c r="CB346" s="77">
        <f>CA346+90</f>
        <v>290</v>
      </c>
      <c r="CC346" s="77">
        <f>CB346+140*1</f>
        <v>430</v>
      </c>
      <c r="CD346" s="77">
        <f>CB346+140*2</f>
        <v>570</v>
      </c>
      <c r="CE346" s="77">
        <f>CB346+140*3</f>
        <v>710</v>
      </c>
      <c r="CF346" s="77">
        <f>CE346+90</f>
        <v>800</v>
      </c>
      <c r="CG346" s="77">
        <f>CF346+90</f>
        <v>890</v>
      </c>
      <c r="CH346" s="77">
        <f>CF346+90*2</f>
        <v>980</v>
      </c>
      <c r="DM346" s="77">
        <f t="shared" ref="DM346:DO347" si="1047">PI()*10*10/4*2</f>
        <v>157.07963267948966</v>
      </c>
      <c r="DN346" s="77">
        <f t="shared" si="1047"/>
        <v>157.07963267948966</v>
      </c>
      <c r="DO346" s="77">
        <f t="shared" si="1047"/>
        <v>157.07963267948966</v>
      </c>
      <c r="DP346" s="77">
        <f t="shared" ref="DP346:DS348" si="1048">PI()*6*6/4*2</f>
        <v>56.548667764616276</v>
      </c>
      <c r="DQ346" s="77">
        <f t="shared" si="1048"/>
        <v>56.548667764616276</v>
      </c>
      <c r="DR346" s="77">
        <f t="shared" si="1048"/>
        <v>56.548667764616276</v>
      </c>
      <c r="DS346" s="77">
        <f t="shared" si="1048"/>
        <v>56.548667764616276</v>
      </c>
      <c r="DT346" s="77">
        <f t="shared" ref="DT346:DV347" si="1049">PI()*10*10/4*2</f>
        <v>157.07963267948966</v>
      </c>
      <c r="DU346" s="77">
        <f t="shared" si="1049"/>
        <v>157.07963267948966</v>
      </c>
      <c r="DV346" s="77">
        <f t="shared" si="1049"/>
        <v>157.07963267948966</v>
      </c>
      <c r="FA346" s="77">
        <f t="shared" si="982"/>
        <v>-62046.454908398417</v>
      </c>
      <c r="FB346" s="77">
        <f t="shared" ref="FB346:FB353" si="1050">IF(ABS(-$BV346*($BS346-BZ346)/$BS346*$BX346)&gt;$BB346,$BB346*SIGN(-($BS346-BZ346)),-$BV346*($BS346-BZ346)/$BS346*$BX346)*DN346</f>
        <v>-62046.454908398417</v>
      </c>
      <c r="FC346" s="77">
        <f>IF(ABS(-$BV346*($BS346-CA346)/$BS346*$BX346)&gt;$BB346,$BB346*SIGN(-($BS346-CA346)),-$BV346*($BS346-CA346)/$BS346*$BX346)*DO346</f>
        <v>-54675.883585820549</v>
      </c>
      <c r="FD346" s="77">
        <f t="shared" ref="FD346:FG348" si="1051">IF(ABS(-$BV346*($BS346-CB346)/$BS346*$BX346)&gt;$BA346,$BA346*SIGN(-($BS346-CB346)),-$BV346*($BS346-CB346)/$BS346*$BX346)*DP346</f>
        <v>-11745.856905707296</v>
      </c>
      <c r="FE346" s="77">
        <f t="shared" si="1051"/>
        <v>601.3049379186433</v>
      </c>
      <c r="FF346" s="77">
        <f t="shared" si="1051"/>
        <v>12948.466781544583</v>
      </c>
      <c r="FG346" s="77">
        <f t="shared" si="1051"/>
        <v>25295.628625170521</v>
      </c>
      <c r="FH346" s="77">
        <f t="shared" ref="FH346:FJ348" si="1052">IF(ABS(-$BV346*($BS346-CF346)/$BS346*$BX346)&gt;$BB346,$BB346*SIGN(-($BS346-CF346)),-$BV346*($BS346-CF346)/$BS346*$BX346)*DT346</f>
        <v>62046.454908398417</v>
      </c>
      <c r="FI346" s="77">
        <f t="shared" si="1052"/>
        <v>62046.454908398417</v>
      </c>
      <c r="FJ346" s="77">
        <f t="shared" si="1052"/>
        <v>62046.454908398417</v>
      </c>
      <c r="GO346" s="77">
        <f t="shared" si="1038"/>
        <v>29782298.356031239</v>
      </c>
      <c r="GP346" s="77">
        <f t="shared" si="1039"/>
        <v>24198117.414275382</v>
      </c>
      <c r="GQ346" s="77">
        <f t="shared" si="1040"/>
        <v>16402765.075746166</v>
      </c>
      <c r="GR346" s="77">
        <f t="shared" si="1041"/>
        <v>2466629.9501985321</v>
      </c>
      <c r="GS346" s="77">
        <f t="shared" ref="GS346:GX348" si="1053">FE346*(CC346-0.5*$AO346)</f>
        <v>-42091.345654305034</v>
      </c>
      <c r="GT346" s="77">
        <f t="shared" si="1053"/>
        <v>906392.67470812076</v>
      </c>
      <c r="GU346" s="77">
        <f t="shared" si="1053"/>
        <v>5312082.0112858089</v>
      </c>
      <c r="GV346" s="77">
        <f t="shared" si="1053"/>
        <v>18613936.472519524</v>
      </c>
      <c r="GW346" s="77">
        <f t="shared" si="1053"/>
        <v>24198117.414275382</v>
      </c>
      <c r="GX346" s="77">
        <f t="shared" si="1053"/>
        <v>29782298.356031239</v>
      </c>
      <c r="IC346" s="82">
        <v>366</v>
      </c>
    </row>
    <row r="347" spans="1:237" s="77" customFormat="1">
      <c r="A347" s="77">
        <v>347</v>
      </c>
      <c r="C347" s="122" t="s">
        <v>367</v>
      </c>
      <c r="D347" s="122" t="s">
        <v>305</v>
      </c>
      <c r="E347" s="126">
        <v>1</v>
      </c>
      <c r="F347" s="125">
        <f t="shared" si="994"/>
        <v>0.10908866202202755</v>
      </c>
      <c r="G347" s="122"/>
      <c r="H347" s="122"/>
      <c r="I347" s="122">
        <f>(37.8+25.67)/2/AU347</f>
        <v>1.5671604938271605E-2</v>
      </c>
      <c r="J347" s="125">
        <f t="shared" si="1021"/>
        <v>2.0249999999999999</v>
      </c>
      <c r="K347" s="125">
        <f t="shared" si="1013"/>
        <v>10</v>
      </c>
      <c r="L347" s="125">
        <f t="shared" si="1014"/>
        <v>9.8667540410659671E-2</v>
      </c>
      <c r="M347" s="125">
        <f t="shared" si="1015"/>
        <v>0.14540479639465637</v>
      </c>
      <c r="N347" s="125">
        <f t="shared" si="1016"/>
        <v>0.53358740888919554</v>
      </c>
      <c r="O347" s="125">
        <f t="shared" si="1017"/>
        <v>0.29412809546802787</v>
      </c>
      <c r="P347" s="122">
        <v>0.2</v>
      </c>
      <c r="Q347" s="122" t="s">
        <v>3</v>
      </c>
      <c r="R347" s="133">
        <v>0</v>
      </c>
      <c r="S347" s="75">
        <f t="shared" si="980"/>
        <v>0.45499781137089301</v>
      </c>
      <c r="T347" s="59">
        <f t="shared" si="959"/>
        <v>0.61149067902322973</v>
      </c>
      <c r="U347" s="59">
        <f t="shared" si="960"/>
        <v>0.47203841431841465</v>
      </c>
      <c r="V347" s="59">
        <f t="shared" si="961"/>
        <v>0.80554909659518847</v>
      </c>
      <c r="W347" s="59">
        <f t="shared" si="962"/>
        <v>1.3173530263485616</v>
      </c>
      <c r="X347" s="59">
        <f t="shared" si="963"/>
        <v>1.7065329264745039</v>
      </c>
      <c r="Y347" s="127">
        <f>(186.69+192.86)/2*1000</f>
        <v>189775</v>
      </c>
      <c r="Z347" s="57">
        <f t="shared" si="964"/>
        <v>323857.28612169897</v>
      </c>
      <c r="AA347" s="57">
        <f t="shared" si="965"/>
        <v>250000.67057529825</v>
      </c>
      <c r="AB347" s="57">
        <f t="shared" si="1023"/>
        <v>142394.54011609868</v>
      </c>
      <c r="AC347" s="57">
        <f t="shared" si="966"/>
        <v>0.17</v>
      </c>
      <c r="AD347" s="57">
        <f t="shared" si="967"/>
        <v>2.0249999999999999</v>
      </c>
      <c r="AE347" s="57">
        <f t="shared" si="968"/>
        <v>347928</v>
      </c>
      <c r="AF347" s="57">
        <f t="shared" si="969"/>
        <v>73020.757668277336</v>
      </c>
      <c r="AG347" s="57">
        <f t="shared" si="880"/>
        <v>176979.91290702092</v>
      </c>
      <c r="AH347" s="57">
        <f t="shared" si="1024"/>
        <v>266543119.00185853</v>
      </c>
      <c r="AI347" s="57">
        <f t="shared" si="1025"/>
        <v>21805824.733241331</v>
      </c>
      <c r="AJ347" s="77">
        <v>352400</v>
      </c>
      <c r="AK347" s="77">
        <f>0.76*22.89</f>
        <v>17.3964</v>
      </c>
      <c r="AL347" s="78">
        <f t="shared" si="970"/>
        <v>2.2100509279810168</v>
      </c>
      <c r="AM347" s="57">
        <f t="shared" si="971"/>
        <v>1</v>
      </c>
      <c r="AN347" s="57">
        <f t="shared" si="972"/>
        <v>0.8</v>
      </c>
      <c r="AO347" s="77">
        <v>1000</v>
      </c>
      <c r="AP347" s="79">
        <v>200</v>
      </c>
      <c r="AQ347" s="57">
        <f t="shared" si="973"/>
        <v>133.91299636172275</v>
      </c>
      <c r="AR347" s="57">
        <f t="shared" si="1026"/>
        <v>600</v>
      </c>
      <c r="AS347" s="57">
        <f t="shared" si="974"/>
        <v>866.08700363827722</v>
      </c>
      <c r="AT347" s="77">
        <v>100</v>
      </c>
      <c r="AU347" s="77">
        <f>1900+125</f>
        <v>2025</v>
      </c>
      <c r="AV347" s="57">
        <f t="shared" si="975"/>
        <v>100000</v>
      </c>
      <c r="AW347" s="77">
        <v>0</v>
      </c>
      <c r="AX347" s="77">
        <f t="shared" si="976"/>
        <v>100000</v>
      </c>
      <c r="AY347" s="78">
        <f>AO347*AT347</f>
        <v>100000</v>
      </c>
      <c r="AZ347" s="77">
        <f t="shared" si="1044"/>
        <v>451.7</v>
      </c>
      <c r="BA347" s="77">
        <v>451.7</v>
      </c>
      <c r="BB347" s="77">
        <v>395</v>
      </c>
      <c r="BC347" s="77">
        <v>631.70000000000005</v>
      </c>
      <c r="BD347" s="77">
        <v>3.8E-3</v>
      </c>
      <c r="BE347" s="77">
        <v>5.5999999999999999E-3</v>
      </c>
      <c r="BF347" s="77">
        <v>2.35E-2</v>
      </c>
      <c r="BG347" s="77">
        <v>8.0999999999999996E-3</v>
      </c>
      <c r="BH347" s="79">
        <v>100</v>
      </c>
      <c r="BI347" s="79">
        <f>PI()*6*6/4</f>
        <v>28.274333882308138</v>
      </c>
      <c r="BJ347" s="79">
        <v>2</v>
      </c>
      <c r="BK347" s="57">
        <f t="shared" si="881"/>
        <v>56.548667764616276</v>
      </c>
      <c r="BL347" s="57">
        <f t="shared" si="1018"/>
        <v>227.99999999999997</v>
      </c>
      <c r="BM347" s="80">
        <f>PI()*4*4/4</f>
        <v>12.566370614359172</v>
      </c>
      <c r="BN347" s="80">
        <v>6</v>
      </c>
      <c r="BO347" s="57">
        <f t="shared" si="1027"/>
        <v>75.398223686155035</v>
      </c>
      <c r="BP347" s="57">
        <f t="shared" si="977"/>
        <v>152873.07980635189</v>
      </c>
      <c r="BQ347" s="77">
        <f t="shared" si="978"/>
        <v>2.9103830456733704E-10</v>
      </c>
      <c r="BR347" s="57">
        <f t="shared" si="1022"/>
        <v>309567986.60786259</v>
      </c>
      <c r="BS347" s="57">
        <v>267.82599272344549</v>
      </c>
      <c r="BT347" s="57">
        <f t="shared" si="981"/>
        <v>279.24688304317681</v>
      </c>
      <c r="BU347" s="57"/>
      <c r="BV347" s="57">
        <v>3.3E-3</v>
      </c>
      <c r="BW347" s="57">
        <v>30000</v>
      </c>
      <c r="BX347" s="57">
        <v>200000</v>
      </c>
      <c r="BY347" s="77">
        <f>20</f>
        <v>20</v>
      </c>
      <c r="BZ347" s="77">
        <f>BY347+90</f>
        <v>110</v>
      </c>
      <c r="CA347" s="77">
        <f>BY347+90*2</f>
        <v>200</v>
      </c>
      <c r="CB347" s="77">
        <f>CA347+90</f>
        <v>290</v>
      </c>
      <c r="CC347" s="77">
        <f>CB347+140*1</f>
        <v>430</v>
      </c>
      <c r="CD347" s="77">
        <f>CB347+140*2</f>
        <v>570</v>
      </c>
      <c r="CE347" s="77">
        <f>CB347+140*3</f>
        <v>710</v>
      </c>
      <c r="CF347" s="77">
        <f>CE347+90</f>
        <v>800</v>
      </c>
      <c r="CG347" s="77">
        <f>CF347+90</f>
        <v>890</v>
      </c>
      <c r="CH347" s="77">
        <f>CF347+90*2</f>
        <v>980</v>
      </c>
      <c r="DM347" s="77">
        <f t="shared" si="1047"/>
        <v>157.07963267948966</v>
      </c>
      <c r="DN347" s="77">
        <f t="shared" si="1047"/>
        <v>157.07963267948966</v>
      </c>
      <c r="DO347" s="77">
        <f t="shared" si="1047"/>
        <v>157.07963267948966</v>
      </c>
      <c r="DP347" s="77">
        <f t="shared" si="1048"/>
        <v>56.548667764616276</v>
      </c>
      <c r="DQ347" s="77">
        <f t="shared" si="1048"/>
        <v>56.548667764616276</v>
      </c>
      <c r="DR347" s="77">
        <f t="shared" si="1048"/>
        <v>56.548667764616276</v>
      </c>
      <c r="DS347" s="77">
        <f t="shared" si="1048"/>
        <v>56.548667764616276</v>
      </c>
      <c r="DT347" s="77">
        <f t="shared" si="1049"/>
        <v>157.07963267948966</v>
      </c>
      <c r="DU347" s="77">
        <f t="shared" si="1049"/>
        <v>157.07963267948966</v>
      </c>
      <c r="DV347" s="77">
        <f t="shared" si="1049"/>
        <v>157.07963267948966</v>
      </c>
      <c r="FA347" s="77">
        <f t="shared" si="982"/>
        <v>-62046.454908398417</v>
      </c>
      <c r="FB347" s="77">
        <f t="shared" si="1050"/>
        <v>-61092.742157094239</v>
      </c>
      <c r="FC347" s="77">
        <f>IF(ABS(-$BV347*($BS347-CA347)/$BS347*$BX347)&gt;$BB347,$BB347*SIGN(-($BS347-CA347)),-$BV347*($BS347-CA347)/$BS347*$BX347)*DO347</f>
        <v>-26254.711365974203</v>
      </c>
      <c r="FD347" s="77">
        <f t="shared" si="1051"/>
        <v>3089.9949930525027</v>
      </c>
      <c r="FE347" s="77">
        <f t="shared" si="1051"/>
        <v>22599.29223607972</v>
      </c>
      <c r="FF347" s="77">
        <f t="shared" si="1051"/>
        <v>25543.033229277171</v>
      </c>
      <c r="FG347" s="77">
        <f t="shared" si="1051"/>
        <v>25543.033229277171</v>
      </c>
      <c r="FH347" s="77">
        <f t="shared" si="1052"/>
        <v>62046.454908398417</v>
      </c>
      <c r="FI347" s="77">
        <f t="shared" si="1052"/>
        <v>62046.454908398417</v>
      </c>
      <c r="FJ347" s="77">
        <f t="shared" si="1052"/>
        <v>62046.454908398417</v>
      </c>
      <c r="GO347" s="77">
        <f t="shared" si="1038"/>
        <v>29782298.356031239</v>
      </c>
      <c r="GP347" s="77">
        <f t="shared" si="1039"/>
        <v>23826169.441266753</v>
      </c>
      <c r="GQ347" s="77">
        <f t="shared" si="1040"/>
        <v>7876413.4097922612</v>
      </c>
      <c r="GR347" s="77">
        <f t="shared" si="1041"/>
        <v>-648898.94854102551</v>
      </c>
      <c r="GS347" s="77">
        <f t="shared" si="1053"/>
        <v>-1581950.4565255805</v>
      </c>
      <c r="GT347" s="77">
        <f t="shared" si="1053"/>
        <v>1788012.3260494019</v>
      </c>
      <c r="GU347" s="77">
        <f t="shared" si="1053"/>
        <v>5364036.9781482061</v>
      </c>
      <c r="GV347" s="77">
        <f t="shared" si="1053"/>
        <v>18613936.472519524</v>
      </c>
      <c r="GW347" s="77">
        <f t="shared" si="1053"/>
        <v>24198117.414275382</v>
      </c>
      <c r="GX347" s="77">
        <f t="shared" si="1053"/>
        <v>29782298.356031239</v>
      </c>
      <c r="IC347" s="82">
        <v>367</v>
      </c>
    </row>
    <row r="348" spans="1:237" s="77" customFormat="1">
      <c r="A348" s="77">
        <v>348</v>
      </c>
      <c r="C348" s="122" t="s">
        <v>367</v>
      </c>
      <c r="D348" s="122" t="s">
        <v>368</v>
      </c>
      <c r="E348" s="126">
        <v>1</v>
      </c>
      <c r="F348" s="125">
        <f t="shared" si="994"/>
        <v>9.8602723463440164E-2</v>
      </c>
      <c r="G348" s="122"/>
      <c r="H348" s="122"/>
      <c r="I348" s="122">
        <f>(18.23+18.7)/2/AU348</f>
        <v>9.1185185185185189E-3</v>
      </c>
      <c r="J348" s="125">
        <f t="shared" si="1021"/>
        <v>2.0249999999999999</v>
      </c>
      <c r="K348" s="125">
        <f t="shared" si="1013"/>
        <v>10</v>
      </c>
      <c r="L348" s="125">
        <f t="shared" si="1014"/>
        <v>5.5741346331831934E-2</v>
      </c>
      <c r="M348" s="125">
        <f t="shared" si="1015"/>
        <v>0.16199828777688655</v>
      </c>
      <c r="N348" s="125">
        <f t="shared" si="1016"/>
        <v>0.34425711112482266</v>
      </c>
      <c r="O348" s="125">
        <f t="shared" si="1017"/>
        <v>0.23386191151971372</v>
      </c>
      <c r="P348" s="122">
        <v>0.26</v>
      </c>
      <c r="Q348" s="122" t="s">
        <v>243</v>
      </c>
      <c r="R348" s="126">
        <f>AW348/AY348</f>
        <v>0.33121019108280253</v>
      </c>
      <c r="S348" s="75">
        <f t="shared" si="980"/>
        <v>0.50211155746096869</v>
      </c>
      <c r="T348" s="59">
        <f t="shared" si="959"/>
        <v>0.70009603644459117</v>
      </c>
      <c r="U348" s="59">
        <f t="shared" si="960"/>
        <v>0.50833210890808311</v>
      </c>
      <c r="V348" s="59">
        <f t="shared" si="961"/>
        <v>0.80196248701581063</v>
      </c>
      <c r="W348" s="59">
        <f t="shared" si="962"/>
        <v>1.1455035384695849</v>
      </c>
      <c r="X348" s="59">
        <f t="shared" si="963"/>
        <v>1.5776349220560881</v>
      </c>
      <c r="Y348" s="127">
        <f>(322.22+320.07)/2*1000</f>
        <v>321145</v>
      </c>
      <c r="Z348" s="57">
        <f t="shared" si="964"/>
        <v>506649.56704370241</v>
      </c>
      <c r="AA348" s="57">
        <f t="shared" si="965"/>
        <v>367872.73386181484</v>
      </c>
      <c r="AB348" s="57">
        <f t="shared" si="1023"/>
        <v>139311.90438220723</v>
      </c>
      <c r="AC348" s="57">
        <f t="shared" si="966"/>
        <v>0.17</v>
      </c>
      <c r="AD348" s="57">
        <f t="shared" si="967"/>
        <v>2.0249999999999999</v>
      </c>
      <c r="AE348" s="57">
        <f t="shared" si="968"/>
        <v>651391.74399999995</v>
      </c>
      <c r="AF348" s="57">
        <f t="shared" si="969"/>
        <v>87916.819756343612</v>
      </c>
      <c r="AG348" s="57">
        <f t="shared" si="880"/>
        <v>279955.91410547122</v>
      </c>
      <c r="AH348" s="57">
        <f t="shared" si="1024"/>
        <v>162228188.0803993</v>
      </c>
      <c r="AI348" s="57">
        <f t="shared" si="1025"/>
        <v>119878418.29357032</v>
      </c>
      <c r="AJ348" s="77">
        <v>872200</v>
      </c>
      <c r="AK348" s="77">
        <f>0.76*34.12</f>
        <v>25.931199999999997</v>
      </c>
      <c r="AL348" s="78">
        <f t="shared" si="970"/>
        <v>2.7526567421268684</v>
      </c>
      <c r="AM348" s="57">
        <f t="shared" si="971"/>
        <v>1</v>
      </c>
      <c r="AN348" s="57">
        <f t="shared" si="972"/>
        <v>0.8</v>
      </c>
      <c r="AO348" s="77">
        <v>1000</v>
      </c>
      <c r="AP348" s="79">
        <v>80</v>
      </c>
      <c r="AQ348" s="57">
        <f t="shared" si="973"/>
        <v>177.98746259139895</v>
      </c>
      <c r="AR348" s="57">
        <f t="shared" si="1026"/>
        <v>840</v>
      </c>
      <c r="AS348" s="57">
        <f t="shared" si="974"/>
        <v>822.01253740860102</v>
      </c>
      <c r="AT348" s="77">
        <v>100</v>
      </c>
      <c r="AU348" s="77">
        <f>1900+125</f>
        <v>2025</v>
      </c>
      <c r="AV348" s="57">
        <f t="shared" si="975"/>
        <v>84000</v>
      </c>
      <c r="AW348" s="77">
        <f>2*80*260</f>
        <v>41600</v>
      </c>
      <c r="AX348" s="77">
        <f t="shared" si="976"/>
        <v>100000</v>
      </c>
      <c r="AY348" s="77">
        <f>AW348+100*840</f>
        <v>125600</v>
      </c>
      <c r="AZ348" s="77">
        <f t="shared" si="1044"/>
        <v>451.7</v>
      </c>
      <c r="BA348" s="77">
        <v>451.7</v>
      </c>
      <c r="BB348" s="77">
        <v>395</v>
      </c>
      <c r="BC348" s="77">
        <v>631.70000000000005</v>
      </c>
      <c r="BD348" s="77">
        <v>3.2000000000000002E-3</v>
      </c>
      <c r="BE348" s="77">
        <v>9.2999999999999992E-3</v>
      </c>
      <c r="BF348" s="77">
        <v>2.2599999999999999E-2</v>
      </c>
      <c r="BG348" s="77">
        <v>9.5999999999999992E-3</v>
      </c>
      <c r="BH348" s="79">
        <v>60</v>
      </c>
      <c r="BI348" s="79">
        <f>PI()*6*6/4</f>
        <v>28.274333882308138</v>
      </c>
      <c r="BJ348" s="79">
        <v>2</v>
      </c>
      <c r="BK348" s="57">
        <f t="shared" si="881"/>
        <v>56.548667764616276</v>
      </c>
      <c r="BL348" s="57">
        <f t="shared" si="1018"/>
        <v>268.8</v>
      </c>
      <c r="BM348" s="80">
        <f>PI()*10*10/4</f>
        <v>78.539816339744831</v>
      </c>
      <c r="BN348" s="80">
        <v>6</v>
      </c>
      <c r="BO348" s="57">
        <f t="shared" si="1027"/>
        <v>471.23889803846896</v>
      </c>
      <c r="BP348" s="57">
        <f t="shared" si="977"/>
        <v>257546.24289269251</v>
      </c>
      <c r="BQ348" s="77">
        <f t="shared" si="978"/>
        <v>9.0221874415874481E-10</v>
      </c>
      <c r="BR348" s="57">
        <f t="shared" si="1022"/>
        <v>521531141.85770231</v>
      </c>
      <c r="BS348" s="57">
        <v>355.9749251827979</v>
      </c>
      <c r="BT348" s="57">
        <f t="shared" si="981"/>
        <v>357.51366656258983</v>
      </c>
      <c r="BU348" s="57"/>
      <c r="BV348" s="57">
        <v>3.3E-3</v>
      </c>
      <c r="BW348" s="57">
        <v>30000</v>
      </c>
      <c r="BX348" s="57">
        <v>200000</v>
      </c>
      <c r="BY348" s="77">
        <f>20</f>
        <v>20</v>
      </c>
      <c r="BZ348" s="77">
        <f>BY348+40</f>
        <v>60</v>
      </c>
      <c r="CA348" s="77">
        <f>80+70</f>
        <v>150</v>
      </c>
      <c r="CB348" s="77">
        <f>CA348+140*1</f>
        <v>290</v>
      </c>
      <c r="CC348" s="77">
        <f>CA348+140*2</f>
        <v>430</v>
      </c>
      <c r="CD348" s="77">
        <f>CA348+140*3</f>
        <v>570</v>
      </c>
      <c r="CE348" s="77">
        <f>CA348+140*4</f>
        <v>710</v>
      </c>
      <c r="CF348" s="77">
        <f>CA348+140*5</f>
        <v>850</v>
      </c>
      <c r="CG348" s="77">
        <f>CF348+70+20</f>
        <v>940</v>
      </c>
      <c r="CH348" s="77">
        <f>CG348+40</f>
        <v>980</v>
      </c>
      <c r="DM348" s="77">
        <f>PI()*10*10/4*4</f>
        <v>314.15926535897933</v>
      </c>
      <c r="DN348" s="77">
        <f>PI()*10*10/4*2</f>
        <v>157.07963267948966</v>
      </c>
      <c r="DO348" s="77">
        <f>PI()*10*10/4*2</f>
        <v>157.07963267948966</v>
      </c>
      <c r="DP348" s="77">
        <f t="shared" si="1048"/>
        <v>56.548667764616276</v>
      </c>
      <c r="DQ348" s="77">
        <f t="shared" si="1048"/>
        <v>56.548667764616276</v>
      </c>
      <c r="DR348" s="77">
        <f t="shared" si="1048"/>
        <v>56.548667764616276</v>
      </c>
      <c r="DS348" s="77">
        <f t="shared" si="1048"/>
        <v>56.548667764616276</v>
      </c>
      <c r="DT348" s="77">
        <f>PI()*10*10/4*2</f>
        <v>157.07963267948966</v>
      </c>
      <c r="DU348" s="77">
        <f>PI()*10*10/4*2</f>
        <v>157.07963267948966</v>
      </c>
      <c r="DV348" s="77">
        <f>PI()*10*10/4*4</f>
        <v>314.15926535897933</v>
      </c>
      <c r="FA348" s="77">
        <f t="shared" si="982"/>
        <v>-124092.90981679683</v>
      </c>
      <c r="FB348" s="77">
        <f t="shared" si="1050"/>
        <v>-62046.454908398417</v>
      </c>
      <c r="FC348" s="77">
        <f>IF(ABS(-$BV348*($BS348-CA348)/$BS348*$BX348)&gt;$BB348,$BB348*SIGN(-($BS348-CA348)),-$BV348*($BS348-CA348)/$BS348*$BX348)*DO348</f>
        <v>-59987.22319474601</v>
      </c>
      <c r="FD348" s="77">
        <f t="shared" si="1051"/>
        <v>-6917.1280005395984</v>
      </c>
      <c r="FE348" s="77">
        <f t="shared" si="1051"/>
        <v>7761.1443490293686</v>
      </c>
      <c r="FF348" s="77">
        <f t="shared" si="1051"/>
        <v>22439.416698598336</v>
      </c>
      <c r="FG348" s="77">
        <f t="shared" si="1051"/>
        <v>25543.033229277171</v>
      </c>
      <c r="FH348" s="77">
        <f t="shared" si="1052"/>
        <v>62046.454908398417</v>
      </c>
      <c r="FI348" s="77">
        <f t="shared" si="1052"/>
        <v>62046.454908398417</v>
      </c>
      <c r="FJ348" s="77">
        <f t="shared" si="1052"/>
        <v>124092.90981679683</v>
      </c>
      <c r="GO348" s="77">
        <f t="shared" si="1038"/>
        <v>59564596.712062478</v>
      </c>
      <c r="GP348" s="77">
        <f t="shared" si="1039"/>
        <v>27300440.159695305</v>
      </c>
      <c r="GQ348" s="77">
        <f t="shared" si="1040"/>
        <v>20995528.118161105</v>
      </c>
      <c r="GR348" s="77">
        <f t="shared" si="1041"/>
        <v>1452596.8801133158</v>
      </c>
      <c r="GS348" s="77">
        <f t="shared" si="1053"/>
        <v>-543280.10443205584</v>
      </c>
      <c r="GT348" s="77">
        <f t="shared" si="1053"/>
        <v>1570759.1689018835</v>
      </c>
      <c r="GU348" s="77">
        <f t="shared" si="1053"/>
        <v>5364036.9781482061</v>
      </c>
      <c r="GV348" s="77">
        <f t="shared" si="1053"/>
        <v>21716259.217939448</v>
      </c>
      <c r="GW348" s="77">
        <f t="shared" si="1053"/>
        <v>27300440.159695305</v>
      </c>
      <c r="GX348" s="77">
        <f t="shared" si="1053"/>
        <v>59564596.712062478</v>
      </c>
      <c r="IC348" s="82">
        <v>368</v>
      </c>
    </row>
    <row r="349" spans="1:237" s="77" customFormat="1">
      <c r="A349" s="77">
        <v>349</v>
      </c>
      <c r="C349" s="122" t="s">
        <v>369</v>
      </c>
      <c r="D349" s="122" t="s">
        <v>370</v>
      </c>
      <c r="E349" s="126">
        <v>1</v>
      </c>
      <c r="F349" s="125">
        <f t="shared" si="994"/>
        <v>5.2884615384615384E-2</v>
      </c>
      <c r="G349" s="122">
        <v>3.7516129032258067E-3</v>
      </c>
      <c r="H349" s="122"/>
      <c r="I349" s="122">
        <v>2.1299999999999999E-2</v>
      </c>
      <c r="J349" s="125">
        <f t="shared" si="1021"/>
        <v>2.4615384615384617</v>
      </c>
      <c r="K349" s="125">
        <f t="shared" si="1013"/>
        <v>6.5</v>
      </c>
      <c r="L349" s="125">
        <f t="shared" si="1014"/>
        <v>7.6715516094474162E-2</v>
      </c>
      <c r="M349" s="125">
        <f t="shared" si="1015"/>
        <v>8.9501435443553198E-2</v>
      </c>
      <c r="N349" s="125">
        <f t="shared" si="1016"/>
        <v>0.1790028708871064</v>
      </c>
      <c r="O349" s="125">
        <f t="shared" si="1017"/>
        <v>0.11933524725807093</v>
      </c>
      <c r="P349" s="122">
        <f>AJ349/AY349/AK349</f>
        <v>5.41497975708502E-2</v>
      </c>
      <c r="Q349" s="122" t="s">
        <v>3</v>
      </c>
      <c r="R349" s="133">
        <v>0</v>
      </c>
      <c r="S349" s="75">
        <f t="shared" si="980"/>
        <v>0.24395805488726682</v>
      </c>
      <c r="T349" s="59">
        <f t="shared" si="959"/>
        <v>0.3297704920570188</v>
      </c>
      <c r="U349" s="59">
        <f t="shared" si="960"/>
        <v>0.24935586408188032</v>
      </c>
      <c r="V349" s="59">
        <f t="shared" si="961"/>
        <v>0.59576898044740734</v>
      </c>
      <c r="W349" s="59">
        <f t="shared" si="962"/>
        <v>1.8066170103066597</v>
      </c>
      <c r="X349" s="59">
        <f t="shared" si="963"/>
        <v>2.3892318820774809</v>
      </c>
      <c r="Y349" s="127">
        <v>292600</v>
      </c>
      <c r="Z349" s="57">
        <f t="shared" si="964"/>
        <v>699089.24869587086</v>
      </c>
      <c r="AA349" s="57">
        <f t="shared" si="965"/>
        <v>528616.13721572864</v>
      </c>
      <c r="AB349" s="57">
        <f t="shared" si="1023"/>
        <v>453526.50489463028</v>
      </c>
      <c r="AC349" s="57">
        <f t="shared" si="966"/>
        <v>0.17</v>
      </c>
      <c r="AD349" s="57">
        <f t="shared" si="967"/>
        <v>2.2000000000000002</v>
      </c>
      <c r="AE349" s="57">
        <f t="shared" si="968"/>
        <v>299600</v>
      </c>
      <c r="AF349" s="57">
        <f t="shared" si="969"/>
        <v>158676.99401076068</v>
      </c>
      <c r="AG349" s="57">
        <f t="shared" si="880"/>
        <v>369939.14320496802</v>
      </c>
      <c r="AH349" s="57">
        <f t="shared" si="1024"/>
        <v>1358479483.408906</v>
      </c>
      <c r="AI349" s="57">
        <f t="shared" si="1025"/>
        <v>92805332.253911048</v>
      </c>
      <c r="AJ349" s="77">
        <v>299600</v>
      </c>
      <c r="AK349" s="77">
        <f>28*0.76</f>
        <v>21.28</v>
      </c>
      <c r="AL349" s="78">
        <f t="shared" si="970"/>
        <v>2.4690734690331122</v>
      </c>
      <c r="AM349" s="57">
        <f t="shared" si="971"/>
        <v>1</v>
      </c>
      <c r="AN349" s="57">
        <f t="shared" si="972"/>
        <v>0.8</v>
      </c>
      <c r="AO349" s="77">
        <v>1300</v>
      </c>
      <c r="AP349" s="79">
        <v>300</v>
      </c>
      <c r="AQ349" s="57">
        <f t="shared" si="973"/>
        <v>86.02797352059369</v>
      </c>
      <c r="AR349" s="57">
        <f t="shared" si="1026"/>
        <v>700</v>
      </c>
      <c r="AS349" s="57">
        <f t="shared" si="974"/>
        <v>1213.9720264794064</v>
      </c>
      <c r="AT349" s="77">
        <v>200</v>
      </c>
      <c r="AU349" s="77">
        <f>3100+100</f>
        <v>3200</v>
      </c>
      <c r="AV349" s="57">
        <f t="shared" si="975"/>
        <v>260000</v>
      </c>
      <c r="AW349" s="77">
        <v>0</v>
      </c>
      <c r="AX349" s="77">
        <f t="shared" si="976"/>
        <v>260000</v>
      </c>
      <c r="AY349" s="78">
        <f>AO349*AT349</f>
        <v>260000</v>
      </c>
      <c r="AZ349" s="77">
        <f t="shared" si="1044"/>
        <v>485</v>
      </c>
      <c r="BA349" s="77">
        <v>485</v>
      </c>
      <c r="BB349" s="77">
        <v>485</v>
      </c>
      <c r="BC349" s="77">
        <v>485</v>
      </c>
      <c r="BD349" s="77">
        <f>(PI()*10*10*6)/(4*700*200)</f>
        <v>3.3659921288462066E-3</v>
      </c>
      <c r="BE349" s="77">
        <f>(2*PI()*10*10)/(4*200*200)</f>
        <v>3.9269908169872417E-3</v>
      </c>
      <c r="BF349" s="77">
        <f>(PI()*10*10*6)/(4*300*200)</f>
        <v>7.8539816339744835E-3</v>
      </c>
      <c r="BG349" s="77">
        <f>(2*PI()*10*10)/(4*150*200)</f>
        <v>5.235987755982989E-3</v>
      </c>
      <c r="BH349" s="79">
        <v>200</v>
      </c>
      <c r="BI349" s="79">
        <f>PI()*10*10/4</f>
        <v>78.539816339744831</v>
      </c>
      <c r="BJ349" s="79">
        <v>2</v>
      </c>
      <c r="BK349" s="57">
        <f t="shared" si="881"/>
        <v>157.07963267948966</v>
      </c>
      <c r="BL349" s="57">
        <f t="shared" si="1018"/>
        <v>471.23889803846896</v>
      </c>
      <c r="BM349" s="80">
        <f>PI()*6*6/4</f>
        <v>28.274333882308138</v>
      </c>
      <c r="BN349" s="80">
        <v>6</v>
      </c>
      <c r="BO349" s="57">
        <f t="shared" si="1027"/>
        <v>169.64600329384882</v>
      </c>
      <c r="BP349" s="57">
        <f t="shared" si="977"/>
        <v>174322.00367891139</v>
      </c>
      <c r="BQ349" s="77">
        <f t="shared" si="978"/>
        <v>1.862645149230957E-9</v>
      </c>
      <c r="BR349" s="57">
        <f t="shared" si="1022"/>
        <v>557830411.77251649</v>
      </c>
      <c r="BS349" s="57">
        <v>172.05594704118738</v>
      </c>
      <c r="BT349" s="57">
        <f t="shared" si="981"/>
        <v>122.3757260191897</v>
      </c>
      <c r="BU349" s="57"/>
      <c r="BV349" s="57">
        <v>3.3E-3</v>
      </c>
      <c r="BW349" s="57">
        <v>30000</v>
      </c>
      <c r="BX349" s="57">
        <v>200000</v>
      </c>
      <c r="BY349" s="77">
        <f>20</f>
        <v>20</v>
      </c>
      <c r="BZ349" s="77">
        <f>BY349+130*1</f>
        <v>150</v>
      </c>
      <c r="CA349" s="77">
        <f>BY349+130*2</f>
        <v>280</v>
      </c>
      <c r="CB349" s="77">
        <f>CA349+20+100</f>
        <v>400</v>
      </c>
      <c r="CC349" s="77">
        <f>CB349+250</f>
        <v>650</v>
      </c>
      <c r="CD349" s="77">
        <f>CB349+250*2</f>
        <v>900</v>
      </c>
      <c r="CE349" s="77">
        <f>CD349+100+20</f>
        <v>1020</v>
      </c>
      <c r="CF349" s="77">
        <f>CE349+130</f>
        <v>1150</v>
      </c>
      <c r="CG349" s="77">
        <f>CE349+130*2</f>
        <v>1280</v>
      </c>
      <c r="DM349" s="77">
        <f>PI()*10*10/4*2</f>
        <v>157.07963267948966</v>
      </c>
      <c r="DN349" s="77">
        <f>PI()*10*10/4*2</f>
        <v>157.07963267948966</v>
      </c>
      <c r="DO349" s="77">
        <f>PI()*10*10/4*2</f>
        <v>157.07963267948966</v>
      </c>
      <c r="DP349" s="77">
        <f>PI()*10*10/4*2</f>
        <v>157.07963267948966</v>
      </c>
      <c r="DQ349" s="77">
        <f>PI()*10*10/4*2</f>
        <v>157.07963267948966</v>
      </c>
      <c r="DR349" s="77">
        <f>PI()*10*10/4*2</f>
        <v>157.07963267948966</v>
      </c>
      <c r="DS349" s="77">
        <f>PI()*10*10/4*2</f>
        <v>157.07963267948966</v>
      </c>
      <c r="DT349" s="77">
        <f>PI()*10*10/4*2</f>
        <v>157.07963267948966</v>
      </c>
      <c r="DU349" s="77">
        <f>PI()*10*10/4*2</f>
        <v>157.07963267948966</v>
      </c>
      <c r="FA349" s="77">
        <f t="shared" si="982"/>
        <v>-76183.621849552481</v>
      </c>
      <c r="FB349" s="77">
        <f t="shared" si="1050"/>
        <v>-13289.842511558756</v>
      </c>
      <c r="FC349" s="77">
        <f>IF(ABS(-$BV349*($BS349-CA349)/$BS349*$BX349)&gt;$BB349,$BB349*SIGN(-($BS349-CA349)),-$BV349*($BS349-CA349)/$BS349*$BX349)*DO349</f>
        <v>65041.843871091747</v>
      </c>
      <c r="FD349" s="77">
        <f t="shared" ref="FD349:FF351" si="1054">IF(ABS(-$BV349*($BS349-CB349)/$BS349*$BX349)&gt;$BA349,$BA349*SIGN(-($BS349-CB349)),-$BV349*($BS349-CB349)/$BS349*$BX349)*DP349</f>
        <v>76183.621849552481</v>
      </c>
      <c r="FE349" s="77">
        <f t="shared" si="1054"/>
        <v>76183.621849552481</v>
      </c>
      <c r="FF349" s="77">
        <f t="shared" si="1054"/>
        <v>76183.621849552481</v>
      </c>
      <c r="FG349" s="77">
        <f>IF(ABS(-$BV349*($BS349-CE349)/$BS349*$BX349)&gt;$BB349,$BB349*SIGN(-($BS349-CE349)),-$BV349*($BS349-CE349)/$BS349*$BX349)*DS349</f>
        <v>76183.621849552481</v>
      </c>
      <c r="FH349" s="77">
        <f>IF(ABS(-$BV349*($BS349-CF349)/$BS349*$BX349)&gt;$BB349,$BB349*SIGN(-($BS349-CF349)),-$BV349*($BS349-CF349)/$BS349*$BX349)*DT349</f>
        <v>76183.621849552481</v>
      </c>
      <c r="FI349" s="77">
        <f>IF(ABS(-$BV349*($BS349-CG349)/$BS349*$BX349)&gt;$BB349,$BB349*SIGN(-($BS349-CG349)),-$BV349*($BS349-CG349)/$BS349*$BX349)*DU349</f>
        <v>76183.621849552481</v>
      </c>
      <c r="GO349" s="77">
        <f t="shared" si="1038"/>
        <v>47995681.765218064</v>
      </c>
      <c r="GP349" s="77">
        <f t="shared" si="1039"/>
        <v>6644921.2557793781</v>
      </c>
      <c r="GQ349" s="77">
        <f t="shared" si="1040"/>
        <v>-24065482.232303947</v>
      </c>
      <c r="GR349" s="77">
        <f t="shared" si="1041"/>
        <v>-19045905.462388121</v>
      </c>
      <c r="GS349" s="77">
        <f>FE349*(CC349-0.5*$AO349)</f>
        <v>0</v>
      </c>
      <c r="GT349" s="77">
        <f>FF349*(CD349-0.5*$AO349)</f>
        <v>19045905.462388121</v>
      </c>
      <c r="GU349" s="77">
        <f>FG349*(CE349-0.5*$AO349)</f>
        <v>28187940.084334418</v>
      </c>
      <c r="GV349" s="77">
        <f>FH349*(CF349-0.5*$AO349)</f>
        <v>38091810.924776241</v>
      </c>
      <c r="GW349" s="77">
        <f>FI349*(CG349-0.5*$AO349)</f>
        <v>47995681.765218064</v>
      </c>
      <c r="IC349" s="82">
        <v>369</v>
      </c>
    </row>
    <row r="350" spans="1:237" s="77" customFormat="1">
      <c r="A350" s="77">
        <v>350</v>
      </c>
      <c r="C350" s="122" t="s">
        <v>371</v>
      </c>
      <c r="D350" s="122" t="s">
        <v>69</v>
      </c>
      <c r="E350" s="126">
        <v>1</v>
      </c>
      <c r="F350" s="125">
        <f t="shared" si="994"/>
        <v>6.3850750572742268E-2</v>
      </c>
      <c r="G350" s="122"/>
      <c r="H350" s="122">
        <v>2.8571428571428571E-2</v>
      </c>
      <c r="I350" s="150">
        <f>(45+39)/2/AU350</f>
        <v>2.8000000000000001E-2</v>
      </c>
      <c r="J350" s="125">
        <f t="shared" si="1021"/>
        <v>2.0270270270270272</v>
      </c>
      <c r="K350" s="125">
        <f t="shared" si="1013"/>
        <v>7.4</v>
      </c>
      <c r="L350" s="125">
        <f t="shared" si="1014"/>
        <v>0.14826380599182271</v>
      </c>
      <c r="M350" s="125">
        <f t="shared" si="1015"/>
        <v>0.13237839820698458</v>
      </c>
      <c r="N350" s="125">
        <f t="shared" si="1016"/>
        <v>0.38589211618257263</v>
      </c>
      <c r="O350" s="125">
        <f t="shared" si="1017"/>
        <v>1.5435684647302905</v>
      </c>
      <c r="P350" s="122">
        <v>0</v>
      </c>
      <c r="Q350" s="122" t="s">
        <v>3</v>
      </c>
      <c r="R350" s="133">
        <v>0</v>
      </c>
      <c r="S350" s="75">
        <f t="shared" si="980"/>
        <v>0.37088438236898563</v>
      </c>
      <c r="T350" s="59">
        <f t="shared" si="959"/>
        <v>0.44656878528646182</v>
      </c>
      <c r="U350" s="59">
        <f t="shared" si="960"/>
        <v>0.33407962729201202</v>
      </c>
      <c r="V350" s="59">
        <f t="shared" si="961"/>
        <v>0.84575972573347469</v>
      </c>
      <c r="W350" s="59">
        <f t="shared" si="962"/>
        <v>1.8939069491633695</v>
      </c>
      <c r="X350" s="59">
        <f t="shared" si="963"/>
        <v>2.5316111987703271</v>
      </c>
      <c r="Y350" s="127">
        <v>159420</v>
      </c>
      <c r="Z350" s="57">
        <f t="shared" si="964"/>
        <v>403589.45730796555</v>
      </c>
      <c r="AA350" s="57">
        <f t="shared" si="965"/>
        <v>301926.64583562437</v>
      </c>
      <c r="AB350" s="57">
        <f t="shared" si="1023"/>
        <v>275577.51044819999</v>
      </c>
      <c r="AC350" s="57">
        <f t="shared" si="966"/>
        <v>0.17</v>
      </c>
      <c r="AD350" s="57">
        <f t="shared" si="967"/>
        <v>2.0270270270270272</v>
      </c>
      <c r="AE350" s="57">
        <f t="shared" si="968"/>
        <v>0</v>
      </c>
      <c r="AF350" s="57">
        <f t="shared" si="969"/>
        <v>57101.393221121245</v>
      </c>
      <c r="AG350" s="57">
        <f t="shared" si="880"/>
        <v>244825.25261450312</v>
      </c>
      <c r="AH350" s="57">
        <f t="shared" si="1024"/>
        <v>290585937.85821199</v>
      </c>
      <c r="AI350" s="57">
        <f t="shared" si="1025"/>
        <v>122780327.81408799</v>
      </c>
      <c r="AJ350" s="77">
        <v>0</v>
      </c>
      <c r="AK350" s="77">
        <v>33.74</v>
      </c>
      <c r="AL350" s="78">
        <f t="shared" si="970"/>
        <v>3.1814815784653665</v>
      </c>
      <c r="AM350" s="57">
        <f t="shared" si="971"/>
        <v>1</v>
      </c>
      <c r="AN350" s="57">
        <f t="shared" si="972"/>
        <v>0.8</v>
      </c>
      <c r="AO350" s="77">
        <v>740</v>
      </c>
      <c r="AP350" s="79">
        <v>140</v>
      </c>
      <c r="AQ350" s="57">
        <f t="shared" si="973"/>
        <v>54.821030870073741</v>
      </c>
      <c r="AR350" s="57">
        <f t="shared" si="1026"/>
        <v>460</v>
      </c>
      <c r="AS350" s="57">
        <f t="shared" si="974"/>
        <v>685.17896912992626</v>
      </c>
      <c r="AT350" s="77">
        <v>100</v>
      </c>
      <c r="AU350" s="77">
        <v>1500</v>
      </c>
      <c r="AV350" s="57">
        <f t="shared" si="975"/>
        <v>74000</v>
      </c>
      <c r="AW350" s="77">
        <v>0</v>
      </c>
      <c r="AX350" s="77">
        <f t="shared" si="976"/>
        <v>74000</v>
      </c>
      <c r="AY350" s="78">
        <f>AO350*AT350</f>
        <v>74000</v>
      </c>
      <c r="AZ350" s="77">
        <f t="shared" si="1044"/>
        <v>622</v>
      </c>
      <c r="BA350" s="77">
        <v>622</v>
      </c>
      <c r="BB350" s="77">
        <v>620</v>
      </c>
      <c r="BC350" s="77">
        <v>620</v>
      </c>
      <c r="BD350" s="77">
        <f>(PI()*8*8*8)/(4*500*100)</f>
        <v>8.0424771931898696E-3</v>
      </c>
      <c r="BE350" s="77">
        <f>(2*PI()*8*8)/(4*140*100)</f>
        <v>7.1807832082052417E-3</v>
      </c>
      <c r="BF350" s="77">
        <v>2.1000000000000001E-2</v>
      </c>
      <c r="BG350" s="77">
        <v>8.4000000000000005E-2</v>
      </c>
      <c r="BH350" s="79">
        <v>140</v>
      </c>
      <c r="BI350" s="79">
        <f>PI()*8*8/4</f>
        <v>50.26548245743669</v>
      </c>
      <c r="BJ350" s="79">
        <v>2</v>
      </c>
      <c r="BK350" s="57">
        <f t="shared" si="881"/>
        <v>100.53096491487338</v>
      </c>
      <c r="BL350" s="57">
        <f t="shared" si="1018"/>
        <v>369.95395088673399</v>
      </c>
      <c r="BM350" s="80">
        <f>PI()*10*10/4</f>
        <v>78.539816339744831</v>
      </c>
      <c r="BN350" s="80">
        <v>4</v>
      </c>
      <c r="BO350" s="57">
        <f t="shared" si="1027"/>
        <v>314.15926535897933</v>
      </c>
      <c r="BP350" s="57">
        <f t="shared" si="977"/>
        <v>134831.01547643053</v>
      </c>
      <c r="BQ350" s="77">
        <f t="shared" si="978"/>
        <v>0</v>
      </c>
      <c r="BR350" s="57">
        <f t="shared" si="1022"/>
        <v>202246523.2146458</v>
      </c>
      <c r="BS350" s="57">
        <v>109.64206174014748</v>
      </c>
      <c r="BT350" s="57">
        <f t="shared" si="981"/>
        <v>30.185316423842337</v>
      </c>
      <c r="BU350" s="57"/>
      <c r="BV350" s="57">
        <v>3.3E-3</v>
      </c>
      <c r="BW350" s="57">
        <v>30000</v>
      </c>
      <c r="BX350" s="57">
        <v>200000</v>
      </c>
      <c r="BY350" s="77">
        <f>20</f>
        <v>20</v>
      </c>
      <c r="BZ350" s="77">
        <f>BY350+100*1</f>
        <v>120</v>
      </c>
      <c r="CA350" s="77">
        <f>BY350+100*2</f>
        <v>220</v>
      </c>
      <c r="CB350" s="77">
        <f>BY350+100*3</f>
        <v>320</v>
      </c>
      <c r="CC350" s="77">
        <f>BY350+100*4</f>
        <v>420</v>
      </c>
      <c r="CD350" s="77">
        <f>BY350+100*5</f>
        <v>520</v>
      </c>
      <c r="CE350" s="77">
        <f>BY350+100*6</f>
        <v>620</v>
      </c>
      <c r="CF350" s="77">
        <f>BY350+100*7</f>
        <v>720</v>
      </c>
      <c r="DM350" s="77">
        <f>PI()*10*10/4*2</f>
        <v>157.07963267948966</v>
      </c>
      <c r="DN350" s="77">
        <f>PI()*10*10/4*2</f>
        <v>157.07963267948966</v>
      </c>
      <c r="DO350" s="77">
        <f>PI()*8*8/4*2</f>
        <v>100.53096491487338</v>
      </c>
      <c r="DP350" s="77">
        <f>PI()*8*8/4*2</f>
        <v>100.53096491487338</v>
      </c>
      <c r="DQ350" s="77">
        <f>PI()*8*8/4*2</f>
        <v>100.53096491487338</v>
      </c>
      <c r="DR350" s="77">
        <f>PI()*8*8/4*2</f>
        <v>100.53096491487338</v>
      </c>
      <c r="DS350" s="77">
        <f>PI()*10*10/4*2</f>
        <v>157.07963267948966</v>
      </c>
      <c r="DT350" s="77">
        <f>PI()*10*10/4*2</f>
        <v>157.07963267948966</v>
      </c>
      <c r="FA350" s="77">
        <f t="shared" si="982"/>
        <v>-84761.465251690097</v>
      </c>
      <c r="FB350" s="77">
        <f t="shared" si="1050"/>
        <v>9793.9963321753476</v>
      </c>
      <c r="FC350" s="77">
        <f>IF(ABS(-$BV350*($BS350-CA350)/$BS350*$BX350)&gt;$BA350,$BA350*SIGN(-($BS350-CA350)),-$BV350*($BS350-CA350)/$BS350*$BX350)*DO350</f>
        <v>62530.260177051241</v>
      </c>
      <c r="FD350" s="77">
        <f t="shared" si="1054"/>
        <v>62530.260177051241</v>
      </c>
      <c r="FE350" s="77">
        <f t="shared" si="1054"/>
        <v>62530.260177051241</v>
      </c>
      <c r="FF350" s="77">
        <f t="shared" si="1054"/>
        <v>62530.260177051241</v>
      </c>
      <c r="FG350" s="77">
        <f>IF(ABS(-$BV350*($BS350-CE350)/$BS350*$BX350)&gt;$BB350,$BB350*SIGN(-($BS350-CE350)),-$BV350*($BS350-CE350)/$BS350*$BX350)*DS350</f>
        <v>97389.372261283585</v>
      </c>
      <c r="FH350" s="77">
        <f>IF(ABS(-$BV350*($BS350-CF350)/$BS350*$BX350)&gt;$BB350,$BB350*SIGN(-($BS350-CF350)),-$BV350*($BS350-CF350)/$BS350*$BX350)*DT350</f>
        <v>97389.372261283585</v>
      </c>
      <c r="GO350" s="77">
        <f t="shared" si="1038"/>
        <v>29666512.838091534</v>
      </c>
      <c r="GP350" s="77">
        <f t="shared" si="1039"/>
        <v>-2448499.083043837</v>
      </c>
      <c r="GQ350" s="77">
        <f t="shared" si="1040"/>
        <v>-9379539.0265576858</v>
      </c>
      <c r="GR350" s="77">
        <f t="shared" si="1041"/>
        <v>-3126513.0088525619</v>
      </c>
      <c r="GS350" s="77">
        <f t="shared" ref="GS350:GV351" si="1055">FE350*(CC350-0.5*$AO350)</f>
        <v>3126513.0088525619</v>
      </c>
      <c r="GT350" s="77">
        <f t="shared" si="1055"/>
        <v>9379539.0265576858</v>
      </c>
      <c r="GU350" s="77">
        <f t="shared" si="1055"/>
        <v>24347343.065320898</v>
      </c>
      <c r="GV350" s="77">
        <f t="shared" si="1055"/>
        <v>34086280.291449256</v>
      </c>
      <c r="IC350" s="82">
        <v>371</v>
      </c>
    </row>
    <row r="351" spans="1:237" s="77" customFormat="1">
      <c r="A351" s="77">
        <v>351</v>
      </c>
      <c r="C351" s="122" t="s">
        <v>372</v>
      </c>
      <c r="D351" s="122" t="s">
        <v>373</v>
      </c>
      <c r="E351" s="126">
        <v>2</v>
      </c>
      <c r="F351" s="135">
        <f t="shared" si="994"/>
        <v>6.6417600664176013E-2</v>
      </c>
      <c r="G351" s="122"/>
      <c r="H351" s="122"/>
      <c r="I351" s="149">
        <f>(52+50)/2/AU351</f>
        <v>3.4000000000000002E-2</v>
      </c>
      <c r="J351" s="125">
        <f t="shared" si="1021"/>
        <v>2</v>
      </c>
      <c r="K351" s="125">
        <f t="shared" si="1013"/>
        <v>6</v>
      </c>
      <c r="L351" s="125">
        <f t="shared" si="1014"/>
        <v>0.15916585068141914</v>
      </c>
      <c r="M351" s="125">
        <f t="shared" si="1015"/>
        <v>0.12269034323359392</v>
      </c>
      <c r="N351" s="125">
        <f t="shared" si="1016"/>
        <v>0.44307019678585813</v>
      </c>
      <c r="O351" s="125">
        <f t="shared" si="1017"/>
        <v>0.29445682376062543</v>
      </c>
      <c r="P351" s="122">
        <v>0</v>
      </c>
      <c r="Q351" s="122" t="s">
        <v>3</v>
      </c>
      <c r="R351" s="133">
        <v>0</v>
      </c>
      <c r="S351" s="75">
        <f t="shared" si="980"/>
        <v>0.37641849239497893</v>
      </c>
      <c r="T351" s="59">
        <f t="shared" si="959"/>
        <v>0.483297839097799</v>
      </c>
      <c r="U351" s="59">
        <f t="shared" si="960"/>
        <v>0.36014101970098483</v>
      </c>
      <c r="V351" s="59">
        <f t="shared" si="961"/>
        <v>0.82792151893335253</v>
      </c>
      <c r="W351" s="59">
        <f t="shared" si="962"/>
        <v>1.7130668750327607</v>
      </c>
      <c r="X351" s="59">
        <f t="shared" si="963"/>
        <v>2.2988814759861373</v>
      </c>
      <c r="Y351" s="127">
        <v>200000</v>
      </c>
      <c r="Z351" s="57">
        <f t="shared" si="964"/>
        <v>459776.29519722745</v>
      </c>
      <c r="AA351" s="57">
        <f t="shared" si="965"/>
        <v>342613.37500655215</v>
      </c>
      <c r="AB351" s="57">
        <f t="shared" si="1023"/>
        <v>379936.85109662928</v>
      </c>
      <c r="AC351" s="57">
        <f t="shared" si="966"/>
        <v>0.17</v>
      </c>
      <c r="AD351" s="57">
        <f t="shared" si="967"/>
        <v>2</v>
      </c>
      <c r="AE351" s="57">
        <f t="shared" si="968"/>
        <v>0</v>
      </c>
      <c r="AF351" s="57">
        <f t="shared" si="969"/>
        <v>71111.757675807705</v>
      </c>
      <c r="AG351" s="57">
        <f t="shared" si="880"/>
        <v>271501.61733074446</v>
      </c>
      <c r="AH351" s="57">
        <f t="shared" si="1024"/>
        <v>391188255.58511007</v>
      </c>
      <c r="AI351" s="57">
        <f t="shared" si="1025"/>
        <v>178717021.05983382</v>
      </c>
      <c r="AJ351" s="77">
        <v>0</v>
      </c>
      <c r="AK351" s="77">
        <v>32.119999999999997</v>
      </c>
      <c r="AL351" s="78">
        <f t="shared" si="970"/>
        <v>3.0965362250883768</v>
      </c>
      <c r="AM351" s="57">
        <f t="shared" si="971"/>
        <v>1</v>
      </c>
      <c r="AN351" s="57">
        <f t="shared" si="972"/>
        <v>0.8</v>
      </c>
      <c r="AO351" s="77">
        <v>750</v>
      </c>
      <c r="AP351" s="79">
        <f>2*80</f>
        <v>160</v>
      </c>
      <c r="AQ351" s="57">
        <f t="shared" si="973"/>
        <v>61.051906000762557</v>
      </c>
      <c r="AR351" s="57">
        <f t="shared" si="1026"/>
        <v>430</v>
      </c>
      <c r="AS351" s="57">
        <f t="shared" si="974"/>
        <v>688.94809399923747</v>
      </c>
      <c r="AT351" s="77">
        <v>125</v>
      </c>
      <c r="AU351" s="77">
        <v>1500</v>
      </c>
      <c r="AV351" s="57">
        <f t="shared" si="975"/>
        <v>93750</v>
      </c>
      <c r="AW351" s="77">
        <v>0</v>
      </c>
      <c r="AX351" s="77">
        <f t="shared" si="976"/>
        <v>93750</v>
      </c>
      <c r="AY351" s="77">
        <v>93750</v>
      </c>
      <c r="AZ351" s="77">
        <f t="shared" si="1044"/>
        <v>588</v>
      </c>
      <c r="BA351" s="77">
        <v>588</v>
      </c>
      <c r="BB351" s="77">
        <v>604</v>
      </c>
      <c r="BC351" s="77">
        <v>588</v>
      </c>
      <c r="BD351" s="77">
        <f>(PI()*8*8*8)/(4*125*5*74)</f>
        <v>8.694569938583644E-3</v>
      </c>
      <c r="BE351" s="77">
        <f>(2*PI()*8*8)/(4*120*125)</f>
        <v>6.702064327658225E-3</v>
      </c>
      <c r="BF351" s="77">
        <f>(PI()*10*10*6)/(4*160*125)</f>
        <v>2.3561944901923447E-2</v>
      </c>
      <c r="BG351" s="77">
        <f>(2*PI()*8*8)/(4*50*125)</f>
        <v>1.6084954386379739E-2</v>
      </c>
      <c r="BH351" s="79">
        <v>120</v>
      </c>
      <c r="BI351" s="79">
        <f>PI()*8*8/4</f>
        <v>50.26548245743669</v>
      </c>
      <c r="BJ351" s="79">
        <v>2</v>
      </c>
      <c r="BK351" s="57">
        <f t="shared" si="881"/>
        <v>100.53096491487338</v>
      </c>
      <c r="BL351" s="57">
        <f t="shared" si="1018"/>
        <v>467.33313419887082</v>
      </c>
      <c r="BM351" s="80">
        <f>PI()*10*10/4</f>
        <v>78.539816339744831</v>
      </c>
      <c r="BN351" s="80">
        <v>6</v>
      </c>
      <c r="BO351" s="57">
        <f t="shared" si="1027"/>
        <v>471.23889803846896</v>
      </c>
      <c r="BP351" s="57">
        <f t="shared" si="977"/>
        <v>165584.3037866705</v>
      </c>
      <c r="BQ351" s="77">
        <f t="shared" si="978"/>
        <v>0</v>
      </c>
      <c r="BR351" s="57">
        <f t="shared" si="1022"/>
        <v>248376455.68000573</v>
      </c>
      <c r="BS351" s="57">
        <v>122.10381200152511</v>
      </c>
      <c r="BT351" s="57">
        <f t="shared" si="981"/>
        <v>36.511910692116473</v>
      </c>
      <c r="BU351" s="57"/>
      <c r="BV351" s="57">
        <v>3.3E-3</v>
      </c>
      <c r="BW351" s="57">
        <v>30000</v>
      </c>
      <c r="BX351" s="57">
        <v>200000</v>
      </c>
      <c r="BY351" s="77">
        <v>30</v>
      </c>
      <c r="BZ351" s="77">
        <f>BY351+80*1</f>
        <v>110</v>
      </c>
      <c r="CA351" s="77">
        <f>BY351+80*2</f>
        <v>190</v>
      </c>
      <c r="CB351" s="77">
        <f>CA351+74*1</f>
        <v>264</v>
      </c>
      <c r="CC351" s="77">
        <f>CA351+74*2</f>
        <v>338</v>
      </c>
      <c r="CD351" s="77">
        <f>CA351+74*3</f>
        <v>412</v>
      </c>
      <c r="CE351" s="77">
        <f>CA351+74*4</f>
        <v>486</v>
      </c>
      <c r="CF351" s="77">
        <f>CA351+74*5</f>
        <v>560</v>
      </c>
      <c r="CG351" s="77">
        <f>CF351+80*1</f>
        <v>640</v>
      </c>
      <c r="CH351" s="77">
        <f>CF351+80*2</f>
        <v>720</v>
      </c>
      <c r="DM351" s="77">
        <f>PI()*10*10/4*2</f>
        <v>157.07963267948966</v>
      </c>
      <c r="DN351" s="77">
        <f>PI()*10*10/4*2</f>
        <v>157.07963267948966</v>
      </c>
      <c r="DO351" s="77">
        <f>PI()*10*10/4*2</f>
        <v>157.07963267948966</v>
      </c>
      <c r="DP351" s="77">
        <f>PI()*8*8/4*2</f>
        <v>100.53096491487338</v>
      </c>
      <c r="DQ351" s="77">
        <f>PI()*8*8/4*2</f>
        <v>100.53096491487338</v>
      </c>
      <c r="DR351" s="77">
        <f>PI()*8*8/4*2</f>
        <v>100.53096491487338</v>
      </c>
      <c r="DS351" s="77">
        <f>PI()*8*8/4*2</f>
        <v>100.53096491487338</v>
      </c>
      <c r="DT351" s="77">
        <f>PI()*10*10/4*2</f>
        <v>157.07963267948966</v>
      </c>
      <c r="DU351" s="77">
        <f>PI()*10*10/4*2</f>
        <v>157.07963267948966</v>
      </c>
      <c r="DV351" s="77">
        <f>PI()*10*10/4*2</f>
        <v>157.07963267948966</v>
      </c>
      <c r="FA351" s="77">
        <f t="shared" si="982"/>
        <v>-78200.979932418122</v>
      </c>
      <c r="FB351" s="77">
        <f t="shared" si="1050"/>
        <v>-10276.772902964691</v>
      </c>
      <c r="FC351" s="77">
        <f>IF(ABS(-$BV351*($BS351-CA351)/$BS351*$BX351)&gt;$BB351,$BB351*SIGN(-($BS351-CA351)),-$BV351*($BS351-CA351)/$BS351*$BX351)*DO351</f>
        <v>57647.434126488755</v>
      </c>
      <c r="FD351" s="77">
        <f t="shared" si="1054"/>
        <v>59112.20736994555</v>
      </c>
      <c r="FE351" s="77">
        <f t="shared" si="1054"/>
        <v>59112.20736994555</v>
      </c>
      <c r="FF351" s="77">
        <f t="shared" si="1054"/>
        <v>59112.20736994555</v>
      </c>
      <c r="FG351" s="77">
        <f>IF(ABS(-$BV351*($BS351-CE351)/$BS351*$BX351)&gt;$BA351,$BA351*SIGN(-($BS351-CE351)),-$BV351*($BS351-CE351)/$BS351*$BX351)*DS351</f>
        <v>59112.20736994555</v>
      </c>
      <c r="FH351" s="77">
        <f>IF(ABS(-$BV351*($BS351-CF351)/$BS351*$BX351)&gt;$BB351,$BB351*SIGN(-($BS351-CF351)),-$BV351*($BS351-CF351)/$BS351*$BX351)*DT351</f>
        <v>94876.098138411762</v>
      </c>
      <c r="FI351" s="77">
        <f>IF(ABS(-$BV351*($BS351-CG351)/$BS351*$BX351)&gt;$BB351,$BB351*SIGN(-($BS351-CG351)),-$BV351*($BS351-CG351)/$BS351*$BX351)*DU351</f>
        <v>94876.098138411762</v>
      </c>
      <c r="FJ351" s="77">
        <f>IF(ABS(-$BV351*($BS351-CH351)/$BS351*$BX351)&gt;$BB351,$BB351*SIGN(-($BS351-CH351)),-$BV351*($BS351-CH351)/$BS351*$BX351)*DV351</f>
        <v>94876.098138411762</v>
      </c>
      <c r="GO351" s="77">
        <f t="shared" si="1038"/>
        <v>26979338.076684251</v>
      </c>
      <c r="GP351" s="77">
        <f t="shared" si="1039"/>
        <v>2723344.8192856428</v>
      </c>
      <c r="GQ351" s="77">
        <f t="shared" si="1040"/>
        <v>-10664775.313400419</v>
      </c>
      <c r="GR351" s="77">
        <f t="shared" si="1041"/>
        <v>-6561455.0180639559</v>
      </c>
      <c r="GS351" s="77">
        <f t="shared" si="1055"/>
        <v>-2187151.6726879855</v>
      </c>
      <c r="GT351" s="77">
        <f t="shared" si="1055"/>
        <v>2187151.6726879855</v>
      </c>
      <c r="GU351" s="77">
        <f t="shared" si="1055"/>
        <v>6561455.0180639559</v>
      </c>
      <c r="GV351" s="77">
        <f t="shared" si="1055"/>
        <v>17552078.155606177</v>
      </c>
      <c r="GW351" s="77">
        <f>FI351*(CG351-0.5*$AO351)</f>
        <v>25142166.006679118</v>
      </c>
      <c r="GX351" s="77">
        <f>FJ351*(CH351-0.5*$AO351)</f>
        <v>32732253.857752059</v>
      </c>
      <c r="IC351" s="82">
        <v>372</v>
      </c>
    </row>
    <row r="352" spans="1:237" s="77" customFormat="1">
      <c r="A352" s="77">
        <v>352</v>
      </c>
      <c r="C352" s="122" t="s">
        <v>372</v>
      </c>
      <c r="D352" s="122" t="s">
        <v>374</v>
      </c>
      <c r="E352" s="126">
        <v>2</v>
      </c>
      <c r="F352" s="135">
        <f t="shared" si="994"/>
        <v>5.9640102827763497E-2</v>
      </c>
      <c r="G352" s="122"/>
      <c r="H352" s="122"/>
      <c r="I352" s="149">
        <f>(44+42)/2/AU352</f>
        <v>2.8666666666666667E-2</v>
      </c>
      <c r="J352" s="125">
        <f t="shared" si="1021"/>
        <v>2</v>
      </c>
      <c r="K352" s="125">
        <f t="shared" si="1013"/>
        <v>6</v>
      </c>
      <c r="L352" s="125">
        <f t="shared" si="1014"/>
        <v>9.7473073995802004E-2</v>
      </c>
      <c r="M352" s="125">
        <f t="shared" si="1015"/>
        <v>3.7472981780608323E-2</v>
      </c>
      <c r="N352" s="125">
        <f t="shared" si="1016"/>
        <v>0.38989229598320801</v>
      </c>
      <c r="O352" s="125">
        <f t="shared" si="1017"/>
        <v>0.15195940197929445</v>
      </c>
      <c r="P352" s="122">
        <v>0</v>
      </c>
      <c r="Q352" s="122" t="s">
        <v>3</v>
      </c>
      <c r="R352" s="133">
        <v>0</v>
      </c>
      <c r="S352" s="75">
        <f t="shared" si="980"/>
        <v>0.33270411907328268</v>
      </c>
      <c r="T352" s="59">
        <f t="shared" si="959"/>
        <v>0.95155768583715894</v>
      </c>
      <c r="U352" s="59">
        <f t="shared" si="960"/>
        <v>0.72905426667451623</v>
      </c>
      <c r="V352" s="59">
        <f t="shared" si="961"/>
        <v>0.83059916797080879</v>
      </c>
      <c r="W352" s="59">
        <f t="shared" si="962"/>
        <v>0.87288367309026194</v>
      </c>
      <c r="X352" s="59">
        <f t="shared" si="963"/>
        <v>1.1392830492021893</v>
      </c>
      <c r="Y352" s="127">
        <v>174000</v>
      </c>
      <c r="Z352" s="57">
        <f t="shared" si="964"/>
        <v>198235.25056118093</v>
      </c>
      <c r="AA352" s="57">
        <f t="shared" si="965"/>
        <v>151881.75911770557</v>
      </c>
      <c r="AB352" s="57">
        <f t="shared" si="1023"/>
        <v>386177.22363278427</v>
      </c>
      <c r="AC352" s="57">
        <f t="shared" si="966"/>
        <v>0.17</v>
      </c>
      <c r="AD352" s="57">
        <f t="shared" si="967"/>
        <v>2</v>
      </c>
      <c r="AE352" s="57">
        <f t="shared" si="968"/>
        <v>0</v>
      </c>
      <c r="AF352" s="57">
        <f t="shared" si="969"/>
        <v>70654.87152060082</v>
      </c>
      <c r="AG352" s="57">
        <f t="shared" si="880"/>
        <v>81226.887597104738</v>
      </c>
      <c r="AH352" s="57">
        <f t="shared" si="1024"/>
        <v>410534205.08306974</v>
      </c>
      <c r="AI352" s="57">
        <f t="shared" si="1025"/>
        <v>168731630.36610669</v>
      </c>
      <c r="AJ352" s="77">
        <v>0</v>
      </c>
      <c r="AK352" s="77">
        <v>31.12</v>
      </c>
      <c r="AL352" s="78">
        <f t="shared" si="970"/>
        <v>3.0431362222158373</v>
      </c>
      <c r="AM352" s="57">
        <f t="shared" si="971"/>
        <v>1</v>
      </c>
      <c r="AN352" s="57">
        <f t="shared" si="972"/>
        <v>0.8</v>
      </c>
      <c r="AO352" s="77">
        <v>750</v>
      </c>
      <c r="AP352" s="79">
        <f>173</f>
        <v>173</v>
      </c>
      <c r="AQ352" s="57">
        <f t="shared" si="973"/>
        <v>53.466558564171144</v>
      </c>
      <c r="AR352" s="57">
        <f t="shared" si="1026"/>
        <v>404</v>
      </c>
      <c r="AS352" s="57">
        <f t="shared" si="974"/>
        <v>696.53344143582888</v>
      </c>
      <c r="AT352" s="77">
        <v>125</v>
      </c>
      <c r="AU352" s="77">
        <v>1500</v>
      </c>
      <c r="AV352" s="57">
        <f t="shared" si="975"/>
        <v>93750</v>
      </c>
      <c r="AW352" s="77">
        <v>0</v>
      </c>
      <c r="AX352" s="77">
        <f t="shared" si="976"/>
        <v>93750</v>
      </c>
      <c r="AY352" s="77">
        <v>93750</v>
      </c>
      <c r="AZ352" s="77">
        <f t="shared" si="1044"/>
        <v>580</v>
      </c>
      <c r="BA352" s="77">
        <v>580</v>
      </c>
      <c r="BB352" s="77">
        <v>580</v>
      </c>
      <c r="BC352" s="77">
        <v>588</v>
      </c>
      <c r="BD352" s="77">
        <f>(PI()*12*12*2)/(4*125*173*2)</f>
        <v>5.22993459094717E-3</v>
      </c>
      <c r="BE352" s="77">
        <f>(2*PI()*8*8)/(4*400*125)</f>
        <v>2.0106192982974674E-3</v>
      </c>
      <c r="BF352" s="77">
        <f>(PI()*12*12*4)/(4*173*125)</f>
        <v>2.091973836378868E-2</v>
      </c>
      <c r="BG352" s="77">
        <f>(2*PI()*8*8)/(4*100*125)</f>
        <v>8.0424771931898696E-3</v>
      </c>
      <c r="BH352" s="79">
        <v>400</v>
      </c>
      <c r="BI352" s="79">
        <f>PI()*8*8/4</f>
        <v>50.26548245743669</v>
      </c>
      <c r="BJ352" s="79">
        <v>2</v>
      </c>
      <c r="BK352" s="57">
        <f t="shared" si="881"/>
        <v>100.53096491487338</v>
      </c>
      <c r="BL352" s="57">
        <f t="shared" si="1018"/>
        <v>264.11169684283209</v>
      </c>
      <c r="BM352" s="80">
        <f>PI()*12*12/4</f>
        <v>113.09733552923255</v>
      </c>
      <c r="BN352" s="80">
        <v>4</v>
      </c>
      <c r="BO352" s="57">
        <f t="shared" si="1027"/>
        <v>452.38934211693021</v>
      </c>
      <c r="BP352" s="57">
        <f t="shared" si="977"/>
        <v>144524.25522692074</v>
      </c>
      <c r="BQ352" s="77">
        <f t="shared" si="978"/>
        <v>-9.5460563898086548E-9</v>
      </c>
      <c r="BR352" s="57">
        <f t="shared" si="1022"/>
        <v>216786382.84038109</v>
      </c>
      <c r="BS352" s="57">
        <v>106.93311712834229</v>
      </c>
      <c r="BT352" s="57">
        <f t="shared" si="981"/>
        <v>23.967977544501661</v>
      </c>
      <c r="BU352" s="57"/>
      <c r="BV352" s="57">
        <v>3.3E-3</v>
      </c>
      <c r="BW352" s="57">
        <v>30000</v>
      </c>
      <c r="BX352" s="57">
        <v>200000</v>
      </c>
      <c r="BY352" s="77">
        <v>29</v>
      </c>
      <c r="BZ352" s="77">
        <f>BY352+173*1</f>
        <v>202</v>
      </c>
      <c r="CA352" s="77">
        <f>BY352+173*2</f>
        <v>375</v>
      </c>
      <c r="CB352" s="77">
        <f>BY352+173*3</f>
        <v>548</v>
      </c>
      <c r="CC352" s="77">
        <f>BY352+173*4</f>
        <v>721</v>
      </c>
      <c r="DM352" s="77">
        <f t="shared" ref="DM352:DQ354" si="1056">PI()*12*12/4*2</f>
        <v>226.1946710584651</v>
      </c>
      <c r="DN352" s="77">
        <f t="shared" si="1056"/>
        <v>226.1946710584651</v>
      </c>
      <c r="DO352" s="77">
        <f t="shared" si="1056"/>
        <v>226.1946710584651</v>
      </c>
      <c r="DP352" s="77">
        <f t="shared" si="1056"/>
        <v>226.1946710584651</v>
      </c>
      <c r="DQ352" s="77">
        <f t="shared" si="1056"/>
        <v>226.1946710584651</v>
      </c>
      <c r="FA352" s="77">
        <f t="shared" si="982"/>
        <v>-108801.81122639705</v>
      </c>
      <c r="FB352" s="77">
        <f t="shared" si="1050"/>
        <v>131192.90921390976</v>
      </c>
      <c r="FC352" s="77">
        <f>IF(ABS(-$BV352*($BS352-CA352)/$BS352*$BX352)&gt;$BA352,$BA352*SIGN(-($BS352-CA352)),-$BV352*($BS352-CA352)/$BS352*$BX352)*DO352</f>
        <v>131192.90921390976</v>
      </c>
      <c r="FD352" s="77">
        <f>IF(ABS(-$BV352*($BS352-CB352)/$BS352*$BX352)&gt;$BB352,$BB352*SIGN(-($BS352-CB352)),-$BV352*($BS352-CB352)/$BS352*$BX352)*DP352</f>
        <v>131192.90921390976</v>
      </c>
      <c r="FE352" s="77">
        <f>IF(ABS(-$BV352*($BS352-CC352)/$BS352*$BX352)&gt;$BB352,$BB352*SIGN(-($BS352-CC352)),-$BV352*($BS352-CC352)/$BS352*$BX352)*DQ352</f>
        <v>131192.90921390976</v>
      </c>
      <c r="GO352" s="77">
        <f t="shared" si="1038"/>
        <v>37645426.684333384</v>
      </c>
      <c r="GP352" s="77">
        <f t="shared" si="1039"/>
        <v>-22696373.294006389</v>
      </c>
      <c r="GQ352" s="77">
        <f t="shared" si="1040"/>
        <v>0</v>
      </c>
      <c r="GR352" s="77">
        <f t="shared" si="1041"/>
        <v>22696373.294006389</v>
      </c>
      <c r="GS352" s="77">
        <f t="shared" ref="GS352:GS383" si="1057">FE352*(CC352-0.5*$AO352)</f>
        <v>45392746.588012777</v>
      </c>
      <c r="IC352" s="82">
        <v>373</v>
      </c>
    </row>
    <row r="353" spans="1:237" s="77" customFormat="1">
      <c r="A353" s="77">
        <v>353</v>
      </c>
      <c r="C353" s="122" t="s">
        <v>372</v>
      </c>
      <c r="D353" s="122" t="s">
        <v>375</v>
      </c>
      <c r="E353" s="126">
        <v>3</v>
      </c>
      <c r="F353" s="135">
        <f t="shared" si="994"/>
        <v>5.8269065981148241E-2</v>
      </c>
      <c r="G353" s="122"/>
      <c r="H353" s="122"/>
      <c r="I353" s="149">
        <f>(45+41)/2/AU353</f>
        <v>2.8666666666666667E-2</v>
      </c>
      <c r="J353" s="125">
        <f t="shared" si="1021"/>
        <v>2</v>
      </c>
      <c r="K353" s="125">
        <f t="shared" si="1013"/>
        <v>6</v>
      </c>
      <c r="L353" s="125">
        <f t="shared" si="1014"/>
        <v>9.7473073995802004E-2</v>
      </c>
      <c r="M353" s="125">
        <f t="shared" si="1015"/>
        <v>2.1078552251592185E-2</v>
      </c>
      <c r="N353" s="125">
        <f t="shared" si="1016"/>
        <v>0.38989229598320801</v>
      </c>
      <c r="O353" s="125">
        <f t="shared" si="1017"/>
        <v>0.14679071483714159</v>
      </c>
      <c r="P353" s="122">
        <v>0</v>
      </c>
      <c r="Q353" s="122" t="s">
        <v>3</v>
      </c>
      <c r="R353" s="133">
        <v>0</v>
      </c>
      <c r="S353" s="75">
        <f t="shared" si="980"/>
        <v>0.32505574851987384</v>
      </c>
      <c r="T353" s="59">
        <f t="shared" si="959"/>
        <v>1.2443186932487889</v>
      </c>
      <c r="U353" s="59">
        <f t="shared" si="960"/>
        <v>0.96231400220980889</v>
      </c>
      <c r="V353" s="59">
        <f t="shared" si="961"/>
        <v>0.85139034508710509</v>
      </c>
      <c r="W353" s="59">
        <f t="shared" si="962"/>
        <v>0.68422209656290867</v>
      </c>
      <c r="X353" s="59">
        <f t="shared" si="963"/>
        <v>0.8847323671192725</v>
      </c>
      <c r="Y353" s="127">
        <v>170000</v>
      </c>
      <c r="Z353" s="57">
        <f t="shared" si="964"/>
        <v>150404.50241027633</v>
      </c>
      <c r="AA353" s="57">
        <f t="shared" si="965"/>
        <v>116317.75641569447</v>
      </c>
      <c r="AB353" s="57">
        <f t="shared" si="1023"/>
        <v>386047.00793487753</v>
      </c>
      <c r="AC353" s="57">
        <f t="shared" si="966"/>
        <v>0.17</v>
      </c>
      <c r="AD353" s="57">
        <f t="shared" si="967"/>
        <v>2</v>
      </c>
      <c r="AE353" s="57">
        <f t="shared" si="968"/>
        <v>0</v>
      </c>
      <c r="AF353" s="57">
        <f t="shared" si="969"/>
        <v>70638.329384350072</v>
      </c>
      <c r="AG353" s="57">
        <f t="shared" si="880"/>
        <v>45679.427031344399</v>
      </c>
      <c r="AH353" s="57">
        <f t="shared" si="1024"/>
        <v>410424459.47242576</v>
      </c>
      <c r="AI353" s="57">
        <f t="shared" si="1025"/>
        <v>168646052.42989054</v>
      </c>
      <c r="AJ353" s="77">
        <v>0</v>
      </c>
      <c r="AK353" s="77">
        <v>31.12</v>
      </c>
      <c r="AL353" s="78">
        <f t="shared" si="970"/>
        <v>3.0431362222158373</v>
      </c>
      <c r="AM353" s="57">
        <f t="shared" si="971"/>
        <v>1</v>
      </c>
      <c r="AN353" s="57">
        <f t="shared" si="972"/>
        <v>0.8</v>
      </c>
      <c r="AO353" s="77">
        <v>750</v>
      </c>
      <c r="AP353" s="79">
        <f>173</f>
        <v>173</v>
      </c>
      <c r="AQ353" s="57">
        <f t="shared" si="973"/>
        <v>53.629635091570577</v>
      </c>
      <c r="AR353" s="57">
        <f t="shared" si="1026"/>
        <v>404</v>
      </c>
      <c r="AS353" s="57">
        <f t="shared" si="974"/>
        <v>696.37036490842945</v>
      </c>
      <c r="AT353" s="77">
        <v>125</v>
      </c>
      <c r="AU353" s="77">
        <v>1500</v>
      </c>
      <c r="AV353" s="57">
        <f t="shared" si="975"/>
        <v>93750</v>
      </c>
      <c r="AW353" s="77">
        <v>0</v>
      </c>
      <c r="AX353" s="77">
        <f t="shared" si="976"/>
        <v>93750</v>
      </c>
      <c r="AY353" s="77">
        <v>93750</v>
      </c>
      <c r="AZ353" s="77">
        <f t="shared" si="1044"/>
        <v>580</v>
      </c>
      <c r="BA353" s="77">
        <v>580</v>
      </c>
      <c r="BB353" s="77">
        <v>580</v>
      </c>
      <c r="BC353" s="77">
        <v>568</v>
      </c>
      <c r="BD353" s="77">
        <f>(PI()*12*12*2)/(4*125*173*2)</f>
        <v>5.22993459094717E-3</v>
      </c>
      <c r="BE353" s="77">
        <f>(2*PI()*6*6)/(4*400*125)</f>
        <v>1.1309733552923255E-3</v>
      </c>
      <c r="BF353" s="77">
        <f>(PI()*12*12*4)/(4*173*125)</f>
        <v>2.091973836378868E-2</v>
      </c>
      <c r="BG353" s="77">
        <f>(2*PI()*8*8)/(4*100*125)</f>
        <v>8.0424771931898696E-3</v>
      </c>
      <c r="BH353" s="79">
        <v>400</v>
      </c>
      <c r="BI353" s="79">
        <f>PI()*6*6/4</f>
        <v>28.274333882308138</v>
      </c>
      <c r="BJ353" s="79">
        <v>2</v>
      </c>
      <c r="BK353" s="57">
        <f t="shared" si="881"/>
        <v>56.548667764616276</v>
      </c>
      <c r="BL353" s="57">
        <f t="shared" si="1018"/>
        <v>264.11169684283209</v>
      </c>
      <c r="BM353" s="80">
        <f>PI()*12*12/4</f>
        <v>113.09733552923255</v>
      </c>
      <c r="BN353" s="80">
        <v>4</v>
      </c>
      <c r="BO353" s="57">
        <f t="shared" si="1027"/>
        <v>452.38934211693021</v>
      </c>
      <c r="BP353" s="57">
        <f t="shared" si="977"/>
        <v>144736.35866480786</v>
      </c>
      <c r="BQ353" s="77">
        <f t="shared" si="978"/>
        <v>-9.720679372549057E-9</v>
      </c>
      <c r="BR353" s="57">
        <f t="shared" si="1022"/>
        <v>217104537.99721178</v>
      </c>
      <c r="BS353" s="57">
        <v>107.25927018314115</v>
      </c>
      <c r="BT353" s="57">
        <f t="shared" si="981"/>
        <v>23.967977544501661</v>
      </c>
      <c r="BU353" s="57"/>
      <c r="BV353" s="57">
        <v>3.3E-3</v>
      </c>
      <c r="BW353" s="57">
        <v>30000</v>
      </c>
      <c r="BX353" s="57">
        <v>200000</v>
      </c>
      <c r="BY353" s="77">
        <v>30</v>
      </c>
      <c r="BZ353" s="77">
        <f>BY353+173*1</f>
        <v>203</v>
      </c>
      <c r="CA353" s="77">
        <f>BY353+173*2</f>
        <v>376</v>
      </c>
      <c r="CB353" s="77">
        <f>BY353+173*3</f>
        <v>549</v>
      </c>
      <c r="CC353" s="77">
        <f>BY353+173*4</f>
        <v>722</v>
      </c>
      <c r="DM353" s="77">
        <f t="shared" si="1056"/>
        <v>226.1946710584651</v>
      </c>
      <c r="DN353" s="77">
        <f t="shared" si="1056"/>
        <v>226.1946710584651</v>
      </c>
      <c r="DO353" s="77">
        <f t="shared" si="1056"/>
        <v>226.1946710584651</v>
      </c>
      <c r="DP353" s="77">
        <f t="shared" si="1056"/>
        <v>226.1946710584651</v>
      </c>
      <c r="DQ353" s="77">
        <f t="shared" si="1056"/>
        <v>226.1946710584651</v>
      </c>
      <c r="FA353" s="77">
        <f t="shared" si="982"/>
        <v>-107533.07584322964</v>
      </c>
      <c r="FB353" s="77">
        <f t="shared" si="1050"/>
        <v>131192.90921390976</v>
      </c>
      <c r="FC353" s="77">
        <f>IF(ABS(-$BV353*($BS353-CA353)/$BS353*$BX353)&gt;$BA353,$BA353*SIGN(-($BS353-CA353)),-$BV353*($BS353-CA353)/$BS353*$BX353)*DO353</f>
        <v>131192.90921390976</v>
      </c>
      <c r="FD353" s="77">
        <f>IF(ABS(-$BV353*($BS353-CB353)/$BS353*$BX353)&gt;$BB353,$BB353*SIGN(-($BS353-CB353)),-$BV353*($BS353-CB353)/$BS353*$BX353)*DP353</f>
        <v>131192.90921390976</v>
      </c>
      <c r="FE353" s="77">
        <f>IF(ABS(-$BV353*($BS353-CC353)/$BS353*$BX353)&gt;$BB353,$BB353*SIGN(-($BS353-CC353)),-$BV353*($BS353-CC353)/$BS353*$BX353)*DQ353</f>
        <v>131192.90921390976</v>
      </c>
      <c r="GO353" s="77">
        <f t="shared" si="1038"/>
        <v>37098911.16591423</v>
      </c>
      <c r="GP353" s="77">
        <f t="shared" si="1039"/>
        <v>-22565180.384792481</v>
      </c>
      <c r="GQ353" s="77">
        <f t="shared" si="1040"/>
        <v>131192.90921390976</v>
      </c>
      <c r="GR353" s="77">
        <f t="shared" si="1041"/>
        <v>22827566.2032203</v>
      </c>
      <c r="GS353" s="77">
        <f t="shared" si="1057"/>
        <v>45523939.497226685</v>
      </c>
      <c r="IC353" s="82">
        <v>374</v>
      </c>
    </row>
    <row r="354" spans="1:237" s="77" customFormat="1">
      <c r="A354" s="77">
        <v>354</v>
      </c>
      <c r="C354" s="122" t="s">
        <v>372</v>
      </c>
      <c r="D354" s="122" t="s">
        <v>376</v>
      </c>
      <c r="E354" s="126">
        <v>3</v>
      </c>
      <c r="F354" s="135">
        <f t="shared" si="994"/>
        <v>6.5168834581526738E-2</v>
      </c>
      <c r="G354" s="122"/>
      <c r="H354" s="122"/>
      <c r="I354" s="149">
        <f>(26+20)/2/AU354</f>
        <v>1.5333333333333332E-2</v>
      </c>
      <c r="J354" s="125">
        <f t="shared" si="1021"/>
        <v>2</v>
      </c>
      <c r="K354" s="125">
        <f t="shared" si="1013"/>
        <v>6</v>
      </c>
      <c r="L354" s="125">
        <f t="shared" si="1014"/>
        <v>0.27579641931711418</v>
      </c>
      <c r="M354" s="125">
        <f t="shared" si="1015"/>
        <v>2.5855914310979455E-2</v>
      </c>
      <c r="N354" s="125">
        <f t="shared" si="1016"/>
        <v>0</v>
      </c>
      <c r="O354" s="125">
        <f t="shared" si="1017"/>
        <v>0</v>
      </c>
      <c r="P354" s="122">
        <v>0</v>
      </c>
      <c r="Q354" s="122" t="s">
        <v>3</v>
      </c>
      <c r="R354" s="133">
        <v>0</v>
      </c>
      <c r="S354" s="75">
        <f t="shared" si="980"/>
        <v>0.3282465635892084</v>
      </c>
      <c r="T354" s="59">
        <f t="shared" si="959"/>
        <v>1.2982349637475807</v>
      </c>
      <c r="U354" s="59">
        <f t="shared" si="960"/>
        <v>0.98705342734619916</v>
      </c>
      <c r="V354" s="59">
        <f t="shared" si="961"/>
        <v>0.90281445330099297</v>
      </c>
      <c r="W354" s="59">
        <f t="shared" si="962"/>
        <v>0.69541683786951958</v>
      </c>
      <c r="X354" s="59">
        <f t="shared" si="963"/>
        <v>0.91465611514901279</v>
      </c>
      <c r="Y354" s="127">
        <v>155000</v>
      </c>
      <c r="Z354" s="57">
        <f t="shared" si="964"/>
        <v>141771.69784809698</v>
      </c>
      <c r="AA354" s="57">
        <f t="shared" si="965"/>
        <v>107789.60986977554</v>
      </c>
      <c r="AC354" s="57">
        <f t="shared" si="966"/>
        <v>0.17</v>
      </c>
      <c r="AD354" s="57">
        <f t="shared" si="967"/>
        <v>2</v>
      </c>
      <c r="AE354" s="57">
        <f t="shared" si="968"/>
        <v>0</v>
      </c>
      <c r="AF354" s="57">
        <f t="shared" si="969"/>
        <v>62538.864546806093</v>
      </c>
      <c r="AG354" s="57">
        <f t="shared" ref="AG354:AG417" si="1058">0.8*AZ354*BK354/BH354*AS354</f>
        <v>45250.745322969437</v>
      </c>
      <c r="AJ354" s="77">
        <v>0</v>
      </c>
      <c r="AK354" s="77">
        <v>25.37</v>
      </c>
      <c r="AL354" s="78">
        <f t="shared" si="970"/>
        <v>2.7197305327031001</v>
      </c>
      <c r="AM354" s="57">
        <f t="shared" si="971"/>
        <v>1</v>
      </c>
      <c r="AN354" s="57">
        <f t="shared" si="972"/>
        <v>0.8</v>
      </c>
      <c r="AO354" s="77">
        <v>750</v>
      </c>
      <c r="AP354" s="79"/>
      <c r="AQ354" s="77">
        <f t="shared" si="973"/>
        <v>60.164770426910827</v>
      </c>
      <c r="AS354" s="77">
        <f t="shared" si="974"/>
        <v>689.83522957308912</v>
      </c>
      <c r="AT354" s="77">
        <v>125</v>
      </c>
      <c r="AU354" s="77">
        <v>1500</v>
      </c>
      <c r="AV354" s="57">
        <f t="shared" si="975"/>
        <v>93750</v>
      </c>
      <c r="AW354" s="77">
        <v>0</v>
      </c>
      <c r="AX354" s="77">
        <f t="shared" si="976"/>
        <v>93750</v>
      </c>
      <c r="AY354" s="77">
        <v>93750</v>
      </c>
      <c r="AZ354" s="77">
        <f t="shared" si="1044"/>
        <v>580</v>
      </c>
      <c r="BA354" s="77">
        <v>580</v>
      </c>
      <c r="BB354" s="77">
        <v>580</v>
      </c>
      <c r="BC354" s="77">
        <v>0</v>
      </c>
      <c r="BD354" s="77">
        <f>(PI()*12*12*10)/(4*750*125)</f>
        <v>1.2063715789784806E-2</v>
      </c>
      <c r="BE354" s="77">
        <f>(2*PI()*6*6)/(4*400*125)</f>
        <v>1.1309733552923255E-3</v>
      </c>
      <c r="BF354" s="77">
        <v>0</v>
      </c>
      <c r="BG354" s="77">
        <v>0</v>
      </c>
      <c r="BH354" s="79">
        <v>400</v>
      </c>
      <c r="BI354" s="79">
        <f>PI()*6*6/4</f>
        <v>28.274333882308138</v>
      </c>
      <c r="BJ354" s="79">
        <v>2</v>
      </c>
      <c r="BK354" s="57">
        <f t="shared" ref="BK354:BK417" si="1059">BI354*BJ354</f>
        <v>56.548667764616276</v>
      </c>
      <c r="BL354" s="57" t="b">
        <f t="shared" si="1018"/>
        <v>0</v>
      </c>
      <c r="BM354" s="80"/>
      <c r="BN354" s="80"/>
      <c r="BO354" s="57"/>
      <c r="BP354" s="57">
        <f t="shared" si="977"/>
        <v>139936.2402616539</v>
      </c>
      <c r="BQ354" s="77">
        <f t="shared" si="978"/>
        <v>2.1536834537982941E-9</v>
      </c>
      <c r="BR354" s="57">
        <f t="shared" si="1022"/>
        <v>209904360.39248085</v>
      </c>
      <c r="BS354" s="57">
        <v>120.32954085382165</v>
      </c>
      <c r="BT354" s="57">
        <f t="shared" si="981"/>
        <v>0</v>
      </c>
      <c r="BU354" s="57"/>
      <c r="BV354" s="57">
        <v>3.3E-3</v>
      </c>
      <c r="BW354" s="57">
        <v>30000</v>
      </c>
      <c r="BX354" s="57">
        <v>200000</v>
      </c>
      <c r="BY354" s="77">
        <v>29</v>
      </c>
      <c r="BZ354" s="77">
        <f>29+173*1</f>
        <v>202</v>
      </c>
      <c r="CA354" s="77">
        <f>29+173*2</f>
        <v>375</v>
      </c>
      <c r="CB354" s="77">
        <f>29+173*3</f>
        <v>548</v>
      </c>
      <c r="CC354" s="77">
        <f>29+173*4</f>
        <v>721</v>
      </c>
      <c r="DM354" s="77">
        <f t="shared" si="1056"/>
        <v>226.1946710584651</v>
      </c>
      <c r="DN354" s="77">
        <f t="shared" si="1056"/>
        <v>226.1946710584651</v>
      </c>
      <c r="DO354" s="77">
        <f t="shared" si="1056"/>
        <v>226.1946710584651</v>
      </c>
      <c r="DP354" s="77">
        <f t="shared" si="1056"/>
        <v>226.1946710584651</v>
      </c>
      <c r="DQ354" s="77">
        <f t="shared" si="1056"/>
        <v>226.1946710584651</v>
      </c>
      <c r="FA354" s="77">
        <f>IF(ABS(-$BV354*($BS354-BY354)/$BS354*$BX354)&gt;$BA354,$BA354*SIGN(-($BS354-BY354)),-$BV354*($BS354-BY354)/$BS354*$BX354)*DM354</f>
        <v>-113309.23812345392</v>
      </c>
      <c r="FB354" s="77">
        <f>IF(ABS(-$BV354*($BS354-BZ354)/$BS354*$BX354)&gt;$BA354,$BA354*SIGN(-($BS354-BZ354)),-$BV354*($BS354-BZ354)/$BS354*$BX354)*DN354</f>
        <v>101325.56691440877</v>
      </c>
      <c r="FC354" s="77">
        <f>IF(ABS(-$BV354*($BS354-CA354)/$BS354*$BX354)&gt;$BA354,$BA354*SIGN(-($BS354-CA354)),-$BV354*($BS354-CA354)/$BS354*$BX354)*DO354</f>
        <v>131192.90921390976</v>
      </c>
      <c r="FD354" s="77">
        <f>IF(ABS(-$BV354*($BS354-CB354)/$BS354*$BX354)&gt;$BA354,$BA354*SIGN(-($BS354-CB354)),-$BV354*($BS354-CB354)/$BS354*$BX354)*DP354</f>
        <v>131192.90921390976</v>
      </c>
      <c r="FE354" s="77">
        <f>IF(ABS(-$BV354*($BS354-CC354)/$BS354*$BX354)&gt;$BA354,$BA354*SIGN(-($BS354-CC354)),-$BV354*($BS354-CC354)/$BS354*$BX354)*DQ354</f>
        <v>131192.90921390976</v>
      </c>
      <c r="GO354" s="77">
        <f t="shared" si="1038"/>
        <v>39204996.390715055</v>
      </c>
      <c r="GP354" s="77">
        <f t="shared" si="1039"/>
        <v>-17529323.076192718</v>
      </c>
      <c r="GQ354" s="77">
        <f t="shared" si="1040"/>
        <v>0</v>
      </c>
      <c r="GR354" s="77">
        <f t="shared" si="1041"/>
        <v>22696373.294006389</v>
      </c>
      <c r="GS354" s="77">
        <f t="shared" si="1057"/>
        <v>45392746.588012777</v>
      </c>
      <c r="IC354" s="82">
        <v>375</v>
      </c>
    </row>
    <row r="355" spans="1:237" s="77" customFormat="1">
      <c r="A355" s="77">
        <v>355</v>
      </c>
      <c r="C355" s="122" t="s">
        <v>377</v>
      </c>
      <c r="D355" s="122" t="s">
        <v>378</v>
      </c>
      <c r="E355" s="126">
        <v>3</v>
      </c>
      <c r="F355" s="125">
        <f t="shared" si="994"/>
        <v>0.16159731986258677</v>
      </c>
      <c r="G355" s="122"/>
      <c r="H355" s="122"/>
      <c r="I355" s="122">
        <f>1/71</f>
        <v>1.4084507042253521E-2</v>
      </c>
      <c r="J355" s="122">
        <v>1.5</v>
      </c>
      <c r="K355" s="125">
        <f t="shared" si="1013"/>
        <v>8</v>
      </c>
      <c r="L355" s="125">
        <f t="shared" si="1014"/>
        <v>3.426896447490322E-2</v>
      </c>
      <c r="M355" s="125">
        <f t="shared" si="1015"/>
        <v>5.265283604216902E-2</v>
      </c>
      <c r="N355" s="125">
        <f t="shared" si="1016"/>
        <v>1.1358985381684146</v>
      </c>
      <c r="O355" s="125">
        <f t="shared" si="1017"/>
        <v>6.9399284002824288E-2</v>
      </c>
      <c r="P355" s="122">
        <v>0.15</v>
      </c>
      <c r="Q355" s="122" t="s">
        <v>3</v>
      </c>
      <c r="R355" s="133">
        <v>0</v>
      </c>
      <c r="S355" s="75">
        <f t="shared" si="980"/>
        <v>0.84889519274302816</v>
      </c>
      <c r="T355" s="59">
        <f t="shared" si="959"/>
        <v>1.4128575750463692</v>
      </c>
      <c r="U355" s="59">
        <f t="shared" si="960"/>
        <v>1.2718603911534319</v>
      </c>
      <c r="V355" s="59">
        <f t="shared" si="961"/>
        <v>0.78897040909971816</v>
      </c>
      <c r="W355" s="59">
        <f t="shared" si="962"/>
        <v>0.55842175675338301</v>
      </c>
      <c r="X355" s="59">
        <f t="shared" si="963"/>
        <v>0.6203278399008969</v>
      </c>
      <c r="Y355" s="127">
        <f>(1286+1568)/2*1000</f>
        <v>1427000</v>
      </c>
      <c r="Z355" s="57">
        <f t="shared" si="964"/>
        <v>885207.82753857982</v>
      </c>
      <c r="AA355" s="57">
        <f t="shared" si="965"/>
        <v>796867.84688707755</v>
      </c>
      <c r="AB355" s="57">
        <f t="shared" ref="AB355:AB386" si="1060">(AH355+AI355)/AU355</f>
        <v>1297907.3555140018</v>
      </c>
      <c r="AC355" s="57">
        <f t="shared" si="966"/>
        <v>0.25</v>
      </c>
      <c r="AD355" s="57">
        <f t="shared" si="967"/>
        <v>1.5</v>
      </c>
      <c r="AE355" s="57">
        <f t="shared" si="968"/>
        <v>1324588.8</v>
      </c>
      <c r="AF355" s="57">
        <f t="shared" si="969"/>
        <v>461343.65381151263</v>
      </c>
      <c r="AG355" s="57">
        <f t="shared" si="1058"/>
        <v>335524.19307556492</v>
      </c>
      <c r="AH355" s="57">
        <f t="shared" ref="AH355:AH386" si="1061">AM355*AK355*AT355*AP355*(AS355-0.5*AP355)</f>
        <v>1551054718.1323957</v>
      </c>
      <c r="AI355" s="57">
        <f t="shared" ref="AI355:AI386" si="1062">BB355*BO355*(AS355-AQ355)</f>
        <v>1693713670.6526091</v>
      </c>
      <c r="AJ355" s="77">
        <f>P355*AY355*AK355</f>
        <v>1324588.8</v>
      </c>
      <c r="AK355" s="77">
        <f>36.31*0.76</f>
        <v>27.595600000000001</v>
      </c>
      <c r="AL355" s="78">
        <f t="shared" si="970"/>
        <v>2.8484692305697914</v>
      </c>
      <c r="AM355" s="57">
        <f t="shared" si="971"/>
        <v>1</v>
      </c>
      <c r="AN355" s="57">
        <f t="shared" si="972"/>
        <v>0.8</v>
      </c>
      <c r="AO355" s="77">
        <v>1600</v>
      </c>
      <c r="AP355" s="79">
        <v>210</v>
      </c>
      <c r="AQ355" s="57">
        <f t="shared" si="973"/>
        <v>156.74773365146913</v>
      </c>
      <c r="AR355" s="57">
        <f t="shared" ref="AR355:AR386" si="1063">AO355-2*AP355</f>
        <v>1180</v>
      </c>
      <c r="AS355" s="57">
        <f t="shared" si="974"/>
        <v>1443.2522663485308</v>
      </c>
      <c r="AT355" s="77">
        <v>200</v>
      </c>
      <c r="AU355" s="77">
        <v>2500</v>
      </c>
      <c r="AV355" s="57">
        <f t="shared" si="975"/>
        <v>320000</v>
      </c>
      <c r="AW355" s="77">
        <v>0</v>
      </c>
      <c r="AX355" s="77">
        <f t="shared" si="976"/>
        <v>320000</v>
      </c>
      <c r="AY355" s="77">
        <f t="shared" ref="AY355:AY365" si="1064">AO355*AT355</f>
        <v>320000</v>
      </c>
      <c r="AZ355" s="77">
        <f t="shared" si="1044"/>
        <v>370</v>
      </c>
      <c r="BA355" s="77">
        <v>370</v>
      </c>
      <c r="BB355" s="77">
        <v>447</v>
      </c>
      <c r="BC355" s="77">
        <v>381</v>
      </c>
      <c r="BD355" s="77">
        <f>(PI()*8*8*12)/(4*1180*200)</f>
        <v>2.5558719893611875E-3</v>
      </c>
      <c r="BE355" s="77">
        <f>(2*PI()*10*10)/(4*200*200)</f>
        <v>3.9269908169872417E-3</v>
      </c>
      <c r="BF355" s="77">
        <f>(PI()*25*25*6)/(4*210*200)</f>
        <v>7.0124836017629311E-2</v>
      </c>
      <c r="BG355" s="77">
        <f>(2*PI()*8*8)/(4*100*200)</f>
        <v>5.0265482457436689E-3</v>
      </c>
      <c r="BH355" s="79">
        <v>200</v>
      </c>
      <c r="BI355" s="79">
        <f>PI()*10*10/4</f>
        <v>78.539816339744831</v>
      </c>
      <c r="BJ355" s="79">
        <v>2</v>
      </c>
      <c r="BK355" s="57">
        <f t="shared" si="1059"/>
        <v>157.07963267948966</v>
      </c>
      <c r="BL355" s="57">
        <f t="shared" si="1018"/>
        <v>603.18578948924028</v>
      </c>
      <c r="BM355" s="80">
        <f>PI()*25*25/4</f>
        <v>490.87385212340519</v>
      </c>
      <c r="BN355" s="80">
        <v>6</v>
      </c>
      <c r="BO355" s="57">
        <f t="shared" ref="BO355:BO386" si="1065">BM355*BN355</f>
        <v>2945.2431127404311</v>
      </c>
      <c r="BP355" s="57">
        <f t="shared" si="977"/>
        <v>1125860.7737852978</v>
      </c>
      <c r="BQ355" s="77">
        <f t="shared" si="978"/>
        <v>7.5669959187507629E-9</v>
      </c>
      <c r="BR355" s="57">
        <f t="shared" si="1022"/>
        <v>2814651934.4632444</v>
      </c>
      <c r="BS355" s="57">
        <v>313.49546730293827</v>
      </c>
      <c r="BT355" s="57">
        <f t="shared" si="981"/>
        <v>340.98169557612277</v>
      </c>
      <c r="BU355" s="57"/>
      <c r="BV355" s="57">
        <v>3.3E-3</v>
      </c>
      <c r="BW355" s="57">
        <v>30000</v>
      </c>
      <c r="BX355" s="57">
        <v>200000</v>
      </c>
      <c r="BY355" s="77">
        <f>20</f>
        <v>20</v>
      </c>
      <c r="BZ355" s="77">
        <f>BY355+90</f>
        <v>110</v>
      </c>
      <c r="CA355" s="77">
        <f>BY355+90*2</f>
        <v>200</v>
      </c>
      <c r="CB355" s="77">
        <f>210+90</f>
        <v>300</v>
      </c>
      <c r="CC355" s="77">
        <f>CB355+200</f>
        <v>500</v>
      </c>
      <c r="CD355" s="77">
        <f>CB355+200*2</f>
        <v>700</v>
      </c>
      <c r="CE355" s="77">
        <f>CB355+200*3</f>
        <v>900</v>
      </c>
      <c r="CF355" s="77">
        <f>CB355+200*4</f>
        <v>1100</v>
      </c>
      <c r="CG355" s="77">
        <f>CB355+200*5</f>
        <v>1300</v>
      </c>
      <c r="CH355" s="77">
        <f>CG355+90+10</f>
        <v>1400</v>
      </c>
      <c r="CI355" s="77">
        <f>CH355+90</f>
        <v>1490</v>
      </c>
      <c r="CJ355" s="77">
        <f>CH355+90*2</f>
        <v>1580</v>
      </c>
      <c r="DM355" s="77">
        <f>PI()*25*25/4*2</f>
        <v>981.74770424681037</v>
      </c>
      <c r="DN355" s="77">
        <f>PI()*25*25/4*2</f>
        <v>981.74770424681037</v>
      </c>
      <c r="DO355" s="77">
        <f>PI()*25*25/4*2</f>
        <v>981.74770424681037</v>
      </c>
      <c r="DP355" s="77">
        <f t="shared" ref="DP355:DU355" si="1066">PI()*8*8/4*2</f>
        <v>100.53096491487338</v>
      </c>
      <c r="DQ355" s="77">
        <f t="shared" si="1066"/>
        <v>100.53096491487338</v>
      </c>
      <c r="DR355" s="77">
        <f t="shared" si="1066"/>
        <v>100.53096491487338</v>
      </c>
      <c r="DS355" s="77">
        <f t="shared" si="1066"/>
        <v>100.53096491487338</v>
      </c>
      <c r="DT355" s="77">
        <f t="shared" si="1066"/>
        <v>100.53096491487338</v>
      </c>
      <c r="DU355" s="77">
        <f t="shared" si="1066"/>
        <v>100.53096491487338</v>
      </c>
      <c r="DV355" s="77">
        <f>PI()*25*25/4*2</f>
        <v>981.74770424681037</v>
      </c>
      <c r="DW355" s="77">
        <f>PI()*25*25/4*2</f>
        <v>981.74770424681037</v>
      </c>
      <c r="DX355" s="77">
        <f>PI()*25*25/4*2</f>
        <v>981.74770424681037</v>
      </c>
      <c r="FA355" s="77">
        <f t="shared" ref="FA355:FA366" si="1067">IF(ABS(-$BV355*($BS355-BY355)/$BS355*$BX355)&gt;$BB355,$BB355*SIGN(-($BS355-BY355)),-$BV355*($BS355-BY355)/$BS355*$BX355)*DM355</f>
        <v>-438841.22379832424</v>
      </c>
      <c r="FB355" s="77">
        <f t="shared" ref="FB355:FB366" si="1068">IF(ABS(-$BV355*($BS355-BZ355)/$BS355*$BX355)&gt;$BB355,$BB355*SIGN(-($BS355-BZ355)),-$BV355*($BS355-BZ355)/$BS355*$BX355)*DN355</f>
        <v>-420598.09768514818</v>
      </c>
      <c r="FC355" s="77">
        <f t="shared" ref="FC355:FC366" si="1069">IF(ABS(-$BV355*($BS355-CA355)/$BS355*$BX355)&gt;$BB355,$BB355*SIGN(-($BS355-CA355)),-$BV355*($BS355-CA355)/$BS355*$BX355)*DO355</f>
        <v>-234580.05367971901</v>
      </c>
      <c r="FD355" s="77">
        <f>IF(ABS(-$BV355*($BS355-CB355)/$BS355*$BX355)&gt;$BA355,$BA355*SIGN(-($BS355-CB355)),-$BV355*($BS355-CB355)/$BS355*$BX355)*DP355</f>
        <v>-2856.2778232966261</v>
      </c>
      <c r="FE355" s="77">
        <f>IF(ABS(-$BV355*($BS355-CC355)/$BS355*$BX355)&gt;$BA355,$BA355*SIGN(-($BS355-CC355)),-$BV355*($BS355-CC355)/$BS355*$BX355)*DQ355</f>
        <v>37196.457018503148</v>
      </c>
      <c r="FF355" s="77">
        <f t="shared" ref="FF355:FI362" si="1070">IF(ABS(-$BV355*($BS355-CD355)/$BS355*$BX355)&gt;$BA355,$BA355*SIGN(-($BS355-CD355)),-$BV355*($BS355-CD355)/$BS355*$BX355)*DR355</f>
        <v>37196.457018503148</v>
      </c>
      <c r="FG355" s="77">
        <f t="shared" si="1070"/>
        <v>37196.457018503148</v>
      </c>
      <c r="FH355" s="77">
        <f t="shared" si="1070"/>
        <v>37196.457018503148</v>
      </c>
      <c r="FI355" s="77">
        <f t="shared" si="1070"/>
        <v>37196.457018503148</v>
      </c>
      <c r="FJ355" s="77">
        <f>IF(ABS(-$BV355*($BS355-CH355)/$BS355*$BX355)&gt;$BB355,$BB355*SIGN(-($BS355-CH355)),-$BV355*($BS355-CH355)/$BS355*$BX355)*DV355</f>
        <v>438841.22379832424</v>
      </c>
      <c r="FK355" s="77">
        <f>IF(ABS(-$BV355*($BS355-CI355)/$BS355*$BX355)&gt;$BB355,$BB355*SIGN(-($BS355-CI355)),-$BV355*($BS355-CI355)/$BS355*$BX355)*DW355</f>
        <v>438841.22379832424</v>
      </c>
      <c r="FL355" s="77">
        <f>IF(ABS(-$BV355*($BS355-CJ355)/$BS355*$BX355)&gt;$BB355,$BB355*SIGN(-($BS355-CJ355)),-$BV355*($BS355-CJ355)/$BS355*$BX355)*DX355</f>
        <v>438841.22379832424</v>
      </c>
      <c r="GO355" s="77">
        <f t="shared" si="1038"/>
        <v>342296154.56269288</v>
      </c>
      <c r="GP355" s="77">
        <f t="shared" si="1039"/>
        <v>290212687.40275222</v>
      </c>
      <c r="GQ355" s="77">
        <f t="shared" si="1040"/>
        <v>140748032.20783141</v>
      </c>
      <c r="GR355" s="77">
        <f t="shared" si="1041"/>
        <v>1428138.911648313</v>
      </c>
      <c r="GS355" s="77">
        <f t="shared" si="1057"/>
        <v>-11158937.105550945</v>
      </c>
      <c r="GT355" s="77">
        <f t="shared" ref="GT355:GZ362" si="1071">FF355*(CD355-0.5*$AO355)</f>
        <v>-3719645.7018503146</v>
      </c>
      <c r="GU355" s="77">
        <f t="shared" si="1071"/>
        <v>3719645.7018503146</v>
      </c>
      <c r="GV355" s="77">
        <f t="shared" si="1071"/>
        <v>11158937.105550945</v>
      </c>
      <c r="GW355" s="77">
        <f t="shared" si="1071"/>
        <v>18598228.509251572</v>
      </c>
      <c r="GX355" s="77">
        <f t="shared" si="1071"/>
        <v>263304734.27899453</v>
      </c>
      <c r="GY355" s="77">
        <f t="shared" si="1071"/>
        <v>302800444.42084372</v>
      </c>
      <c r="GZ355" s="77">
        <f t="shared" si="1071"/>
        <v>342296154.56269288</v>
      </c>
      <c r="IC355" s="82">
        <v>376</v>
      </c>
    </row>
    <row r="356" spans="1:237" s="77" customFormat="1">
      <c r="A356" s="77">
        <v>356</v>
      </c>
      <c r="C356" s="122" t="s">
        <v>379</v>
      </c>
      <c r="D356" s="122" t="s">
        <v>380</v>
      </c>
      <c r="E356" s="126">
        <v>1</v>
      </c>
      <c r="F356" s="135">
        <f t="shared" ref="F356:F387" si="1072">Y356/AY356/AK356</f>
        <v>2.663438256658596E-2</v>
      </c>
      <c r="G356" s="122"/>
      <c r="H356" s="122"/>
      <c r="I356" s="149">
        <v>0.02</v>
      </c>
      <c r="J356" s="132">
        <v>3</v>
      </c>
      <c r="K356" s="125">
        <f t="shared" si="1013"/>
        <v>16</v>
      </c>
      <c r="L356" s="125">
        <f t="shared" si="1014"/>
        <v>4.7142857142857146E-2</v>
      </c>
      <c r="M356" s="125">
        <f t="shared" si="1015"/>
        <v>6.6939504483269213E-2</v>
      </c>
      <c r="N356" s="125">
        <f t="shared" si="1016"/>
        <v>0.21026634382566586</v>
      </c>
      <c r="O356" s="125">
        <f t="shared" si="1017"/>
        <v>8.1854289944995953E-2</v>
      </c>
      <c r="P356" s="122">
        <v>4.2000000000000003E-2</v>
      </c>
      <c r="Q356" s="122" t="s">
        <v>3</v>
      </c>
      <c r="R356" s="133">
        <v>0</v>
      </c>
      <c r="S356" s="75">
        <f t="shared" si="980"/>
        <v>0.17116606212460622</v>
      </c>
      <c r="T356" s="59">
        <f t="shared" si="959"/>
        <v>0.73978478374013346</v>
      </c>
      <c r="U356" s="59">
        <f t="shared" si="960"/>
        <v>0.57378530461387045</v>
      </c>
      <c r="V356" s="59">
        <f t="shared" si="961"/>
        <v>2.0119561727677584</v>
      </c>
      <c r="W356" s="59">
        <f t="shared" si="962"/>
        <v>2.7196506565002618</v>
      </c>
      <c r="X356" s="59">
        <f t="shared" si="963"/>
        <v>3.5064616618609756</v>
      </c>
      <c r="Y356" s="127">
        <v>275000</v>
      </c>
      <c r="Z356" s="57">
        <f t="shared" si="964"/>
        <v>964276.95701176825</v>
      </c>
      <c r="AA356" s="57">
        <f t="shared" si="965"/>
        <v>747903.93053757201</v>
      </c>
      <c r="AB356" s="57">
        <f t="shared" si="1060"/>
        <v>1538756.354464238</v>
      </c>
      <c r="AC356" s="57">
        <f t="shared" si="966"/>
        <v>0.17</v>
      </c>
      <c r="AD356" s="57">
        <f t="shared" si="967"/>
        <v>2.2000000000000002</v>
      </c>
      <c r="AE356" s="57">
        <f t="shared" si="968"/>
        <v>433649.99999999994</v>
      </c>
      <c r="AF356" s="57">
        <f t="shared" si="969"/>
        <v>223775.06203821188</v>
      </c>
      <c r="AG356" s="57">
        <f t="shared" si="1058"/>
        <v>524128.86849936016</v>
      </c>
      <c r="AH356" s="57">
        <f t="shared" si="1061"/>
        <v>3082370721.9195189</v>
      </c>
      <c r="AI356" s="77">
        <f t="shared" si="1062"/>
        <v>676811052.0366143</v>
      </c>
      <c r="AJ356" s="77">
        <v>438000</v>
      </c>
      <c r="AK356" s="77">
        <v>41.3</v>
      </c>
      <c r="AL356" s="78">
        <f t="shared" si="970"/>
        <v>3.555675737402789</v>
      </c>
      <c r="AM356" s="57">
        <f t="shared" si="971"/>
        <v>0.99131578947368426</v>
      </c>
      <c r="AN356" s="57">
        <f t="shared" si="972"/>
        <v>0.79131578947368431</v>
      </c>
      <c r="AO356" s="77">
        <v>2000</v>
      </c>
      <c r="AP356" s="79">
        <v>350</v>
      </c>
      <c r="AQ356" s="57">
        <f t="shared" si="973"/>
        <v>104.14317639011016</v>
      </c>
      <c r="AR356" s="57">
        <f t="shared" si="1063"/>
        <v>1300</v>
      </c>
      <c r="AS356" s="57">
        <f t="shared" si="974"/>
        <v>1895.8568236098899</v>
      </c>
      <c r="AT356" s="77">
        <v>125</v>
      </c>
      <c r="AU356" s="77">
        <v>2443</v>
      </c>
      <c r="AV356" s="57">
        <f t="shared" si="975"/>
        <v>250000</v>
      </c>
      <c r="AW356" s="77">
        <v>0</v>
      </c>
      <c r="AX356" s="77">
        <f t="shared" si="976"/>
        <v>250000</v>
      </c>
      <c r="AY356" s="77">
        <f t="shared" si="1064"/>
        <v>250000</v>
      </c>
      <c r="AZ356" s="77">
        <f t="shared" si="1044"/>
        <v>330</v>
      </c>
      <c r="BA356" s="77">
        <v>330</v>
      </c>
      <c r="BB356" s="77">
        <v>334</v>
      </c>
      <c r="BC356" s="77">
        <v>411</v>
      </c>
      <c r="BD356" s="77">
        <v>5.8999999999999999E-3</v>
      </c>
      <c r="BE356" s="77">
        <f>(2*PI()*10*10)/(4*150*125)</f>
        <v>8.3775804095727827E-3</v>
      </c>
      <c r="BF356" s="77">
        <v>2.5999999999999999E-2</v>
      </c>
      <c r="BG356" s="77">
        <f>(2*PI()*6*6)/(4*55*125)</f>
        <v>8.2252607657623666E-3</v>
      </c>
      <c r="BH356" s="79">
        <v>150</v>
      </c>
      <c r="BI356" s="79">
        <f>PI()*10*10/4</f>
        <v>78.539816339744831</v>
      </c>
      <c r="BJ356" s="79">
        <v>2</v>
      </c>
      <c r="BK356" s="57">
        <f t="shared" si="1059"/>
        <v>157.07963267948966</v>
      </c>
      <c r="BL356" s="57">
        <f t="shared" si="1018"/>
        <v>958.75</v>
      </c>
      <c r="BM356" s="80">
        <f>PI()*12*12/4</f>
        <v>113.09733552923255</v>
      </c>
      <c r="BN356" s="80">
        <v>10</v>
      </c>
      <c r="BO356" s="57">
        <f t="shared" si="1065"/>
        <v>1130.9733552923256</v>
      </c>
      <c r="BP356" s="57">
        <f t="shared" si="977"/>
        <v>553287.94751113351</v>
      </c>
      <c r="BQ356" s="77">
        <f t="shared" si="978"/>
        <v>1.5133991837501526E-9</v>
      </c>
      <c r="BR356" s="57">
        <f t="shared" si="1022"/>
        <v>1351682455.7696991</v>
      </c>
      <c r="BS356" s="57">
        <v>208.28635278022031</v>
      </c>
      <c r="BT356" s="57">
        <f t="shared" si="981"/>
        <v>156.60303856641991</v>
      </c>
      <c r="BU356" s="57"/>
      <c r="BV356" s="57">
        <v>3.3E-3</v>
      </c>
      <c r="BW356" s="57">
        <v>30000</v>
      </c>
      <c r="BX356" s="57">
        <v>200000</v>
      </c>
      <c r="BY356" s="77">
        <f>30</f>
        <v>30</v>
      </c>
      <c r="BZ356" s="77">
        <f>BY356+75</f>
        <v>105</v>
      </c>
      <c r="CA356" s="77">
        <f>BY356+75*2</f>
        <v>180</v>
      </c>
      <c r="CB356" s="77">
        <f>BY356+75*3</f>
        <v>255</v>
      </c>
      <c r="CC356" s="77">
        <f>BY356+75*4</f>
        <v>330</v>
      </c>
      <c r="CD356" s="77">
        <f>CC356+151</f>
        <v>481</v>
      </c>
      <c r="CE356" s="77">
        <f>CD356+210*1</f>
        <v>691</v>
      </c>
      <c r="CF356" s="77">
        <f>CD356+210*2</f>
        <v>901</v>
      </c>
      <c r="CG356" s="77">
        <f>CD356+210*3</f>
        <v>1111</v>
      </c>
      <c r="CH356" s="77">
        <f>CD356+210*4</f>
        <v>1321</v>
      </c>
      <c r="CI356" s="77">
        <f>CD356+210*5</f>
        <v>1531</v>
      </c>
      <c r="CJ356" s="77">
        <f>CI356+151</f>
        <v>1682</v>
      </c>
      <c r="CK356" s="77">
        <f>CJ356+75*1</f>
        <v>1757</v>
      </c>
      <c r="CL356" s="77">
        <f>CJ356+75*2</f>
        <v>1832</v>
      </c>
      <c r="CM356" s="77">
        <f>CJ356+75*3</f>
        <v>1907</v>
      </c>
      <c r="CN356" s="77">
        <f>CJ356+75*4</f>
        <v>1982</v>
      </c>
      <c r="DM356" s="77">
        <f t="shared" ref="DM356:DQ357" si="1073">PI()*12*12/4*2</f>
        <v>226.1946710584651</v>
      </c>
      <c r="DN356" s="77">
        <f t="shared" si="1073"/>
        <v>226.1946710584651</v>
      </c>
      <c r="DO356" s="77">
        <f t="shared" si="1073"/>
        <v>226.1946710584651</v>
      </c>
      <c r="DP356" s="77">
        <f t="shared" si="1073"/>
        <v>226.1946710584651</v>
      </c>
      <c r="DQ356" s="77">
        <f t="shared" si="1073"/>
        <v>226.1946710584651</v>
      </c>
      <c r="DR356" s="77">
        <f t="shared" ref="DR356:DW357" si="1074">PI()*10*10/4*2</f>
        <v>157.07963267948966</v>
      </c>
      <c r="DS356" s="77">
        <f t="shared" si="1074"/>
        <v>157.07963267948966</v>
      </c>
      <c r="DT356" s="77">
        <f t="shared" si="1074"/>
        <v>157.07963267948966</v>
      </c>
      <c r="DU356" s="77">
        <f t="shared" si="1074"/>
        <v>157.07963267948966</v>
      </c>
      <c r="DV356" s="77">
        <f t="shared" si="1074"/>
        <v>157.07963267948966</v>
      </c>
      <c r="DW356" s="77">
        <f t="shared" si="1074"/>
        <v>157.07963267948966</v>
      </c>
      <c r="DX356" s="77">
        <f t="shared" ref="DX356:EB357" si="1075">PI()*12*12/4*2</f>
        <v>226.1946710584651</v>
      </c>
      <c r="DY356" s="77">
        <f t="shared" si="1075"/>
        <v>226.1946710584651</v>
      </c>
      <c r="DZ356" s="77">
        <f t="shared" si="1075"/>
        <v>226.1946710584651</v>
      </c>
      <c r="EA356" s="77">
        <f t="shared" si="1075"/>
        <v>226.1946710584651</v>
      </c>
      <c r="EB356" s="77">
        <f t="shared" si="1075"/>
        <v>226.1946710584651</v>
      </c>
      <c r="FA356" s="77">
        <f t="shared" si="1067"/>
        <v>-75549.020133527345</v>
      </c>
      <c r="FB356" s="77">
        <f t="shared" si="1068"/>
        <v>-74030.116255180939</v>
      </c>
      <c r="FC356" s="77">
        <f t="shared" si="1069"/>
        <v>-20274.1400813195</v>
      </c>
      <c r="FD356" s="77">
        <f>IF(ABS(-$BV356*($BS356-CB356)/$BS356*$BX356)&gt;$BB356,$BB356*SIGN(-($BS356-CB356)),-$BV356*($BS356-CB356)/$BS356*$BX356)*DP356</f>
        <v>33481.83609254194</v>
      </c>
      <c r="FE356" s="77">
        <f>IF(ABS(-$BV356*($BS356-CC356)/$BS356*$BX356)&gt;$BB356,$BB356*SIGN(-($BS356-CC356)),-$BV356*($BS356-CC356)/$BS356*$BX356)*DQ356</f>
        <v>75549.020133527345</v>
      </c>
      <c r="FF356" s="77">
        <f t="shared" si="1070"/>
        <v>51836.278784231588</v>
      </c>
      <c r="FG356" s="77">
        <f t="shared" si="1070"/>
        <v>51836.278784231588</v>
      </c>
      <c r="FH356" s="77">
        <f t="shared" si="1070"/>
        <v>51836.278784231588</v>
      </c>
      <c r="FI356" s="77">
        <f t="shared" si="1070"/>
        <v>51836.278784231588</v>
      </c>
      <c r="FJ356" s="77">
        <f>IF(ABS(-$BV356*($BS356-CH356)/$BS356*$BX356)&gt;$BA356,$BA356*SIGN(-($BS356-CH356)),-$BV356*($BS356-CH356)/$BS356*$BX356)*DV356</f>
        <v>51836.278784231588</v>
      </c>
      <c r="FK356" s="77">
        <f>IF(ABS(-$BV356*($BS356-CI356)/$BS356*$BX356)&gt;$BA356,$BA356*SIGN(-($BS356-CI356)),-$BV356*($BS356-CI356)/$BS356*$BX356)*DW356</f>
        <v>51836.278784231588</v>
      </c>
      <c r="FL356" s="77">
        <f t="shared" ref="FL356:FP357" si="1076">IF(ABS(-$BV356*($BS356-CJ356)/$BS356*$BX356)&gt;$BB356,$BB356*SIGN(-($BS356-CJ356)),-$BV356*($BS356-CJ356)/$BS356*$BX356)*DX356</f>
        <v>75549.020133527345</v>
      </c>
      <c r="FM356" s="77">
        <f t="shared" si="1076"/>
        <v>75549.020133527345</v>
      </c>
      <c r="FN356" s="77">
        <f t="shared" si="1076"/>
        <v>75549.020133527345</v>
      </c>
      <c r="FO356" s="77">
        <f t="shared" si="1076"/>
        <v>75549.020133527345</v>
      </c>
      <c r="FP356" s="77">
        <f t="shared" si="1076"/>
        <v>75549.020133527345</v>
      </c>
      <c r="GO356" s="77">
        <f t="shared" si="1038"/>
        <v>73282549.529521525</v>
      </c>
      <c r="GP356" s="77">
        <f t="shared" si="1039"/>
        <v>66256954.048386939</v>
      </c>
      <c r="GQ356" s="77">
        <f t="shared" si="1040"/>
        <v>16624794.866681989</v>
      </c>
      <c r="GR356" s="77">
        <f t="shared" si="1041"/>
        <v>-24943967.888943747</v>
      </c>
      <c r="GS356" s="77">
        <f t="shared" si="1057"/>
        <v>-50617843.489463322</v>
      </c>
      <c r="GT356" s="77">
        <f t="shared" si="1071"/>
        <v>-26903028.689016193</v>
      </c>
      <c r="GU356" s="77">
        <f t="shared" si="1071"/>
        <v>-16017410.14432756</v>
      </c>
      <c r="GV356" s="77">
        <f t="shared" si="1071"/>
        <v>-5131791.5996389268</v>
      </c>
      <c r="GW356" s="77">
        <f t="shared" si="1071"/>
        <v>5753826.9450497059</v>
      </c>
      <c r="GX356" s="77">
        <f t="shared" si="1071"/>
        <v>16639445.48973834</v>
      </c>
      <c r="GY356" s="77">
        <f t="shared" si="1071"/>
        <v>27525064.034426972</v>
      </c>
      <c r="GZ356" s="77">
        <f t="shared" si="1071"/>
        <v>51524431.731065646</v>
      </c>
      <c r="HA356" s="77">
        <f t="shared" ref="HA356:HD357" si="1077">FM356*(CK356-0.5*$AO356)</f>
        <v>57190608.241080202</v>
      </c>
      <c r="HB356" s="77">
        <f t="shared" si="1077"/>
        <v>62856784.751094751</v>
      </c>
      <c r="HC356" s="77">
        <f t="shared" si="1077"/>
        <v>68522961.261109307</v>
      </c>
      <c r="HD356" s="77">
        <f t="shared" si="1077"/>
        <v>74189137.771123856</v>
      </c>
      <c r="IC356" s="82">
        <v>377</v>
      </c>
    </row>
    <row r="357" spans="1:237" s="77" customFormat="1">
      <c r="A357" s="77">
        <v>357</v>
      </c>
      <c r="C357" s="122" t="s">
        <v>379</v>
      </c>
      <c r="D357" s="122" t="s">
        <v>381</v>
      </c>
      <c r="E357" s="126">
        <v>1</v>
      </c>
      <c r="F357" s="135">
        <f t="shared" si="1072"/>
        <v>3.1132581857219541E-2</v>
      </c>
      <c r="G357" s="122"/>
      <c r="H357" s="122"/>
      <c r="I357" s="149">
        <v>0.02</v>
      </c>
      <c r="J357" s="132">
        <v>3</v>
      </c>
      <c r="K357" s="125">
        <f t="shared" si="1013"/>
        <v>14.814814814814815</v>
      </c>
      <c r="L357" s="125">
        <f t="shared" si="1014"/>
        <v>5.2608695652173909E-2</v>
      </c>
      <c r="M357" s="125">
        <f t="shared" si="1015"/>
        <v>7.4197572065459433E-2</v>
      </c>
      <c r="N357" s="125">
        <f t="shared" si="1016"/>
        <v>0.23234782608695653</v>
      </c>
      <c r="O357" s="125">
        <f t="shared" si="1017"/>
        <v>9.0729526965333679E-2</v>
      </c>
      <c r="P357" s="122">
        <v>4.7E-2</v>
      </c>
      <c r="Q357" s="122" t="s">
        <v>3</v>
      </c>
      <c r="R357" s="133">
        <v>0</v>
      </c>
      <c r="S357" s="75">
        <f t="shared" si="980"/>
        <v>0.18286251401484233</v>
      </c>
      <c r="T357" s="59">
        <f t="shared" si="959"/>
        <v>0.74049346789986392</v>
      </c>
      <c r="U357" s="59">
        <f t="shared" si="960"/>
        <v>0.57113244218998316</v>
      </c>
      <c r="V357" s="59">
        <f t="shared" si="961"/>
        <v>1.8921260155715289</v>
      </c>
      <c r="W357" s="59">
        <f t="shared" si="962"/>
        <v>2.5552231013432776</v>
      </c>
      <c r="X357" s="59">
        <f t="shared" si="963"/>
        <v>3.3129373780908891</v>
      </c>
      <c r="Y357" s="127">
        <v>290000</v>
      </c>
      <c r="Z357" s="57">
        <f t="shared" si="964"/>
        <v>960751.83964635781</v>
      </c>
      <c r="AA357" s="57">
        <f t="shared" si="965"/>
        <v>741014.69938955049</v>
      </c>
      <c r="AB357" s="57">
        <f t="shared" si="1060"/>
        <v>1418030.0786938355</v>
      </c>
      <c r="AC357" s="57">
        <f t="shared" si="966"/>
        <v>0.17</v>
      </c>
      <c r="AD357" s="57">
        <f t="shared" si="967"/>
        <v>2.2000000000000002</v>
      </c>
      <c r="AE357" s="57">
        <f t="shared" si="968"/>
        <v>437805</v>
      </c>
      <c r="AF357" s="57">
        <f t="shared" si="969"/>
        <v>218945.74482398614</v>
      </c>
      <c r="AG357" s="57">
        <f t="shared" si="1058"/>
        <v>522068.95456556435</v>
      </c>
      <c r="AH357" s="57">
        <f t="shared" si="1061"/>
        <v>2793065613.1987805</v>
      </c>
      <c r="AI357" s="77">
        <f t="shared" si="1062"/>
        <v>671181869.05025947</v>
      </c>
      <c r="AJ357" s="77">
        <v>438000</v>
      </c>
      <c r="AK357" s="77">
        <v>34.5</v>
      </c>
      <c r="AL357" s="78">
        <f t="shared" si="970"/>
        <v>3.2206988793282458</v>
      </c>
      <c r="AM357" s="57">
        <f t="shared" si="971"/>
        <v>1</v>
      </c>
      <c r="AN357" s="57">
        <f t="shared" si="972"/>
        <v>0.8</v>
      </c>
      <c r="AO357" s="77">
        <v>2000</v>
      </c>
      <c r="AP357" s="79">
        <v>350</v>
      </c>
      <c r="AQ357" s="57">
        <f t="shared" si="973"/>
        <v>111.5942101380073</v>
      </c>
      <c r="AR357" s="57">
        <f t="shared" si="1063"/>
        <v>1300</v>
      </c>
      <c r="AS357" s="57">
        <f t="shared" si="974"/>
        <v>1888.4057898619926</v>
      </c>
      <c r="AT357" s="77">
        <v>135</v>
      </c>
      <c r="AU357" s="77">
        <v>2443</v>
      </c>
      <c r="AV357" s="57">
        <f t="shared" si="975"/>
        <v>270000</v>
      </c>
      <c r="AW357" s="77">
        <v>0</v>
      </c>
      <c r="AX357" s="77">
        <f t="shared" si="976"/>
        <v>270000</v>
      </c>
      <c r="AY357" s="77">
        <f t="shared" si="1064"/>
        <v>270000</v>
      </c>
      <c r="AZ357" s="77">
        <f t="shared" si="1044"/>
        <v>330</v>
      </c>
      <c r="BA357" s="77">
        <v>330</v>
      </c>
      <c r="BB357" s="77">
        <v>334</v>
      </c>
      <c r="BC357" s="77">
        <v>411</v>
      </c>
      <c r="BD357" s="77">
        <v>5.4999999999999997E-3</v>
      </c>
      <c r="BE357" s="77">
        <f>(2*PI()*10*10)/(4*150*135)</f>
        <v>7.7570188977525763E-3</v>
      </c>
      <c r="BF357" s="77">
        <v>2.4E-2</v>
      </c>
      <c r="BG357" s="77">
        <f>(2*PI()*6*6)/(4*55*135)</f>
        <v>7.6159821905207106E-3</v>
      </c>
      <c r="BH357" s="79">
        <v>150</v>
      </c>
      <c r="BI357" s="79">
        <f>PI()*10*10/4</f>
        <v>78.539816339744831</v>
      </c>
      <c r="BJ357" s="79">
        <v>2</v>
      </c>
      <c r="BK357" s="57">
        <f t="shared" si="1059"/>
        <v>157.07963267948966</v>
      </c>
      <c r="BL357" s="57">
        <f t="shared" si="1018"/>
        <v>965.24999999999989</v>
      </c>
      <c r="BM357" s="80">
        <f>PI()*12*12/4</f>
        <v>113.09733552923255</v>
      </c>
      <c r="BN357" s="80">
        <v>10</v>
      </c>
      <c r="BO357" s="57">
        <f t="shared" si="1065"/>
        <v>1130.9733552923256</v>
      </c>
      <c r="BP357" s="57">
        <f t="shared" si="977"/>
        <v>548716.54451574339</v>
      </c>
      <c r="BQ357" s="77">
        <f t="shared" si="978"/>
        <v>-1.5599653124809265E-8</v>
      </c>
      <c r="BR357" s="57">
        <f t="shared" si="1022"/>
        <v>1340514518.2519612</v>
      </c>
      <c r="BS357" s="57">
        <v>223.1884202760146</v>
      </c>
      <c r="BT357" s="57">
        <f t="shared" si="981"/>
        <v>164.57857345836885</v>
      </c>
      <c r="BU357" s="57"/>
      <c r="BV357" s="57">
        <v>3.3E-3</v>
      </c>
      <c r="BW357" s="57">
        <v>30000</v>
      </c>
      <c r="BX357" s="57">
        <v>200000</v>
      </c>
      <c r="BY357" s="77">
        <f>30</f>
        <v>30</v>
      </c>
      <c r="BZ357" s="77">
        <f>BY357+75</f>
        <v>105</v>
      </c>
      <c r="CA357" s="77">
        <f>BY357+75*2</f>
        <v>180</v>
      </c>
      <c r="CB357" s="77">
        <f>BY357+75*3</f>
        <v>255</v>
      </c>
      <c r="CC357" s="77">
        <f>BY357+75*4</f>
        <v>330</v>
      </c>
      <c r="CD357" s="77">
        <f>CC357+151</f>
        <v>481</v>
      </c>
      <c r="CE357" s="77">
        <f>CD357+210*1</f>
        <v>691</v>
      </c>
      <c r="CF357" s="77">
        <f>CD357+210*2</f>
        <v>901</v>
      </c>
      <c r="CG357" s="77">
        <f>CD357+210*3</f>
        <v>1111</v>
      </c>
      <c r="CH357" s="77">
        <f>CD357+210*4</f>
        <v>1321</v>
      </c>
      <c r="CI357" s="77">
        <f>CD357+210*5</f>
        <v>1531</v>
      </c>
      <c r="CJ357" s="77">
        <f>CI357+151</f>
        <v>1682</v>
      </c>
      <c r="CK357" s="77">
        <f>CJ357+75*1</f>
        <v>1757</v>
      </c>
      <c r="CL357" s="77">
        <f>CJ357+75*2</f>
        <v>1832</v>
      </c>
      <c r="CM357" s="77">
        <f>CJ357+75*3</f>
        <v>1907</v>
      </c>
      <c r="CN357" s="77">
        <f>CJ357+75*4</f>
        <v>1982</v>
      </c>
      <c r="DM357" s="77">
        <f t="shared" si="1073"/>
        <v>226.1946710584651</v>
      </c>
      <c r="DN357" s="77">
        <f t="shared" si="1073"/>
        <v>226.1946710584651</v>
      </c>
      <c r="DO357" s="77">
        <f t="shared" si="1073"/>
        <v>226.1946710584651</v>
      </c>
      <c r="DP357" s="77">
        <f t="shared" si="1073"/>
        <v>226.1946710584651</v>
      </c>
      <c r="DQ357" s="77">
        <f t="shared" si="1073"/>
        <v>226.1946710584651</v>
      </c>
      <c r="DR357" s="77">
        <f t="shared" si="1074"/>
        <v>157.07963267948966</v>
      </c>
      <c r="DS357" s="77">
        <f t="shared" si="1074"/>
        <v>157.07963267948966</v>
      </c>
      <c r="DT357" s="77">
        <f t="shared" si="1074"/>
        <v>157.07963267948966</v>
      </c>
      <c r="DU357" s="77">
        <f t="shared" si="1074"/>
        <v>157.07963267948966</v>
      </c>
      <c r="DV357" s="77">
        <f t="shared" si="1074"/>
        <v>157.07963267948966</v>
      </c>
      <c r="DW357" s="77">
        <f t="shared" si="1074"/>
        <v>157.07963267948966</v>
      </c>
      <c r="DX357" s="77">
        <f t="shared" si="1075"/>
        <v>226.1946710584651</v>
      </c>
      <c r="DY357" s="77">
        <f t="shared" si="1075"/>
        <v>226.1946710584651</v>
      </c>
      <c r="DZ357" s="77">
        <f t="shared" si="1075"/>
        <v>226.1946710584651</v>
      </c>
      <c r="EA357" s="77">
        <f t="shared" si="1075"/>
        <v>226.1946710584651</v>
      </c>
      <c r="EB357" s="77">
        <f t="shared" si="1075"/>
        <v>226.1946710584651</v>
      </c>
      <c r="FA357" s="77">
        <f t="shared" si="1067"/>
        <v>-75549.020133527345</v>
      </c>
      <c r="FB357" s="77">
        <f t="shared" si="1068"/>
        <v>-75549.020133527345</v>
      </c>
      <c r="FC357" s="77">
        <f t="shared" si="1069"/>
        <v>-28888.298657337149</v>
      </c>
      <c r="FD357" s="77">
        <f>IF(ABS(-$BV357*($BS357-CB357)/$BS357*$BX357)&gt;$BB357,$BB357*SIGN(-($BS357-CB357)),-$BV357*($BS357-CB357)/$BS357*$BX357)*DP357</f>
        <v>21278.444776516939</v>
      </c>
      <c r="FE357" s="77">
        <f>IF(ABS(-$BV357*($BS357-CC357)/$BS357*$BX357)&gt;$BB357,$BB357*SIGN(-($BS357-CC357)),-$BV357*($BS357-CC357)/$BS357*$BX357)*DQ357</f>
        <v>71445.188210371038</v>
      </c>
      <c r="FF357" s="77">
        <f t="shared" si="1070"/>
        <v>51836.278784231588</v>
      </c>
      <c r="FG357" s="77">
        <f t="shared" si="1070"/>
        <v>51836.278784231588</v>
      </c>
      <c r="FH357" s="77">
        <f t="shared" si="1070"/>
        <v>51836.278784231588</v>
      </c>
      <c r="FI357" s="77">
        <f t="shared" si="1070"/>
        <v>51836.278784231588</v>
      </c>
      <c r="FJ357" s="77">
        <f>IF(ABS(-$BV357*($BS357-CH357)/$BS357*$BX357)&gt;$BA357,$BA357*SIGN(-($BS357-CH357)),-$BV357*($BS357-CH357)/$BS357*$BX357)*DV357</f>
        <v>51836.278784231588</v>
      </c>
      <c r="FK357" s="77">
        <f>IF(ABS(-$BV357*($BS357-CI357)/$BS357*$BX357)&gt;$BA357,$BA357*SIGN(-($BS357-CI357)),-$BV357*($BS357-CI357)/$BS357*$BX357)*DW357</f>
        <v>51836.278784231588</v>
      </c>
      <c r="FL357" s="77">
        <f t="shared" si="1076"/>
        <v>75549.020133527345</v>
      </c>
      <c r="FM357" s="77">
        <f t="shared" si="1076"/>
        <v>75549.020133527345</v>
      </c>
      <c r="FN357" s="77">
        <f t="shared" si="1076"/>
        <v>75549.020133527345</v>
      </c>
      <c r="FO357" s="77">
        <f t="shared" si="1076"/>
        <v>75549.020133527345</v>
      </c>
      <c r="FP357" s="77">
        <f t="shared" si="1076"/>
        <v>75549.020133527345</v>
      </c>
      <c r="GO357" s="77">
        <f t="shared" si="1038"/>
        <v>73282549.529521525</v>
      </c>
      <c r="GP357" s="77">
        <f t="shared" si="1039"/>
        <v>67616373.019506976</v>
      </c>
      <c r="GQ357" s="77">
        <f t="shared" si="1040"/>
        <v>23688404.899016462</v>
      </c>
      <c r="GR357" s="77">
        <f t="shared" si="1041"/>
        <v>-15852441.358505119</v>
      </c>
      <c r="GS357" s="77">
        <f t="shared" si="1057"/>
        <v>-47868276.100948595</v>
      </c>
      <c r="GT357" s="77">
        <f t="shared" si="1071"/>
        <v>-26903028.689016193</v>
      </c>
      <c r="GU357" s="77">
        <f t="shared" si="1071"/>
        <v>-16017410.14432756</v>
      </c>
      <c r="GV357" s="77">
        <f t="shared" si="1071"/>
        <v>-5131791.5996389268</v>
      </c>
      <c r="GW357" s="77">
        <f t="shared" si="1071"/>
        <v>5753826.9450497059</v>
      </c>
      <c r="GX357" s="77">
        <f t="shared" si="1071"/>
        <v>16639445.48973834</v>
      </c>
      <c r="GY357" s="77">
        <f t="shared" si="1071"/>
        <v>27525064.034426972</v>
      </c>
      <c r="GZ357" s="77">
        <f t="shared" si="1071"/>
        <v>51524431.731065646</v>
      </c>
      <c r="HA357" s="77">
        <f t="shared" si="1077"/>
        <v>57190608.241080202</v>
      </c>
      <c r="HB357" s="77">
        <f t="shared" si="1077"/>
        <v>62856784.751094751</v>
      </c>
      <c r="HC357" s="77">
        <f t="shared" si="1077"/>
        <v>68522961.261109307</v>
      </c>
      <c r="HD357" s="77">
        <f t="shared" si="1077"/>
        <v>74189137.771123856</v>
      </c>
      <c r="IC357" s="82">
        <v>378</v>
      </c>
    </row>
    <row r="358" spans="1:237" s="77" customFormat="1">
      <c r="A358" s="77">
        <v>358</v>
      </c>
      <c r="C358" s="122" t="s">
        <v>379</v>
      </c>
      <c r="D358" s="122" t="s">
        <v>382</v>
      </c>
      <c r="E358" s="125">
        <v>1</v>
      </c>
      <c r="F358" s="135">
        <f t="shared" si="1072"/>
        <v>3.6637931034482762E-2</v>
      </c>
      <c r="G358" s="122"/>
      <c r="H358" s="122"/>
      <c r="I358" s="149">
        <v>2.5000000000000001E-2</v>
      </c>
      <c r="J358" s="132">
        <v>3.75</v>
      </c>
      <c r="K358" s="125">
        <f t="shared" si="1013"/>
        <v>12.8</v>
      </c>
      <c r="L358" s="125">
        <f t="shared" si="1014"/>
        <v>0.11517241379310346</v>
      </c>
      <c r="M358" s="125">
        <f t="shared" si="1015"/>
        <v>8.0405513126359476E-2</v>
      </c>
      <c r="N358" s="125">
        <f t="shared" si="1016"/>
        <v>0.45224137931034486</v>
      </c>
      <c r="O358" s="125">
        <f t="shared" si="1017"/>
        <v>8.9047902112096899E-2</v>
      </c>
      <c r="P358" s="122">
        <v>6.3E-2</v>
      </c>
      <c r="Q358" s="122" t="s">
        <v>3</v>
      </c>
      <c r="R358" s="133">
        <v>0</v>
      </c>
      <c r="S358" s="75">
        <f t="shared" si="980"/>
        <v>0.21613274177913333</v>
      </c>
      <c r="T358" s="59">
        <f t="shared" si="959"/>
        <v>0.98265526427045757</v>
      </c>
      <c r="U358" s="59">
        <f t="shared" si="960"/>
        <v>0.74574703576233536</v>
      </c>
      <c r="V358" s="59">
        <f t="shared" si="961"/>
        <v>2.2231846697711699</v>
      </c>
      <c r="W358" s="59">
        <f t="shared" si="962"/>
        <v>2.2624258482161652</v>
      </c>
      <c r="X358" s="59">
        <f t="shared" si="963"/>
        <v>2.9811511989431283</v>
      </c>
      <c r="Y358" s="127">
        <v>255000</v>
      </c>
      <c r="Z358" s="57">
        <f t="shared" si="964"/>
        <v>760193.5557304977</v>
      </c>
      <c r="AA358" s="57">
        <f t="shared" si="965"/>
        <v>576918.59129512217</v>
      </c>
      <c r="AB358" s="57">
        <f t="shared" si="1060"/>
        <v>1027730.9719547767</v>
      </c>
      <c r="AC358" s="57">
        <f t="shared" si="966"/>
        <v>0.17</v>
      </c>
      <c r="AD358" s="57">
        <f t="shared" si="967"/>
        <v>2.2000000000000002</v>
      </c>
      <c r="AE358" s="57">
        <f t="shared" si="968"/>
        <v>438479.99999999994</v>
      </c>
      <c r="AF358" s="57">
        <f t="shared" si="969"/>
        <v>165677.72608871269</v>
      </c>
      <c r="AG358" s="57">
        <f t="shared" si="1058"/>
        <v>411240.86520640948</v>
      </c>
      <c r="AH358" s="57">
        <f t="shared" si="1061"/>
        <v>1722219532.8857608</v>
      </c>
      <c r="AI358" s="77">
        <f t="shared" si="1062"/>
        <v>788527231.59975839</v>
      </c>
      <c r="AJ358" s="77">
        <v>438000</v>
      </c>
      <c r="AK358" s="77">
        <v>34.799999999999997</v>
      </c>
      <c r="AL358" s="78">
        <f t="shared" si="970"/>
        <v>3.2360722108122606</v>
      </c>
      <c r="AM358" s="57">
        <f t="shared" si="971"/>
        <v>1</v>
      </c>
      <c r="AN358" s="57">
        <f t="shared" si="972"/>
        <v>0.8</v>
      </c>
      <c r="AO358" s="77">
        <v>1600</v>
      </c>
      <c r="AP358" s="79">
        <v>300</v>
      </c>
      <c r="AQ358" s="57">
        <f t="shared" si="973"/>
        <v>130.29154568140927</v>
      </c>
      <c r="AR358" s="57">
        <f t="shared" si="1063"/>
        <v>1000</v>
      </c>
      <c r="AS358" s="57">
        <f t="shared" si="974"/>
        <v>1469.7084543185906</v>
      </c>
      <c r="AT358" s="77">
        <v>125</v>
      </c>
      <c r="AU358" s="77">
        <v>2443</v>
      </c>
      <c r="AV358" s="57">
        <f t="shared" si="975"/>
        <v>200000</v>
      </c>
      <c r="AW358" s="77">
        <v>0</v>
      </c>
      <c r="AX358" s="77">
        <f t="shared" si="976"/>
        <v>200000</v>
      </c>
      <c r="AY358" s="77">
        <f t="shared" si="1064"/>
        <v>200000</v>
      </c>
      <c r="AZ358" s="77">
        <f t="shared" si="1044"/>
        <v>334</v>
      </c>
      <c r="BA358" s="77">
        <v>334</v>
      </c>
      <c r="BB358" s="77">
        <v>366</v>
      </c>
      <c r="BC358" s="77">
        <v>411</v>
      </c>
      <c r="BD358" s="77">
        <v>1.2E-2</v>
      </c>
      <c r="BE358" s="77">
        <f>(2*PI()*10*10)/(4*150*125)</f>
        <v>8.3775804095727827E-3</v>
      </c>
      <c r="BF358" s="77">
        <v>4.2999999999999997E-2</v>
      </c>
      <c r="BG358" s="77">
        <f>(2*PI()*6*6)/(4*60*125)</f>
        <v>7.5398223686155034E-3</v>
      </c>
      <c r="BH358" s="79">
        <v>150</v>
      </c>
      <c r="BI358" s="79">
        <f>PI()*10*10/4</f>
        <v>78.539816339744831</v>
      </c>
      <c r="BJ358" s="79">
        <v>2</v>
      </c>
      <c r="BK358" s="57">
        <f t="shared" si="1059"/>
        <v>157.07963267948966</v>
      </c>
      <c r="BL358" s="57">
        <f t="shared" si="1018"/>
        <v>1500</v>
      </c>
      <c r="BM358" s="80">
        <f>PI()*16*16/4</f>
        <v>201.06192982974676</v>
      </c>
      <c r="BN358" s="80">
        <v>8</v>
      </c>
      <c r="BO358" s="57">
        <f t="shared" si="1065"/>
        <v>1608.4954386379741</v>
      </c>
      <c r="BP358" s="57">
        <f t="shared" si="977"/>
        <v>566912.09079164837</v>
      </c>
      <c r="BQ358" s="77">
        <f t="shared" si="978"/>
        <v>1.0943040251731873E-8</v>
      </c>
      <c r="BR358" s="57">
        <f t="shared" si="1022"/>
        <v>1384966237.803997</v>
      </c>
      <c r="BS358" s="57">
        <v>260.58309136281855</v>
      </c>
      <c r="BT358" s="57">
        <f t="shared" si="981"/>
        <v>198.69184627566679</v>
      </c>
      <c r="BU358" s="57"/>
      <c r="BV358" s="57">
        <v>3.3E-3</v>
      </c>
      <c r="BW358" s="57">
        <v>30000</v>
      </c>
      <c r="BX358" s="57">
        <v>200000</v>
      </c>
      <c r="BY358" s="77">
        <f>35</f>
        <v>35</v>
      </c>
      <c r="BZ358" s="77">
        <f>BY358+80*1</f>
        <v>115</v>
      </c>
      <c r="CA358" s="77">
        <f>BY358+80*2</f>
        <v>195</v>
      </c>
      <c r="CB358" s="77">
        <f>BY358+80*3</f>
        <v>275</v>
      </c>
      <c r="CC358" s="77">
        <f>CB358+150*1</f>
        <v>425</v>
      </c>
      <c r="CD358" s="77">
        <f>CB358+150*2</f>
        <v>575</v>
      </c>
      <c r="CE358" s="77">
        <f>CB358+150*3</f>
        <v>725</v>
      </c>
      <c r="CF358" s="77">
        <f>CB358+150*4</f>
        <v>875</v>
      </c>
      <c r="CG358" s="77">
        <f>CB358+150*5</f>
        <v>1025</v>
      </c>
      <c r="CH358" s="77">
        <f>CB358+150*6</f>
        <v>1175</v>
      </c>
      <c r="CI358" s="77">
        <f>CB358+150*7</f>
        <v>1325</v>
      </c>
      <c r="CJ358" s="77">
        <f>CI358+80*1</f>
        <v>1405</v>
      </c>
      <c r="CK358" s="77">
        <f>CI358+80*2</f>
        <v>1485</v>
      </c>
      <c r="CL358" s="77">
        <f>CI358+80*3</f>
        <v>1565</v>
      </c>
      <c r="DM358" s="77">
        <f t="shared" ref="DM358:DP362" si="1078">PI()*16*16/4*2</f>
        <v>402.12385965949352</v>
      </c>
      <c r="DN358" s="77">
        <f t="shared" si="1078"/>
        <v>402.12385965949352</v>
      </c>
      <c r="DO358" s="77">
        <f t="shared" si="1078"/>
        <v>402.12385965949352</v>
      </c>
      <c r="DP358" s="77">
        <f t="shared" si="1078"/>
        <v>402.12385965949352</v>
      </c>
      <c r="DQ358" s="77">
        <f t="shared" ref="DQ358:DV358" si="1079">PI()*12*12/4*2</f>
        <v>226.1946710584651</v>
      </c>
      <c r="DR358" s="77">
        <f t="shared" si="1079"/>
        <v>226.1946710584651</v>
      </c>
      <c r="DS358" s="77">
        <f t="shared" si="1079"/>
        <v>226.1946710584651</v>
      </c>
      <c r="DT358" s="77">
        <f t="shared" si="1079"/>
        <v>226.1946710584651</v>
      </c>
      <c r="DU358" s="77">
        <f t="shared" si="1079"/>
        <v>226.1946710584651</v>
      </c>
      <c r="DV358" s="77">
        <f t="shared" si="1079"/>
        <v>226.1946710584651</v>
      </c>
      <c r="DW358" s="77">
        <f>PI()*16*16/4*2</f>
        <v>402.12385965949352</v>
      </c>
      <c r="DX358" s="77">
        <f>PI()*16*16/4*2</f>
        <v>402.12385965949352</v>
      </c>
      <c r="DY358" s="77">
        <f>PI()*16*16/4*2</f>
        <v>402.12385965949352</v>
      </c>
      <c r="DZ358" s="77">
        <f>PI()*16*16/4*2</f>
        <v>402.12385965949352</v>
      </c>
      <c r="FA358" s="77">
        <f t="shared" si="1067"/>
        <v>-147177.33263537462</v>
      </c>
      <c r="FB358" s="77">
        <f t="shared" si="1068"/>
        <v>-147177.33263537462</v>
      </c>
      <c r="FC358" s="77">
        <f t="shared" si="1069"/>
        <v>-66795.842181981672</v>
      </c>
      <c r="FD358" s="77">
        <f>IF(ABS(-$BV358*($BS358-CB358)/$BS358*$BX358)&gt;$BB358,$BB358*SIGN(-($BS358-CB358)),-$BV358*($BS358-CB358)/$BS358*$BX358)*DP358</f>
        <v>14683.503538339985</v>
      </c>
      <c r="FE358" s="77">
        <f t="shared" ref="FE358:FE392" si="1080">IF(ABS(-$BV358*($BS358-CC358)/$BS358*$BX358)&gt;$BA358,$BA358*SIGN(-($BS358-CC358)),-$BV358*($BS358-CC358)/$BS358*$BX358)*DQ358</f>
        <v>75549.020133527345</v>
      </c>
      <c r="FF358" s="77">
        <f t="shared" si="1070"/>
        <v>75549.020133527345</v>
      </c>
      <c r="FG358" s="77">
        <f t="shared" si="1070"/>
        <v>75549.020133527345</v>
      </c>
      <c r="FH358" s="77">
        <f t="shared" si="1070"/>
        <v>75549.020133527345</v>
      </c>
      <c r="FI358" s="77">
        <f t="shared" si="1070"/>
        <v>75549.020133527345</v>
      </c>
      <c r="FJ358" s="77">
        <f>IF(ABS(-$BV358*($BS358-CH358)/$BS358*$BX358)&gt;$BA358,$BA358*SIGN(-($BS358-CH358)),-$BV358*($BS358-CH358)/$BS358*$BX358)*DV358</f>
        <v>75549.020133527345</v>
      </c>
      <c r="FK358" s="77">
        <f>IF(ABS(-$BV358*($BS358-CI358)/$BS358*$BX358)&gt;$BB358,$BB358*SIGN(-($BS358-CI358)),-$BV358*($BS358-CI358)/$BS358*$BX358)*DW358</f>
        <v>147177.33263537462</v>
      </c>
      <c r="FL358" s="77">
        <f>IF(ABS(-$BV358*($BS358-CJ358)/$BS358*$BX358)&gt;$BB358,$BB358*SIGN(-($BS358-CJ358)),-$BV358*($BS358-CJ358)/$BS358*$BX358)*DX358</f>
        <v>147177.33263537462</v>
      </c>
      <c r="FM358" s="77">
        <f>IF(ABS(-$BV358*($BS358-CK358)/$BS358*$BX358)&gt;$BB358,$BB358*SIGN(-($BS358-CK358)),-$BV358*($BS358-CK358)/$BS358*$BX358)*DY358</f>
        <v>147177.33263537462</v>
      </c>
      <c r="FN358" s="77">
        <f>IF(ABS(-$BV358*($BS358-CL358)/$BS358*$BX358)&gt;$BB358,$BB358*SIGN(-($BS358-CL358)),-$BV358*($BS358-CL358)/$BS358*$BX358)*DZ358</f>
        <v>147177.33263537462</v>
      </c>
      <c r="GO358" s="77">
        <f t="shared" si="1038"/>
        <v>112590659.46606159</v>
      </c>
      <c r="GP358" s="77">
        <f t="shared" si="1039"/>
        <v>100816472.85523161</v>
      </c>
      <c r="GQ358" s="77">
        <f t="shared" si="1040"/>
        <v>40411484.52009891</v>
      </c>
      <c r="GR358" s="77">
        <f t="shared" si="1041"/>
        <v>-7708839.3576284917</v>
      </c>
      <c r="GS358" s="77">
        <f t="shared" si="1057"/>
        <v>-28330882.550072756</v>
      </c>
      <c r="GT358" s="77">
        <f t="shared" si="1071"/>
        <v>-16998529.530043654</v>
      </c>
      <c r="GU358" s="77">
        <f t="shared" si="1071"/>
        <v>-5666176.5100145508</v>
      </c>
      <c r="GV358" s="77">
        <f t="shared" si="1071"/>
        <v>5666176.5100145508</v>
      </c>
      <c r="GW358" s="77">
        <f t="shared" si="1071"/>
        <v>16998529.530043654</v>
      </c>
      <c r="GX358" s="77">
        <f t="shared" si="1071"/>
        <v>28330882.550072756</v>
      </c>
      <c r="GY358" s="77">
        <f t="shared" si="1071"/>
        <v>77268099.633571684</v>
      </c>
      <c r="GZ358" s="77">
        <f t="shared" si="1071"/>
        <v>89042286.244401649</v>
      </c>
      <c r="HA358" s="77">
        <f>FM358*(CK358-0.5*$AO358)</f>
        <v>100816472.85523161</v>
      </c>
      <c r="HB358" s="77">
        <f>FN358*(CL358-0.5*$AO358)</f>
        <v>112590659.46606159</v>
      </c>
      <c r="IC358" s="82">
        <v>379</v>
      </c>
    </row>
    <row r="359" spans="1:237" s="77" customFormat="1">
      <c r="A359" s="77">
        <v>359</v>
      </c>
      <c r="C359" s="122" t="s">
        <v>383</v>
      </c>
      <c r="D359" s="122" t="s">
        <v>384</v>
      </c>
      <c r="E359" s="125">
        <v>3</v>
      </c>
      <c r="F359" s="125">
        <f t="shared" si="1072"/>
        <v>0.1047128892341555</v>
      </c>
      <c r="G359" s="122">
        <v>5.0875E-3</v>
      </c>
      <c r="H359" s="122"/>
      <c r="I359" s="122">
        <f>19.01/AU359</f>
        <v>1.1182352941176471E-2</v>
      </c>
      <c r="J359" s="122">
        <v>1.7</v>
      </c>
      <c r="K359" s="125">
        <f t="shared" si="1013"/>
        <v>10</v>
      </c>
      <c r="L359" s="125">
        <f t="shared" si="1014"/>
        <v>2.1583577417117684E-2</v>
      </c>
      <c r="M359" s="125">
        <f t="shared" si="1015"/>
        <v>2.5900292900541213E-2</v>
      </c>
      <c r="N359" s="125">
        <f t="shared" si="1016"/>
        <v>0.57227940700459634</v>
      </c>
      <c r="O359" s="125">
        <f t="shared" si="1017"/>
        <v>9.4367773112297798E-2</v>
      </c>
      <c r="P359" s="122">
        <v>0.2</v>
      </c>
      <c r="Q359" s="122" t="s">
        <v>3</v>
      </c>
      <c r="R359" s="133">
        <v>0</v>
      </c>
      <c r="S359" s="75">
        <f t="shared" si="980"/>
        <v>0.82309926093089525</v>
      </c>
      <c r="T359" s="59">
        <f t="shared" si="959"/>
        <v>1.999635758635494</v>
      </c>
      <c r="U359" s="59">
        <f t="shared" si="960"/>
        <v>2.0284991796129801</v>
      </c>
      <c r="V359" s="59">
        <f t="shared" si="961"/>
        <v>1.0389940763143837</v>
      </c>
      <c r="W359" s="59">
        <f t="shared" si="962"/>
        <v>0.5195916665459962</v>
      </c>
      <c r="X359" s="59">
        <f t="shared" si="963"/>
        <v>0.51219842076180411</v>
      </c>
      <c r="Y359" s="127">
        <v>647000</v>
      </c>
      <c r="Z359" s="57">
        <f t="shared" si="964"/>
        <v>331392.37823288725</v>
      </c>
      <c r="AA359" s="57">
        <f t="shared" si="965"/>
        <v>336175.80825525953</v>
      </c>
      <c r="AB359" s="57">
        <f t="shared" si="1060"/>
        <v>797743.71437098144</v>
      </c>
      <c r="AC359" s="57">
        <f t="shared" si="966"/>
        <v>0.21800000000000003</v>
      </c>
      <c r="AD359" s="57">
        <f t="shared" si="967"/>
        <v>1.7</v>
      </c>
      <c r="AE359" s="57">
        <f t="shared" si="968"/>
        <v>1235760</v>
      </c>
      <c r="AF359" s="57">
        <f t="shared" si="969"/>
        <v>227983.64075727249</v>
      </c>
      <c r="AG359" s="57">
        <f t="shared" si="1058"/>
        <v>108192.16749798703</v>
      </c>
      <c r="AH359" s="57">
        <f t="shared" si="1061"/>
        <v>865493843.19163001</v>
      </c>
      <c r="AI359" s="77">
        <f t="shared" si="1062"/>
        <v>490670471.23903829</v>
      </c>
      <c r="AJ359" s="77">
        <v>1626000</v>
      </c>
      <c r="AK359" s="77">
        <f>0.76*81.3</f>
        <v>61.787999999999997</v>
      </c>
      <c r="AL359" s="78">
        <f t="shared" si="970"/>
        <v>4.4375871543410845</v>
      </c>
      <c r="AM359" s="57">
        <f t="shared" si="971"/>
        <v>0.94</v>
      </c>
      <c r="AN359" s="57">
        <f t="shared" si="972"/>
        <v>0.74</v>
      </c>
      <c r="AO359" s="77">
        <v>1000</v>
      </c>
      <c r="AP359" s="79">
        <v>200</v>
      </c>
      <c r="AQ359" s="57">
        <f t="shared" si="973"/>
        <v>154.92156158564319</v>
      </c>
      <c r="AR359" s="57">
        <f t="shared" si="1063"/>
        <v>600</v>
      </c>
      <c r="AS359" s="57">
        <f t="shared" si="974"/>
        <v>845.07843841435681</v>
      </c>
      <c r="AT359" s="77">
        <v>100</v>
      </c>
      <c r="AU359" s="77">
        <v>1700</v>
      </c>
      <c r="AV359" s="57">
        <f t="shared" si="975"/>
        <v>100000</v>
      </c>
      <c r="AW359" s="77">
        <v>0</v>
      </c>
      <c r="AX359" s="77">
        <f t="shared" si="976"/>
        <v>100000</v>
      </c>
      <c r="AY359" s="77">
        <f t="shared" si="1064"/>
        <v>100000</v>
      </c>
      <c r="AZ359" s="77">
        <f t="shared" si="1044"/>
        <v>283</v>
      </c>
      <c r="BA359" s="77">
        <v>283</v>
      </c>
      <c r="BB359" s="77">
        <v>442</v>
      </c>
      <c r="BC359" s="77">
        <v>290</v>
      </c>
      <c r="BD359" s="77">
        <f>(2*PI()*6*6*5)/(4*600*100)</f>
        <v>4.7123889803846897E-3</v>
      </c>
      <c r="BE359" s="77">
        <f>(2*PI()*6*6)/(4*100*100)</f>
        <v>5.6548667764616273E-3</v>
      </c>
      <c r="BF359" s="77">
        <v>0.08</v>
      </c>
      <c r="BG359" s="77">
        <f>(2*PI()*8*8)/(4*50*100)</f>
        <v>2.0106192982974676E-2</v>
      </c>
      <c r="BH359" s="79">
        <v>100</v>
      </c>
      <c r="BI359" s="79">
        <f>PI()*6*6/4</f>
        <v>28.274333882308138</v>
      </c>
      <c r="BJ359" s="79">
        <v>2</v>
      </c>
      <c r="BK359" s="57">
        <f t="shared" si="1059"/>
        <v>56.548667764616276</v>
      </c>
      <c r="BL359" s="57">
        <f t="shared" si="1018"/>
        <v>282.74333882308139</v>
      </c>
      <c r="BM359" s="80">
        <f>PI()*16*16/4</f>
        <v>201.06192982974676</v>
      </c>
      <c r="BN359" s="80">
        <v>8</v>
      </c>
      <c r="BO359" s="57">
        <f t="shared" si="1065"/>
        <v>1608.4954386379741</v>
      </c>
      <c r="BP359" s="57">
        <f t="shared" si="977"/>
        <v>672229.16737540625</v>
      </c>
      <c r="BQ359" s="77">
        <f t="shared" si="978"/>
        <v>8.149072527885437E-10</v>
      </c>
      <c r="BR359" s="57">
        <f t="shared" si="1022"/>
        <v>1142789584.5381906</v>
      </c>
      <c r="BS359" s="57">
        <v>309.84312317128638</v>
      </c>
      <c r="BT359" s="57">
        <f t="shared" si="981"/>
        <v>394.92283836962054</v>
      </c>
      <c r="BU359" s="57"/>
      <c r="BV359" s="57">
        <v>3.3E-3</v>
      </c>
      <c r="BW359" s="57">
        <v>30000</v>
      </c>
      <c r="BX359" s="57">
        <v>200000</v>
      </c>
      <c r="BY359" s="77">
        <f>20</f>
        <v>20</v>
      </c>
      <c r="BZ359" s="77">
        <f>BY359+60*1</f>
        <v>80</v>
      </c>
      <c r="CA359" s="77">
        <f>BY359+60*2</f>
        <v>140</v>
      </c>
      <c r="CB359" s="77">
        <f>BY359+60*3</f>
        <v>200</v>
      </c>
      <c r="CC359" s="77">
        <f>CB359+100*1</f>
        <v>300</v>
      </c>
      <c r="CD359" s="77">
        <f>CB359+100*2</f>
        <v>400</v>
      </c>
      <c r="CE359" s="77">
        <f>CB359+100*3</f>
        <v>500</v>
      </c>
      <c r="CF359" s="77">
        <f>CB359+100*4</f>
        <v>600</v>
      </c>
      <c r="CG359" s="77">
        <f>CB359+100*5</f>
        <v>700</v>
      </c>
      <c r="CH359" s="77">
        <f>CB359+100*6</f>
        <v>800</v>
      </c>
      <c r="CI359" s="77">
        <f>CH359+60*1</f>
        <v>860</v>
      </c>
      <c r="CJ359" s="77">
        <f>CH359+60*2</f>
        <v>920</v>
      </c>
      <c r="CK359" s="77">
        <f>CH359+60*3</f>
        <v>980</v>
      </c>
      <c r="DM359" s="77">
        <f t="shared" si="1078"/>
        <v>402.12385965949352</v>
      </c>
      <c r="DN359" s="77">
        <f t="shared" si="1078"/>
        <v>402.12385965949352</v>
      </c>
      <c r="DO359" s="77">
        <f t="shared" si="1078"/>
        <v>402.12385965949352</v>
      </c>
      <c r="DP359" s="77">
        <f t="shared" si="1078"/>
        <v>402.12385965949352</v>
      </c>
      <c r="DQ359" s="77">
        <f t="shared" ref="DQ359:DU362" si="1081">PI()*6*6/4*2</f>
        <v>56.548667764616276</v>
      </c>
      <c r="DR359" s="77">
        <f t="shared" si="1081"/>
        <v>56.548667764616276</v>
      </c>
      <c r="DS359" s="77">
        <f t="shared" si="1081"/>
        <v>56.548667764616276</v>
      </c>
      <c r="DT359" s="77">
        <f t="shared" si="1081"/>
        <v>56.548667764616276</v>
      </c>
      <c r="DU359" s="77">
        <f t="shared" si="1081"/>
        <v>56.548667764616276</v>
      </c>
      <c r="DV359" s="77">
        <f t="shared" ref="DV359:DY362" si="1082">PI()*16*16/4*2</f>
        <v>402.12385965949352</v>
      </c>
      <c r="DW359" s="77">
        <f t="shared" si="1082"/>
        <v>402.12385965949352</v>
      </c>
      <c r="DX359" s="77">
        <f t="shared" si="1082"/>
        <v>402.12385965949352</v>
      </c>
      <c r="DY359" s="77">
        <f t="shared" si="1082"/>
        <v>402.12385965949352</v>
      </c>
      <c r="FA359" s="77">
        <f t="shared" si="1067"/>
        <v>-177738.74596949614</v>
      </c>
      <c r="FB359" s="77">
        <f t="shared" si="1068"/>
        <v>-177738.74596949614</v>
      </c>
      <c r="FC359" s="77">
        <f t="shared" si="1069"/>
        <v>-145482.20792498518</v>
      </c>
      <c r="FD359" s="77">
        <f>IF(ABS(-$BV359*($BS359-CB359)/$BS359*$BX359)&gt;$BB359,$BB359*SIGN(-($BS359-CB359)),-$BV359*($BS359-CB359)/$BS359*$BX359)*DP359</f>
        <v>-94088.119589150694</v>
      </c>
      <c r="FE359" s="77">
        <f t="shared" si="1080"/>
        <v>-1185.6523635131055</v>
      </c>
      <c r="FF359" s="77">
        <f t="shared" si="1070"/>
        <v>10859.837090198107</v>
      </c>
      <c r="FG359" s="77">
        <f t="shared" si="1070"/>
        <v>16003.272977386407</v>
      </c>
      <c r="FH359" s="77">
        <f t="shared" si="1070"/>
        <v>16003.272977386407</v>
      </c>
      <c r="FI359" s="77">
        <f t="shared" si="1070"/>
        <v>16003.272977386407</v>
      </c>
      <c r="FJ359" s="77">
        <f t="shared" ref="FJ359:FM362" si="1083">IF(ABS(-$BV359*($BS359-CH359)/$BS359*$BX359)&gt;$BB359,$BB359*SIGN(-($BS359-CH359)),-$BV359*($BS359-CH359)/$BS359*$BX359)*DV359</f>
        <v>177738.74596949614</v>
      </c>
      <c r="FK359" s="77">
        <f t="shared" si="1083"/>
        <v>177738.74596949614</v>
      </c>
      <c r="FL359" s="77">
        <f t="shared" si="1083"/>
        <v>177738.74596949614</v>
      </c>
      <c r="FM359" s="77">
        <f t="shared" si="1083"/>
        <v>177738.74596949614</v>
      </c>
      <c r="GO359" s="77">
        <f t="shared" si="1038"/>
        <v>85314598.065358147</v>
      </c>
      <c r="GP359" s="77">
        <f t="shared" si="1039"/>
        <v>74650273.307188377</v>
      </c>
      <c r="GQ359" s="77">
        <f t="shared" si="1040"/>
        <v>52373594.852994666</v>
      </c>
      <c r="GR359" s="77">
        <f t="shared" si="1041"/>
        <v>28226435.876745209</v>
      </c>
      <c r="GS359" s="77">
        <f t="shared" si="1057"/>
        <v>237130.4727026211</v>
      </c>
      <c r="GT359" s="77">
        <f t="shared" si="1071"/>
        <v>-1085983.7090198107</v>
      </c>
      <c r="GU359" s="77">
        <f t="shared" si="1071"/>
        <v>0</v>
      </c>
      <c r="GV359" s="77">
        <f t="shared" si="1071"/>
        <v>1600327.2977386406</v>
      </c>
      <c r="GW359" s="77">
        <f t="shared" si="1071"/>
        <v>3200654.5954772811</v>
      </c>
      <c r="GX359" s="77">
        <f t="shared" si="1071"/>
        <v>53321623.790848844</v>
      </c>
      <c r="GY359" s="77">
        <f t="shared" si="1071"/>
        <v>63985948.549018614</v>
      </c>
      <c r="GZ359" s="77">
        <f t="shared" si="1071"/>
        <v>74650273.307188377</v>
      </c>
      <c r="HA359" s="77">
        <f>FM359*(CK359-0.5*$AO359)</f>
        <v>85314598.065358147</v>
      </c>
      <c r="IC359" s="82">
        <v>381</v>
      </c>
    </row>
    <row r="360" spans="1:237" s="77" customFormat="1">
      <c r="A360" s="77">
        <v>360</v>
      </c>
      <c r="C360" s="122" t="s">
        <v>383</v>
      </c>
      <c r="D360" s="122" t="s">
        <v>385</v>
      </c>
      <c r="E360" s="125">
        <v>3</v>
      </c>
      <c r="F360" s="125">
        <f t="shared" si="1072"/>
        <v>9.1927235061824306E-2</v>
      </c>
      <c r="G360" s="122">
        <v>4.48125E-3</v>
      </c>
      <c r="H360" s="122">
        <v>9.4999999999999998E-3</v>
      </c>
      <c r="I360" s="122">
        <f>20.24/AU360</f>
        <v>1.1905882352941176E-2</v>
      </c>
      <c r="J360" s="122">
        <v>1.7</v>
      </c>
      <c r="K360" s="125">
        <f t="shared" si="1013"/>
        <v>10</v>
      </c>
      <c r="L360" s="125">
        <f t="shared" si="1014"/>
        <v>2.1583577417117684E-2</v>
      </c>
      <c r="M360" s="125">
        <f t="shared" si="1015"/>
        <v>2.5900292900541213E-2</v>
      </c>
      <c r="N360" s="125">
        <f t="shared" si="1016"/>
        <v>0.57227940700459634</v>
      </c>
      <c r="O360" s="125">
        <f t="shared" si="1017"/>
        <v>9.4367773112297798E-2</v>
      </c>
      <c r="P360" s="122">
        <v>0.3</v>
      </c>
      <c r="Q360" s="122" t="s">
        <v>3</v>
      </c>
      <c r="R360" s="133">
        <v>0</v>
      </c>
      <c r="S360" s="75">
        <f t="shared" si="980"/>
        <v>0.72259718733964229</v>
      </c>
      <c r="T360" s="59">
        <f t="shared" si="959"/>
        <v>2.3242933438231033</v>
      </c>
      <c r="U360" s="59">
        <f t="shared" si="960"/>
        <v>2.2415284934607729</v>
      </c>
      <c r="V360" s="59">
        <f t="shared" si="961"/>
        <v>1.3077912998675112</v>
      </c>
      <c r="W360" s="59">
        <f t="shared" si="962"/>
        <v>0.56266189607392536</v>
      </c>
      <c r="X360" s="59">
        <f t="shared" si="963"/>
        <v>0.58343728562128039</v>
      </c>
      <c r="Y360" s="127">
        <v>568000</v>
      </c>
      <c r="Z360" s="57">
        <f t="shared" si="964"/>
        <v>331392.37823288725</v>
      </c>
      <c r="AA360" s="57">
        <f t="shared" si="965"/>
        <v>319591.95696998958</v>
      </c>
      <c r="AB360" s="57">
        <f t="shared" si="1060"/>
        <v>706411.22039873549</v>
      </c>
      <c r="AC360" s="57">
        <f t="shared" si="966"/>
        <v>0.21800000000000003</v>
      </c>
      <c r="AD360" s="57">
        <f t="shared" si="967"/>
        <v>1.7</v>
      </c>
      <c r="AE360" s="57">
        <f t="shared" si="968"/>
        <v>1235760</v>
      </c>
      <c r="AF360" s="57">
        <f t="shared" si="969"/>
        <v>219093.93641847605</v>
      </c>
      <c r="AG360" s="57">
        <f t="shared" si="1058"/>
        <v>100498.0205515135</v>
      </c>
      <c r="AH360" s="57">
        <f t="shared" si="1061"/>
        <v>795682874.66843247</v>
      </c>
      <c r="AI360" s="77">
        <f t="shared" si="1062"/>
        <v>405216200.00941789</v>
      </c>
      <c r="AJ360" s="77">
        <v>2439000</v>
      </c>
      <c r="AK360" s="77">
        <f>0.76*81.3</f>
        <v>61.787999999999997</v>
      </c>
      <c r="AL360" s="78">
        <f t="shared" si="970"/>
        <v>4.4375871543410845</v>
      </c>
      <c r="AM360" s="57">
        <f t="shared" si="971"/>
        <v>0.94</v>
      </c>
      <c r="AN360" s="57">
        <f t="shared" si="972"/>
        <v>0.74</v>
      </c>
      <c r="AO360" s="77">
        <v>1000</v>
      </c>
      <c r="AP360" s="79">
        <v>200</v>
      </c>
      <c r="AQ360" s="57">
        <f t="shared" si="973"/>
        <v>215.01979084588433</v>
      </c>
      <c r="AR360" s="57">
        <f t="shared" si="1063"/>
        <v>600</v>
      </c>
      <c r="AS360" s="57">
        <f t="shared" si="974"/>
        <v>784.98020915411564</v>
      </c>
      <c r="AT360" s="77">
        <v>100</v>
      </c>
      <c r="AU360" s="77">
        <v>1700</v>
      </c>
      <c r="AV360" s="57">
        <f t="shared" si="975"/>
        <v>100000</v>
      </c>
      <c r="AW360" s="77">
        <v>0</v>
      </c>
      <c r="AX360" s="77">
        <f t="shared" si="976"/>
        <v>100000</v>
      </c>
      <c r="AY360" s="77">
        <f t="shared" si="1064"/>
        <v>100000</v>
      </c>
      <c r="AZ360" s="77">
        <f t="shared" si="1044"/>
        <v>283</v>
      </c>
      <c r="BA360" s="77">
        <v>283</v>
      </c>
      <c r="BB360" s="77">
        <v>442</v>
      </c>
      <c r="BC360" s="77">
        <v>290</v>
      </c>
      <c r="BD360" s="77">
        <f>(2*PI()*6*6*5)/(4*600*100)</f>
        <v>4.7123889803846897E-3</v>
      </c>
      <c r="BE360" s="77">
        <f>(2*PI()*6*6)/(4*100*100)</f>
        <v>5.6548667764616273E-3</v>
      </c>
      <c r="BF360" s="77">
        <v>0.08</v>
      </c>
      <c r="BG360" s="77">
        <f>(2*PI()*8*8)/(4*50*100)</f>
        <v>2.0106192982974676E-2</v>
      </c>
      <c r="BH360" s="79">
        <v>100</v>
      </c>
      <c r="BI360" s="79">
        <f>PI()*6*6/4</f>
        <v>28.274333882308138</v>
      </c>
      <c r="BJ360" s="79">
        <v>2</v>
      </c>
      <c r="BK360" s="57">
        <f t="shared" si="1059"/>
        <v>56.548667764616276</v>
      </c>
      <c r="BL360" s="57">
        <f t="shared" si="1018"/>
        <v>282.74333882308139</v>
      </c>
      <c r="BM360" s="80">
        <f>PI()*16*16/4</f>
        <v>201.06192982974676</v>
      </c>
      <c r="BN360" s="80">
        <v>8</v>
      </c>
      <c r="BO360" s="57">
        <f t="shared" si="1065"/>
        <v>1608.4954386379741</v>
      </c>
      <c r="BP360" s="57">
        <f t="shared" si="977"/>
        <v>742825.45832474635</v>
      </c>
      <c r="BQ360" s="77">
        <f t="shared" si="978"/>
        <v>2.3283064365386963E-10</v>
      </c>
      <c r="BR360" s="57">
        <f t="shared" si="1022"/>
        <v>1262803279.1520689</v>
      </c>
      <c r="BS360" s="57">
        <v>430.03958169176866</v>
      </c>
      <c r="BT360" s="57">
        <f t="shared" si="981"/>
        <v>394.92283836962054</v>
      </c>
      <c r="BU360" s="57"/>
      <c r="BV360" s="57">
        <v>3.3E-3</v>
      </c>
      <c r="BW360" s="57">
        <v>30000</v>
      </c>
      <c r="BX360" s="57">
        <v>200000</v>
      </c>
      <c r="BY360" s="77">
        <f>20</f>
        <v>20</v>
      </c>
      <c r="BZ360" s="77">
        <f>BY360+60*1</f>
        <v>80</v>
      </c>
      <c r="CA360" s="77">
        <f>BY360+60*2</f>
        <v>140</v>
      </c>
      <c r="CB360" s="77">
        <f>BY360+60*3</f>
        <v>200</v>
      </c>
      <c r="CC360" s="77">
        <f>CB360+100*1</f>
        <v>300</v>
      </c>
      <c r="CD360" s="77">
        <f>CB360+100*2</f>
        <v>400</v>
      </c>
      <c r="CE360" s="77">
        <f>CB360+100*3</f>
        <v>500</v>
      </c>
      <c r="CF360" s="77">
        <f>CB360+100*4</f>
        <v>600</v>
      </c>
      <c r="CG360" s="77">
        <f>CB360+100*5</f>
        <v>700</v>
      </c>
      <c r="CH360" s="77">
        <f>CB360+100*6</f>
        <v>800</v>
      </c>
      <c r="CI360" s="77">
        <f>CH360+60*1</f>
        <v>860</v>
      </c>
      <c r="CJ360" s="77">
        <f>CH360+60*2</f>
        <v>920</v>
      </c>
      <c r="CK360" s="77">
        <f>CH360+60*3</f>
        <v>980</v>
      </c>
      <c r="DM360" s="77">
        <f t="shared" si="1078"/>
        <v>402.12385965949352</v>
      </c>
      <c r="DN360" s="77">
        <f t="shared" si="1078"/>
        <v>402.12385965949352</v>
      </c>
      <c r="DO360" s="77">
        <f t="shared" si="1078"/>
        <v>402.12385965949352</v>
      </c>
      <c r="DP360" s="77">
        <f t="shared" si="1078"/>
        <v>402.12385965949352</v>
      </c>
      <c r="DQ360" s="77">
        <f t="shared" si="1081"/>
        <v>56.548667764616276</v>
      </c>
      <c r="DR360" s="77">
        <f t="shared" si="1081"/>
        <v>56.548667764616276</v>
      </c>
      <c r="DS360" s="77">
        <f t="shared" si="1081"/>
        <v>56.548667764616276</v>
      </c>
      <c r="DT360" s="77">
        <f t="shared" si="1081"/>
        <v>56.548667764616276</v>
      </c>
      <c r="DU360" s="77">
        <f t="shared" si="1081"/>
        <v>56.548667764616276</v>
      </c>
      <c r="DV360" s="77">
        <f t="shared" si="1082"/>
        <v>402.12385965949352</v>
      </c>
      <c r="DW360" s="77">
        <f t="shared" si="1082"/>
        <v>402.12385965949352</v>
      </c>
      <c r="DX360" s="77">
        <f t="shared" si="1082"/>
        <v>402.12385965949352</v>
      </c>
      <c r="DY360" s="77">
        <f t="shared" si="1082"/>
        <v>402.12385965949352</v>
      </c>
      <c r="FA360" s="77">
        <f t="shared" si="1067"/>
        <v>-177738.74596949614</v>
      </c>
      <c r="FB360" s="77">
        <f t="shared" si="1068"/>
        <v>-177738.74596949614</v>
      </c>
      <c r="FC360" s="77">
        <f t="shared" si="1069"/>
        <v>-177738.74596949614</v>
      </c>
      <c r="FD360" s="77">
        <f>IF(ABS(-$BV360*($BS360-CB360)/$BS360*$BX360)&gt;$BB360,$BB360*SIGN(-($BS360-CB360)),-$BV360*($BS360-CB360)/$BS360*$BX360)*DP360</f>
        <v>-141970.43608471911</v>
      </c>
      <c r="FE360" s="77">
        <f t="shared" si="1080"/>
        <v>-11285.828499297069</v>
      </c>
      <c r="FF360" s="77">
        <f t="shared" si="1070"/>
        <v>-2607.0644241805089</v>
      </c>
      <c r="FG360" s="77">
        <f t="shared" si="1070"/>
        <v>6071.6996509360488</v>
      </c>
      <c r="FH360" s="77">
        <f t="shared" si="1070"/>
        <v>14750.463726052605</v>
      </c>
      <c r="FI360" s="77">
        <f t="shared" si="1070"/>
        <v>16003.272977386407</v>
      </c>
      <c r="FJ360" s="77">
        <f t="shared" si="1083"/>
        <v>177738.74596949614</v>
      </c>
      <c r="FK360" s="77">
        <f t="shared" si="1083"/>
        <v>177738.74596949614</v>
      </c>
      <c r="FL360" s="77">
        <f t="shared" si="1083"/>
        <v>177738.74596949614</v>
      </c>
      <c r="FM360" s="77">
        <f t="shared" si="1083"/>
        <v>177738.74596949614</v>
      </c>
      <c r="GO360" s="77">
        <f t="shared" si="1038"/>
        <v>85314598.065358147</v>
      </c>
      <c r="GP360" s="77">
        <f t="shared" si="1039"/>
        <v>74650273.307188377</v>
      </c>
      <c r="GQ360" s="77">
        <f t="shared" si="1040"/>
        <v>63985948.549018614</v>
      </c>
      <c r="GR360" s="77">
        <f t="shared" si="1041"/>
        <v>42591130.82541573</v>
      </c>
      <c r="GS360" s="77">
        <f t="shared" si="1057"/>
        <v>2257165.6998594138</v>
      </c>
      <c r="GT360" s="77">
        <f t="shared" si="1071"/>
        <v>260706.44241805089</v>
      </c>
      <c r="GU360" s="77">
        <f t="shared" si="1071"/>
        <v>0</v>
      </c>
      <c r="GV360" s="77">
        <f t="shared" si="1071"/>
        <v>1475046.3726052605</v>
      </c>
      <c r="GW360" s="77">
        <f t="shared" si="1071"/>
        <v>3200654.5954772811</v>
      </c>
      <c r="GX360" s="77">
        <f t="shared" si="1071"/>
        <v>53321623.790848844</v>
      </c>
      <c r="GY360" s="77">
        <f t="shared" si="1071"/>
        <v>63985948.549018614</v>
      </c>
      <c r="GZ360" s="77">
        <f t="shared" si="1071"/>
        <v>74650273.307188377</v>
      </c>
      <c r="HA360" s="77">
        <f>FM360*(CK360-0.5*$AO360)</f>
        <v>85314598.065358147</v>
      </c>
      <c r="IC360" s="82">
        <v>382</v>
      </c>
    </row>
    <row r="361" spans="1:237" s="77" customFormat="1">
      <c r="A361" s="77">
        <v>361</v>
      </c>
      <c r="C361" s="122" t="s">
        <v>383</v>
      </c>
      <c r="D361" s="122" t="s">
        <v>386</v>
      </c>
      <c r="E361" s="125">
        <v>3</v>
      </c>
      <c r="F361" s="125">
        <f t="shared" si="1072"/>
        <v>8.1083705573897852E-2</v>
      </c>
      <c r="G361" s="122">
        <v>5.1437499999999999E-3</v>
      </c>
      <c r="H361" s="122"/>
      <c r="I361" s="122">
        <f>22.46/AU361</f>
        <v>1.3211764705882353E-2</v>
      </c>
      <c r="J361" s="122">
        <v>1.7</v>
      </c>
      <c r="K361" s="125">
        <f t="shared" si="1013"/>
        <v>10</v>
      </c>
      <c r="L361" s="125">
        <f t="shared" si="1014"/>
        <v>2.1583577417117684E-2</v>
      </c>
      <c r="M361" s="125">
        <f t="shared" si="1015"/>
        <v>2.5900292900541213E-2</v>
      </c>
      <c r="N361" s="125">
        <f t="shared" si="1016"/>
        <v>0.37767527675276757</v>
      </c>
      <c r="O361" s="125">
        <f t="shared" si="1017"/>
        <v>9.4367773112297798E-2</v>
      </c>
      <c r="P361" s="122">
        <v>0.2</v>
      </c>
      <c r="Q361" s="122" t="s">
        <v>3</v>
      </c>
      <c r="R361" s="133">
        <v>0</v>
      </c>
      <c r="S361" s="75">
        <f t="shared" si="980"/>
        <v>0.63736125150908585</v>
      </c>
      <c r="T361" s="59">
        <f t="shared" si="959"/>
        <v>1.9890599419603425</v>
      </c>
      <c r="U361" s="59">
        <f t="shared" si="960"/>
        <v>2.0182449218266765</v>
      </c>
      <c r="V361" s="59">
        <f t="shared" si="961"/>
        <v>1.3349919850311176</v>
      </c>
      <c r="W361" s="59">
        <f t="shared" si="962"/>
        <v>0.67116729710789902</v>
      </c>
      <c r="X361" s="59">
        <f t="shared" si="963"/>
        <v>0.66146183280017412</v>
      </c>
      <c r="Y361" s="127">
        <v>501000</v>
      </c>
      <c r="Z361" s="57">
        <f t="shared" si="964"/>
        <v>331392.37823288725</v>
      </c>
      <c r="AA361" s="57">
        <f t="shared" si="965"/>
        <v>336254.81585105741</v>
      </c>
      <c r="AB361" s="57">
        <f t="shared" si="1060"/>
        <v>698966.85707084741</v>
      </c>
      <c r="AC361" s="57">
        <f t="shared" si="966"/>
        <v>0.21800000000000003</v>
      </c>
      <c r="AD361" s="57">
        <f t="shared" si="967"/>
        <v>1.7</v>
      </c>
      <c r="AE361" s="57">
        <f t="shared" si="968"/>
        <v>1235760</v>
      </c>
      <c r="AF361" s="57">
        <f t="shared" si="969"/>
        <v>228025.99244959536</v>
      </c>
      <c r="AG361" s="57">
        <f t="shared" si="1058"/>
        <v>108228.82340146202</v>
      </c>
      <c r="AH361" s="57">
        <f t="shared" si="1061"/>
        <v>865826431.60480762</v>
      </c>
      <c r="AI361" s="77">
        <f t="shared" si="1062"/>
        <v>322417225.41563308</v>
      </c>
      <c r="AJ361" s="77">
        <v>1626000</v>
      </c>
      <c r="AK361" s="77">
        <f>0.76*81.3</f>
        <v>61.787999999999997</v>
      </c>
      <c r="AL361" s="78">
        <f t="shared" si="970"/>
        <v>4.4375871543410845</v>
      </c>
      <c r="AM361" s="57">
        <f t="shared" si="971"/>
        <v>0.94</v>
      </c>
      <c r="AN361" s="57">
        <f t="shared" si="972"/>
        <v>0.74</v>
      </c>
      <c r="AO361" s="77">
        <v>1000</v>
      </c>
      <c r="AP361" s="79">
        <v>200</v>
      </c>
      <c r="AQ361" s="57">
        <f t="shared" si="973"/>
        <v>154.63524590879067</v>
      </c>
      <c r="AR361" s="57">
        <f t="shared" si="1063"/>
        <v>600</v>
      </c>
      <c r="AS361" s="57">
        <f t="shared" si="974"/>
        <v>845.36475409120931</v>
      </c>
      <c r="AT361" s="77">
        <v>100</v>
      </c>
      <c r="AU361" s="77">
        <v>1700</v>
      </c>
      <c r="AV361" s="57">
        <f t="shared" si="975"/>
        <v>100000</v>
      </c>
      <c r="AW361" s="77">
        <v>0</v>
      </c>
      <c r="AX361" s="77">
        <f t="shared" si="976"/>
        <v>100000</v>
      </c>
      <c r="AY361" s="77">
        <f t="shared" si="1064"/>
        <v>100000</v>
      </c>
      <c r="AZ361" s="77">
        <f t="shared" si="1044"/>
        <v>283</v>
      </c>
      <c r="BA361" s="77">
        <v>283</v>
      </c>
      <c r="BB361" s="77">
        <v>437</v>
      </c>
      <c r="BC361" s="77">
        <v>290</v>
      </c>
      <c r="BD361" s="77">
        <f>(2*PI()*6*6*5)/(4*600*100)</f>
        <v>4.7123889803846897E-3</v>
      </c>
      <c r="BE361" s="77">
        <f>(2*PI()*6*6)/(4*100*100)</f>
        <v>5.6548667764616273E-3</v>
      </c>
      <c r="BF361" s="77">
        <v>5.3400000000000003E-2</v>
      </c>
      <c r="BG361" s="77">
        <f>(2*PI()*8*8)/(4*50*100)</f>
        <v>2.0106192982974676E-2</v>
      </c>
      <c r="BH361" s="79">
        <v>100</v>
      </c>
      <c r="BI361" s="79">
        <f>PI()*6*6/4</f>
        <v>28.274333882308138</v>
      </c>
      <c r="BJ361" s="79">
        <v>2</v>
      </c>
      <c r="BK361" s="57">
        <f t="shared" si="1059"/>
        <v>56.548667764616276</v>
      </c>
      <c r="BL361" s="57">
        <f t="shared" si="1018"/>
        <v>282.74333882308139</v>
      </c>
      <c r="BM361" s="80">
        <f>PI()*14*14/4+PI()*12*12/4</f>
        <v>267.03537555513242</v>
      </c>
      <c r="BN361" s="80">
        <v>4</v>
      </c>
      <c r="BO361" s="57">
        <f t="shared" si="1065"/>
        <v>1068.1415022205297</v>
      </c>
      <c r="BP361" s="57">
        <f t="shared" si="977"/>
        <v>668830.9845005899</v>
      </c>
      <c r="BQ361" s="77">
        <f t="shared" si="978"/>
        <v>5.5297277867794037E-10</v>
      </c>
      <c r="BR361" s="57">
        <f t="shared" si="1022"/>
        <v>1137012673.6510029</v>
      </c>
      <c r="BS361" s="57">
        <v>309.27049181758133</v>
      </c>
      <c r="BT361" s="57">
        <f t="shared" si="981"/>
        <v>394.92283836962054</v>
      </c>
      <c r="BU361" s="57"/>
      <c r="BV361" s="57">
        <v>3.3E-3</v>
      </c>
      <c r="BW361" s="57">
        <v>30000</v>
      </c>
      <c r="BX361" s="57">
        <v>200000</v>
      </c>
      <c r="BY361" s="77">
        <f>20</f>
        <v>20</v>
      </c>
      <c r="BZ361" s="77">
        <f>BY361+60*1</f>
        <v>80</v>
      </c>
      <c r="CA361" s="77">
        <f>BY361+60*2</f>
        <v>140</v>
      </c>
      <c r="CB361" s="77">
        <f>BY361+60*3</f>
        <v>200</v>
      </c>
      <c r="CC361" s="77">
        <f>CB361+100*1</f>
        <v>300</v>
      </c>
      <c r="CD361" s="77">
        <f>CB361+100*2</f>
        <v>400</v>
      </c>
      <c r="CE361" s="77">
        <f>CB361+100*3</f>
        <v>500</v>
      </c>
      <c r="CF361" s="77">
        <f>CB361+100*4</f>
        <v>600</v>
      </c>
      <c r="CG361" s="77">
        <f>CB361+100*5</f>
        <v>700</v>
      </c>
      <c r="CH361" s="77">
        <f>CB361+100*6</f>
        <v>800</v>
      </c>
      <c r="CI361" s="77">
        <f>CH361+60*1</f>
        <v>860</v>
      </c>
      <c r="CJ361" s="77">
        <f>CH361+60*2</f>
        <v>920</v>
      </c>
      <c r="CK361" s="77">
        <f>CH361+60*3</f>
        <v>980</v>
      </c>
      <c r="DM361" s="77">
        <f t="shared" si="1078"/>
        <v>402.12385965949352</v>
      </c>
      <c r="DN361" s="77">
        <f t="shared" si="1078"/>
        <v>402.12385965949352</v>
      </c>
      <c r="DO361" s="77">
        <f t="shared" si="1078"/>
        <v>402.12385965949352</v>
      </c>
      <c r="DP361" s="77">
        <f t="shared" si="1078"/>
        <v>402.12385965949352</v>
      </c>
      <c r="DQ361" s="77">
        <f t="shared" si="1081"/>
        <v>56.548667764616276</v>
      </c>
      <c r="DR361" s="77">
        <f t="shared" si="1081"/>
        <v>56.548667764616276</v>
      </c>
      <c r="DS361" s="77">
        <f t="shared" si="1081"/>
        <v>56.548667764616276</v>
      </c>
      <c r="DT361" s="77">
        <f t="shared" si="1081"/>
        <v>56.548667764616276</v>
      </c>
      <c r="DU361" s="77">
        <f t="shared" si="1081"/>
        <v>56.548667764616276</v>
      </c>
      <c r="DV361" s="77">
        <f t="shared" si="1082"/>
        <v>402.12385965949352</v>
      </c>
      <c r="DW361" s="77">
        <f t="shared" si="1082"/>
        <v>402.12385965949352</v>
      </c>
      <c r="DX361" s="77">
        <f t="shared" si="1082"/>
        <v>402.12385965949352</v>
      </c>
      <c r="DY361" s="77">
        <f t="shared" si="1082"/>
        <v>402.12385965949352</v>
      </c>
      <c r="FA361" s="77">
        <f t="shared" si="1067"/>
        <v>-175728.12667119867</v>
      </c>
      <c r="FB361" s="77">
        <f t="shared" si="1068"/>
        <v>-175728.12667119867</v>
      </c>
      <c r="FC361" s="77">
        <f t="shared" si="1069"/>
        <v>-145260.17029117304</v>
      </c>
      <c r="FD361" s="77">
        <f>IF(ABS(-$BV361*($BS361-CB361)/$BS361*$BX361)&gt;$BB361,$BB361*SIGN(-($BS361-CB361)),-$BV361*($BS361-CB361)/$BS361*$BX361)*DP361</f>
        <v>-93770.922969419029</v>
      </c>
      <c r="FE361" s="77">
        <f t="shared" si="1080"/>
        <v>-1118.7437015384578</v>
      </c>
      <c r="FF361" s="77">
        <f t="shared" si="1070"/>
        <v>10949.048639497636</v>
      </c>
      <c r="FG361" s="77">
        <f t="shared" si="1070"/>
        <v>16003.272977386407</v>
      </c>
      <c r="FH361" s="77">
        <f t="shared" si="1070"/>
        <v>16003.272977386407</v>
      </c>
      <c r="FI361" s="77">
        <f t="shared" si="1070"/>
        <v>16003.272977386407</v>
      </c>
      <c r="FJ361" s="77">
        <f t="shared" si="1083"/>
        <v>175728.12667119867</v>
      </c>
      <c r="FK361" s="77">
        <f t="shared" si="1083"/>
        <v>175728.12667119867</v>
      </c>
      <c r="FL361" s="77">
        <f t="shared" si="1083"/>
        <v>175728.12667119867</v>
      </c>
      <c r="FM361" s="77">
        <f t="shared" si="1083"/>
        <v>175728.12667119867</v>
      </c>
      <c r="GO361" s="77">
        <f t="shared" si="1038"/>
        <v>84349500.802175358</v>
      </c>
      <c r="GP361" s="77">
        <f t="shared" si="1039"/>
        <v>73805813.201903448</v>
      </c>
      <c r="GQ361" s="77">
        <f t="shared" si="1040"/>
        <v>52293661.304822296</v>
      </c>
      <c r="GR361" s="77">
        <f t="shared" si="1041"/>
        <v>28131276.890825707</v>
      </c>
      <c r="GS361" s="77">
        <f t="shared" si="1057"/>
        <v>223748.74030769157</v>
      </c>
      <c r="GT361" s="77">
        <f t="shared" si="1071"/>
        <v>-1094904.8639497636</v>
      </c>
      <c r="GU361" s="77">
        <f t="shared" si="1071"/>
        <v>0</v>
      </c>
      <c r="GV361" s="77">
        <f t="shared" si="1071"/>
        <v>1600327.2977386406</v>
      </c>
      <c r="GW361" s="77">
        <f t="shared" si="1071"/>
        <v>3200654.5954772811</v>
      </c>
      <c r="GX361" s="77">
        <f t="shared" si="1071"/>
        <v>52718438.001359597</v>
      </c>
      <c r="GY361" s="77">
        <f t="shared" si="1071"/>
        <v>63262125.601631522</v>
      </c>
      <c r="GZ361" s="77">
        <f t="shared" si="1071"/>
        <v>73805813.201903448</v>
      </c>
      <c r="HA361" s="77">
        <f>FM361*(CK361-0.5*$AO361)</f>
        <v>84349500.802175358</v>
      </c>
      <c r="IC361" s="82">
        <v>383</v>
      </c>
    </row>
    <row r="362" spans="1:237" s="77" customFormat="1">
      <c r="A362" s="77">
        <v>362</v>
      </c>
      <c r="C362" s="122" t="s">
        <v>383</v>
      </c>
      <c r="D362" s="122" t="s">
        <v>387</v>
      </c>
      <c r="E362" s="125">
        <v>3</v>
      </c>
      <c r="F362" s="125">
        <f t="shared" si="1072"/>
        <v>9.5164109535832209E-2</v>
      </c>
      <c r="G362" s="122">
        <v>5.2249999999999996E-3</v>
      </c>
      <c r="H362" s="122"/>
      <c r="I362" s="122">
        <f>21.76/AU362</f>
        <v>1.2800000000000001E-2</v>
      </c>
      <c r="J362" s="122">
        <v>1.7</v>
      </c>
      <c r="K362" s="125">
        <f t="shared" si="1013"/>
        <v>10</v>
      </c>
      <c r="L362" s="125">
        <f t="shared" si="1014"/>
        <v>2.1583577417117684E-2</v>
      </c>
      <c r="M362" s="125">
        <f t="shared" si="1015"/>
        <v>2.5900292900541213E-2</v>
      </c>
      <c r="N362" s="125">
        <f t="shared" si="1016"/>
        <v>0.37767527675276757</v>
      </c>
      <c r="O362" s="125">
        <f t="shared" si="1017"/>
        <v>9.4367773112297798E-2</v>
      </c>
      <c r="P362" s="122">
        <v>0.3</v>
      </c>
      <c r="Q362" s="122" t="s">
        <v>3</v>
      </c>
      <c r="R362" s="133">
        <v>0</v>
      </c>
      <c r="S362" s="75">
        <f t="shared" si="980"/>
        <v>0.74804075027413675</v>
      </c>
      <c r="T362" s="59">
        <f t="shared" si="959"/>
        <v>2.3132591205365785</v>
      </c>
      <c r="U362" s="59">
        <f t="shared" si="960"/>
        <v>2.2311869972169571</v>
      </c>
      <c r="V362" s="59">
        <f t="shared" si="961"/>
        <v>1.2574802130782685</v>
      </c>
      <c r="W362" s="59">
        <f t="shared" si="962"/>
        <v>0.54359678166386571</v>
      </c>
      <c r="X362" s="59">
        <f t="shared" si="963"/>
        <v>0.56359247998790352</v>
      </c>
      <c r="Y362" s="127">
        <v>588000</v>
      </c>
      <c r="Z362" s="57">
        <f t="shared" si="964"/>
        <v>331392.37823288725</v>
      </c>
      <c r="AA362" s="57">
        <f t="shared" si="965"/>
        <v>319634.90761835303</v>
      </c>
      <c r="AB362" s="57">
        <f t="shared" si="1060"/>
        <v>624737.57439976605</v>
      </c>
      <c r="AC362" s="57">
        <f t="shared" si="966"/>
        <v>0.21800000000000003</v>
      </c>
      <c r="AD362" s="57">
        <f t="shared" si="967"/>
        <v>1.7</v>
      </c>
      <c r="AE362" s="57">
        <f t="shared" si="968"/>
        <v>1235760</v>
      </c>
      <c r="AF362" s="57">
        <f t="shared" si="969"/>
        <v>219116.95993445814</v>
      </c>
      <c r="AG362" s="57">
        <f t="shared" si="1058"/>
        <v>100517.94768389489</v>
      </c>
      <c r="AH362" s="57">
        <f t="shared" si="1061"/>
        <v>795863678.65113676</v>
      </c>
      <c r="AI362" s="77">
        <f t="shared" si="1062"/>
        <v>266190197.82846558</v>
      </c>
      <c r="AJ362" s="77">
        <v>2439000</v>
      </c>
      <c r="AK362" s="77">
        <f>0.76*81.3</f>
        <v>61.787999999999997</v>
      </c>
      <c r="AL362" s="78">
        <f t="shared" si="970"/>
        <v>4.4375871543410845</v>
      </c>
      <c r="AM362" s="57">
        <f t="shared" si="971"/>
        <v>0.94</v>
      </c>
      <c r="AN362" s="57">
        <f t="shared" si="972"/>
        <v>0.74</v>
      </c>
      <c r="AO362" s="77">
        <v>1000</v>
      </c>
      <c r="AP362" s="79">
        <v>200</v>
      </c>
      <c r="AQ362" s="57">
        <f t="shared" si="973"/>
        <v>214.86414196385923</v>
      </c>
      <c r="AR362" s="57">
        <f t="shared" si="1063"/>
        <v>600</v>
      </c>
      <c r="AS362" s="57">
        <f t="shared" si="974"/>
        <v>785.1358580361408</v>
      </c>
      <c r="AT362" s="77">
        <v>100</v>
      </c>
      <c r="AU362" s="77">
        <v>1700</v>
      </c>
      <c r="AV362" s="57">
        <f t="shared" si="975"/>
        <v>100000</v>
      </c>
      <c r="AW362" s="77">
        <v>0</v>
      </c>
      <c r="AX362" s="77">
        <f t="shared" si="976"/>
        <v>100000</v>
      </c>
      <c r="AY362" s="77">
        <f t="shared" si="1064"/>
        <v>100000</v>
      </c>
      <c r="AZ362" s="77">
        <f t="shared" si="1044"/>
        <v>283</v>
      </c>
      <c r="BA362" s="77">
        <v>283</v>
      </c>
      <c r="BB362" s="77">
        <v>437</v>
      </c>
      <c r="BC362" s="77">
        <v>290</v>
      </c>
      <c r="BD362" s="77">
        <f>(2*PI()*6*6*5)/(4*600*100)</f>
        <v>4.7123889803846897E-3</v>
      </c>
      <c r="BE362" s="77">
        <f>(2*PI()*6*6)/(4*100*100)</f>
        <v>5.6548667764616273E-3</v>
      </c>
      <c r="BF362" s="77">
        <v>5.3400000000000003E-2</v>
      </c>
      <c r="BG362" s="77">
        <f>(2*PI()*8*8)/(4*50*100)</f>
        <v>2.0106192982974676E-2</v>
      </c>
      <c r="BH362" s="79">
        <v>100</v>
      </c>
      <c r="BI362" s="79">
        <f>PI()*6*6/4</f>
        <v>28.274333882308138</v>
      </c>
      <c r="BJ362" s="79">
        <v>2</v>
      </c>
      <c r="BK362" s="57">
        <f t="shared" si="1059"/>
        <v>56.548667764616276</v>
      </c>
      <c r="BL362" s="57">
        <f t="shared" si="1018"/>
        <v>282.74333882308139</v>
      </c>
      <c r="BM362" s="80">
        <f>PI()*14*14/4+PI()*12*12/4</f>
        <v>267.03537555513242</v>
      </c>
      <c r="BN362" s="80">
        <v>4</v>
      </c>
      <c r="BO362" s="57">
        <f t="shared" si="1065"/>
        <v>1068.1415022205297</v>
      </c>
      <c r="BP362" s="57">
        <f t="shared" si="977"/>
        <v>739398.36529002187</v>
      </c>
      <c r="BQ362" s="77">
        <f t="shared" si="978"/>
        <v>1.8044374883174896E-9</v>
      </c>
      <c r="BR362" s="57">
        <f t="shared" si="1022"/>
        <v>1256977220.9930372</v>
      </c>
      <c r="BS362" s="57">
        <v>429.72828392771845</v>
      </c>
      <c r="BT362" s="57">
        <f t="shared" si="981"/>
        <v>394.92283836962054</v>
      </c>
      <c r="BU362" s="57"/>
      <c r="BV362" s="57">
        <v>3.3E-3</v>
      </c>
      <c r="BW362" s="57">
        <v>30000</v>
      </c>
      <c r="BX362" s="57">
        <v>200000</v>
      </c>
      <c r="BY362" s="77">
        <f>20</f>
        <v>20</v>
      </c>
      <c r="BZ362" s="77">
        <f>BY362+60*1</f>
        <v>80</v>
      </c>
      <c r="CA362" s="77">
        <f>BY362+60*2</f>
        <v>140</v>
      </c>
      <c r="CB362" s="77">
        <f>BY362+60*3</f>
        <v>200</v>
      </c>
      <c r="CC362" s="77">
        <f>CB362+100*1</f>
        <v>300</v>
      </c>
      <c r="CD362" s="77">
        <f>CB362+100*2</f>
        <v>400</v>
      </c>
      <c r="CE362" s="77">
        <f>CB362+100*3</f>
        <v>500</v>
      </c>
      <c r="CF362" s="77">
        <f>CB362+100*4</f>
        <v>600</v>
      </c>
      <c r="CG362" s="77">
        <f>CB362+100*5</f>
        <v>700</v>
      </c>
      <c r="CH362" s="77">
        <f>CB362+100*6</f>
        <v>800</v>
      </c>
      <c r="CI362" s="77">
        <f>CH362+60*1</f>
        <v>860</v>
      </c>
      <c r="CJ362" s="77">
        <f>CH362+60*2</f>
        <v>920</v>
      </c>
      <c r="CK362" s="77">
        <f>CH362+60*3</f>
        <v>980</v>
      </c>
      <c r="DM362" s="77">
        <f t="shared" si="1078"/>
        <v>402.12385965949352</v>
      </c>
      <c r="DN362" s="77">
        <f t="shared" si="1078"/>
        <v>402.12385965949352</v>
      </c>
      <c r="DO362" s="77">
        <f t="shared" si="1078"/>
        <v>402.12385965949352</v>
      </c>
      <c r="DP362" s="77">
        <f t="shared" si="1078"/>
        <v>402.12385965949352</v>
      </c>
      <c r="DQ362" s="77">
        <f t="shared" si="1081"/>
        <v>56.548667764616276</v>
      </c>
      <c r="DR362" s="77">
        <f t="shared" si="1081"/>
        <v>56.548667764616276</v>
      </c>
      <c r="DS362" s="77">
        <f t="shared" si="1081"/>
        <v>56.548667764616276</v>
      </c>
      <c r="DT362" s="77">
        <f t="shared" si="1081"/>
        <v>56.548667764616276</v>
      </c>
      <c r="DU362" s="77">
        <f t="shared" si="1081"/>
        <v>56.548667764616276</v>
      </c>
      <c r="DV362" s="77">
        <f t="shared" si="1082"/>
        <v>402.12385965949352</v>
      </c>
      <c r="DW362" s="77">
        <f t="shared" si="1082"/>
        <v>402.12385965949352</v>
      </c>
      <c r="DX362" s="77">
        <f t="shared" si="1082"/>
        <v>402.12385965949352</v>
      </c>
      <c r="DY362" s="77">
        <f t="shared" si="1082"/>
        <v>402.12385965949352</v>
      </c>
      <c r="FA362" s="77">
        <f t="shared" si="1067"/>
        <v>-175728.12667119867</v>
      </c>
      <c r="FB362" s="77">
        <f t="shared" si="1068"/>
        <v>-175728.12667119867</v>
      </c>
      <c r="FC362" s="77">
        <f t="shared" si="1069"/>
        <v>-175728.12667119867</v>
      </c>
      <c r="FD362" s="77">
        <f>IF(ABS(-$BV362*($BS362-CB362)/$BS362*$BX362)&gt;$BB362,$BB362*SIGN(-($BS362-CB362)),-$BV362*($BS362-CB362)/$BS362*$BX362)*DP362</f>
        <v>-141881.02169740596</v>
      </c>
      <c r="FE362" s="77">
        <f t="shared" si="1080"/>
        <v>-11266.967651973198</v>
      </c>
      <c r="FF362" s="77">
        <f t="shared" si="1070"/>
        <v>-2581.9166277486834</v>
      </c>
      <c r="FG362" s="77">
        <f t="shared" si="1070"/>
        <v>6103.1343964758316</v>
      </c>
      <c r="FH362" s="77">
        <f t="shared" si="1070"/>
        <v>14788.185420700347</v>
      </c>
      <c r="FI362" s="77">
        <f t="shared" si="1070"/>
        <v>16003.272977386407</v>
      </c>
      <c r="FJ362" s="77">
        <f t="shared" si="1083"/>
        <v>175728.12667119867</v>
      </c>
      <c r="FK362" s="77">
        <f t="shared" si="1083"/>
        <v>175728.12667119867</v>
      </c>
      <c r="FL362" s="77">
        <f t="shared" si="1083"/>
        <v>175728.12667119867</v>
      </c>
      <c r="FM362" s="77">
        <f t="shared" si="1083"/>
        <v>175728.12667119867</v>
      </c>
      <c r="GO362" s="77">
        <f t="shared" si="1038"/>
        <v>84349500.802175358</v>
      </c>
      <c r="GP362" s="77">
        <f t="shared" si="1039"/>
        <v>73805813.201903448</v>
      </c>
      <c r="GQ362" s="77">
        <f t="shared" si="1040"/>
        <v>63262125.601631522</v>
      </c>
      <c r="GR362" s="77">
        <f t="shared" si="1041"/>
        <v>42564306.509221785</v>
      </c>
      <c r="GS362" s="77">
        <f t="shared" si="1057"/>
        <v>2253393.5303946398</v>
      </c>
      <c r="GT362" s="77">
        <f t="shared" si="1071"/>
        <v>258191.66277486834</v>
      </c>
      <c r="GU362" s="77">
        <f t="shared" si="1071"/>
        <v>0</v>
      </c>
      <c r="GV362" s="77">
        <f t="shared" si="1071"/>
        <v>1478818.5420700347</v>
      </c>
      <c r="GW362" s="77">
        <f t="shared" si="1071"/>
        <v>3200654.5954772811</v>
      </c>
      <c r="GX362" s="77">
        <f t="shared" si="1071"/>
        <v>52718438.001359597</v>
      </c>
      <c r="GY362" s="77">
        <f t="shared" si="1071"/>
        <v>63262125.601631522</v>
      </c>
      <c r="GZ362" s="77">
        <f t="shared" si="1071"/>
        <v>73805813.201903448</v>
      </c>
      <c r="HA362" s="77">
        <f>FM362*(CK362-0.5*$AO362)</f>
        <v>84349500.802175358</v>
      </c>
      <c r="IC362" s="82">
        <v>384</v>
      </c>
    </row>
    <row r="363" spans="1:237" s="77" customFormat="1">
      <c r="A363" s="77">
        <v>363</v>
      </c>
      <c r="C363" s="122" t="s">
        <v>383</v>
      </c>
      <c r="D363" s="122" t="s">
        <v>388</v>
      </c>
      <c r="E363" s="125">
        <v>3</v>
      </c>
      <c r="F363" s="125">
        <f t="shared" si="1072"/>
        <v>7.9788955784294679E-2</v>
      </c>
      <c r="G363" s="122">
        <v>4.6500000000000005E-3</v>
      </c>
      <c r="H363" s="122"/>
      <c r="I363" s="122">
        <f>16.62/AU363</f>
        <v>9.7764705882352945E-3</v>
      </c>
      <c r="J363" s="122">
        <v>1.7</v>
      </c>
      <c r="K363" s="125">
        <f t="shared" si="1013"/>
        <v>10</v>
      </c>
      <c r="L363" s="125">
        <f t="shared" si="1014"/>
        <v>1.2950146450270606E-2</v>
      </c>
      <c r="M363" s="125">
        <f t="shared" si="1015"/>
        <v>1.7266861933694144E-2</v>
      </c>
      <c r="N363" s="125">
        <f t="shared" si="1016"/>
        <v>0.10019744934291448</v>
      </c>
      <c r="O363" s="125">
        <f t="shared" si="1017"/>
        <v>5.1800585801082426E-2</v>
      </c>
      <c r="P363" s="122">
        <v>0.3</v>
      </c>
      <c r="Q363" s="122" t="s">
        <v>3</v>
      </c>
      <c r="R363" s="133">
        <v>0</v>
      </c>
      <c r="S363" s="75">
        <f t="shared" si="980"/>
        <v>0.62718382633528802</v>
      </c>
      <c r="T363" s="59">
        <f t="shared" si="959"/>
        <v>1.6552868394933593</v>
      </c>
      <c r="U363" s="59">
        <f t="shared" si="960"/>
        <v>1.7075177199478084</v>
      </c>
      <c r="V363" s="59">
        <f t="shared" si="961"/>
        <v>0.96302660744044077</v>
      </c>
      <c r="W363" s="59">
        <f t="shared" si="962"/>
        <v>0.58178835502322868</v>
      </c>
      <c r="X363" s="59">
        <f t="shared" si="963"/>
        <v>0.56399216019256093</v>
      </c>
      <c r="Y363" s="127">
        <v>493000</v>
      </c>
      <c r="Z363" s="57">
        <f t="shared" si="964"/>
        <v>278048.13497493253</v>
      </c>
      <c r="AA363" s="57">
        <f t="shared" si="965"/>
        <v>286821.65902645176</v>
      </c>
      <c r="AB363" s="57">
        <f t="shared" si="1060"/>
        <v>512096.20801276068</v>
      </c>
      <c r="AC363" s="57">
        <f t="shared" si="966"/>
        <v>0.21800000000000003</v>
      </c>
      <c r="AD363" s="57">
        <f t="shared" si="967"/>
        <v>1.7</v>
      </c>
      <c r="AE363" s="57">
        <f t="shared" si="968"/>
        <v>1235760</v>
      </c>
      <c r="AF363" s="57">
        <f t="shared" si="969"/>
        <v>219556.23096607375</v>
      </c>
      <c r="AG363" s="57">
        <f t="shared" si="1058"/>
        <v>67265.428060378035</v>
      </c>
      <c r="AH363" s="57">
        <f t="shared" si="1061"/>
        <v>799313280.00935495</v>
      </c>
      <c r="AI363" s="77">
        <f t="shared" si="1062"/>
        <v>71250273.6123382</v>
      </c>
      <c r="AJ363" s="77">
        <v>2439000</v>
      </c>
      <c r="AK363" s="77">
        <f>0.76*81.3</f>
        <v>61.787999999999997</v>
      </c>
      <c r="AL363" s="78">
        <f t="shared" si="970"/>
        <v>4.4375871543410845</v>
      </c>
      <c r="AM363" s="57">
        <f t="shared" si="971"/>
        <v>0.94</v>
      </c>
      <c r="AN363" s="57">
        <f t="shared" si="972"/>
        <v>0.74</v>
      </c>
      <c r="AO363" s="77">
        <v>1000</v>
      </c>
      <c r="AP363" s="79">
        <v>200</v>
      </c>
      <c r="AQ363" s="57">
        <f t="shared" si="973"/>
        <v>211.89448063888068</v>
      </c>
      <c r="AR363" s="57">
        <f t="shared" si="1063"/>
        <v>600</v>
      </c>
      <c r="AS363" s="57">
        <f t="shared" si="974"/>
        <v>788.10551936111938</v>
      </c>
      <c r="AT363" s="77">
        <v>100</v>
      </c>
      <c r="AU363" s="77">
        <v>1700</v>
      </c>
      <c r="AV363" s="57">
        <f t="shared" si="975"/>
        <v>100000</v>
      </c>
      <c r="AW363" s="77">
        <v>0</v>
      </c>
      <c r="AX363" s="77">
        <f t="shared" si="976"/>
        <v>100000</v>
      </c>
      <c r="AY363" s="77">
        <f t="shared" si="1064"/>
        <v>100000</v>
      </c>
      <c r="AZ363" s="77">
        <f t="shared" si="1044"/>
        <v>283</v>
      </c>
      <c r="BA363" s="77">
        <v>283</v>
      </c>
      <c r="BB363" s="77">
        <v>410</v>
      </c>
      <c r="BC363" s="77">
        <v>283</v>
      </c>
      <c r="BD363" s="77">
        <f>(2*PI()*6*6*3)/(4*600*100)</f>
        <v>2.8274333882308137E-3</v>
      </c>
      <c r="BE363" s="77">
        <f>(2*PI()*6*6)/(4*150*100)</f>
        <v>3.7699111843077517E-3</v>
      </c>
      <c r="BF363" s="77">
        <v>1.5100000000000001E-2</v>
      </c>
      <c r="BG363" s="77">
        <f>(2*PI()*6*6)/(4*50*100)</f>
        <v>1.1309733552923255E-2</v>
      </c>
      <c r="BH363" s="79">
        <v>150</v>
      </c>
      <c r="BI363" s="79">
        <f>PI()*6*6/4</f>
        <v>28.274333882308138</v>
      </c>
      <c r="BJ363" s="79">
        <v>2</v>
      </c>
      <c r="BK363" s="57">
        <f t="shared" si="1059"/>
        <v>56.548667764616276</v>
      </c>
      <c r="BL363" s="57">
        <f t="shared" si="1018"/>
        <v>169.64600329384882</v>
      </c>
      <c r="BM363" s="80">
        <f>PI()*8*8/4</f>
        <v>50.26548245743669</v>
      </c>
      <c r="BN363" s="80">
        <v>6</v>
      </c>
      <c r="BO363" s="57">
        <f t="shared" si="1065"/>
        <v>301.59289474462014</v>
      </c>
      <c r="BP363" s="57">
        <f t="shared" si="977"/>
        <v>474772.11746813729</v>
      </c>
      <c r="BQ363" s="77">
        <f t="shared" si="978"/>
        <v>0</v>
      </c>
      <c r="BR363" s="57">
        <f t="shared" si="1022"/>
        <v>807112599.69583344</v>
      </c>
      <c r="BS363" s="57">
        <v>423.78896127776136</v>
      </c>
      <c r="BT363" s="57">
        <f t="shared" si="981"/>
        <v>391.58533457877473</v>
      </c>
      <c r="BU363" s="57"/>
      <c r="BV363" s="57">
        <v>3.3E-3</v>
      </c>
      <c r="BW363" s="57">
        <v>30000</v>
      </c>
      <c r="BX363" s="57">
        <v>200000</v>
      </c>
      <c r="BY363" s="77">
        <f>20</f>
        <v>20</v>
      </c>
      <c r="BZ363" s="77">
        <f>BY363+90*1</f>
        <v>110</v>
      </c>
      <c r="CA363" s="77">
        <f>BY363+90*2</f>
        <v>200</v>
      </c>
      <c r="CB363" s="77">
        <f>CA363+150*1</f>
        <v>350</v>
      </c>
      <c r="CC363" s="77">
        <f>CA363+150*2</f>
        <v>500</v>
      </c>
      <c r="CD363" s="77">
        <f>CA363+150*3</f>
        <v>650</v>
      </c>
      <c r="CE363" s="77">
        <f>CA363+150*4</f>
        <v>800</v>
      </c>
      <c r="CF363" s="77">
        <f>CE363+90</f>
        <v>890</v>
      </c>
      <c r="CG363" s="77">
        <f>CE363+90*2</f>
        <v>980</v>
      </c>
      <c r="DM363" s="77">
        <f>PI()*8*8/4*2</f>
        <v>100.53096491487338</v>
      </c>
      <c r="DN363" s="77">
        <f>PI()*8*8/4*2</f>
        <v>100.53096491487338</v>
      </c>
      <c r="DO363" s="77">
        <f>PI()*8*8/4*2</f>
        <v>100.53096491487338</v>
      </c>
      <c r="DP363" s="77">
        <f>PI()*6*6/4*2</f>
        <v>56.548667764616276</v>
      </c>
      <c r="DQ363" s="77">
        <f>PI()*6*6/4*2</f>
        <v>56.548667764616276</v>
      </c>
      <c r="DR363" s="77">
        <f>PI()*6*6/4*2</f>
        <v>56.548667764616276</v>
      </c>
      <c r="DS363" s="77">
        <f>PI()*8*8/4*2</f>
        <v>100.53096491487338</v>
      </c>
      <c r="DT363" s="77">
        <f>PI()*8*8/4*2</f>
        <v>100.53096491487338</v>
      </c>
      <c r="DU363" s="77">
        <f>PI()*8*8/4*2</f>
        <v>100.53096491487338</v>
      </c>
      <c r="FA363" s="77">
        <f t="shared" si="1067"/>
        <v>-41217.695615098084</v>
      </c>
      <c r="FB363" s="77">
        <f t="shared" si="1068"/>
        <v>-41217.695615098084</v>
      </c>
      <c r="FC363" s="77">
        <f t="shared" si="1069"/>
        <v>-35037.475485047682</v>
      </c>
      <c r="FD363" s="77">
        <f>IF(ABS(-$BV363*($BS363-CB363)/$BS363*$BX363)&gt;$BA363,$BA363*SIGN(-($BS363-CB363)),-$BV363*($BS363-CB363)/$BS363*$BX363)*DP363</f>
        <v>-6498.4243871087574</v>
      </c>
      <c r="FE363" s="77">
        <f t="shared" si="1080"/>
        <v>6711.7311861218077</v>
      </c>
      <c r="FF363" s="77">
        <f t="shared" ref="FF363:FF373" si="1084">IF(ABS(-$BV363*($BS363-CD363)/$BS363*$BX363)&gt;$BA363,$BA363*SIGN(-($BS363-CD363)),-$BV363*($BS363-CD363)/$BS363*$BX363)*DR363</f>
        <v>16003.272977386407</v>
      </c>
      <c r="FG363" s="77">
        <f>IF(ABS(-$BV363*($BS363-CE363)/$BS363*$BX363)&gt;$BB363,$BB363*SIGN(-($BS363-CE363)),-$BV363*($BS363-CE363)/$BS363*$BX363)*DS363</f>
        <v>41217.695615098084</v>
      </c>
      <c r="FH363" s="77">
        <f>IF(ABS(-$BV363*($BS363-CF363)/$BS363*$BX363)&gt;$BB363,$BB363*SIGN(-($BS363-CF363)),-$BV363*($BS363-CF363)/$BS363*$BX363)*DT363</f>
        <v>41217.695615098084</v>
      </c>
      <c r="FI363" s="77">
        <f>IF(ABS(-$BV363*($BS363-CG363)/$BS363*$BX363)&gt;$BB363,$BB363*SIGN(-($BS363-CG363)),-$BV363*($BS363-CG363)/$BS363*$BX363)*DU363</f>
        <v>41217.695615098084</v>
      </c>
      <c r="GO363" s="77">
        <f t="shared" si="1038"/>
        <v>19784493.895247079</v>
      </c>
      <c r="GP363" s="77">
        <f t="shared" si="1039"/>
        <v>16074901.289888253</v>
      </c>
      <c r="GQ363" s="77">
        <f t="shared" si="1040"/>
        <v>10511242.645514304</v>
      </c>
      <c r="GR363" s="77">
        <f t="shared" si="1041"/>
        <v>974763.6580663136</v>
      </c>
      <c r="GS363" s="77">
        <f t="shared" si="1057"/>
        <v>0</v>
      </c>
      <c r="GT363" s="77">
        <f t="shared" ref="GT363:GT373" si="1085">FF363*(CD363-0.5*$AO363)</f>
        <v>2400490.9466079609</v>
      </c>
      <c r="GU363" s="77">
        <f t="shared" ref="GU363:GU373" si="1086">FG363*(CE363-0.5*$AO363)</f>
        <v>12365308.684529426</v>
      </c>
      <c r="GV363" s="77">
        <f t="shared" ref="GV363:GV373" si="1087">FH363*(CF363-0.5*$AO363)</f>
        <v>16074901.289888253</v>
      </c>
      <c r="GW363" s="77">
        <f t="shared" ref="GW363:GW373" si="1088">FI363*(CG363-0.5*$AO363)</f>
        <v>19784493.895247079</v>
      </c>
      <c r="IC363" s="82">
        <v>385</v>
      </c>
    </row>
    <row r="364" spans="1:237" s="77" customFormat="1">
      <c r="A364" s="77">
        <v>364</v>
      </c>
      <c r="C364" s="122" t="s">
        <v>383</v>
      </c>
      <c r="D364" s="122" t="s">
        <v>389</v>
      </c>
      <c r="E364" s="125">
        <v>1</v>
      </c>
      <c r="F364" s="125">
        <f t="shared" si="1072"/>
        <v>7.4181752787435565E-2</v>
      </c>
      <c r="G364" s="122">
        <v>5.0380952380952382E-3</v>
      </c>
      <c r="H364" s="122">
        <v>1.4328571428571428E-2</v>
      </c>
      <c r="I364" s="122">
        <f>49.35/AU364</f>
        <v>2.9029411764705883E-2</v>
      </c>
      <c r="J364" s="122">
        <v>2.2000000000000002</v>
      </c>
      <c r="K364" s="125">
        <f t="shared" ref="K364:K395" si="1089">AO364/AT364</f>
        <v>8.3333333333333339</v>
      </c>
      <c r="L364" s="125">
        <f t="shared" ref="L364:L395" si="1090">BD364*BA364/AK364</f>
        <v>4.6263204568771296E-2</v>
      </c>
      <c r="M364" s="125">
        <f t="shared" ref="M364:M395" si="1091">BE364*BA364/AK364</f>
        <v>9.2526409137542578E-2</v>
      </c>
      <c r="N364" s="125">
        <f t="shared" ref="N364:N395" si="1092">BF364*BB364/AK364</f>
        <v>0.51345162450545501</v>
      </c>
      <c r="O364" s="125">
        <f t="shared" ref="O364:O395" si="1093">BG364*BC364/AK364</f>
        <v>4.9964260934272996E-2</v>
      </c>
      <c r="P364" s="122">
        <v>0.2</v>
      </c>
      <c r="Q364" s="122" t="s">
        <v>3</v>
      </c>
      <c r="R364" s="133">
        <v>0</v>
      </c>
      <c r="S364" s="75">
        <f t="shared" si="980"/>
        <v>0.60597002920755583</v>
      </c>
      <c r="T364" s="59">
        <f t="shared" si="959"/>
        <v>1.206267452600609</v>
      </c>
      <c r="U364" s="59">
        <f t="shared" si="960"/>
        <v>0.93470375739503408</v>
      </c>
      <c r="V364" s="59">
        <f t="shared" si="961"/>
        <v>1.4280734022084338</v>
      </c>
      <c r="W364" s="59">
        <f t="shared" si="962"/>
        <v>1.1838779195522771</v>
      </c>
      <c r="X364" s="59">
        <f t="shared" si="963"/>
        <v>1.5278353070799595</v>
      </c>
      <c r="Y364" s="127">
        <v>594000</v>
      </c>
      <c r="Z364" s="57">
        <f t="shared" si="964"/>
        <v>907534.17240549589</v>
      </c>
      <c r="AA364" s="57">
        <f t="shared" si="965"/>
        <v>703223.48421405256</v>
      </c>
      <c r="AB364" s="57">
        <f t="shared" si="1060"/>
        <v>988166.29861621943</v>
      </c>
      <c r="AC364" s="57">
        <f t="shared" si="966"/>
        <v>0.17</v>
      </c>
      <c r="AD364" s="57">
        <f t="shared" si="967"/>
        <v>2.2000000000000002</v>
      </c>
      <c r="AE364" s="57">
        <f t="shared" si="968"/>
        <v>1601471.9999999998</v>
      </c>
      <c r="AF364" s="57">
        <f t="shared" si="969"/>
        <v>204243.87189050639</v>
      </c>
      <c r="AG364" s="57">
        <f t="shared" si="1058"/>
        <v>498979.61232354614</v>
      </c>
      <c r="AH364" s="57">
        <f t="shared" si="1061"/>
        <v>1116777741.9521694</v>
      </c>
      <c r="AI364" s="77">
        <f t="shared" si="1062"/>
        <v>563104965.69540358</v>
      </c>
      <c r="AJ364" s="77">
        <v>2107200</v>
      </c>
      <c r="AK364" s="77">
        <f>87.8*0.76</f>
        <v>66.727999999999994</v>
      </c>
      <c r="AL364" s="78">
        <f t="shared" si="970"/>
        <v>4.6293400089372208</v>
      </c>
      <c r="AM364" s="57">
        <f t="shared" si="971"/>
        <v>0.94</v>
      </c>
      <c r="AN364" s="57">
        <f t="shared" si="972"/>
        <v>0.74</v>
      </c>
      <c r="AO364" s="77">
        <v>1000</v>
      </c>
      <c r="AP364" s="79">
        <v>200</v>
      </c>
      <c r="AQ364" s="57">
        <f t="shared" si="973"/>
        <v>158.14411515862213</v>
      </c>
      <c r="AR364" s="57">
        <f t="shared" si="1063"/>
        <v>600</v>
      </c>
      <c r="AS364" s="57">
        <f t="shared" si="974"/>
        <v>841.85588484137793</v>
      </c>
      <c r="AT364" s="77">
        <v>120</v>
      </c>
      <c r="AU364" s="77">
        <v>1700</v>
      </c>
      <c r="AV364" s="57">
        <f t="shared" si="975"/>
        <v>120000</v>
      </c>
      <c r="AW364" s="77">
        <v>0</v>
      </c>
      <c r="AX364" s="77">
        <f t="shared" si="976"/>
        <v>120000</v>
      </c>
      <c r="AY364" s="77">
        <f t="shared" si="1064"/>
        <v>120000</v>
      </c>
      <c r="AZ364" s="77">
        <f t="shared" si="1044"/>
        <v>283</v>
      </c>
      <c r="BA364" s="77">
        <v>283</v>
      </c>
      <c r="BB364" s="77">
        <v>452</v>
      </c>
      <c r="BC364" s="77">
        <v>283</v>
      </c>
      <c r="BD364" s="77">
        <f>(2*PI()*10*10*5)/(4*600*120)</f>
        <v>1.0908307824964561E-2</v>
      </c>
      <c r="BE364" s="77">
        <f>(2*PI()*10*10)/(4*60*120)</f>
        <v>2.1816615649929118E-2</v>
      </c>
      <c r="BF364" s="77">
        <v>7.5800000000000006E-2</v>
      </c>
      <c r="BG364" s="77">
        <f>(2*PI()*6*6)/(4*40*120)</f>
        <v>1.1780972450961723E-2</v>
      </c>
      <c r="BH364" s="79">
        <v>60</v>
      </c>
      <c r="BI364" s="79">
        <f>PI()*10*10/4</f>
        <v>78.539816339744831</v>
      </c>
      <c r="BJ364" s="79">
        <v>2</v>
      </c>
      <c r="BK364" s="57">
        <f t="shared" si="1059"/>
        <v>157.07963267948966</v>
      </c>
      <c r="BL364" s="57">
        <f t="shared" si="1018"/>
        <v>785.39816339744834</v>
      </c>
      <c r="BM364" s="80">
        <f>PI()*18*18/4+PI()*16*16/4</f>
        <v>455.53093477051999</v>
      </c>
      <c r="BN364" s="80">
        <v>4</v>
      </c>
      <c r="BO364" s="57">
        <f t="shared" si="1065"/>
        <v>1822.12373908208</v>
      </c>
      <c r="BP364" s="57">
        <f t="shared" si="977"/>
        <v>848275.60091180971</v>
      </c>
      <c r="BQ364" s="77">
        <f t="shared" si="978"/>
        <v>5.8207660913467407E-10</v>
      </c>
      <c r="BR364" s="57">
        <f t="shared" si="1022"/>
        <v>1442068521.5500765</v>
      </c>
      <c r="BS364" s="57">
        <v>316.28823031724426</v>
      </c>
      <c r="BT364" s="57">
        <f t="shared" si="981"/>
        <v>429.35445555589808</v>
      </c>
      <c r="BU364" s="57"/>
      <c r="BV364" s="57">
        <v>3.3E-3</v>
      </c>
      <c r="BW364" s="57">
        <v>30000</v>
      </c>
      <c r="BX364" s="57">
        <v>200000</v>
      </c>
      <c r="BY364" s="77">
        <f>20</f>
        <v>20</v>
      </c>
      <c r="BZ364" s="77">
        <f>BY364+60*1</f>
        <v>80</v>
      </c>
      <c r="CA364" s="77">
        <f>BY364+60*2</f>
        <v>140</v>
      </c>
      <c r="CB364" s="77">
        <f>BY364+60*3</f>
        <v>200</v>
      </c>
      <c r="CC364" s="77">
        <f>CB364+100*1</f>
        <v>300</v>
      </c>
      <c r="CD364" s="77">
        <f>CB364+100*2</f>
        <v>400</v>
      </c>
      <c r="CE364" s="77">
        <f>CB364+100*3</f>
        <v>500</v>
      </c>
      <c r="CF364" s="77">
        <f>CB364+100*4</f>
        <v>600</v>
      </c>
      <c r="CG364" s="77">
        <f>CB364+100*5</f>
        <v>700</v>
      </c>
      <c r="CH364" s="77">
        <f>CB364+100*6</f>
        <v>800</v>
      </c>
      <c r="CI364" s="77">
        <f>CH364+60*1</f>
        <v>860</v>
      </c>
      <c r="CJ364" s="77">
        <f>CH364+60*2</f>
        <v>920</v>
      </c>
      <c r="CK364" s="77">
        <f>CH364+60*3</f>
        <v>980</v>
      </c>
      <c r="DM364" s="77">
        <f>PI()*18*18/4*2</f>
        <v>508.93800988154646</v>
      </c>
      <c r="DN364" s="77">
        <f>PI()*18*18/4*2</f>
        <v>508.93800988154646</v>
      </c>
      <c r="DO364" s="77">
        <f>PI()*16*16/4*2</f>
        <v>402.12385965949352</v>
      </c>
      <c r="DP364" s="77">
        <f>PI()*16*16/4*2</f>
        <v>402.12385965949352</v>
      </c>
      <c r="DQ364" s="77">
        <f t="shared" ref="DQ364:DU366" si="1094">PI()*10*10/4*2</f>
        <v>157.07963267948966</v>
      </c>
      <c r="DR364" s="77">
        <f t="shared" si="1094"/>
        <v>157.07963267948966</v>
      </c>
      <c r="DS364" s="77">
        <f t="shared" si="1094"/>
        <v>157.07963267948966</v>
      </c>
      <c r="DT364" s="77">
        <f t="shared" si="1094"/>
        <v>157.07963267948966</v>
      </c>
      <c r="DU364" s="77">
        <f t="shared" si="1094"/>
        <v>157.07963267948966</v>
      </c>
      <c r="DV364" s="77">
        <f>PI()*16*16/4*2</f>
        <v>402.12385965949352</v>
      </c>
      <c r="DW364" s="77">
        <f>PI()*16*16/4*2</f>
        <v>402.12385965949352</v>
      </c>
      <c r="DX364" s="77">
        <f>PI()*18*18/4*2</f>
        <v>508.93800988154646</v>
      </c>
      <c r="DY364" s="77">
        <f>PI()*18*18/4*2</f>
        <v>508.93800988154646</v>
      </c>
      <c r="FA364" s="77">
        <f t="shared" si="1067"/>
        <v>-230039.980466459</v>
      </c>
      <c r="FB364" s="77">
        <f t="shared" si="1068"/>
        <v>-230039.980466459</v>
      </c>
      <c r="FC364" s="77">
        <f t="shared" si="1069"/>
        <v>-147925.84700657779</v>
      </c>
      <c r="FD364" s="77">
        <f>IF(ABS(-$BV364*($BS364-CB364)/$BS364*$BX364)&gt;$BB364,$BB364*SIGN(-($BS364-CB364)),-$BV364*($BS364-CB364)/$BS364*$BX364)*DP364</f>
        <v>-97579.032562854438</v>
      </c>
      <c r="FE364" s="77">
        <f t="shared" si="1080"/>
        <v>-5338.9356080659281</v>
      </c>
      <c r="FF364" s="77">
        <f t="shared" si="1084"/>
        <v>27438.938378733157</v>
      </c>
      <c r="FG364" s="77">
        <f t="shared" ref="FG364:FG373" si="1095">IF(ABS(-$BV364*($BS364-CE364)/$BS364*$BX364)&gt;$BA364,$BA364*SIGN(-($BS364-CE364)),-$BV364*($BS364-CE364)/$BS364*$BX364)*DS364</f>
        <v>44453.536048295573</v>
      </c>
      <c r="FH364" s="77">
        <f t="shared" ref="FH364:FH373" si="1096">IF(ABS(-$BV364*($BS364-CF364)/$BS364*$BX364)&gt;$BA364,$BA364*SIGN(-($BS364-CF364)),-$BV364*($BS364-CF364)/$BS364*$BX364)*DT364</f>
        <v>44453.536048295573</v>
      </c>
      <c r="FI364" s="77">
        <f t="shared" ref="FI364:FI373" si="1097">IF(ABS(-$BV364*($BS364-CG364)/$BS364*$BX364)&gt;$BA364,$BA364*SIGN(-($BS364-CG364)),-$BV364*($BS364-CG364)/$BS364*$BX364)*DU364</f>
        <v>44453.536048295573</v>
      </c>
      <c r="FJ364" s="77">
        <f t="shared" ref="FJ364:FM365" si="1098">IF(ABS(-$BV364*($BS364-CH364)/$BS364*$BX364)&gt;$BB364,$BB364*SIGN(-($BS364-CH364)),-$BV364*($BS364-CH364)/$BS364*$BX364)*DV364</f>
        <v>181759.98456609107</v>
      </c>
      <c r="FK364" s="77">
        <f t="shared" si="1098"/>
        <v>181759.98456609107</v>
      </c>
      <c r="FL364" s="77">
        <f t="shared" si="1098"/>
        <v>230039.980466459</v>
      </c>
      <c r="FM364" s="77">
        <f t="shared" si="1098"/>
        <v>230039.980466459</v>
      </c>
      <c r="GO364" s="77">
        <f t="shared" si="1038"/>
        <v>110419190.62390032</v>
      </c>
      <c r="GP364" s="77">
        <f t="shared" si="1039"/>
        <v>96616791.795912787</v>
      </c>
      <c r="GQ364" s="77">
        <f t="shared" si="1040"/>
        <v>53253304.922368005</v>
      </c>
      <c r="GR364" s="77">
        <f t="shared" si="1041"/>
        <v>29273709.768856332</v>
      </c>
      <c r="GS364" s="77">
        <f t="shared" si="1057"/>
        <v>1067787.1216131856</v>
      </c>
      <c r="GT364" s="77">
        <f t="shared" si="1085"/>
        <v>-2743893.8378733159</v>
      </c>
      <c r="GU364" s="77">
        <f t="shared" si="1086"/>
        <v>0</v>
      </c>
      <c r="GV364" s="77">
        <f t="shared" si="1087"/>
        <v>4445353.6048295572</v>
      </c>
      <c r="GW364" s="77">
        <f t="shared" si="1088"/>
        <v>8890707.2096591145</v>
      </c>
      <c r="GX364" s="77">
        <f t="shared" ref="GX364:HA368" si="1099">FJ364*(CH364-0.5*$AO364)</f>
        <v>54527995.369827323</v>
      </c>
      <c r="GY364" s="77">
        <f t="shared" si="1099"/>
        <v>65433594.443792783</v>
      </c>
      <c r="GZ364" s="77">
        <f t="shared" si="1099"/>
        <v>96616791.795912787</v>
      </c>
      <c r="HA364" s="77">
        <f t="shared" si="1099"/>
        <v>110419190.62390032</v>
      </c>
      <c r="IC364" s="82">
        <v>386</v>
      </c>
    </row>
    <row r="365" spans="1:237" s="77" customFormat="1">
      <c r="A365" s="77">
        <v>365</v>
      </c>
      <c r="C365" s="122" t="s">
        <v>383</v>
      </c>
      <c r="D365" s="122" t="s">
        <v>390</v>
      </c>
      <c r="E365" s="125">
        <v>1</v>
      </c>
      <c r="F365" s="125">
        <f t="shared" si="1072"/>
        <v>8.2923710186628308E-2</v>
      </c>
      <c r="G365" s="122">
        <v>4.9238095238095239E-3</v>
      </c>
      <c r="H365" s="122">
        <v>1.4228571428571427E-2</v>
      </c>
      <c r="I365" s="122">
        <f>42.91/AU365</f>
        <v>1.9504545454545451E-2</v>
      </c>
      <c r="J365" s="122">
        <v>2.2000000000000002</v>
      </c>
      <c r="K365" s="125">
        <f t="shared" si="1089"/>
        <v>8.3333333333333339</v>
      </c>
      <c r="L365" s="125">
        <f t="shared" si="1090"/>
        <v>5.9341142256056467E-2</v>
      </c>
      <c r="M365" s="125">
        <f t="shared" si="1091"/>
        <v>0.11868228451211291</v>
      </c>
      <c r="N365" s="125">
        <f t="shared" si="1092"/>
        <v>0.51345162450545501</v>
      </c>
      <c r="O365" s="125">
        <f t="shared" si="1093"/>
        <v>4.9964260934272996E-2</v>
      </c>
      <c r="P365" s="122">
        <v>0.28000000000000003</v>
      </c>
      <c r="Q365" s="122" t="s">
        <v>3</v>
      </c>
      <c r="R365" s="133">
        <v>0</v>
      </c>
      <c r="S365" s="75">
        <f t="shared" si="980"/>
        <v>0.67738063871012977</v>
      </c>
      <c r="T365" s="59">
        <f t="shared" si="959"/>
        <v>0.89085446720200157</v>
      </c>
      <c r="U365" s="59">
        <f t="shared" si="960"/>
        <v>0.63951149755626591</v>
      </c>
      <c r="V365" s="59">
        <f t="shared" si="961"/>
        <v>1.0757793863239811</v>
      </c>
      <c r="W365" s="59">
        <f t="shared" si="962"/>
        <v>1.2075815140746751</v>
      </c>
      <c r="X365" s="59">
        <f t="shared" si="963"/>
        <v>1.6821892810915899</v>
      </c>
      <c r="Y365" s="127">
        <v>664000</v>
      </c>
      <c r="Z365" s="57">
        <f t="shared" si="964"/>
        <v>1116973.6826448156</v>
      </c>
      <c r="AA365" s="57">
        <f t="shared" si="965"/>
        <v>801834.12534558424</v>
      </c>
      <c r="AB365" s="57">
        <f t="shared" si="1060"/>
        <v>695319.20951167983</v>
      </c>
      <c r="AC365" s="57">
        <f t="shared" si="966"/>
        <v>0.17</v>
      </c>
      <c r="AD365" s="57">
        <f t="shared" si="967"/>
        <v>2.2000000000000002</v>
      </c>
      <c r="AE365" s="57">
        <f t="shared" si="968"/>
        <v>1601471.9999999998</v>
      </c>
      <c r="AF365" s="57">
        <f t="shared" si="969"/>
        <v>198017.16842976227</v>
      </c>
      <c r="AG365" s="57">
        <f t="shared" si="1058"/>
        <v>603816.956915822</v>
      </c>
      <c r="AH365" s="57">
        <f t="shared" si="1061"/>
        <v>1045065385.825078</v>
      </c>
      <c r="AI365" s="77">
        <f t="shared" si="1062"/>
        <v>484636875.10061765</v>
      </c>
      <c r="AJ365" s="77">
        <v>2950080</v>
      </c>
      <c r="AK365" s="77">
        <f>87.8*0.76</f>
        <v>66.727999999999994</v>
      </c>
      <c r="AL365" s="78">
        <f t="shared" si="970"/>
        <v>4.6293400089372208</v>
      </c>
      <c r="AM365" s="57">
        <f t="shared" si="971"/>
        <v>0.94</v>
      </c>
      <c r="AN365" s="57">
        <f t="shared" si="972"/>
        <v>0.74</v>
      </c>
      <c r="AO365" s="77">
        <v>1000</v>
      </c>
      <c r="AP365" s="79">
        <v>200</v>
      </c>
      <c r="AQ365" s="57">
        <f t="shared" si="973"/>
        <v>205.78137672843766</v>
      </c>
      <c r="AR365" s="57">
        <f t="shared" si="1063"/>
        <v>600</v>
      </c>
      <c r="AS365" s="57">
        <f t="shared" si="974"/>
        <v>794.21862327156236</v>
      </c>
      <c r="AT365" s="77">
        <v>120</v>
      </c>
      <c r="AU365" s="77">
        <v>2200</v>
      </c>
      <c r="AV365" s="57">
        <f t="shared" si="975"/>
        <v>120000</v>
      </c>
      <c r="AW365" s="77">
        <v>0</v>
      </c>
      <c r="AX365" s="77">
        <f t="shared" si="976"/>
        <v>120000</v>
      </c>
      <c r="AY365" s="77">
        <f t="shared" si="1064"/>
        <v>120000</v>
      </c>
      <c r="AZ365" s="77">
        <f t="shared" si="1044"/>
        <v>363</v>
      </c>
      <c r="BA365" s="77">
        <v>363</v>
      </c>
      <c r="BB365" s="77">
        <v>452</v>
      </c>
      <c r="BC365" s="77">
        <v>283</v>
      </c>
      <c r="BD365" s="77">
        <f>(2*PI()*10*10*5)/(4*600*120)</f>
        <v>1.0908307824964561E-2</v>
      </c>
      <c r="BE365" s="77">
        <f>(2*PI()*10*10)/(4*60*120)</f>
        <v>2.1816615649929118E-2</v>
      </c>
      <c r="BF365" s="77">
        <v>7.5800000000000006E-2</v>
      </c>
      <c r="BG365" s="77">
        <f>(2*PI()*6*6)/(4*40*120)</f>
        <v>1.1780972450961723E-2</v>
      </c>
      <c r="BH365" s="79">
        <v>60</v>
      </c>
      <c r="BI365" s="79">
        <f>PI()*10*10/4</f>
        <v>78.539816339744831</v>
      </c>
      <c r="BJ365" s="79">
        <v>2</v>
      </c>
      <c r="BK365" s="57">
        <f t="shared" si="1059"/>
        <v>157.07963267948966</v>
      </c>
      <c r="BL365" s="57">
        <f t="shared" si="1018"/>
        <v>785.39816339744834</v>
      </c>
      <c r="BM365" s="80">
        <f>PI()*18*18/4+PI()*16*16/4</f>
        <v>455.53093477051999</v>
      </c>
      <c r="BN365" s="80">
        <v>4</v>
      </c>
      <c r="BO365" s="57">
        <f t="shared" si="1065"/>
        <v>1822.12373908208</v>
      </c>
      <c r="BP365" s="57">
        <f t="shared" si="977"/>
        <v>714317.51251912338</v>
      </c>
      <c r="BQ365" s="77">
        <f t="shared" si="978"/>
        <v>2.5611370801925659E-9</v>
      </c>
      <c r="BR365" s="57">
        <f t="shared" si="1022"/>
        <v>1571498527.5420713</v>
      </c>
      <c r="BS365" s="57">
        <v>411.56275345687533</v>
      </c>
      <c r="BT365" s="57">
        <f t="shared" si="981"/>
        <v>434.72124164853579</v>
      </c>
      <c r="BU365" s="57"/>
      <c r="BV365" s="57">
        <v>3.3E-3</v>
      </c>
      <c r="BW365" s="57">
        <v>30000</v>
      </c>
      <c r="BX365" s="57">
        <v>200000</v>
      </c>
      <c r="BY365" s="77">
        <f>20</f>
        <v>20</v>
      </c>
      <c r="BZ365" s="77">
        <f>BY365+60*1</f>
        <v>80</v>
      </c>
      <c r="CA365" s="77">
        <f>BY365+60*2</f>
        <v>140</v>
      </c>
      <c r="CB365" s="77">
        <f>BY365+60*3</f>
        <v>200</v>
      </c>
      <c r="CC365" s="77">
        <f>CB365+100*1</f>
        <v>300</v>
      </c>
      <c r="CD365" s="77">
        <f>CB365+100*2</f>
        <v>400</v>
      </c>
      <c r="CE365" s="77">
        <f>CB365+100*3</f>
        <v>500</v>
      </c>
      <c r="CF365" s="77">
        <f>CB365+100*4</f>
        <v>600</v>
      </c>
      <c r="CG365" s="77">
        <f>CB365+100*5</f>
        <v>700</v>
      </c>
      <c r="CH365" s="77">
        <f>CB365+100*6</f>
        <v>800</v>
      </c>
      <c r="CI365" s="77">
        <f>CH365+60*1</f>
        <v>860</v>
      </c>
      <c r="CJ365" s="77">
        <f>CH365+60*2</f>
        <v>920</v>
      </c>
      <c r="CK365" s="77">
        <f>CH365+60*3</f>
        <v>980</v>
      </c>
      <c r="DM365" s="77">
        <f>PI()*18*18/4*2</f>
        <v>508.93800988154646</v>
      </c>
      <c r="DN365" s="77">
        <f>PI()*18*18/4*2</f>
        <v>508.93800988154646</v>
      </c>
      <c r="DO365" s="77">
        <f>PI()*16*16/4*2</f>
        <v>402.12385965949352</v>
      </c>
      <c r="DP365" s="77">
        <f>PI()*16*16/4*2</f>
        <v>402.12385965949352</v>
      </c>
      <c r="DQ365" s="77">
        <f t="shared" si="1094"/>
        <v>157.07963267948966</v>
      </c>
      <c r="DR365" s="77">
        <f t="shared" si="1094"/>
        <v>157.07963267948966</v>
      </c>
      <c r="DS365" s="77">
        <f t="shared" si="1094"/>
        <v>157.07963267948966</v>
      </c>
      <c r="DT365" s="77">
        <f t="shared" si="1094"/>
        <v>157.07963267948966</v>
      </c>
      <c r="DU365" s="77">
        <f t="shared" si="1094"/>
        <v>157.07963267948966</v>
      </c>
      <c r="DV365" s="77">
        <f>PI()*16*16/4*2</f>
        <v>402.12385965949352</v>
      </c>
      <c r="DW365" s="77">
        <f>PI()*16*16/4*2</f>
        <v>402.12385965949352</v>
      </c>
      <c r="DX365" s="77">
        <f>PI()*18*18/4*2</f>
        <v>508.93800988154646</v>
      </c>
      <c r="DY365" s="77">
        <f>PI()*18*18/4*2</f>
        <v>508.93800988154646</v>
      </c>
      <c r="FA365" s="77">
        <f t="shared" si="1067"/>
        <v>-230039.980466459</v>
      </c>
      <c r="FB365" s="77">
        <f t="shared" si="1068"/>
        <v>-230039.980466459</v>
      </c>
      <c r="FC365" s="77">
        <f t="shared" si="1069"/>
        <v>-175120.87448177021</v>
      </c>
      <c r="FD365" s="77">
        <f>IF(ABS(-$BV365*($BS365-CB365)/$BS365*$BX365)&gt;$BB365,$BB365*SIGN(-($BS365-CB365)),-$BV365*($BS365-CB365)/$BS365*$BX365)*DP365</f>
        <v>-136429.07181312924</v>
      </c>
      <c r="FE365" s="77">
        <f t="shared" si="1080"/>
        <v>-28102.630481273834</v>
      </c>
      <c r="FF365" s="77">
        <f t="shared" si="1084"/>
        <v>-2912.6547855440504</v>
      </c>
      <c r="FG365" s="77">
        <f t="shared" si="1095"/>
        <v>22277.320910185732</v>
      </c>
      <c r="FH365" s="77">
        <f t="shared" si="1096"/>
        <v>47467.296605915508</v>
      </c>
      <c r="FI365" s="77">
        <f t="shared" si="1097"/>
        <v>57019.90666265475</v>
      </c>
      <c r="FJ365" s="77">
        <f t="shared" si="1098"/>
        <v>181759.98456609107</v>
      </c>
      <c r="FK365" s="77">
        <f t="shared" si="1098"/>
        <v>181759.98456609107</v>
      </c>
      <c r="FL365" s="77">
        <f t="shared" si="1098"/>
        <v>230039.980466459</v>
      </c>
      <c r="FM365" s="77">
        <f t="shared" si="1098"/>
        <v>230039.980466459</v>
      </c>
      <c r="GO365" s="77">
        <f t="shared" si="1038"/>
        <v>110419190.62390032</v>
      </c>
      <c r="GP365" s="77">
        <f t="shared" si="1039"/>
        <v>96616791.795912787</v>
      </c>
      <c r="GQ365" s="77">
        <f t="shared" si="1040"/>
        <v>63043514.813437276</v>
      </c>
      <c r="GR365" s="77">
        <f t="shared" si="1041"/>
        <v>40928721.543938771</v>
      </c>
      <c r="GS365" s="77">
        <f t="shared" si="1057"/>
        <v>5620526.0962547669</v>
      </c>
      <c r="GT365" s="77">
        <f t="shared" si="1085"/>
        <v>291265.47855440504</v>
      </c>
      <c r="GU365" s="77">
        <f t="shared" si="1086"/>
        <v>0</v>
      </c>
      <c r="GV365" s="77">
        <f t="shared" si="1087"/>
        <v>4746729.6605915511</v>
      </c>
      <c r="GW365" s="77">
        <f t="shared" si="1088"/>
        <v>11403981.332530949</v>
      </c>
      <c r="GX365" s="77">
        <f t="shared" si="1099"/>
        <v>54527995.369827323</v>
      </c>
      <c r="GY365" s="77">
        <f t="shared" si="1099"/>
        <v>65433594.443792783</v>
      </c>
      <c r="GZ365" s="77">
        <f t="shared" si="1099"/>
        <v>96616791.795912787</v>
      </c>
      <c r="HA365" s="77">
        <f t="shared" si="1099"/>
        <v>110419190.62390032</v>
      </c>
      <c r="IC365" s="82">
        <v>387</v>
      </c>
    </row>
    <row r="366" spans="1:237" s="77" customFormat="1">
      <c r="A366" s="77">
        <v>366</v>
      </c>
      <c r="C366" s="122" t="s">
        <v>383</v>
      </c>
      <c r="D366" s="122" t="s">
        <v>391</v>
      </c>
      <c r="E366" s="125">
        <v>1</v>
      </c>
      <c r="F366" s="125">
        <f t="shared" si="1072"/>
        <v>9.5104811265943029E-2</v>
      </c>
      <c r="G366" s="122">
        <v>4.8857142857142858E-3</v>
      </c>
      <c r="H366" s="122">
        <v>1.3666666666666666E-2</v>
      </c>
      <c r="I366" s="122">
        <f>52.17/AU366</f>
        <v>2.3713636363636364E-2</v>
      </c>
      <c r="J366" s="122">
        <v>2.2000000000000002</v>
      </c>
      <c r="K366" s="125">
        <f t="shared" si="1089"/>
        <v>10</v>
      </c>
      <c r="L366" s="125">
        <f t="shared" si="1090"/>
        <v>8.5451244848721311E-2</v>
      </c>
      <c r="M366" s="125">
        <f t="shared" si="1091"/>
        <v>0.1424187414145355</v>
      </c>
      <c r="N366" s="125">
        <f t="shared" si="1092"/>
        <v>0.55002997242536866</v>
      </c>
      <c r="O366" s="125">
        <f t="shared" si="1093"/>
        <v>5.9957113121127587E-2</v>
      </c>
      <c r="P366" s="122">
        <v>0.26</v>
      </c>
      <c r="Q366" s="122" t="s">
        <v>28</v>
      </c>
      <c r="R366" s="133">
        <f t="shared" ref="R366:R373" si="1100">AW366/AY366</f>
        <v>0.46153846153846156</v>
      </c>
      <c r="S366" s="75">
        <f t="shared" si="980"/>
        <v>0.77688465283019981</v>
      </c>
      <c r="T366" s="59">
        <f t="shared" si="959"/>
        <v>1.1382485468173347</v>
      </c>
      <c r="U366" s="59">
        <f t="shared" si="960"/>
        <v>0.74908011263559016</v>
      </c>
      <c r="V366" s="59">
        <f t="shared" si="961"/>
        <v>0.9889673727518612</v>
      </c>
      <c r="W366" s="59">
        <f t="shared" si="962"/>
        <v>0.86885010792864203</v>
      </c>
      <c r="X366" s="59">
        <f t="shared" si="963"/>
        <v>1.3202424628151497</v>
      </c>
      <c r="Y366" s="127">
        <v>825000</v>
      </c>
      <c r="Z366" s="57">
        <f t="shared" si="964"/>
        <v>1089200.0318224984</v>
      </c>
      <c r="AA366" s="57">
        <f t="shared" si="965"/>
        <v>716801.33904112969</v>
      </c>
      <c r="AB366" s="57">
        <f t="shared" si="1060"/>
        <v>555483.00177490339</v>
      </c>
      <c r="AC366" s="57">
        <f t="shared" si="966"/>
        <v>0.17</v>
      </c>
      <c r="AD366" s="57">
        <f t="shared" si="967"/>
        <v>2.2000000000000002</v>
      </c>
      <c r="AE366" s="57">
        <f t="shared" si="968"/>
        <v>1734927.9999999998</v>
      </c>
      <c r="AF366" s="57">
        <f t="shared" si="969"/>
        <v>137894.32183986719</v>
      </c>
      <c r="AG366" s="57">
        <f t="shared" si="1058"/>
        <v>578907.01720126253</v>
      </c>
      <c r="AH366" s="57">
        <f t="shared" si="1061"/>
        <v>645860245.06913447</v>
      </c>
      <c r="AI366" s="77">
        <f t="shared" si="1062"/>
        <v>576202358.83565295</v>
      </c>
      <c r="AJ366" s="77">
        <v>2967640</v>
      </c>
      <c r="AK366" s="77">
        <f>87.8*0.76</f>
        <v>66.727999999999994</v>
      </c>
      <c r="AL366" s="78">
        <f t="shared" si="970"/>
        <v>4.6293400089372208</v>
      </c>
      <c r="AM366" s="57">
        <f t="shared" si="971"/>
        <v>0.94</v>
      </c>
      <c r="AN366" s="57">
        <f t="shared" si="972"/>
        <v>0.74</v>
      </c>
      <c r="AO366" s="77">
        <v>1000</v>
      </c>
      <c r="AP366" s="79">
        <v>150</v>
      </c>
      <c r="AQ366" s="57">
        <f t="shared" si="973"/>
        <v>238.54617042838191</v>
      </c>
      <c r="AR366" s="57">
        <f t="shared" si="1063"/>
        <v>700</v>
      </c>
      <c r="AS366" s="57">
        <f t="shared" si="974"/>
        <v>761.45382957161814</v>
      </c>
      <c r="AT366" s="77">
        <v>100</v>
      </c>
      <c r="AU366" s="77">
        <v>2200</v>
      </c>
      <c r="AV366" s="57">
        <f t="shared" si="975"/>
        <v>70000</v>
      </c>
      <c r="AW366" s="77">
        <f>2*150*200</f>
        <v>60000</v>
      </c>
      <c r="AX366" s="77">
        <f t="shared" si="976"/>
        <v>100000</v>
      </c>
      <c r="AY366" s="77">
        <f>700*100+AW366</f>
        <v>130000</v>
      </c>
      <c r="AZ366" s="77">
        <f t="shared" si="1044"/>
        <v>363</v>
      </c>
      <c r="BA366" s="77">
        <v>363</v>
      </c>
      <c r="BB366" s="77">
        <v>452</v>
      </c>
      <c r="BC366" s="77">
        <v>283</v>
      </c>
      <c r="BD366" s="77">
        <f>(2*PI()*10*10*7)/(4*700*100)</f>
        <v>1.5707963267948967E-2</v>
      </c>
      <c r="BE366" s="77">
        <f>(2*PI()*10*10)/(4*60*100)</f>
        <v>2.6179938779914945E-2</v>
      </c>
      <c r="BF366" s="77">
        <v>8.1199999999999994E-2</v>
      </c>
      <c r="BG366" s="77">
        <f>(4*PI()*6*6)/(4*40*200)</f>
        <v>1.4137166941154069E-2</v>
      </c>
      <c r="BH366" s="79">
        <v>60</v>
      </c>
      <c r="BI366" s="79">
        <f>PI()*10*10/4</f>
        <v>78.539816339744831</v>
      </c>
      <c r="BJ366" s="79">
        <v>2</v>
      </c>
      <c r="BK366" s="57">
        <f t="shared" si="1059"/>
        <v>157.07963267948966</v>
      </c>
      <c r="BL366" s="57">
        <f t="shared" si="1018"/>
        <v>1099.5574287564277</v>
      </c>
      <c r="BM366" s="80">
        <f>PI()*18*18/4+PI()*16*16/4+PI()*14*14/4</f>
        <v>609.46897479641984</v>
      </c>
      <c r="BN366" s="80">
        <v>4</v>
      </c>
      <c r="BO366" s="57">
        <f t="shared" si="1065"/>
        <v>2437.8758991856794</v>
      </c>
      <c r="BP366" s="57">
        <f t="shared" si="977"/>
        <v>815898.0825202855</v>
      </c>
      <c r="BQ366" s="77">
        <f t="shared" si="978"/>
        <v>4.3655745685100555E-9</v>
      </c>
      <c r="BR366" s="57">
        <f t="shared" si="1022"/>
        <v>1794975781.5446281</v>
      </c>
      <c r="BS366" s="57">
        <v>477.09234085676383</v>
      </c>
      <c r="BT366" s="57">
        <f t="shared" si="981"/>
        <v>586.08015517309229</v>
      </c>
      <c r="BU366" s="57"/>
      <c r="BV366" s="57">
        <v>3.3E-3</v>
      </c>
      <c r="BW366" s="57">
        <v>30000</v>
      </c>
      <c r="BX366" s="57">
        <v>200000</v>
      </c>
      <c r="BY366" s="77">
        <f>20</f>
        <v>20</v>
      </c>
      <c r="BZ366" s="77">
        <f>BY366+55</f>
        <v>75</v>
      </c>
      <c r="CA366" s="77">
        <f>BY366+55*2</f>
        <v>130</v>
      </c>
      <c r="CB366" s="77">
        <f>CA366+20+50</f>
        <v>200</v>
      </c>
      <c r="CC366" s="77">
        <f>CB366+100*1</f>
        <v>300</v>
      </c>
      <c r="CD366" s="77">
        <f>CB366+100*2</f>
        <v>400</v>
      </c>
      <c r="CE366" s="77">
        <f>CB366+100*3</f>
        <v>500</v>
      </c>
      <c r="CF366" s="77">
        <f>CB366+100*4</f>
        <v>600</v>
      </c>
      <c r="CG366" s="77">
        <f>CB366+100*5</f>
        <v>700</v>
      </c>
      <c r="CH366" s="77">
        <f>CB366+100*6</f>
        <v>800</v>
      </c>
      <c r="CI366" s="77">
        <f>CH366+50+20</f>
        <v>870</v>
      </c>
      <c r="CJ366" s="77">
        <f>CI366+55</f>
        <v>925</v>
      </c>
      <c r="CK366" s="77">
        <f>CI366+55*2</f>
        <v>980</v>
      </c>
      <c r="DM366" s="77">
        <f>PI()*18*18/4*4</f>
        <v>1017.8760197630929</v>
      </c>
      <c r="DN366" s="77">
        <f>PI()*16*16/4*4</f>
        <v>804.24771931898704</v>
      </c>
      <c r="DO366" s="77">
        <f>PI()*14*14/4*4</f>
        <v>615.75216010359941</v>
      </c>
      <c r="DP366" s="77">
        <f>PI()*10*10/4*2</f>
        <v>157.07963267948966</v>
      </c>
      <c r="DQ366" s="77">
        <f t="shared" si="1094"/>
        <v>157.07963267948966</v>
      </c>
      <c r="DR366" s="77">
        <f t="shared" si="1094"/>
        <v>157.07963267948966</v>
      </c>
      <c r="DS366" s="77">
        <f t="shared" si="1094"/>
        <v>157.07963267948966</v>
      </c>
      <c r="DT366" s="77">
        <f t="shared" si="1094"/>
        <v>157.07963267948966</v>
      </c>
      <c r="DU366" s="77">
        <f t="shared" si="1094"/>
        <v>157.07963267948966</v>
      </c>
      <c r="DV366" s="77">
        <f>PI()*10*10/4*2</f>
        <v>157.07963267948966</v>
      </c>
      <c r="DW366" s="77">
        <f>PI()*14*14/4*4</f>
        <v>615.75216010359941</v>
      </c>
      <c r="DX366" s="77">
        <f>PI()*16*16/4*4</f>
        <v>804.24771931898704</v>
      </c>
      <c r="DY366" s="77">
        <f>PI()*18*18/4*4</f>
        <v>1017.8760197630929</v>
      </c>
      <c r="FA366" s="77">
        <f t="shared" si="1067"/>
        <v>-460079.96093291801</v>
      </c>
      <c r="FB366" s="77">
        <f t="shared" si="1068"/>
        <v>-363519.96913218213</v>
      </c>
      <c r="FC366" s="77">
        <f t="shared" si="1069"/>
        <v>-278319.97636682692</v>
      </c>
      <c r="FD366" s="77">
        <f t="shared" ref="FD366:FD392" si="1101">IF(ABS(-$BV366*($BS366-CB366)/$BS366*$BX366)&gt;$BA366,$BA366*SIGN(-($BS366-CB366)),-$BV366*($BS366-CB366)/$BS366*$BX366)*DP366</f>
        <v>-57019.90666265475</v>
      </c>
      <c r="FE366" s="77">
        <f t="shared" si="1080"/>
        <v>-38482.311138000034</v>
      </c>
      <c r="FF366" s="77">
        <f t="shared" si="1084"/>
        <v>-16752.228994512319</v>
      </c>
      <c r="FG366" s="77">
        <f t="shared" si="1095"/>
        <v>4977.8531489753941</v>
      </c>
      <c r="FH366" s="77">
        <f t="shared" si="1096"/>
        <v>26707.935292463106</v>
      </c>
      <c r="FI366" s="77">
        <f t="shared" si="1097"/>
        <v>48438.017435950831</v>
      </c>
      <c r="FJ366" s="77">
        <f>IF(ABS(-$BV366*($BS366-CH366)/$BS366*$BX366)&gt;$BA366,$BA366*SIGN(-($BS366-CH366)),-$BV366*($BS366-CH366)/$BS366*$BX366)*DV366</f>
        <v>57019.90666265475</v>
      </c>
      <c r="FK366" s="77">
        <f>IF(ABS(-$BV366*($BS366-CI366)/$BS366*$BX366)&gt;$BB366,$BB366*SIGN(-($BS366-CI366)),-$BV366*($BS366-CI366)/$BS366*$BX366)*DW366</f>
        <v>278319.97636682692</v>
      </c>
      <c r="FL366" s="77">
        <f>IF(ABS(-$BV366*($BS366-CJ366)/$BS366*$BX366)&gt;$BB366,$BB366*SIGN(-($BS366-CJ366)),-$BV366*($BS366-CJ366)/$BS366*$BX366)*DX366</f>
        <v>363519.96913218213</v>
      </c>
      <c r="FM366" s="77">
        <f>IF(ABS(-$BV366*($BS366-CK366)/$BS366*$BX366)&gt;$BB366,$BB366*SIGN(-($BS366-CK366)),-$BV366*($BS366-CK366)/$BS366*$BX366)*DY366</f>
        <v>460079.96093291801</v>
      </c>
      <c r="GO366" s="77">
        <f t="shared" si="1038"/>
        <v>220838381.24780065</v>
      </c>
      <c r="GP366" s="77">
        <f t="shared" si="1039"/>
        <v>154495986.8811774</v>
      </c>
      <c r="GQ366" s="77">
        <f t="shared" si="1040"/>
        <v>102978391.25572596</v>
      </c>
      <c r="GR366" s="77">
        <f t="shared" si="1041"/>
        <v>17105971.998796426</v>
      </c>
      <c r="GS366" s="77">
        <f t="shared" si="1057"/>
        <v>7696462.2276000064</v>
      </c>
      <c r="GT366" s="77">
        <f t="shared" si="1085"/>
        <v>1675222.899451232</v>
      </c>
      <c r="GU366" s="77">
        <f t="shared" si="1086"/>
        <v>0</v>
      </c>
      <c r="GV366" s="77">
        <f t="shared" si="1087"/>
        <v>2670793.5292463107</v>
      </c>
      <c r="GW366" s="77">
        <f t="shared" si="1088"/>
        <v>9687603.4871901665</v>
      </c>
      <c r="GX366" s="77">
        <f t="shared" si="1099"/>
        <v>17105971.998796426</v>
      </c>
      <c r="GY366" s="77">
        <f t="shared" si="1099"/>
        <v>102978391.25572596</v>
      </c>
      <c r="GZ366" s="77">
        <f t="shared" si="1099"/>
        <v>154495986.8811774</v>
      </c>
      <c r="HA366" s="77">
        <f t="shared" si="1099"/>
        <v>220838381.24780065</v>
      </c>
      <c r="IC366" s="82">
        <v>388</v>
      </c>
    </row>
    <row r="367" spans="1:237" s="77" customFormat="1">
      <c r="A367" s="77">
        <v>367</v>
      </c>
      <c r="C367" s="122" t="s">
        <v>392</v>
      </c>
      <c r="D367" s="122" t="s">
        <v>393</v>
      </c>
      <c r="E367" s="125">
        <v>3</v>
      </c>
      <c r="F367" s="125">
        <f t="shared" si="1072"/>
        <v>5.8894230769230768E-2</v>
      </c>
      <c r="G367" s="122"/>
      <c r="H367" s="122"/>
      <c r="I367" s="122">
        <f>11.62/AU367</f>
        <v>9.683333333333332E-3</v>
      </c>
      <c r="J367" s="122">
        <f t="shared" ref="J367:J391" si="1102">AU367/AO367</f>
        <v>1.3636363636363635</v>
      </c>
      <c r="K367" s="125">
        <f t="shared" si="1089"/>
        <v>11.733333333333333</v>
      </c>
      <c r="L367" s="125">
        <f t="shared" si="1090"/>
        <v>5.4519230769230771E-2</v>
      </c>
      <c r="M367" s="125">
        <f t="shared" si="1091"/>
        <v>2.0336538461538465E-2</v>
      </c>
      <c r="N367" s="125">
        <f t="shared" si="1092"/>
        <v>0.17307692307692307</v>
      </c>
      <c r="O367" s="125">
        <f t="shared" si="1093"/>
        <v>4.8332194670612193E-3</v>
      </c>
      <c r="P367" s="122">
        <f t="shared" ref="P367:P373" si="1103">AJ367/AY367/AK367</f>
        <v>4.3269230769230768E-2</v>
      </c>
      <c r="Q367" s="122" t="s">
        <v>243</v>
      </c>
      <c r="R367" s="134">
        <f t="shared" si="1100"/>
        <v>0.5625</v>
      </c>
      <c r="S367" s="75">
        <f t="shared" si="980"/>
        <v>0.60060566386068859</v>
      </c>
      <c r="T367" s="59">
        <f t="shared" si="959"/>
        <v>3.9266029204232935</v>
      </c>
      <c r="U367" s="59">
        <f t="shared" si="960"/>
        <v>3.459202161533546</v>
      </c>
      <c r="V367" s="59">
        <f t="shared" si="961"/>
        <v>1.4489004454305987</v>
      </c>
      <c r="W367" s="59">
        <f t="shared" si="962"/>
        <v>0.3689959170290652</v>
      </c>
      <c r="X367" s="59">
        <f t="shared" si="963"/>
        <v>0.41885393734498222</v>
      </c>
      <c r="Y367" s="127">
        <v>735000</v>
      </c>
      <c r="Z367" s="57">
        <f t="shared" si="964"/>
        <v>307857.64394856192</v>
      </c>
      <c r="AA367" s="57">
        <f t="shared" si="965"/>
        <v>271211.99901636294</v>
      </c>
      <c r="AB367" s="57">
        <f t="shared" si="1060"/>
        <v>802112.06153755565</v>
      </c>
      <c r="AC367" s="57">
        <f t="shared" si="966"/>
        <v>0.25</v>
      </c>
      <c r="AD367" s="57">
        <f t="shared" si="967"/>
        <v>1.5</v>
      </c>
      <c r="AE367" s="57">
        <f t="shared" si="968"/>
        <v>540000</v>
      </c>
      <c r="AF367" s="57">
        <f t="shared" si="969"/>
        <v>167760.52001038991</v>
      </c>
      <c r="AG367" s="57">
        <f t="shared" si="1058"/>
        <v>103451.47900597304</v>
      </c>
      <c r="AH367" s="57">
        <f t="shared" si="1061"/>
        <v>506838813.82263863</v>
      </c>
      <c r="AI367" s="77">
        <f t="shared" si="1062"/>
        <v>455695660.02242815</v>
      </c>
      <c r="AJ367" s="77">
        <v>540000</v>
      </c>
      <c r="AK367" s="77">
        <v>104</v>
      </c>
      <c r="AL367" s="78">
        <f t="shared" si="970"/>
        <v>5.9090539684385321</v>
      </c>
      <c r="AM367" s="57">
        <f t="shared" si="971"/>
        <v>0.94</v>
      </c>
      <c r="AN367" s="57">
        <f t="shared" si="972"/>
        <v>0.74</v>
      </c>
      <c r="AO367" s="77">
        <f t="shared" ref="AO367:AO373" si="1104">700+180</f>
        <v>880</v>
      </c>
      <c r="AP367" s="79">
        <v>90</v>
      </c>
      <c r="AQ367" s="57">
        <f t="shared" si="973"/>
        <v>66.92275289046691</v>
      </c>
      <c r="AR367" s="57">
        <f t="shared" si="1063"/>
        <v>700</v>
      </c>
      <c r="AS367" s="57">
        <f t="shared" si="974"/>
        <v>813.07724710953312</v>
      </c>
      <c r="AT367" s="77">
        <v>75</v>
      </c>
      <c r="AU367" s="77">
        <v>1200</v>
      </c>
      <c r="AV367" s="57">
        <f t="shared" si="975"/>
        <v>52500</v>
      </c>
      <c r="AW367" s="77">
        <f t="shared" ref="AW367:AW373" si="1105">375*90*2</f>
        <v>67500</v>
      </c>
      <c r="AX367" s="77">
        <f t="shared" si="976"/>
        <v>66000</v>
      </c>
      <c r="AY367" s="77">
        <f t="shared" ref="AY367:AY373" si="1106">700*75+AW367</f>
        <v>120000</v>
      </c>
      <c r="AZ367" s="77">
        <f t="shared" si="1044"/>
        <v>450</v>
      </c>
      <c r="BA367" s="77">
        <v>450</v>
      </c>
      <c r="BB367" s="77">
        <v>450</v>
      </c>
      <c r="BC367" s="77">
        <v>250</v>
      </c>
      <c r="BD367" s="77">
        <v>1.26E-2</v>
      </c>
      <c r="BE367" s="77">
        <v>4.7000000000000002E-3</v>
      </c>
      <c r="BF367" s="77">
        <v>0.04</v>
      </c>
      <c r="BG367" s="77">
        <f t="shared" ref="BG367:BG373" si="1107">(2*PI()*6*6)/(4*75*375)</f>
        <v>2.0106192982974674E-3</v>
      </c>
      <c r="BH367" s="79">
        <v>160</v>
      </c>
      <c r="BI367" s="79">
        <f t="shared" ref="BI367:BI373" si="1108">PI()*6*6/4</f>
        <v>28.274333882308138</v>
      </c>
      <c r="BJ367" s="79">
        <v>2</v>
      </c>
      <c r="BK367" s="57">
        <f t="shared" si="1059"/>
        <v>56.548667764616276</v>
      </c>
      <c r="BL367" s="57">
        <f t="shared" si="1018"/>
        <v>661.5</v>
      </c>
      <c r="BM367" s="80">
        <f t="shared" ref="BM367:BM373" si="1109">PI()*12*12/4</f>
        <v>113.09733552923255</v>
      </c>
      <c r="BN367" s="80">
        <v>12</v>
      </c>
      <c r="BO367" s="57">
        <f t="shared" si="1065"/>
        <v>1357.1680263507906</v>
      </c>
      <c r="BP367" s="57">
        <f t="shared" si="977"/>
        <v>1064941.8273914901</v>
      </c>
      <c r="BQ367" s="77">
        <f t="shared" si="978"/>
        <v>4.4237822294235229E-9</v>
      </c>
      <c r="BR367" s="57">
        <f t="shared" si="1022"/>
        <v>1277930192.8697882</v>
      </c>
      <c r="BS367" s="57">
        <v>133.84550578093382</v>
      </c>
      <c r="BT367" s="57">
        <f t="shared" si="981"/>
        <v>359.15237293486268</v>
      </c>
      <c r="BU367" s="57"/>
      <c r="BV367" s="57">
        <v>3.3E-3</v>
      </c>
      <c r="BW367" s="57">
        <v>30000</v>
      </c>
      <c r="BX367" s="57">
        <v>200000</v>
      </c>
      <c r="BY367" s="77">
        <f>20</f>
        <v>20</v>
      </c>
      <c r="BZ367" s="77">
        <f t="shared" ref="BZ367:BZ373" si="1110">BY367+50</f>
        <v>70</v>
      </c>
      <c r="CA367" s="77">
        <f>90+20</f>
        <v>110</v>
      </c>
      <c r="CB367" s="77">
        <f>CA367+60*1</f>
        <v>170</v>
      </c>
      <c r="CC367" s="77">
        <f>CA367+60*2</f>
        <v>230</v>
      </c>
      <c r="CD367" s="77">
        <f>CA367+60*3</f>
        <v>290</v>
      </c>
      <c r="CE367" s="77">
        <f>CA367+60*4</f>
        <v>350</v>
      </c>
      <c r="CF367" s="77">
        <f>CA367+60*5</f>
        <v>410</v>
      </c>
      <c r="CG367" s="77">
        <f>CA367+60*6</f>
        <v>470</v>
      </c>
      <c r="CH367" s="77">
        <f>CA367+60*7</f>
        <v>530</v>
      </c>
      <c r="CI367" s="77">
        <f>CA367+60*8</f>
        <v>590</v>
      </c>
      <c r="CJ367" s="77">
        <f>CA367+60*9</f>
        <v>650</v>
      </c>
      <c r="CK367" s="77">
        <f>CA367+60*10</f>
        <v>710</v>
      </c>
      <c r="CL367" s="77">
        <f>CA367+60*11</f>
        <v>770</v>
      </c>
      <c r="CM367" s="77">
        <f>CL367+20+20</f>
        <v>810</v>
      </c>
      <c r="CN367" s="77">
        <f>CM367+50</f>
        <v>860</v>
      </c>
      <c r="DM367" s="77">
        <f t="shared" ref="DM367:DN373" si="1111">PI()*12*12/4*12</f>
        <v>1357.1680263507906</v>
      </c>
      <c r="DN367" s="77">
        <f t="shared" si="1111"/>
        <v>1357.1680263507906</v>
      </c>
      <c r="DO367" s="77">
        <f t="shared" ref="DO367:DZ368" si="1112">PI()*6*6/4*2</f>
        <v>56.548667764616276</v>
      </c>
      <c r="DP367" s="77">
        <f t="shared" si="1112"/>
        <v>56.548667764616276</v>
      </c>
      <c r="DQ367" s="77">
        <f t="shared" si="1112"/>
        <v>56.548667764616276</v>
      </c>
      <c r="DR367" s="77">
        <f t="shared" si="1112"/>
        <v>56.548667764616276</v>
      </c>
      <c r="DS367" s="77">
        <f t="shared" si="1112"/>
        <v>56.548667764616276</v>
      </c>
      <c r="DT367" s="77">
        <f t="shared" si="1112"/>
        <v>56.548667764616276</v>
      </c>
      <c r="DU367" s="77">
        <f t="shared" si="1112"/>
        <v>56.548667764616276</v>
      </c>
      <c r="DV367" s="77">
        <f t="shared" si="1112"/>
        <v>56.548667764616276</v>
      </c>
      <c r="DW367" s="77">
        <f t="shared" si="1112"/>
        <v>56.548667764616276</v>
      </c>
      <c r="DX367" s="77">
        <f t="shared" si="1112"/>
        <v>56.548667764616276</v>
      </c>
      <c r="DY367" s="77">
        <f t="shared" si="1112"/>
        <v>56.548667764616276</v>
      </c>
      <c r="DZ367" s="77">
        <f t="shared" si="1112"/>
        <v>56.548667764616276</v>
      </c>
      <c r="EA367" s="77">
        <f>PI()*12*12/4*12</f>
        <v>1357.1680263507906</v>
      </c>
      <c r="EB367" s="77">
        <f>PI()*12*12/4*12</f>
        <v>1357.1680263507906</v>
      </c>
      <c r="FA367" s="77">
        <f t="shared" ref="FA367:FA398" si="1113">IF(ABS(-$BV367*($BS367-BY367)/$BS367*$BX367)&gt;$BB367,$BB367*SIGN(-($BS367-BY367)),-$BV367*($BS367-BY367)/$BS367*$BX367)*DM367</f>
        <v>-610725.61185785581</v>
      </c>
      <c r="FB367" s="77">
        <f t="shared" ref="FB367:FB398" si="1114">IF(ABS(-$BV367*($BS367-BZ367)/$BS367*$BX367)&gt;$BB367,$BB367*SIGN(-($BS367-BZ367)),-$BV367*($BS367-BZ367)/$BS367*$BX367)*DN367</f>
        <v>-427271.66559609567</v>
      </c>
      <c r="FC367" s="77">
        <f t="shared" ref="FC367:FC382" si="1115">IF(ABS(-$BV367*($BS367-CA367)/$BS367*$BX367)&gt;$BA367,$BA367*SIGN(-($BS367-CA367)),-$BV367*($BS367-CA367)/$BS367*$BX367)*DO367</f>
        <v>-6649.1948332795555</v>
      </c>
      <c r="FD367" s="77">
        <f t="shared" si="1101"/>
        <v>10081.492016557093</v>
      </c>
      <c r="FE367" s="77">
        <f t="shared" si="1080"/>
        <v>25446.900494077323</v>
      </c>
      <c r="FF367" s="77">
        <f t="shared" si="1084"/>
        <v>25446.900494077323</v>
      </c>
      <c r="FG367" s="77">
        <f t="shared" si="1095"/>
        <v>25446.900494077323</v>
      </c>
      <c r="FH367" s="77">
        <f t="shared" si="1096"/>
        <v>25446.900494077323</v>
      </c>
      <c r="FI367" s="77">
        <f t="shared" si="1097"/>
        <v>25446.900494077323</v>
      </c>
      <c r="FJ367" s="77">
        <f>IF(ABS(-$BV367*($BS367-CH367)/$BS367*$BX367)&gt;$BA367,$BA367*SIGN(-($BS367-CH367)),-$BV367*($BS367-CH367)/$BS367*$BX367)*DV367</f>
        <v>25446.900494077323</v>
      </c>
      <c r="FK367" s="77">
        <f t="shared" ref="FK367:FN368" si="1116">IF(ABS(-$BV367*($BS367-CI367)/$BS367*$BX367)&gt;$BA367,$BA367*SIGN(-($BS367-CI367)),-$BV367*($BS367-CI367)/$BS367*$BX367)*DW367</f>
        <v>25446.900494077323</v>
      </c>
      <c r="FL367" s="77">
        <f t="shared" si="1116"/>
        <v>25446.900494077323</v>
      </c>
      <c r="FM367" s="77">
        <f t="shared" si="1116"/>
        <v>25446.900494077323</v>
      </c>
      <c r="FN367" s="77">
        <f t="shared" si="1116"/>
        <v>25446.900494077323</v>
      </c>
      <c r="FO367" s="77">
        <f>IF(ABS(-$BV367*($BS367-CM367)/$BS367*$BX367)&gt;$BB367,$BB367*SIGN(-($BS367-CM367)),-$BV367*($BS367-CM367)/$BS367*$BX367)*EA367</f>
        <v>610725.61185785581</v>
      </c>
      <c r="FP367" s="77">
        <f>IF(ABS(-$BV367*($BS367-CN367)/$BS367*$BX367)&gt;$BB367,$BB367*SIGN(-($BS367-CN367)),-$BV367*($BS367-CN367)/$BS367*$BX367)*EB367</f>
        <v>610725.61185785581</v>
      </c>
      <c r="GO367" s="77">
        <f t="shared" si="1038"/>
        <v>256504756.98029944</v>
      </c>
      <c r="GP367" s="77">
        <f t="shared" si="1039"/>
        <v>158090516.27055541</v>
      </c>
      <c r="GQ367" s="77">
        <f t="shared" si="1040"/>
        <v>2194234.2949822531</v>
      </c>
      <c r="GR367" s="77">
        <f t="shared" si="1041"/>
        <v>-2722002.8444704153</v>
      </c>
      <c r="GS367" s="77">
        <f t="shared" si="1057"/>
        <v>-5343849.1037562378</v>
      </c>
      <c r="GT367" s="77">
        <f t="shared" si="1085"/>
        <v>-3817035.0741115985</v>
      </c>
      <c r="GU367" s="77">
        <f t="shared" si="1086"/>
        <v>-2290221.0444669588</v>
      </c>
      <c r="GV367" s="77">
        <f t="shared" si="1087"/>
        <v>-763407.01482231973</v>
      </c>
      <c r="GW367" s="77">
        <f t="shared" si="1088"/>
        <v>763407.01482231973</v>
      </c>
      <c r="GX367" s="77">
        <f t="shared" si="1099"/>
        <v>2290221.0444669588</v>
      </c>
      <c r="GY367" s="77">
        <f t="shared" si="1099"/>
        <v>3817035.0741115985</v>
      </c>
      <c r="GZ367" s="77">
        <f t="shared" si="1099"/>
        <v>5343849.1037562378</v>
      </c>
      <c r="HA367" s="77">
        <f t="shared" si="1099"/>
        <v>6870663.133400877</v>
      </c>
      <c r="HB367" s="77">
        <f t="shared" ref="HB367:HD368" si="1117">FN367*(CL367-0.5*$AO367)</f>
        <v>8397477.1630455162</v>
      </c>
      <c r="HC367" s="77">
        <f t="shared" si="1117"/>
        <v>225968476.38740665</v>
      </c>
      <c r="HD367" s="77">
        <f t="shared" si="1117"/>
        <v>256504756.98029944</v>
      </c>
      <c r="IC367" s="82">
        <v>389</v>
      </c>
    </row>
    <row r="368" spans="1:237" s="77" customFormat="1">
      <c r="A368" s="77">
        <v>368</v>
      </c>
      <c r="C368" s="122" t="s">
        <v>392</v>
      </c>
      <c r="D368" s="122" t="s">
        <v>394</v>
      </c>
      <c r="E368" s="135">
        <v>3</v>
      </c>
      <c r="F368" s="125">
        <f t="shared" si="1072"/>
        <v>7.5716845878136207E-2</v>
      </c>
      <c r="G368" s="122"/>
      <c r="H368" s="122"/>
      <c r="I368" s="122">
        <f>13.5/AU368</f>
        <v>1.125E-2</v>
      </c>
      <c r="J368" s="122">
        <f t="shared" si="1102"/>
        <v>1.3636363636363635</v>
      </c>
      <c r="K368" s="125">
        <f t="shared" si="1089"/>
        <v>11.733333333333333</v>
      </c>
      <c r="L368" s="125">
        <f t="shared" si="1090"/>
        <v>6.096774193548387E-2</v>
      </c>
      <c r="M368" s="125">
        <f t="shared" si="1091"/>
        <v>2.2741935483870969E-2</v>
      </c>
      <c r="N368" s="125">
        <f t="shared" si="1092"/>
        <v>0.19354838709677419</v>
      </c>
      <c r="O368" s="125">
        <f t="shared" si="1093"/>
        <v>5.4048905868211488E-3</v>
      </c>
      <c r="P368" s="122">
        <f t="shared" si="1103"/>
        <v>8.5483870967741932E-2</v>
      </c>
      <c r="Q368" s="122" t="s">
        <v>243</v>
      </c>
      <c r="R368" s="134">
        <f t="shared" si="1100"/>
        <v>0.5625</v>
      </c>
      <c r="S368" s="75">
        <f t="shared" si="980"/>
        <v>0.73018681837267452</v>
      </c>
      <c r="T368" s="59">
        <f t="shared" si="959"/>
        <v>4.2562656999822304</v>
      </c>
      <c r="U368" s="59">
        <f t="shared" si="960"/>
        <v>3.8905227013379826</v>
      </c>
      <c r="V368" s="59">
        <f t="shared" si="961"/>
        <v>1.3753123790948789</v>
      </c>
      <c r="W368" s="59">
        <f t="shared" si="962"/>
        <v>0.32312653298421218</v>
      </c>
      <c r="X368" s="59">
        <f t="shared" si="963"/>
        <v>0.35350323971169678</v>
      </c>
      <c r="Y368" s="127">
        <v>845000</v>
      </c>
      <c r="Z368" s="57">
        <f t="shared" si="964"/>
        <v>298710.23755638377</v>
      </c>
      <c r="AA368" s="57">
        <f t="shared" si="965"/>
        <v>273041.92037165927</v>
      </c>
      <c r="AB368" s="57">
        <f t="shared" si="1060"/>
        <v>717957.65384804097</v>
      </c>
      <c r="AC368" s="57">
        <f t="shared" si="966"/>
        <v>0.25</v>
      </c>
      <c r="AD368" s="57">
        <f t="shared" si="967"/>
        <v>1.5</v>
      </c>
      <c r="AE368" s="57">
        <f t="shared" si="968"/>
        <v>954000</v>
      </c>
      <c r="AF368" s="57">
        <f t="shared" si="969"/>
        <v>172918.02152667733</v>
      </c>
      <c r="AG368" s="57">
        <f t="shared" si="1058"/>
        <v>100123.89884498196</v>
      </c>
      <c r="AH368" s="57">
        <f t="shared" si="1061"/>
        <v>437798294.14073551</v>
      </c>
      <c r="AI368" s="77">
        <f t="shared" si="1062"/>
        <v>423750890.47691369</v>
      </c>
      <c r="AJ368" s="77">
        <v>954000</v>
      </c>
      <c r="AK368" s="77">
        <v>93</v>
      </c>
      <c r="AL368" s="78">
        <f t="shared" si="970"/>
        <v>5.5566781367201168</v>
      </c>
      <c r="AM368" s="57">
        <f t="shared" si="971"/>
        <v>0.94</v>
      </c>
      <c r="AN368" s="57">
        <f t="shared" si="972"/>
        <v>0.74</v>
      </c>
      <c r="AO368" s="77">
        <f t="shared" si="1104"/>
        <v>880</v>
      </c>
      <c r="AP368" s="79">
        <v>90</v>
      </c>
      <c r="AQ368" s="57">
        <f t="shared" si="973"/>
        <v>93.075880354973378</v>
      </c>
      <c r="AR368" s="57">
        <f t="shared" si="1063"/>
        <v>700</v>
      </c>
      <c r="AS368" s="57">
        <f t="shared" si="974"/>
        <v>786.92411964502662</v>
      </c>
      <c r="AT368" s="77">
        <v>75</v>
      </c>
      <c r="AU368" s="77">
        <v>1200</v>
      </c>
      <c r="AV368" s="57">
        <f t="shared" si="975"/>
        <v>52500</v>
      </c>
      <c r="AW368" s="77">
        <f t="shared" si="1105"/>
        <v>67500</v>
      </c>
      <c r="AX368" s="77">
        <f t="shared" si="976"/>
        <v>66000</v>
      </c>
      <c r="AY368" s="77">
        <f t="shared" si="1106"/>
        <v>120000</v>
      </c>
      <c r="AZ368" s="77">
        <f t="shared" si="1044"/>
        <v>450</v>
      </c>
      <c r="BA368" s="77">
        <v>450</v>
      </c>
      <c r="BB368" s="77">
        <v>450</v>
      </c>
      <c r="BC368" s="77">
        <v>250</v>
      </c>
      <c r="BD368" s="77">
        <v>1.26E-2</v>
      </c>
      <c r="BE368" s="77">
        <v>4.7000000000000002E-3</v>
      </c>
      <c r="BF368" s="77">
        <v>0.04</v>
      </c>
      <c r="BG368" s="77">
        <f t="shared" si="1107"/>
        <v>2.0106192982974674E-3</v>
      </c>
      <c r="BH368" s="79">
        <v>160</v>
      </c>
      <c r="BI368" s="79">
        <f t="shared" si="1108"/>
        <v>28.274333882308138</v>
      </c>
      <c r="BJ368" s="79">
        <v>2</v>
      </c>
      <c r="BK368" s="57">
        <f t="shared" si="1059"/>
        <v>56.548667764616276</v>
      </c>
      <c r="BL368" s="57">
        <f t="shared" si="1018"/>
        <v>661.5</v>
      </c>
      <c r="BM368" s="80">
        <f t="shared" si="1109"/>
        <v>113.09733552923255</v>
      </c>
      <c r="BN368" s="80">
        <v>12</v>
      </c>
      <c r="BO368" s="57">
        <f t="shared" si="1065"/>
        <v>1357.1680263507906</v>
      </c>
      <c r="BP368" s="57">
        <f t="shared" si="977"/>
        <v>1162138.9603351727</v>
      </c>
      <c r="BQ368" s="77">
        <f t="shared" si="978"/>
        <v>3.2596290111541748E-9</v>
      </c>
      <c r="BR368" s="57">
        <f t="shared" si="1022"/>
        <v>1394566752.4022074</v>
      </c>
      <c r="BS368" s="57">
        <v>186.15176070994676</v>
      </c>
      <c r="BT368" s="57">
        <f t="shared" si="981"/>
        <v>500.85740389345688</v>
      </c>
      <c r="BU368" s="57"/>
      <c r="BV368" s="57">
        <v>3.3E-3</v>
      </c>
      <c r="BW368" s="57">
        <v>30000</v>
      </c>
      <c r="BX368" s="57">
        <v>200000</v>
      </c>
      <c r="BY368" s="77">
        <f>20</f>
        <v>20</v>
      </c>
      <c r="BZ368" s="77">
        <f t="shared" si="1110"/>
        <v>70</v>
      </c>
      <c r="CA368" s="77">
        <f>90+20</f>
        <v>110</v>
      </c>
      <c r="CB368" s="77">
        <f>CA368+60*1</f>
        <v>170</v>
      </c>
      <c r="CC368" s="77">
        <f>CA368+60*2</f>
        <v>230</v>
      </c>
      <c r="CD368" s="77">
        <f>CA368+60*3</f>
        <v>290</v>
      </c>
      <c r="CE368" s="77">
        <f>CA368+60*4</f>
        <v>350</v>
      </c>
      <c r="CF368" s="77">
        <f>CA368+60*5</f>
        <v>410</v>
      </c>
      <c r="CG368" s="77">
        <f>CA368+60*6</f>
        <v>470</v>
      </c>
      <c r="CH368" s="77">
        <f>CA368+60*7</f>
        <v>530</v>
      </c>
      <c r="CI368" s="77">
        <f>CA368+60*8</f>
        <v>590</v>
      </c>
      <c r="CJ368" s="77">
        <f>CA368+60*9</f>
        <v>650</v>
      </c>
      <c r="CK368" s="77">
        <f>CA368+60*10</f>
        <v>710</v>
      </c>
      <c r="CL368" s="77">
        <f>CA368+60*11</f>
        <v>770</v>
      </c>
      <c r="CM368" s="77">
        <f>CL368+20+20</f>
        <v>810</v>
      </c>
      <c r="CN368" s="77">
        <f>CM368+50</f>
        <v>860</v>
      </c>
      <c r="DM368" s="77">
        <f t="shared" si="1111"/>
        <v>1357.1680263507906</v>
      </c>
      <c r="DN368" s="77">
        <f t="shared" si="1111"/>
        <v>1357.1680263507906</v>
      </c>
      <c r="DO368" s="77">
        <f t="shared" si="1112"/>
        <v>56.548667764616276</v>
      </c>
      <c r="DP368" s="77">
        <f t="shared" si="1112"/>
        <v>56.548667764616276</v>
      </c>
      <c r="DQ368" s="77">
        <f t="shared" si="1112"/>
        <v>56.548667764616276</v>
      </c>
      <c r="DR368" s="77">
        <f t="shared" si="1112"/>
        <v>56.548667764616276</v>
      </c>
      <c r="DS368" s="77">
        <f t="shared" si="1112"/>
        <v>56.548667764616276</v>
      </c>
      <c r="DT368" s="77">
        <f t="shared" si="1112"/>
        <v>56.548667764616276</v>
      </c>
      <c r="DU368" s="77">
        <f t="shared" si="1112"/>
        <v>56.548667764616276</v>
      </c>
      <c r="DV368" s="77">
        <f t="shared" si="1112"/>
        <v>56.548667764616276</v>
      </c>
      <c r="DW368" s="77">
        <f t="shared" si="1112"/>
        <v>56.548667764616276</v>
      </c>
      <c r="DX368" s="77">
        <f t="shared" si="1112"/>
        <v>56.548667764616276</v>
      </c>
      <c r="DY368" s="77">
        <f t="shared" si="1112"/>
        <v>56.548667764616276</v>
      </c>
      <c r="DZ368" s="77">
        <f t="shared" si="1112"/>
        <v>56.548667764616276</v>
      </c>
      <c r="EA368" s="77">
        <f>PI()*12*12/4*12</f>
        <v>1357.1680263507906</v>
      </c>
      <c r="EB368" s="77">
        <f>PI()*12*12/4*12</f>
        <v>1357.1680263507906</v>
      </c>
      <c r="FA368" s="77">
        <f t="shared" si="1113"/>
        <v>-610725.61185785581</v>
      </c>
      <c r="FB368" s="77">
        <f t="shared" si="1114"/>
        <v>-558902.69561531278</v>
      </c>
      <c r="FC368" s="77">
        <f t="shared" si="1115"/>
        <v>-15267.893227394961</v>
      </c>
      <c r="FD368" s="77">
        <f t="shared" si="1101"/>
        <v>-3238.314592530352</v>
      </c>
      <c r="FE368" s="77">
        <f t="shared" si="1080"/>
        <v>8791.2640423342564</v>
      </c>
      <c r="FF368" s="77">
        <f t="shared" si="1084"/>
        <v>20820.842677198863</v>
      </c>
      <c r="FG368" s="77">
        <f t="shared" si="1095"/>
        <v>25446.900494077323</v>
      </c>
      <c r="FH368" s="77">
        <f t="shared" si="1096"/>
        <v>25446.900494077323</v>
      </c>
      <c r="FI368" s="77">
        <f t="shared" si="1097"/>
        <v>25446.900494077323</v>
      </c>
      <c r="FJ368" s="77">
        <f>IF(ABS(-$BV368*($BS368-CH368)/$BS368*$BX368)&gt;$BA368,$BA368*SIGN(-($BS368-CH368)),-$BV368*($BS368-CH368)/$BS368*$BX368)*DV368</f>
        <v>25446.900494077323</v>
      </c>
      <c r="FK368" s="77">
        <f t="shared" si="1116"/>
        <v>25446.900494077323</v>
      </c>
      <c r="FL368" s="77">
        <f t="shared" si="1116"/>
        <v>25446.900494077323</v>
      </c>
      <c r="FM368" s="77">
        <f t="shared" si="1116"/>
        <v>25446.900494077323</v>
      </c>
      <c r="FN368" s="77">
        <f t="shared" si="1116"/>
        <v>25446.900494077323</v>
      </c>
      <c r="FO368" s="77">
        <f>IF(ABS(-$BV368*($BS368-CM368)/$BS368*$BX368)&gt;$BB368,$BB368*SIGN(-($BS368-CM368)),-$BV368*($BS368-CM368)/$BS368*$BX368)*EA368</f>
        <v>610725.61185785581</v>
      </c>
      <c r="FP368" s="77">
        <f>IF(ABS(-$BV368*($BS368-CN368)/$BS368*$BX368)&gt;$BB368,$BB368*SIGN(-($BS368-CN368)),-$BV368*($BS368-CN368)/$BS368*$BX368)*EB368</f>
        <v>610725.61185785581</v>
      </c>
      <c r="GO368" s="77">
        <f t="shared" si="1038"/>
        <v>256504756.98029944</v>
      </c>
      <c r="GP368" s="77">
        <f t="shared" si="1039"/>
        <v>206793997.37766573</v>
      </c>
      <c r="GQ368" s="77">
        <f t="shared" si="1040"/>
        <v>5038404.7650403371</v>
      </c>
      <c r="GR368" s="77">
        <f t="shared" si="1041"/>
        <v>874344.93998319504</v>
      </c>
      <c r="GS368" s="77">
        <f t="shared" si="1057"/>
        <v>-1846165.4488901938</v>
      </c>
      <c r="GT368" s="77">
        <f t="shared" si="1085"/>
        <v>-3123126.4015798294</v>
      </c>
      <c r="GU368" s="77">
        <f t="shared" si="1086"/>
        <v>-2290221.0444669588</v>
      </c>
      <c r="GV368" s="77">
        <f t="shared" si="1087"/>
        <v>-763407.01482231973</v>
      </c>
      <c r="GW368" s="77">
        <f t="shared" si="1088"/>
        <v>763407.01482231973</v>
      </c>
      <c r="GX368" s="77">
        <f t="shared" si="1099"/>
        <v>2290221.0444669588</v>
      </c>
      <c r="GY368" s="77">
        <f t="shared" si="1099"/>
        <v>3817035.0741115985</v>
      </c>
      <c r="GZ368" s="77">
        <f t="shared" si="1099"/>
        <v>5343849.1037562378</v>
      </c>
      <c r="HA368" s="77">
        <f t="shared" si="1099"/>
        <v>6870663.133400877</v>
      </c>
      <c r="HB368" s="77">
        <f t="shared" si="1117"/>
        <v>8397477.1630455162</v>
      </c>
      <c r="HC368" s="77">
        <f t="shared" si="1117"/>
        <v>225968476.38740665</v>
      </c>
      <c r="HD368" s="77">
        <f t="shared" si="1117"/>
        <v>256504756.98029944</v>
      </c>
      <c r="IC368" s="82">
        <v>390</v>
      </c>
    </row>
    <row r="369" spans="1:237" s="77" customFormat="1">
      <c r="A369" s="77">
        <v>369</v>
      </c>
      <c r="C369" s="122" t="s">
        <v>392</v>
      </c>
      <c r="D369" s="122" t="s">
        <v>395</v>
      </c>
      <c r="E369" s="135">
        <v>3</v>
      </c>
      <c r="F369" s="125">
        <f t="shared" si="1072"/>
        <v>6.0562015503875966E-2</v>
      </c>
      <c r="G369" s="122"/>
      <c r="H369" s="122"/>
      <c r="I369" s="122">
        <f>11.14/AU369</f>
        <v>9.2833333333333344E-3</v>
      </c>
      <c r="J369" s="122">
        <f t="shared" si="1102"/>
        <v>1.3636363636363635</v>
      </c>
      <c r="K369" s="125">
        <f t="shared" si="1089"/>
        <v>11.733333333333333</v>
      </c>
      <c r="L369" s="125">
        <f t="shared" si="1090"/>
        <v>3.9244186046511628E-2</v>
      </c>
      <c r="M369" s="125">
        <f t="shared" si="1091"/>
        <v>2.4593023255813955E-2</v>
      </c>
      <c r="N369" s="125">
        <f t="shared" si="1092"/>
        <v>0.20930232558139536</v>
      </c>
      <c r="O369" s="125">
        <f t="shared" si="1093"/>
        <v>5.844823541562405E-3</v>
      </c>
      <c r="P369" s="122">
        <f t="shared" si="1103"/>
        <v>9.2344961240310081E-2</v>
      </c>
      <c r="Q369" s="122" t="s">
        <v>243</v>
      </c>
      <c r="R369" s="134">
        <f t="shared" si="1100"/>
        <v>0.5625</v>
      </c>
      <c r="S369" s="75">
        <f t="shared" si="980"/>
        <v>0.56162902710124174</v>
      </c>
      <c r="T369" s="59">
        <f t="shared" si="959"/>
        <v>4.2137697708957544</v>
      </c>
      <c r="U369" s="59">
        <f t="shared" si="960"/>
        <v>3.8505988109436382</v>
      </c>
      <c r="V369" s="59">
        <f t="shared" si="961"/>
        <v>1.8027253277215742</v>
      </c>
      <c r="W369" s="59">
        <f t="shared" si="962"/>
        <v>0.42781770854518109</v>
      </c>
      <c r="X369" s="59">
        <f t="shared" si="963"/>
        <v>0.4681675282810866</v>
      </c>
      <c r="Y369" s="127">
        <v>625000</v>
      </c>
      <c r="Z369" s="57">
        <f t="shared" si="964"/>
        <v>292604.70517567912</v>
      </c>
      <c r="AA369" s="57">
        <f t="shared" si="965"/>
        <v>267386.06784073816</v>
      </c>
      <c r="AB369" s="57">
        <f t="shared" si="1060"/>
        <v>690055.61738696438</v>
      </c>
      <c r="AC369" s="57">
        <f t="shared" si="966"/>
        <v>0.25</v>
      </c>
      <c r="AD369" s="57">
        <f t="shared" si="967"/>
        <v>1.5</v>
      </c>
      <c r="AE369" s="57">
        <f t="shared" si="968"/>
        <v>953000</v>
      </c>
      <c r="AF369" s="57">
        <f t="shared" si="969"/>
        <v>167300.32117431823</v>
      </c>
      <c r="AG369" s="57">
        <f t="shared" si="1058"/>
        <v>100085.74666641993</v>
      </c>
      <c r="AH369" s="57">
        <f t="shared" si="1061"/>
        <v>404682111.30163884</v>
      </c>
      <c r="AI369" s="77">
        <f t="shared" si="1062"/>
        <v>423384629.56271833</v>
      </c>
      <c r="AJ369" s="77">
        <v>953000</v>
      </c>
      <c r="AK369" s="77">
        <v>86</v>
      </c>
      <c r="AL369" s="78">
        <f t="shared" si="970"/>
        <v>5.3225992453720625</v>
      </c>
      <c r="AM369" s="57">
        <f t="shared" si="971"/>
        <v>0.94</v>
      </c>
      <c r="AN369" s="57">
        <f t="shared" si="972"/>
        <v>0.74</v>
      </c>
      <c r="AO369" s="77">
        <f t="shared" si="1104"/>
        <v>880</v>
      </c>
      <c r="AP369" s="79">
        <v>90</v>
      </c>
      <c r="AQ369" s="57">
        <f t="shared" si="973"/>
        <v>93.375737530670733</v>
      </c>
      <c r="AR369" s="57">
        <f t="shared" si="1063"/>
        <v>700</v>
      </c>
      <c r="AS369" s="57">
        <f t="shared" si="974"/>
        <v>786.62426246932932</v>
      </c>
      <c r="AT369" s="77">
        <v>75</v>
      </c>
      <c r="AU369" s="77">
        <v>1200</v>
      </c>
      <c r="AV369" s="57">
        <f t="shared" si="975"/>
        <v>52500</v>
      </c>
      <c r="AW369" s="77">
        <f t="shared" si="1105"/>
        <v>67500</v>
      </c>
      <c r="AX369" s="77">
        <f t="shared" si="976"/>
        <v>66000</v>
      </c>
      <c r="AY369" s="77">
        <f t="shared" si="1106"/>
        <v>120000</v>
      </c>
      <c r="AZ369" s="77">
        <f t="shared" si="1044"/>
        <v>450</v>
      </c>
      <c r="BA369" s="77">
        <v>450</v>
      </c>
      <c r="BB369" s="77">
        <v>450</v>
      </c>
      <c r="BC369" s="77">
        <v>250</v>
      </c>
      <c r="BD369" s="77">
        <v>7.4999999999999997E-3</v>
      </c>
      <c r="BE369" s="77">
        <v>4.7000000000000002E-3</v>
      </c>
      <c r="BF369" s="77">
        <v>0.04</v>
      </c>
      <c r="BG369" s="77">
        <f t="shared" si="1107"/>
        <v>2.0106192982974674E-3</v>
      </c>
      <c r="BH369" s="79">
        <v>160</v>
      </c>
      <c r="BI369" s="79">
        <f t="shared" si="1108"/>
        <v>28.274333882308138</v>
      </c>
      <c r="BJ369" s="79">
        <v>2</v>
      </c>
      <c r="BK369" s="57">
        <f t="shared" si="1059"/>
        <v>56.548667764616276</v>
      </c>
      <c r="BL369" s="57">
        <f t="shared" si="1018"/>
        <v>393.75</v>
      </c>
      <c r="BM369" s="80">
        <f t="shared" si="1109"/>
        <v>113.09733552923255</v>
      </c>
      <c r="BN369" s="80">
        <v>12</v>
      </c>
      <c r="BO369" s="57">
        <f t="shared" si="1065"/>
        <v>1357.1680263507906</v>
      </c>
      <c r="BP369" s="57">
        <f t="shared" si="977"/>
        <v>1126703.3298259838</v>
      </c>
      <c r="BQ369" s="77">
        <f t="shared" si="978"/>
        <v>4.0745362639427185E-9</v>
      </c>
      <c r="BR369" s="57">
        <f t="shared" si="1022"/>
        <v>1352043995.7911806</v>
      </c>
      <c r="BS369" s="57">
        <v>186.75147506134147</v>
      </c>
      <c r="BT369" s="57">
        <f t="shared" si="981"/>
        <v>446.62786959999397</v>
      </c>
      <c r="BU369" s="57"/>
      <c r="BV369" s="57">
        <v>3.3E-3</v>
      </c>
      <c r="BW369" s="57">
        <v>30000</v>
      </c>
      <c r="BX369" s="57">
        <v>200000</v>
      </c>
      <c r="BY369" s="77">
        <f>20</f>
        <v>20</v>
      </c>
      <c r="BZ369" s="77">
        <f t="shared" si="1110"/>
        <v>70</v>
      </c>
      <c r="CA369" s="77">
        <f>90+50</f>
        <v>140</v>
      </c>
      <c r="CB369" s="77">
        <f>CA369+100*1</f>
        <v>240</v>
      </c>
      <c r="CC369" s="77">
        <f>CA369+100*2</f>
        <v>340</v>
      </c>
      <c r="CD369" s="77">
        <f>CA369+100*3</f>
        <v>440</v>
      </c>
      <c r="CE369" s="77">
        <f>CA369+100*4</f>
        <v>540</v>
      </c>
      <c r="CF369" s="77">
        <f>CA369+100*5</f>
        <v>640</v>
      </c>
      <c r="CG369" s="77">
        <f>CA369+100*6</f>
        <v>740</v>
      </c>
      <c r="CH369" s="77">
        <f>CG369+50+20</f>
        <v>810</v>
      </c>
      <c r="CI369" s="77">
        <f>CH369+50</f>
        <v>860</v>
      </c>
      <c r="DM369" s="77">
        <f t="shared" si="1111"/>
        <v>1357.1680263507906</v>
      </c>
      <c r="DN369" s="77">
        <f t="shared" si="1111"/>
        <v>1357.1680263507906</v>
      </c>
      <c r="DO369" s="77">
        <f t="shared" ref="DO369:DU373" si="1118">PI()*6*6/4*2</f>
        <v>56.548667764616276</v>
      </c>
      <c r="DP369" s="77">
        <f t="shared" si="1118"/>
        <v>56.548667764616276</v>
      </c>
      <c r="DQ369" s="77">
        <f t="shared" si="1118"/>
        <v>56.548667764616276</v>
      </c>
      <c r="DR369" s="77">
        <f t="shared" si="1118"/>
        <v>56.548667764616276</v>
      </c>
      <c r="DS369" s="77">
        <f t="shared" si="1118"/>
        <v>56.548667764616276</v>
      </c>
      <c r="DT369" s="77">
        <f t="shared" si="1118"/>
        <v>56.548667764616276</v>
      </c>
      <c r="DU369" s="77">
        <f t="shared" si="1118"/>
        <v>56.548667764616276</v>
      </c>
      <c r="DV369" s="77">
        <f>PI()*12*12/4*12</f>
        <v>1357.1680263507906</v>
      </c>
      <c r="DW369" s="77">
        <f>PI()*12*12/4*12</f>
        <v>1357.1680263507906</v>
      </c>
      <c r="FA369" s="77">
        <f t="shared" si="1113"/>
        <v>-610725.61185785581</v>
      </c>
      <c r="FB369" s="77">
        <f t="shared" si="1114"/>
        <v>-559984.35082844202</v>
      </c>
      <c r="FC369" s="77">
        <f t="shared" si="1115"/>
        <v>-9343.2418443900879</v>
      </c>
      <c r="FD369" s="77">
        <f t="shared" si="1101"/>
        <v>10641.671641507523</v>
      </c>
      <c r="FE369" s="77">
        <f t="shared" si="1080"/>
        <v>25446.900494077323</v>
      </c>
      <c r="FF369" s="77">
        <f t="shared" si="1084"/>
        <v>25446.900494077323</v>
      </c>
      <c r="FG369" s="77">
        <f t="shared" si="1095"/>
        <v>25446.900494077323</v>
      </c>
      <c r="FH369" s="77">
        <f t="shared" si="1096"/>
        <v>25446.900494077323</v>
      </c>
      <c r="FI369" s="77">
        <f t="shared" si="1097"/>
        <v>25446.900494077323</v>
      </c>
      <c r="FJ369" s="77">
        <f>IF(ABS(-$BV369*($BS369-CH369)/$BS369*$BX369)&gt;$BB369,$BB369*SIGN(-($BS369-CH369)),-$BV369*($BS369-CH369)/$BS369*$BX369)*DV369</f>
        <v>610725.61185785581</v>
      </c>
      <c r="FK369" s="77">
        <f>IF(ABS(-$BV369*($BS369-CI369)/$BS369*$BX369)&gt;$BB369,$BB369*SIGN(-($BS369-CI369)),-$BV369*($BS369-CI369)/$BS369*$BX369)*DW369</f>
        <v>610725.61185785581</v>
      </c>
      <c r="GO369" s="77">
        <f t="shared" si="1038"/>
        <v>256504756.98029944</v>
      </c>
      <c r="GP369" s="77">
        <f t="shared" si="1039"/>
        <v>207194209.80652356</v>
      </c>
      <c r="GQ369" s="77">
        <f t="shared" si="1040"/>
        <v>2802972.5533170262</v>
      </c>
      <c r="GR369" s="77">
        <f t="shared" si="1041"/>
        <v>-2128334.3283015047</v>
      </c>
      <c r="GS369" s="77">
        <f t="shared" si="1057"/>
        <v>-2544690.0494077322</v>
      </c>
      <c r="GT369" s="77">
        <f t="shared" si="1085"/>
        <v>0</v>
      </c>
      <c r="GU369" s="77">
        <f t="shared" si="1086"/>
        <v>2544690.0494077322</v>
      </c>
      <c r="GV369" s="77">
        <f t="shared" si="1087"/>
        <v>5089380.0988154644</v>
      </c>
      <c r="GW369" s="77">
        <f t="shared" si="1088"/>
        <v>7634070.1482231971</v>
      </c>
      <c r="GX369" s="77">
        <f t="shared" ref="GX369:GY373" si="1119">FJ369*(CH369-0.5*$AO369)</f>
        <v>225968476.38740665</v>
      </c>
      <c r="GY369" s="77">
        <f t="shared" si="1119"/>
        <v>256504756.98029944</v>
      </c>
      <c r="IC369" s="82">
        <v>391</v>
      </c>
    </row>
    <row r="370" spans="1:237" s="77" customFormat="1">
      <c r="A370" s="77">
        <v>370</v>
      </c>
      <c r="C370" s="122" t="s">
        <v>392</v>
      </c>
      <c r="D370" s="122" t="s">
        <v>396</v>
      </c>
      <c r="E370" s="135">
        <v>3</v>
      </c>
      <c r="F370" s="125">
        <f t="shared" si="1072"/>
        <v>7.93040293040293E-2</v>
      </c>
      <c r="G370" s="122"/>
      <c r="H370" s="122"/>
      <c r="I370" s="122">
        <f>9.16/AU370</f>
        <v>7.6333333333333331E-3</v>
      </c>
      <c r="J370" s="122">
        <f t="shared" si="1102"/>
        <v>1.3636363636363635</v>
      </c>
      <c r="K370" s="125">
        <f t="shared" si="1089"/>
        <v>11.733333333333333</v>
      </c>
      <c r="L370" s="125">
        <f t="shared" si="1090"/>
        <v>3.7087912087912088E-2</v>
      </c>
      <c r="M370" s="125">
        <f t="shared" si="1091"/>
        <v>2.3241758241758243E-2</v>
      </c>
      <c r="N370" s="125">
        <f t="shared" si="1092"/>
        <v>0.19780219780219779</v>
      </c>
      <c r="O370" s="125">
        <f t="shared" si="1093"/>
        <v>5.5236793909271076E-3</v>
      </c>
      <c r="P370" s="122">
        <f t="shared" si="1103"/>
        <v>0.21648351648351646</v>
      </c>
      <c r="Q370" s="122" t="s">
        <v>243</v>
      </c>
      <c r="R370" s="134">
        <f t="shared" si="1100"/>
        <v>0.5625</v>
      </c>
      <c r="S370" s="75">
        <f t="shared" si="980"/>
        <v>0.75651222383431771</v>
      </c>
      <c r="T370" s="59">
        <f t="shared" si="959"/>
        <v>4.4653458570728732</v>
      </c>
      <c r="U370" s="59">
        <f t="shared" si="960"/>
        <v>4.4791029763418528</v>
      </c>
      <c r="V370" s="59">
        <f t="shared" si="961"/>
        <v>1.536083892216707</v>
      </c>
      <c r="W370" s="59">
        <f t="shared" si="962"/>
        <v>0.34400110123242322</v>
      </c>
      <c r="X370" s="59">
        <f t="shared" si="963"/>
        <v>0.34294453606673914</v>
      </c>
      <c r="Y370" s="127">
        <v>866000</v>
      </c>
      <c r="Z370" s="57">
        <f t="shared" si="964"/>
        <v>296989.96823379607</v>
      </c>
      <c r="AA370" s="57">
        <f t="shared" si="965"/>
        <v>297904.95366727852</v>
      </c>
      <c r="AB370" s="57">
        <f t="shared" si="1060"/>
        <v>569476.08535169298</v>
      </c>
      <c r="AC370" s="57">
        <f t="shared" si="966"/>
        <v>0.25</v>
      </c>
      <c r="AD370" s="57">
        <f t="shared" si="967"/>
        <v>1.5</v>
      </c>
      <c r="AE370" s="57">
        <f t="shared" si="968"/>
        <v>2184000</v>
      </c>
      <c r="AF370" s="57">
        <f t="shared" si="969"/>
        <v>209717.85013897781</v>
      </c>
      <c r="AG370" s="57">
        <f t="shared" si="1058"/>
        <v>88187.103528300708</v>
      </c>
      <c r="AH370" s="57">
        <f t="shared" si="1061"/>
        <v>374213646.98525786</v>
      </c>
      <c r="AI370" s="77">
        <f t="shared" si="1062"/>
        <v>309157655.43677378</v>
      </c>
      <c r="AJ370" s="77">
        <v>2364000</v>
      </c>
      <c r="AK370" s="77">
        <v>91</v>
      </c>
      <c r="AL370" s="78">
        <f t="shared" si="970"/>
        <v>5.490632616852281</v>
      </c>
      <c r="AM370" s="57">
        <f t="shared" si="971"/>
        <v>0.94</v>
      </c>
      <c r="AN370" s="57">
        <f t="shared" si="972"/>
        <v>0.74</v>
      </c>
      <c r="AO370" s="77">
        <f t="shared" si="1104"/>
        <v>880</v>
      </c>
      <c r="AP370" s="79">
        <v>90</v>
      </c>
      <c r="AQ370" s="57">
        <f t="shared" si="973"/>
        <v>186.89316328465264</v>
      </c>
      <c r="AR370" s="57">
        <f t="shared" si="1063"/>
        <v>700</v>
      </c>
      <c r="AS370" s="57">
        <f t="shared" si="974"/>
        <v>693.1068367153473</v>
      </c>
      <c r="AT370" s="77">
        <v>75</v>
      </c>
      <c r="AU370" s="77">
        <v>1200</v>
      </c>
      <c r="AV370" s="57">
        <f t="shared" si="975"/>
        <v>52500</v>
      </c>
      <c r="AW370" s="77">
        <f t="shared" si="1105"/>
        <v>67500</v>
      </c>
      <c r="AX370" s="77">
        <f t="shared" si="976"/>
        <v>66000</v>
      </c>
      <c r="AY370" s="77">
        <f t="shared" si="1106"/>
        <v>120000</v>
      </c>
      <c r="AZ370" s="77">
        <f t="shared" si="1044"/>
        <v>450</v>
      </c>
      <c r="BA370" s="77">
        <v>450</v>
      </c>
      <c r="BB370" s="77">
        <v>450</v>
      </c>
      <c r="BC370" s="77">
        <v>250</v>
      </c>
      <c r="BD370" s="77">
        <v>7.4999999999999997E-3</v>
      </c>
      <c r="BE370" s="77">
        <v>4.7000000000000002E-3</v>
      </c>
      <c r="BF370" s="77">
        <v>0.04</v>
      </c>
      <c r="BG370" s="77">
        <f t="shared" si="1107"/>
        <v>2.0106192982974674E-3</v>
      </c>
      <c r="BH370" s="79">
        <v>160</v>
      </c>
      <c r="BI370" s="79">
        <f t="shared" si="1108"/>
        <v>28.274333882308138</v>
      </c>
      <c r="BJ370" s="79">
        <v>2</v>
      </c>
      <c r="BK370" s="57">
        <f t="shared" si="1059"/>
        <v>56.548667764616276</v>
      </c>
      <c r="BL370" s="57">
        <f t="shared" si="1018"/>
        <v>393.75</v>
      </c>
      <c r="BM370" s="80">
        <f t="shared" si="1109"/>
        <v>113.09733552923255</v>
      </c>
      <c r="BN370" s="80">
        <v>12</v>
      </c>
      <c r="BO370" s="57">
        <f t="shared" si="1065"/>
        <v>1357.1680263507906</v>
      </c>
      <c r="BP370" s="57">
        <f t="shared" si="977"/>
        <v>1330248.6506596683</v>
      </c>
      <c r="BQ370" s="77">
        <f t="shared" si="978"/>
        <v>-9.3132257461547852E-10</v>
      </c>
      <c r="BR370" s="57">
        <f t="shared" si="1022"/>
        <v>1596298380.7916019</v>
      </c>
      <c r="BS370" s="57">
        <v>373.78632656930529</v>
      </c>
      <c r="BT370" s="57">
        <f t="shared" si="981"/>
        <v>990.26341305753067</v>
      </c>
      <c r="BU370" s="57"/>
      <c r="BV370" s="57">
        <v>3.3E-3</v>
      </c>
      <c r="BW370" s="57">
        <v>30000</v>
      </c>
      <c r="BX370" s="57">
        <v>200000</v>
      </c>
      <c r="BY370" s="77">
        <f>20</f>
        <v>20</v>
      </c>
      <c r="BZ370" s="77">
        <f t="shared" si="1110"/>
        <v>70</v>
      </c>
      <c r="CA370" s="77">
        <f>90+50</f>
        <v>140</v>
      </c>
      <c r="CB370" s="77">
        <f>CA370+100*1</f>
        <v>240</v>
      </c>
      <c r="CC370" s="77">
        <f>CA370+100*2</f>
        <v>340</v>
      </c>
      <c r="CD370" s="77">
        <f>CA370+100*3</f>
        <v>440</v>
      </c>
      <c r="CE370" s="77">
        <f>CA370+100*4</f>
        <v>540</v>
      </c>
      <c r="CF370" s="77">
        <f>CA370+100*5</f>
        <v>640</v>
      </c>
      <c r="CG370" s="77">
        <f>CA370+100*6</f>
        <v>740</v>
      </c>
      <c r="CH370" s="77">
        <f>CG370+50+20</f>
        <v>810</v>
      </c>
      <c r="CI370" s="77">
        <f>CH370+50</f>
        <v>860</v>
      </c>
      <c r="DM370" s="77">
        <f t="shared" si="1111"/>
        <v>1357.1680263507906</v>
      </c>
      <c r="DN370" s="77">
        <f t="shared" si="1111"/>
        <v>1357.1680263507906</v>
      </c>
      <c r="DO370" s="77">
        <f t="shared" si="1118"/>
        <v>56.548667764616276</v>
      </c>
      <c r="DP370" s="77">
        <f t="shared" si="1118"/>
        <v>56.548667764616276</v>
      </c>
      <c r="DQ370" s="77">
        <f t="shared" si="1118"/>
        <v>56.548667764616276</v>
      </c>
      <c r="DR370" s="77">
        <f t="shared" si="1118"/>
        <v>56.548667764616276</v>
      </c>
      <c r="DS370" s="77">
        <f t="shared" si="1118"/>
        <v>56.548667764616276</v>
      </c>
      <c r="DT370" s="77">
        <f t="shared" si="1118"/>
        <v>56.548667764616276</v>
      </c>
      <c r="DU370" s="77">
        <f t="shared" si="1118"/>
        <v>56.548667764616276</v>
      </c>
      <c r="DV370" s="77">
        <f>PI()*12*12/4*12</f>
        <v>1357.1680263507906</v>
      </c>
      <c r="DW370" s="77">
        <f>PI()*12*12/4*12</f>
        <v>1357.1680263507906</v>
      </c>
      <c r="FA370" s="77">
        <f t="shared" si="1113"/>
        <v>-610725.61185785581</v>
      </c>
      <c r="FB370" s="77">
        <f t="shared" si="1114"/>
        <v>-610725.61185785581</v>
      </c>
      <c r="FC370" s="77">
        <f t="shared" si="1115"/>
        <v>-23343.287016609171</v>
      </c>
      <c r="FD370" s="77">
        <f t="shared" si="1101"/>
        <v>-13358.405796582336</v>
      </c>
      <c r="FE370" s="77">
        <f t="shared" si="1080"/>
        <v>-3373.5245765555005</v>
      </c>
      <c r="FF370" s="77">
        <f t="shared" si="1084"/>
        <v>6611.3566434713339</v>
      </c>
      <c r="FG370" s="77">
        <f t="shared" si="1095"/>
        <v>16596.237863498169</v>
      </c>
      <c r="FH370" s="77">
        <f t="shared" si="1096"/>
        <v>25446.900494077323</v>
      </c>
      <c r="FI370" s="77">
        <f t="shared" si="1097"/>
        <v>25446.900494077323</v>
      </c>
      <c r="FJ370" s="77">
        <f>IF(ABS(-$BV370*($BS370-CH370)/$BS370*$BX370)&gt;$BB370,$BB370*SIGN(-($BS370-CH370)),-$BV370*($BS370-CH370)/$BS370*$BX370)*DV370</f>
        <v>610725.61185785581</v>
      </c>
      <c r="FK370" s="77">
        <f>IF(ABS(-$BV370*($BS370-CI370)/$BS370*$BX370)&gt;$BB370,$BB370*SIGN(-($BS370-CI370)),-$BV370*($BS370-CI370)/$BS370*$BX370)*DW370</f>
        <v>610725.61185785581</v>
      </c>
      <c r="GO370" s="77">
        <f t="shared" si="1038"/>
        <v>256504756.98029944</v>
      </c>
      <c r="GP370" s="77">
        <f t="shared" si="1039"/>
        <v>225968476.38740665</v>
      </c>
      <c r="GQ370" s="77">
        <f t="shared" si="1040"/>
        <v>7002986.1049827514</v>
      </c>
      <c r="GR370" s="77">
        <f t="shared" si="1041"/>
        <v>2671681.1593164671</v>
      </c>
      <c r="GS370" s="77">
        <f t="shared" si="1057"/>
        <v>337352.45765555004</v>
      </c>
      <c r="GT370" s="77">
        <f t="shared" si="1085"/>
        <v>0</v>
      </c>
      <c r="GU370" s="77">
        <f t="shared" si="1086"/>
        <v>1659623.7863498169</v>
      </c>
      <c r="GV370" s="77">
        <f t="shared" si="1087"/>
        <v>5089380.0988154644</v>
      </c>
      <c r="GW370" s="77">
        <f t="shared" si="1088"/>
        <v>7634070.1482231971</v>
      </c>
      <c r="GX370" s="77">
        <f t="shared" si="1119"/>
        <v>225968476.38740665</v>
      </c>
      <c r="GY370" s="77">
        <f t="shared" si="1119"/>
        <v>256504756.98029944</v>
      </c>
      <c r="IC370" s="82">
        <v>392</v>
      </c>
    </row>
    <row r="371" spans="1:237" s="77" customFormat="1">
      <c r="A371" s="77">
        <v>371</v>
      </c>
      <c r="C371" s="122" t="s">
        <v>392</v>
      </c>
      <c r="D371" s="122" t="s">
        <v>397</v>
      </c>
      <c r="E371" s="135">
        <v>3</v>
      </c>
      <c r="F371" s="125">
        <f t="shared" si="1072"/>
        <v>7.946428571428571E-2</v>
      </c>
      <c r="G371" s="122"/>
      <c r="H371" s="122"/>
      <c r="I371" s="122">
        <f>15.81/AU371</f>
        <v>1.3175000000000001E-2</v>
      </c>
      <c r="J371" s="122">
        <f t="shared" si="1102"/>
        <v>1.3636363636363635</v>
      </c>
      <c r="K371" s="125">
        <f t="shared" si="1089"/>
        <v>11.733333333333333</v>
      </c>
      <c r="L371" s="125">
        <f t="shared" si="1090"/>
        <v>6.7500000000000004E-2</v>
      </c>
      <c r="M371" s="125">
        <f t="shared" si="1091"/>
        <v>4.0178571428571432E-2</v>
      </c>
      <c r="N371" s="125">
        <f t="shared" si="1092"/>
        <v>0.21428571428571427</v>
      </c>
      <c r="O371" s="125">
        <f t="shared" si="1093"/>
        <v>5.9839860068377007E-3</v>
      </c>
      <c r="P371" s="122">
        <f t="shared" si="1103"/>
        <v>9.4742063492063489E-2</v>
      </c>
      <c r="Q371" s="122" t="s">
        <v>243</v>
      </c>
      <c r="R371" s="134">
        <f t="shared" si="1100"/>
        <v>0.5625</v>
      </c>
      <c r="S371" s="75">
        <f t="shared" si="980"/>
        <v>0.72830220866262463</v>
      </c>
      <c r="T371" s="59">
        <f t="shared" si="959"/>
        <v>4.3749386310499991</v>
      </c>
      <c r="U371" s="59">
        <f t="shared" si="960"/>
        <v>3.0875233064479208</v>
      </c>
      <c r="V371" s="59">
        <f t="shared" si="961"/>
        <v>1.441518754242979</v>
      </c>
      <c r="W371" s="59">
        <f t="shared" si="962"/>
        <v>0.32949462285303188</v>
      </c>
      <c r="X371" s="59">
        <f t="shared" si="963"/>
        <v>0.46688514099069001</v>
      </c>
      <c r="Y371" s="127">
        <v>801000</v>
      </c>
      <c r="Z371" s="57">
        <f t="shared" si="964"/>
        <v>373974.99793354271</v>
      </c>
      <c r="AA371" s="57">
        <f t="shared" si="965"/>
        <v>263925.19290527853</v>
      </c>
      <c r="AB371" s="57">
        <f t="shared" si="1060"/>
        <v>672290.49422800308</v>
      </c>
      <c r="AC371" s="57">
        <f t="shared" si="966"/>
        <v>0.25</v>
      </c>
      <c r="AD371" s="57">
        <f t="shared" si="967"/>
        <v>1.5</v>
      </c>
      <c r="AE371" s="57">
        <f t="shared" si="968"/>
        <v>955000</v>
      </c>
      <c r="AF371" s="57">
        <f t="shared" si="969"/>
        <v>164702.95860953844</v>
      </c>
      <c r="AG371" s="57">
        <f t="shared" si="1058"/>
        <v>99222.234295740069</v>
      </c>
      <c r="AH371" s="57">
        <f t="shared" si="1061"/>
        <v>391653682.2694121</v>
      </c>
      <c r="AI371" s="77">
        <f t="shared" si="1062"/>
        <v>415094910.80419159</v>
      </c>
      <c r="AJ371" s="77">
        <v>955000</v>
      </c>
      <c r="AK371" s="77">
        <v>84</v>
      </c>
      <c r="AL371" s="78">
        <f t="shared" si="970"/>
        <v>5.2541591941743295</v>
      </c>
      <c r="AM371" s="57">
        <f t="shared" si="971"/>
        <v>0.94</v>
      </c>
      <c r="AN371" s="57">
        <f t="shared" si="972"/>
        <v>0.74</v>
      </c>
      <c r="AO371" s="77">
        <f t="shared" si="1104"/>
        <v>880</v>
      </c>
      <c r="AP371" s="79">
        <v>90</v>
      </c>
      <c r="AQ371" s="57">
        <f t="shared" si="973"/>
        <v>100.16251591164354</v>
      </c>
      <c r="AR371" s="57">
        <f t="shared" si="1063"/>
        <v>700</v>
      </c>
      <c r="AS371" s="57">
        <f t="shared" si="974"/>
        <v>779.8374840883564</v>
      </c>
      <c r="AT371" s="77">
        <v>75</v>
      </c>
      <c r="AU371" s="77">
        <v>1200</v>
      </c>
      <c r="AV371" s="57">
        <f t="shared" si="975"/>
        <v>52500</v>
      </c>
      <c r="AW371" s="77">
        <f t="shared" si="1105"/>
        <v>67500</v>
      </c>
      <c r="AX371" s="77">
        <f t="shared" si="976"/>
        <v>66000</v>
      </c>
      <c r="AY371" s="77">
        <f t="shared" si="1106"/>
        <v>120000</v>
      </c>
      <c r="AZ371" s="77">
        <f t="shared" si="1044"/>
        <v>450</v>
      </c>
      <c r="BA371" s="77">
        <v>450</v>
      </c>
      <c r="BB371" s="77">
        <v>450</v>
      </c>
      <c r="BC371" s="77">
        <v>250</v>
      </c>
      <c r="BD371" s="77">
        <v>1.26E-2</v>
      </c>
      <c r="BE371" s="77">
        <v>7.4999999999999997E-3</v>
      </c>
      <c r="BF371" s="77">
        <v>0.04</v>
      </c>
      <c r="BG371" s="77">
        <f t="shared" si="1107"/>
        <v>2.0106192982974674E-3</v>
      </c>
      <c r="BH371" s="79">
        <v>160</v>
      </c>
      <c r="BI371" s="79">
        <f t="shared" si="1108"/>
        <v>28.274333882308138</v>
      </c>
      <c r="BJ371" s="79">
        <v>2</v>
      </c>
      <c r="BK371" s="57">
        <f t="shared" si="1059"/>
        <v>56.548667764616276</v>
      </c>
      <c r="BL371" s="57">
        <f t="shared" si="1018"/>
        <v>661.5</v>
      </c>
      <c r="BM371" s="80">
        <f t="shared" si="1109"/>
        <v>113.09733552923255</v>
      </c>
      <c r="BN371" s="80">
        <v>12</v>
      </c>
      <c r="BO371" s="57">
        <f t="shared" si="1065"/>
        <v>1357.1680263507906</v>
      </c>
      <c r="BP371" s="57">
        <f t="shared" si="977"/>
        <v>1154656.5221486262</v>
      </c>
      <c r="BQ371" s="77">
        <f t="shared" si="978"/>
        <v>6.8685039877891541E-9</v>
      </c>
      <c r="BR371" s="57">
        <f t="shared" si="1022"/>
        <v>1385587826.5783513</v>
      </c>
      <c r="BS371" s="57">
        <v>200.32503182328708</v>
      </c>
      <c r="BT371" s="57">
        <f t="shared" si="981"/>
        <v>475.71843552235708</v>
      </c>
      <c r="BU371" s="57"/>
      <c r="BV371" s="57">
        <v>3.3E-3</v>
      </c>
      <c r="BW371" s="57">
        <v>30000</v>
      </c>
      <c r="BX371" s="57">
        <v>200000</v>
      </c>
      <c r="BY371" s="77">
        <f>20</f>
        <v>20</v>
      </c>
      <c r="BZ371" s="77">
        <f t="shared" si="1110"/>
        <v>70</v>
      </c>
      <c r="CA371" s="77">
        <f>90+20</f>
        <v>110</v>
      </c>
      <c r="CB371" s="77">
        <f>CA371+60*1</f>
        <v>170</v>
      </c>
      <c r="CC371" s="77">
        <f>CA371+60*2</f>
        <v>230</v>
      </c>
      <c r="CD371" s="77">
        <f>CA371+60*3</f>
        <v>290</v>
      </c>
      <c r="CE371" s="77">
        <f>CA371+60*4</f>
        <v>350</v>
      </c>
      <c r="CF371" s="77">
        <f>CA371+60*5</f>
        <v>410</v>
      </c>
      <c r="CG371" s="77">
        <f>CA371+60*6</f>
        <v>470</v>
      </c>
      <c r="CH371" s="77">
        <f>CA371+60*7</f>
        <v>530</v>
      </c>
      <c r="CI371" s="77">
        <f>CA371+60*8</f>
        <v>590</v>
      </c>
      <c r="CJ371" s="77">
        <f>CA371+60*9</f>
        <v>650</v>
      </c>
      <c r="CK371" s="77">
        <f>CA371+60*10</f>
        <v>710</v>
      </c>
      <c r="CL371" s="77">
        <f>CA371+60*11</f>
        <v>770</v>
      </c>
      <c r="CM371" s="77">
        <f>CL371+20+20</f>
        <v>810</v>
      </c>
      <c r="CN371" s="77">
        <f>CM371+50</f>
        <v>860</v>
      </c>
      <c r="DM371" s="77">
        <f t="shared" si="1111"/>
        <v>1357.1680263507906</v>
      </c>
      <c r="DN371" s="77">
        <f t="shared" si="1111"/>
        <v>1357.1680263507906</v>
      </c>
      <c r="DO371" s="77">
        <f t="shared" si="1118"/>
        <v>56.548667764616276</v>
      </c>
      <c r="DP371" s="77">
        <f t="shared" si="1118"/>
        <v>56.548667764616276</v>
      </c>
      <c r="DQ371" s="77">
        <f t="shared" si="1118"/>
        <v>56.548667764616276</v>
      </c>
      <c r="DR371" s="77">
        <f t="shared" si="1118"/>
        <v>56.548667764616276</v>
      </c>
      <c r="DS371" s="77">
        <f t="shared" si="1118"/>
        <v>56.548667764616276</v>
      </c>
      <c r="DT371" s="77">
        <f t="shared" si="1118"/>
        <v>56.548667764616276</v>
      </c>
      <c r="DU371" s="77">
        <f t="shared" si="1118"/>
        <v>56.548667764616276</v>
      </c>
      <c r="DV371" s="77">
        <f t="shared" ref="DV371:DZ372" si="1120">PI()*6*6/4*2</f>
        <v>56.548667764616276</v>
      </c>
      <c r="DW371" s="77">
        <f t="shared" si="1120"/>
        <v>56.548667764616276</v>
      </c>
      <c r="DX371" s="77">
        <f t="shared" si="1120"/>
        <v>56.548667764616276</v>
      </c>
      <c r="DY371" s="77">
        <f t="shared" si="1120"/>
        <v>56.548667764616276</v>
      </c>
      <c r="DZ371" s="77">
        <f t="shared" si="1120"/>
        <v>56.548667764616276</v>
      </c>
      <c r="EA371" s="77">
        <f>PI()*12*12/4*12</f>
        <v>1357.1680263507906</v>
      </c>
      <c r="EB371" s="77">
        <f>PI()*12*12/4*12</f>
        <v>1357.1680263507906</v>
      </c>
      <c r="FA371" s="77">
        <f t="shared" si="1113"/>
        <v>-610725.61185785581</v>
      </c>
      <c r="FB371" s="77">
        <f t="shared" si="1114"/>
        <v>-582733.75346635736</v>
      </c>
      <c r="FC371" s="77">
        <f t="shared" si="1115"/>
        <v>-16828.260110499072</v>
      </c>
      <c r="FD371" s="77">
        <f t="shared" si="1101"/>
        <v>-5649.7906846003425</v>
      </c>
      <c r="FE371" s="77">
        <f t="shared" si="1080"/>
        <v>5528.6787412983858</v>
      </c>
      <c r="FF371" s="77">
        <f t="shared" si="1084"/>
        <v>16707.148167197112</v>
      </c>
      <c r="FG371" s="77">
        <f t="shared" si="1095"/>
        <v>25446.900494077323</v>
      </c>
      <c r="FH371" s="77">
        <f t="shared" si="1096"/>
        <v>25446.900494077323</v>
      </c>
      <c r="FI371" s="77">
        <f t="shared" si="1097"/>
        <v>25446.900494077323</v>
      </c>
      <c r="FJ371" s="77">
        <f t="shared" ref="FJ371:FN372" si="1121">IF(ABS(-$BV371*($BS371-CH371)/$BS371*$BX371)&gt;$BA371,$BA371*SIGN(-($BS371-CH371)),-$BV371*($BS371-CH371)/$BS371*$BX371)*DV371</f>
        <v>25446.900494077323</v>
      </c>
      <c r="FK371" s="77">
        <f t="shared" si="1121"/>
        <v>25446.900494077323</v>
      </c>
      <c r="FL371" s="77">
        <f t="shared" si="1121"/>
        <v>25446.900494077323</v>
      </c>
      <c r="FM371" s="77">
        <f t="shared" si="1121"/>
        <v>25446.900494077323</v>
      </c>
      <c r="FN371" s="77">
        <f t="shared" si="1121"/>
        <v>25446.900494077323</v>
      </c>
      <c r="FO371" s="77">
        <f>IF(ABS(-$BV371*($BS371-CM371)/$BS371*$BX371)&gt;$BB371,$BB371*SIGN(-($BS371-CM371)),-$BV371*($BS371-CM371)/$BS371*$BX371)*EA371</f>
        <v>610725.61185785581</v>
      </c>
      <c r="FP371" s="77">
        <f>IF(ABS(-$BV371*($BS371-CN371)/$BS371*$BX371)&gt;$BB371,$BB371*SIGN(-($BS371-CN371)),-$BV371*($BS371-CN371)/$BS371*$BX371)*EB371</f>
        <v>610725.61185785581</v>
      </c>
      <c r="GO371" s="77">
        <f t="shared" si="1038"/>
        <v>256504756.98029944</v>
      </c>
      <c r="GP371" s="77">
        <f t="shared" si="1039"/>
        <v>215611488.78255221</v>
      </c>
      <c r="GQ371" s="77">
        <f t="shared" si="1040"/>
        <v>5553325.8364646938</v>
      </c>
      <c r="GR371" s="77">
        <f t="shared" si="1041"/>
        <v>1525443.4848420925</v>
      </c>
      <c r="GS371" s="77">
        <f t="shared" si="1057"/>
        <v>-1161022.5356726609</v>
      </c>
      <c r="GT371" s="77">
        <f t="shared" si="1085"/>
        <v>-2506072.2250795667</v>
      </c>
      <c r="GU371" s="77">
        <f t="shared" si="1086"/>
        <v>-2290221.0444669588</v>
      </c>
      <c r="GV371" s="77">
        <f t="shared" si="1087"/>
        <v>-763407.01482231973</v>
      </c>
      <c r="GW371" s="77">
        <f t="shared" si="1088"/>
        <v>763407.01482231973</v>
      </c>
      <c r="GX371" s="77">
        <f t="shared" si="1119"/>
        <v>2290221.0444669588</v>
      </c>
      <c r="GY371" s="77">
        <f t="shared" si="1119"/>
        <v>3817035.0741115985</v>
      </c>
      <c r="GZ371" s="77">
        <f t="shared" ref="GZ371:HD372" si="1122">FL371*(CJ371-0.5*$AO371)</f>
        <v>5343849.1037562378</v>
      </c>
      <c r="HA371" s="77">
        <f t="shared" si="1122"/>
        <v>6870663.133400877</v>
      </c>
      <c r="HB371" s="77">
        <f t="shared" si="1122"/>
        <v>8397477.1630455162</v>
      </c>
      <c r="HC371" s="77">
        <f t="shared" si="1122"/>
        <v>225968476.38740665</v>
      </c>
      <c r="HD371" s="77">
        <f t="shared" si="1122"/>
        <v>256504756.98029944</v>
      </c>
      <c r="IC371" s="82">
        <v>393</v>
      </c>
    </row>
    <row r="372" spans="1:237" s="77" customFormat="1">
      <c r="A372" s="77">
        <v>372</v>
      </c>
      <c r="C372" s="122" t="s">
        <v>392</v>
      </c>
      <c r="D372" s="122" t="s">
        <v>398</v>
      </c>
      <c r="E372" s="135">
        <v>3</v>
      </c>
      <c r="F372" s="125">
        <f t="shared" si="1072"/>
        <v>6.8981481481481477E-2</v>
      </c>
      <c r="G372" s="122"/>
      <c r="H372" s="122"/>
      <c r="I372" s="122">
        <f>16.1/AU372</f>
        <v>1.3416666666666667E-2</v>
      </c>
      <c r="J372" s="122">
        <f t="shared" si="1102"/>
        <v>1.3636363636363635</v>
      </c>
      <c r="K372" s="125">
        <f t="shared" si="1089"/>
        <v>11.733333333333333</v>
      </c>
      <c r="L372" s="125">
        <f t="shared" si="1090"/>
        <v>6.3E-2</v>
      </c>
      <c r="M372" s="125">
        <f t="shared" si="1091"/>
        <v>3.7499999999999999E-2</v>
      </c>
      <c r="N372" s="125">
        <f t="shared" si="1092"/>
        <v>0.2</v>
      </c>
      <c r="O372" s="125">
        <f t="shared" si="1093"/>
        <v>5.585053606381854E-3</v>
      </c>
      <c r="P372" s="122">
        <f t="shared" si="1103"/>
        <v>5.0925925925925923E-2</v>
      </c>
      <c r="Q372" s="122" t="s">
        <v>243</v>
      </c>
      <c r="R372" s="134">
        <f t="shared" si="1100"/>
        <v>0.5625</v>
      </c>
      <c r="S372" s="75">
        <f t="shared" si="980"/>
        <v>0.65441579356262292</v>
      </c>
      <c r="T372" s="59">
        <f t="shared" si="959"/>
        <v>4.1041418714453783</v>
      </c>
      <c r="U372" s="59">
        <f t="shared" si="960"/>
        <v>2.7987018475239926</v>
      </c>
      <c r="V372" s="59">
        <f t="shared" si="961"/>
        <v>1.4248312978065441</v>
      </c>
      <c r="W372" s="59">
        <f t="shared" si="962"/>
        <v>0.34716911413804352</v>
      </c>
      <c r="X372" s="59">
        <f t="shared" si="963"/>
        <v>0.5091043546017916</v>
      </c>
      <c r="Y372" s="127">
        <v>745000</v>
      </c>
      <c r="Z372" s="57">
        <f t="shared" si="964"/>
        <v>379282.74417833477</v>
      </c>
      <c r="AA372" s="57">
        <f t="shared" si="965"/>
        <v>258640.99003284241</v>
      </c>
      <c r="AB372" s="57">
        <f t="shared" si="1060"/>
        <v>735034.63845879713</v>
      </c>
      <c r="AC372" s="57">
        <f t="shared" si="966"/>
        <v>0.25</v>
      </c>
      <c r="AD372" s="57">
        <f t="shared" si="967"/>
        <v>1.5</v>
      </c>
      <c r="AE372" s="57">
        <f t="shared" si="968"/>
        <v>549999.99999999988</v>
      </c>
      <c r="AF372" s="57">
        <f t="shared" si="969"/>
        <v>156060.07167174327</v>
      </c>
      <c r="AG372" s="57">
        <f t="shared" si="1058"/>
        <v>102580.91836109915</v>
      </c>
      <c r="AH372" s="57">
        <f t="shared" si="1061"/>
        <v>434703288.31891775</v>
      </c>
      <c r="AI372" s="77">
        <f t="shared" si="1062"/>
        <v>447338277.83163875</v>
      </c>
      <c r="AJ372" s="77">
        <v>550000</v>
      </c>
      <c r="AK372" s="77">
        <v>90</v>
      </c>
      <c r="AL372" s="78">
        <f t="shared" si="970"/>
        <v>5.457364984728108</v>
      </c>
      <c r="AM372" s="57">
        <f t="shared" si="971"/>
        <v>0.94</v>
      </c>
      <c r="AN372" s="57">
        <f t="shared" si="972"/>
        <v>0.74</v>
      </c>
      <c r="AO372" s="77">
        <f t="shared" si="1104"/>
        <v>880</v>
      </c>
      <c r="AP372" s="79">
        <v>90</v>
      </c>
      <c r="AQ372" s="57">
        <f t="shared" si="973"/>
        <v>73.764927206168025</v>
      </c>
      <c r="AR372" s="57">
        <f t="shared" si="1063"/>
        <v>700</v>
      </c>
      <c r="AS372" s="57">
        <f t="shared" si="974"/>
        <v>806.23507279383193</v>
      </c>
      <c r="AT372" s="77">
        <v>75</v>
      </c>
      <c r="AU372" s="77">
        <v>1200</v>
      </c>
      <c r="AV372" s="57">
        <f t="shared" si="975"/>
        <v>52500</v>
      </c>
      <c r="AW372" s="77">
        <f t="shared" si="1105"/>
        <v>67500</v>
      </c>
      <c r="AX372" s="77">
        <f t="shared" si="976"/>
        <v>66000</v>
      </c>
      <c r="AY372" s="77">
        <f t="shared" si="1106"/>
        <v>120000</v>
      </c>
      <c r="AZ372" s="77">
        <f t="shared" si="1044"/>
        <v>450</v>
      </c>
      <c r="BA372" s="77">
        <v>450</v>
      </c>
      <c r="BB372" s="77">
        <v>450</v>
      </c>
      <c r="BC372" s="77">
        <v>250</v>
      </c>
      <c r="BD372" s="77">
        <v>1.26E-2</v>
      </c>
      <c r="BE372" s="77">
        <v>7.4999999999999997E-3</v>
      </c>
      <c r="BF372" s="77">
        <v>0.04</v>
      </c>
      <c r="BG372" s="77">
        <f t="shared" si="1107"/>
        <v>2.0106192982974674E-3</v>
      </c>
      <c r="BH372" s="79">
        <v>160</v>
      </c>
      <c r="BI372" s="79">
        <f t="shared" si="1108"/>
        <v>28.274333882308138</v>
      </c>
      <c r="BJ372" s="79">
        <v>2</v>
      </c>
      <c r="BK372" s="57">
        <f t="shared" si="1059"/>
        <v>56.548667764616276</v>
      </c>
      <c r="BL372" s="57">
        <f t="shared" si="1018"/>
        <v>661.5</v>
      </c>
      <c r="BM372" s="80">
        <f t="shared" si="1109"/>
        <v>113.09733552923255</v>
      </c>
      <c r="BN372" s="80">
        <v>12</v>
      </c>
      <c r="BO372" s="57">
        <f t="shared" si="1065"/>
        <v>1357.1680263507906</v>
      </c>
      <c r="BP372" s="57">
        <f t="shared" si="977"/>
        <v>1061499.3168658754</v>
      </c>
      <c r="BQ372" s="77">
        <f t="shared" si="978"/>
        <v>8.3819031715393066E-9</v>
      </c>
      <c r="BR372" s="57">
        <f t="shared" si="1022"/>
        <v>1273799180.2390504</v>
      </c>
      <c r="BS372" s="57">
        <v>147.52985441233605</v>
      </c>
      <c r="BT372" s="57">
        <f t="shared" si="981"/>
        <v>317.36650995680924</v>
      </c>
      <c r="BU372" s="57"/>
      <c r="BV372" s="57">
        <v>3.3E-3</v>
      </c>
      <c r="BW372" s="57">
        <v>30000</v>
      </c>
      <c r="BX372" s="57">
        <v>200000</v>
      </c>
      <c r="BY372" s="77">
        <f>20</f>
        <v>20</v>
      </c>
      <c r="BZ372" s="77">
        <f t="shared" si="1110"/>
        <v>70</v>
      </c>
      <c r="CA372" s="77">
        <f>90+20</f>
        <v>110</v>
      </c>
      <c r="CB372" s="77">
        <f>CA372+60*1</f>
        <v>170</v>
      </c>
      <c r="CC372" s="77">
        <f>CA372+60*2</f>
        <v>230</v>
      </c>
      <c r="CD372" s="77">
        <f>CA372+60*3</f>
        <v>290</v>
      </c>
      <c r="CE372" s="77">
        <f>CA372+60*4</f>
        <v>350</v>
      </c>
      <c r="CF372" s="77">
        <f>CA372+60*5</f>
        <v>410</v>
      </c>
      <c r="CG372" s="77">
        <f>CA372+60*6</f>
        <v>470</v>
      </c>
      <c r="CH372" s="77">
        <f>CA372+60*7</f>
        <v>530</v>
      </c>
      <c r="CI372" s="77">
        <f>CA372+60*8</f>
        <v>590</v>
      </c>
      <c r="CJ372" s="77">
        <f>CA372+60*9</f>
        <v>650</v>
      </c>
      <c r="CK372" s="77">
        <f>CA372+60*10</f>
        <v>710</v>
      </c>
      <c r="CL372" s="77">
        <f>CA372+60*11</f>
        <v>770</v>
      </c>
      <c r="CM372" s="77">
        <f>CL372+20+20</f>
        <v>810</v>
      </c>
      <c r="CN372" s="77">
        <f>CM372+50</f>
        <v>860</v>
      </c>
      <c r="DM372" s="77">
        <f t="shared" si="1111"/>
        <v>1357.1680263507906</v>
      </c>
      <c r="DN372" s="77">
        <f t="shared" si="1111"/>
        <v>1357.1680263507906</v>
      </c>
      <c r="DO372" s="77">
        <f t="shared" si="1118"/>
        <v>56.548667764616276</v>
      </c>
      <c r="DP372" s="77">
        <f t="shared" si="1118"/>
        <v>56.548667764616276</v>
      </c>
      <c r="DQ372" s="77">
        <f t="shared" si="1118"/>
        <v>56.548667764616276</v>
      </c>
      <c r="DR372" s="77">
        <f t="shared" si="1118"/>
        <v>56.548667764616276</v>
      </c>
      <c r="DS372" s="77">
        <f t="shared" si="1118"/>
        <v>56.548667764616276</v>
      </c>
      <c r="DT372" s="77">
        <f t="shared" si="1118"/>
        <v>56.548667764616276</v>
      </c>
      <c r="DU372" s="77">
        <f t="shared" si="1118"/>
        <v>56.548667764616276</v>
      </c>
      <c r="DV372" s="77">
        <f t="shared" si="1120"/>
        <v>56.548667764616276</v>
      </c>
      <c r="DW372" s="77">
        <f t="shared" si="1120"/>
        <v>56.548667764616276</v>
      </c>
      <c r="DX372" s="77">
        <f t="shared" si="1120"/>
        <v>56.548667764616276</v>
      </c>
      <c r="DY372" s="77">
        <f t="shared" si="1120"/>
        <v>56.548667764616276</v>
      </c>
      <c r="DZ372" s="77">
        <f t="shared" si="1120"/>
        <v>56.548667764616276</v>
      </c>
      <c r="EA372" s="77">
        <f>PI()*12*12/4*12</f>
        <v>1357.1680263507906</v>
      </c>
      <c r="EB372" s="77">
        <f>PI()*12*12/4*12</f>
        <v>1357.1680263507906</v>
      </c>
      <c r="FA372" s="77">
        <f t="shared" si="1113"/>
        <v>-610725.61185785581</v>
      </c>
      <c r="FB372" s="77">
        <f t="shared" si="1114"/>
        <v>-470724.2906462797</v>
      </c>
      <c r="FC372" s="77">
        <f t="shared" si="1115"/>
        <v>-9494.3071877558905</v>
      </c>
      <c r="FD372" s="77">
        <f t="shared" si="1101"/>
        <v>5684.5001960027557</v>
      </c>
      <c r="FE372" s="77">
        <f t="shared" si="1080"/>
        <v>20863.307579761404</v>
      </c>
      <c r="FF372" s="77">
        <f t="shared" si="1084"/>
        <v>25446.900494077323</v>
      </c>
      <c r="FG372" s="77">
        <f t="shared" si="1095"/>
        <v>25446.900494077323</v>
      </c>
      <c r="FH372" s="77">
        <f t="shared" si="1096"/>
        <v>25446.900494077323</v>
      </c>
      <c r="FI372" s="77">
        <f t="shared" si="1097"/>
        <v>25446.900494077323</v>
      </c>
      <c r="FJ372" s="77">
        <f t="shared" si="1121"/>
        <v>25446.900494077323</v>
      </c>
      <c r="FK372" s="77">
        <f t="shared" si="1121"/>
        <v>25446.900494077323</v>
      </c>
      <c r="FL372" s="77">
        <f t="shared" si="1121"/>
        <v>25446.900494077323</v>
      </c>
      <c r="FM372" s="77">
        <f t="shared" si="1121"/>
        <v>25446.900494077323</v>
      </c>
      <c r="FN372" s="77">
        <f t="shared" si="1121"/>
        <v>25446.900494077323</v>
      </c>
      <c r="FO372" s="77">
        <f>IF(ABS(-$BV372*($BS372-CM372)/$BS372*$BX372)&gt;$BB372,$BB372*SIGN(-($BS372-CM372)),-$BV372*($BS372-CM372)/$BS372*$BX372)*EA372</f>
        <v>610725.61185785581</v>
      </c>
      <c r="FP372" s="77">
        <f>IF(ABS(-$BV372*($BS372-CN372)/$BS372*$BX372)&gt;$BB372,$BB372*SIGN(-($BS372-CN372)),-$BV372*($BS372-CN372)/$BS372*$BX372)*EB372</f>
        <v>610725.61185785581</v>
      </c>
      <c r="GO372" s="77">
        <f t="shared" si="1038"/>
        <v>256504756.98029944</v>
      </c>
      <c r="GP372" s="77">
        <f t="shared" si="1039"/>
        <v>174167987.53912348</v>
      </c>
      <c r="GQ372" s="77">
        <f t="shared" si="1040"/>
        <v>3133121.3719594437</v>
      </c>
      <c r="GR372" s="77">
        <f t="shared" si="1041"/>
        <v>-1534815.0529207441</v>
      </c>
      <c r="GS372" s="77">
        <f t="shared" si="1057"/>
        <v>-4381294.5917498944</v>
      </c>
      <c r="GT372" s="77">
        <f t="shared" si="1085"/>
        <v>-3817035.0741115985</v>
      </c>
      <c r="GU372" s="77">
        <f t="shared" si="1086"/>
        <v>-2290221.0444669588</v>
      </c>
      <c r="GV372" s="77">
        <f t="shared" si="1087"/>
        <v>-763407.01482231973</v>
      </c>
      <c r="GW372" s="77">
        <f t="shared" si="1088"/>
        <v>763407.01482231973</v>
      </c>
      <c r="GX372" s="77">
        <f t="shared" si="1119"/>
        <v>2290221.0444669588</v>
      </c>
      <c r="GY372" s="77">
        <f t="shared" si="1119"/>
        <v>3817035.0741115985</v>
      </c>
      <c r="GZ372" s="77">
        <f t="shared" si="1122"/>
        <v>5343849.1037562378</v>
      </c>
      <c r="HA372" s="77">
        <f t="shared" si="1122"/>
        <v>6870663.133400877</v>
      </c>
      <c r="HB372" s="77">
        <f t="shared" si="1122"/>
        <v>8397477.1630455162</v>
      </c>
      <c r="HC372" s="77">
        <f t="shared" si="1122"/>
        <v>225968476.38740665</v>
      </c>
      <c r="HD372" s="77">
        <f t="shared" si="1122"/>
        <v>256504756.98029944</v>
      </c>
      <c r="IC372" s="82">
        <v>394</v>
      </c>
    </row>
    <row r="373" spans="1:237" s="77" customFormat="1">
      <c r="A373" s="77">
        <v>373</v>
      </c>
      <c r="C373" s="122" t="s">
        <v>392</v>
      </c>
      <c r="D373" s="122" t="s">
        <v>399</v>
      </c>
      <c r="E373" s="135">
        <v>3</v>
      </c>
      <c r="F373" s="125">
        <f t="shared" si="1072"/>
        <v>6.535947712418301E-2</v>
      </c>
      <c r="G373" s="122"/>
      <c r="H373" s="122"/>
      <c r="I373" s="122">
        <f>15.18/AU373</f>
        <v>1.265E-2</v>
      </c>
      <c r="J373" s="122">
        <f t="shared" si="1102"/>
        <v>1.3636363636363635</v>
      </c>
      <c r="K373" s="125">
        <f t="shared" si="1089"/>
        <v>11.733333333333333</v>
      </c>
      <c r="L373" s="125">
        <f t="shared" si="1090"/>
        <v>3.3088235294117647E-2</v>
      </c>
      <c r="M373" s="125">
        <f t="shared" si="1091"/>
        <v>3.3088235294117647E-2</v>
      </c>
      <c r="N373" s="125">
        <f t="shared" si="1092"/>
        <v>0.17647058823529413</v>
      </c>
      <c r="O373" s="125">
        <f t="shared" si="1093"/>
        <v>4.9279884762192831E-3</v>
      </c>
      <c r="P373" s="122">
        <f t="shared" si="1103"/>
        <v>7.7777777777777779E-2</v>
      </c>
      <c r="Q373" s="122" t="s">
        <v>243</v>
      </c>
      <c r="R373" s="134">
        <f t="shared" si="1100"/>
        <v>0.5625</v>
      </c>
      <c r="S373" s="75">
        <f t="shared" si="980"/>
        <v>0.6600983619844496</v>
      </c>
      <c r="T373" s="59">
        <f t="shared" si="959"/>
        <v>4.0185074223289128</v>
      </c>
      <c r="U373" s="59">
        <f t="shared" si="960"/>
        <v>2.9206145839435669</v>
      </c>
      <c r="V373" s="59">
        <f t="shared" si="961"/>
        <v>1.4215793273720883</v>
      </c>
      <c r="W373" s="59">
        <f t="shared" si="962"/>
        <v>0.353758044460253</v>
      </c>
      <c r="X373" s="59">
        <f t="shared" si="963"/>
        <v>0.48673978935371787</v>
      </c>
      <c r="Y373" s="127">
        <v>800000</v>
      </c>
      <c r="Z373" s="57">
        <f t="shared" si="964"/>
        <v>389391.83148297429</v>
      </c>
      <c r="AA373" s="57">
        <f t="shared" si="965"/>
        <v>283006.4355682024</v>
      </c>
      <c r="AB373" s="57">
        <f t="shared" si="1060"/>
        <v>769808.06061420578</v>
      </c>
      <c r="AC373" s="57">
        <f t="shared" si="966"/>
        <v>0.25</v>
      </c>
      <c r="AD373" s="57">
        <f t="shared" si="967"/>
        <v>1.5</v>
      </c>
      <c r="AE373" s="57">
        <f t="shared" si="968"/>
        <v>952000.00000000012</v>
      </c>
      <c r="AF373" s="57">
        <f t="shared" si="969"/>
        <v>181530.7655776437</v>
      </c>
      <c r="AG373" s="57">
        <f t="shared" si="1058"/>
        <v>101475.66999055873</v>
      </c>
      <c r="AH373" s="57">
        <f t="shared" si="1061"/>
        <v>487041779.26259613</v>
      </c>
      <c r="AI373" s="77">
        <f t="shared" si="1062"/>
        <v>436727893.47445083</v>
      </c>
      <c r="AJ373" s="77">
        <v>952000</v>
      </c>
      <c r="AK373" s="77">
        <v>102</v>
      </c>
      <c r="AL373" s="78">
        <f t="shared" si="970"/>
        <v>5.8462813845276624</v>
      </c>
      <c r="AM373" s="57">
        <f t="shared" si="971"/>
        <v>0.94</v>
      </c>
      <c r="AN373" s="57">
        <f t="shared" si="972"/>
        <v>0.74</v>
      </c>
      <c r="AO373" s="77">
        <f t="shared" si="1104"/>
        <v>880</v>
      </c>
      <c r="AP373" s="79">
        <v>90</v>
      </c>
      <c r="AQ373" s="57">
        <f t="shared" si="973"/>
        <v>82.451630490897386</v>
      </c>
      <c r="AR373" s="57">
        <f t="shared" si="1063"/>
        <v>700</v>
      </c>
      <c r="AS373" s="57">
        <f t="shared" si="974"/>
        <v>797.5483695091026</v>
      </c>
      <c r="AT373" s="77">
        <v>75</v>
      </c>
      <c r="AU373" s="77">
        <v>1200</v>
      </c>
      <c r="AV373" s="57">
        <f t="shared" si="975"/>
        <v>52500</v>
      </c>
      <c r="AW373" s="77">
        <f t="shared" si="1105"/>
        <v>67500</v>
      </c>
      <c r="AX373" s="77">
        <f t="shared" si="976"/>
        <v>66000</v>
      </c>
      <c r="AY373" s="77">
        <f t="shared" si="1106"/>
        <v>120000</v>
      </c>
      <c r="AZ373" s="77">
        <f t="shared" si="1044"/>
        <v>450</v>
      </c>
      <c r="BA373" s="77">
        <v>450</v>
      </c>
      <c r="BB373" s="77">
        <v>450</v>
      </c>
      <c r="BC373" s="77">
        <v>250</v>
      </c>
      <c r="BD373" s="77">
        <v>7.4999999999999997E-3</v>
      </c>
      <c r="BE373" s="77">
        <v>7.4999999999999997E-3</v>
      </c>
      <c r="BF373" s="77">
        <v>0.04</v>
      </c>
      <c r="BG373" s="77">
        <f t="shared" si="1107"/>
        <v>2.0106192982974674E-3</v>
      </c>
      <c r="BH373" s="79">
        <v>160</v>
      </c>
      <c r="BI373" s="79">
        <f t="shared" si="1108"/>
        <v>28.274333882308138</v>
      </c>
      <c r="BJ373" s="79">
        <v>2</v>
      </c>
      <c r="BK373" s="57">
        <f t="shared" si="1059"/>
        <v>56.548667764616276</v>
      </c>
      <c r="BL373" s="57">
        <f t="shared" si="1018"/>
        <v>393.75</v>
      </c>
      <c r="BM373" s="80">
        <f t="shared" si="1109"/>
        <v>113.09733552923255</v>
      </c>
      <c r="BN373" s="80">
        <v>12</v>
      </c>
      <c r="BO373" s="57">
        <f t="shared" si="1065"/>
        <v>1357.1680263507906</v>
      </c>
      <c r="BP373" s="57">
        <f t="shared" si="977"/>
        <v>1137263.4618976705</v>
      </c>
      <c r="BQ373" s="77">
        <f t="shared" si="978"/>
        <v>1.9790604710578918E-9</v>
      </c>
      <c r="BR373" s="57">
        <f t="shared" si="1022"/>
        <v>1364716154.2772045</v>
      </c>
      <c r="BS373" s="57">
        <v>164.90326098179477</v>
      </c>
      <c r="BT373" s="57">
        <f t="shared" si="981"/>
        <v>509.98120381050012</v>
      </c>
      <c r="BU373" s="57"/>
      <c r="BV373" s="57">
        <v>3.3E-3</v>
      </c>
      <c r="BW373" s="57">
        <v>30000</v>
      </c>
      <c r="BX373" s="57">
        <v>200000</v>
      </c>
      <c r="BY373" s="77">
        <f>20</f>
        <v>20</v>
      </c>
      <c r="BZ373" s="77">
        <f t="shared" si="1110"/>
        <v>70</v>
      </c>
      <c r="CA373" s="77">
        <f>90+50</f>
        <v>140</v>
      </c>
      <c r="CB373" s="77">
        <f>CA373+100*1</f>
        <v>240</v>
      </c>
      <c r="CC373" s="77">
        <f>CA373+100*2</f>
        <v>340</v>
      </c>
      <c r="CD373" s="77">
        <f>CA373+100*3</f>
        <v>440</v>
      </c>
      <c r="CE373" s="77">
        <f>CA373+100*4</f>
        <v>540</v>
      </c>
      <c r="CF373" s="77">
        <f>CA373+100*5</f>
        <v>640</v>
      </c>
      <c r="CG373" s="77">
        <f>CA373+100*6</f>
        <v>740</v>
      </c>
      <c r="CH373" s="77">
        <f>CG373+50+20</f>
        <v>810</v>
      </c>
      <c r="CI373" s="77">
        <f>CH373+50</f>
        <v>860</v>
      </c>
      <c r="DM373" s="77">
        <f t="shared" si="1111"/>
        <v>1357.1680263507906</v>
      </c>
      <c r="DN373" s="77">
        <f t="shared" si="1111"/>
        <v>1357.1680263507906</v>
      </c>
      <c r="DO373" s="77">
        <f t="shared" si="1118"/>
        <v>56.548667764616276</v>
      </c>
      <c r="DP373" s="77">
        <f t="shared" si="1118"/>
        <v>56.548667764616276</v>
      </c>
      <c r="DQ373" s="77">
        <f t="shared" si="1118"/>
        <v>56.548667764616276</v>
      </c>
      <c r="DR373" s="77">
        <f t="shared" si="1118"/>
        <v>56.548667764616276</v>
      </c>
      <c r="DS373" s="77">
        <f t="shared" si="1118"/>
        <v>56.548667764616276</v>
      </c>
      <c r="DT373" s="77">
        <f t="shared" si="1118"/>
        <v>56.548667764616276</v>
      </c>
      <c r="DU373" s="77">
        <f t="shared" si="1118"/>
        <v>56.548667764616276</v>
      </c>
      <c r="DV373" s="77">
        <f>PI()*12*12/4*12</f>
        <v>1357.1680263507906</v>
      </c>
      <c r="DW373" s="77">
        <f>PI()*12*12/4*12</f>
        <v>1357.1680263507906</v>
      </c>
      <c r="FA373" s="77">
        <f t="shared" si="1113"/>
        <v>-610725.61185785581</v>
      </c>
      <c r="FB373" s="77">
        <f t="shared" si="1114"/>
        <v>-515500.92228915734</v>
      </c>
      <c r="FC373" s="77">
        <f t="shared" si="1115"/>
        <v>-5636.2894661163746</v>
      </c>
      <c r="FD373" s="77">
        <f t="shared" si="1101"/>
        <v>16996.447147119601</v>
      </c>
      <c r="FE373" s="77">
        <f t="shared" si="1080"/>
        <v>25446.900494077323</v>
      </c>
      <c r="FF373" s="77">
        <f t="shared" si="1084"/>
        <v>25446.900494077323</v>
      </c>
      <c r="FG373" s="77">
        <f t="shared" si="1095"/>
        <v>25446.900494077323</v>
      </c>
      <c r="FH373" s="77">
        <f t="shared" si="1096"/>
        <v>25446.900494077323</v>
      </c>
      <c r="FI373" s="77">
        <f t="shared" si="1097"/>
        <v>25446.900494077323</v>
      </c>
      <c r="FJ373" s="77">
        <f>IF(ABS(-$BV373*($BS373-CH373)/$BS373*$BX373)&gt;$BB373,$BB373*SIGN(-($BS373-CH373)),-$BV373*($BS373-CH373)/$BS373*$BX373)*DV373</f>
        <v>610725.61185785581</v>
      </c>
      <c r="FK373" s="77">
        <f>IF(ABS(-$BV373*($BS373-CI373)/$BS373*$BX373)&gt;$BB373,$BB373*SIGN(-($BS373-CI373)),-$BV373*($BS373-CI373)/$BS373*$BX373)*DW373</f>
        <v>610725.61185785581</v>
      </c>
      <c r="GO373" s="77">
        <f t="shared" si="1038"/>
        <v>256504756.98029944</v>
      </c>
      <c r="GP373" s="77">
        <f t="shared" si="1039"/>
        <v>190735341.24698821</v>
      </c>
      <c r="GQ373" s="77">
        <f t="shared" si="1040"/>
        <v>1690886.8398349124</v>
      </c>
      <c r="GR373" s="77">
        <f t="shared" si="1041"/>
        <v>-3399289.4294239203</v>
      </c>
      <c r="GS373" s="77">
        <f t="shared" si="1057"/>
        <v>-2544690.0494077322</v>
      </c>
      <c r="GT373" s="77">
        <f t="shared" si="1085"/>
        <v>0</v>
      </c>
      <c r="GU373" s="77">
        <f t="shared" si="1086"/>
        <v>2544690.0494077322</v>
      </c>
      <c r="GV373" s="77">
        <f t="shared" si="1087"/>
        <v>5089380.0988154644</v>
      </c>
      <c r="GW373" s="77">
        <f t="shared" si="1088"/>
        <v>7634070.1482231971</v>
      </c>
      <c r="GX373" s="77">
        <f t="shared" si="1119"/>
        <v>225968476.38740665</v>
      </c>
      <c r="GY373" s="77">
        <f t="shared" si="1119"/>
        <v>256504756.98029944</v>
      </c>
      <c r="IC373" s="82">
        <v>395</v>
      </c>
    </row>
    <row r="374" spans="1:237" s="77" customFormat="1">
      <c r="A374" s="77">
        <v>374</v>
      </c>
      <c r="C374" s="122" t="s">
        <v>401</v>
      </c>
      <c r="D374" s="122" t="s">
        <v>402</v>
      </c>
      <c r="E374" s="125">
        <v>3</v>
      </c>
      <c r="F374" s="125">
        <f t="shared" si="1072"/>
        <v>7.5407268170426062E-2</v>
      </c>
      <c r="G374" s="122"/>
      <c r="H374" s="122"/>
      <c r="I374" s="122">
        <f>16.96/AU374</f>
        <v>2.12E-2</v>
      </c>
      <c r="J374" s="122">
        <f t="shared" si="1102"/>
        <v>1.1428571428571428</v>
      </c>
      <c r="K374" s="125">
        <f t="shared" si="1089"/>
        <v>7</v>
      </c>
      <c r="L374" s="125">
        <f t="shared" si="1090"/>
        <v>4.12280701754386E-2</v>
      </c>
      <c r="M374" s="125">
        <f t="shared" si="1091"/>
        <v>3.8135964912280704E-2</v>
      </c>
      <c r="N374" s="125">
        <f t="shared" si="1092"/>
        <v>0.66118421052631571</v>
      </c>
      <c r="O374" s="125">
        <f t="shared" si="1093"/>
        <v>4.5602467922996583E-2</v>
      </c>
      <c r="P374" s="122">
        <v>0.1</v>
      </c>
      <c r="Q374" s="122" t="s">
        <v>3</v>
      </c>
      <c r="R374" s="133">
        <v>0</v>
      </c>
      <c r="S374" s="75">
        <f t="shared" si="980"/>
        <v>0.36006477044932539</v>
      </c>
      <c r="T374" s="59">
        <f t="shared" si="959"/>
        <v>1.3166909282930983</v>
      </c>
      <c r="U374" s="59">
        <f t="shared" si="960"/>
        <v>1.1770180583249201</v>
      </c>
      <c r="V374" s="59">
        <f t="shared" si="961"/>
        <v>1.4124838187359845</v>
      </c>
      <c r="W374" s="59">
        <f t="shared" si="962"/>
        <v>1.0727527534248815</v>
      </c>
      <c r="X374" s="59">
        <f t="shared" si="963"/>
        <v>1.2000528018628438</v>
      </c>
      <c r="Y374" s="127">
        <v>120350</v>
      </c>
      <c r="Z374" s="57">
        <f t="shared" si="964"/>
        <v>144426.35470419325</v>
      </c>
      <c r="AA374" s="57">
        <f t="shared" si="965"/>
        <v>129105.79387468449</v>
      </c>
      <c r="AB374" s="57">
        <f t="shared" si="1060"/>
        <v>427556.20011761965</v>
      </c>
      <c r="AC374" s="57">
        <f t="shared" si="966"/>
        <v>0.25</v>
      </c>
      <c r="AD374" s="57">
        <f t="shared" si="967"/>
        <v>1.5</v>
      </c>
      <c r="AE374" s="57">
        <f t="shared" si="968"/>
        <v>159600</v>
      </c>
      <c r="AF374" s="57">
        <f t="shared" si="969"/>
        <v>82712.188588197678</v>
      </c>
      <c r="AG374" s="57">
        <f t="shared" si="1058"/>
        <v>46393.605286486811</v>
      </c>
      <c r="AH374" s="57">
        <f t="shared" si="1061"/>
        <v>136963332.34648201</v>
      </c>
      <c r="AI374" s="77">
        <f t="shared" si="1062"/>
        <v>205081627.7476137</v>
      </c>
      <c r="AJ374" s="77">
        <v>100000</v>
      </c>
      <c r="AK374" s="77">
        <f t="shared" ref="AK374:AK382" si="1123">0.76*30</f>
        <v>22.8</v>
      </c>
      <c r="AL374" s="78">
        <f t="shared" si="970"/>
        <v>2.5645654417100237</v>
      </c>
      <c r="AM374" s="57">
        <f t="shared" si="971"/>
        <v>1</v>
      </c>
      <c r="AN374" s="57">
        <f t="shared" si="972"/>
        <v>0.8</v>
      </c>
      <c r="AO374" s="77">
        <v>700</v>
      </c>
      <c r="AP374" s="79">
        <v>100</v>
      </c>
      <c r="AQ374" s="57">
        <f t="shared" si="973"/>
        <v>49.283630059289429</v>
      </c>
      <c r="AR374" s="57">
        <f t="shared" si="1063"/>
        <v>500</v>
      </c>
      <c r="AS374" s="57">
        <f t="shared" si="974"/>
        <v>650.71636994071059</v>
      </c>
      <c r="AT374" s="77">
        <v>100</v>
      </c>
      <c r="AU374" s="77">
        <v>800</v>
      </c>
      <c r="AV374" s="57">
        <f t="shared" si="975"/>
        <v>70000</v>
      </c>
      <c r="AW374" s="77">
        <v>0</v>
      </c>
      <c r="AX374" s="77">
        <f t="shared" si="976"/>
        <v>70000</v>
      </c>
      <c r="AY374" s="77">
        <f t="shared" ref="AY374:AY382" si="1124">AO374*AT374</f>
        <v>70000</v>
      </c>
      <c r="AZ374" s="77">
        <f t="shared" si="1044"/>
        <v>235</v>
      </c>
      <c r="BA374" s="77">
        <v>235</v>
      </c>
      <c r="BB374" s="77">
        <v>335</v>
      </c>
      <c r="BC374" s="77">
        <v>235</v>
      </c>
      <c r="BD374" s="77">
        <v>4.0000000000000001E-3</v>
      </c>
      <c r="BE374" s="77">
        <v>3.7000000000000002E-3</v>
      </c>
      <c r="BF374" s="77">
        <v>4.4999999999999998E-2</v>
      </c>
      <c r="BG374" s="77">
        <f t="shared" ref="BG374:BG382" si="1125">(2*PI()*6.5*6.5)/(4*150*100)</f>
        <v>4.4244096538056258E-3</v>
      </c>
      <c r="BH374" s="79">
        <f t="shared" ref="BH374:BH382" si="1126">1400/8</f>
        <v>175</v>
      </c>
      <c r="BI374" s="79">
        <f t="shared" ref="BI374:BI382" si="1127">PI()*6.5*6.5/4</f>
        <v>33.183072403542191</v>
      </c>
      <c r="BJ374" s="79">
        <v>2</v>
      </c>
      <c r="BK374" s="57">
        <f t="shared" si="1059"/>
        <v>66.366144807084382</v>
      </c>
      <c r="BL374" s="57">
        <f t="shared" si="1018"/>
        <v>200</v>
      </c>
      <c r="BM374" s="80">
        <f t="shared" ref="BM374:BM382" si="1128">PI()*18*18/4</f>
        <v>254.46900494077323</v>
      </c>
      <c r="BN374" s="80">
        <v>4</v>
      </c>
      <c r="BO374" s="57">
        <f t="shared" si="1065"/>
        <v>1017.8760197630929</v>
      </c>
      <c r="BP374" s="57">
        <f t="shared" si="977"/>
        <v>169992.42758487572</v>
      </c>
      <c r="BQ374" s="77">
        <f t="shared" si="978"/>
        <v>1.178705133497715E-9</v>
      </c>
      <c r="BR374" s="57">
        <f t="shared" si="1022"/>
        <v>135993942.06790057</v>
      </c>
      <c r="BS374" s="57">
        <v>98.567260118578858</v>
      </c>
      <c r="BT374" s="57">
        <f t="shared" si="981"/>
        <v>98.296798166677462</v>
      </c>
      <c r="BU374" s="57" t="e">
        <f>IF(BS374/AS374&gt;#REF!,1,0)</f>
        <v>#REF!</v>
      </c>
      <c r="BV374" s="57">
        <v>3.3E-3</v>
      </c>
      <c r="BW374" s="57">
        <v>30000</v>
      </c>
      <c r="BX374" s="57">
        <v>200000</v>
      </c>
      <c r="BY374" s="77">
        <v>20</v>
      </c>
      <c r="BZ374" s="77">
        <v>100</v>
      </c>
      <c r="CA374" s="77">
        <f t="shared" ref="CA374:CA382" si="1129">BZ374+500/4*1</f>
        <v>225</v>
      </c>
      <c r="CB374" s="77">
        <f t="shared" ref="CB374:CB382" si="1130">BZ374+500/4*2</f>
        <v>350</v>
      </c>
      <c r="CC374" s="77">
        <f t="shared" ref="CC374:CC382" si="1131">BZ374+500/4*3</f>
        <v>475</v>
      </c>
      <c r="CD374" s="77">
        <f t="shared" ref="CD374:CD382" si="1132">BZ374+500/4*4</f>
        <v>600</v>
      </c>
      <c r="CE374" s="77">
        <f t="shared" ref="CE374:CE382" si="1133">600+80</f>
        <v>680</v>
      </c>
      <c r="DM374" s="77">
        <f t="shared" ref="DM374:DN382" si="1134">PI()*12*12/4*2</f>
        <v>226.1946710584651</v>
      </c>
      <c r="DN374" s="77">
        <f t="shared" si="1134"/>
        <v>226.1946710584651</v>
      </c>
      <c r="DO374" s="77">
        <f t="shared" ref="DO374:DQ382" si="1135">PI()*6.5*6.5/4*2</f>
        <v>66.366144807084382</v>
      </c>
      <c r="DP374" s="77">
        <f t="shared" si="1135"/>
        <v>66.366144807084382</v>
      </c>
      <c r="DQ374" s="77">
        <f t="shared" si="1135"/>
        <v>66.366144807084382</v>
      </c>
      <c r="DR374" s="77">
        <f t="shared" ref="DR374:DS382" si="1136">PI()*12*12/4*2</f>
        <v>226.1946710584651</v>
      </c>
      <c r="DS374" s="77">
        <f t="shared" si="1136"/>
        <v>226.1946710584651</v>
      </c>
      <c r="FA374" s="77">
        <f t="shared" si="1113"/>
        <v>-75775.214804585805</v>
      </c>
      <c r="FB374" s="77">
        <f t="shared" si="1114"/>
        <v>2170.0061767806751</v>
      </c>
      <c r="FC374" s="77">
        <f t="shared" si="1115"/>
        <v>15596.04402966483</v>
      </c>
      <c r="FD374" s="77">
        <f t="shared" si="1101"/>
        <v>15596.04402966483</v>
      </c>
      <c r="FE374" s="77">
        <f t="shared" si="1080"/>
        <v>15596.04402966483</v>
      </c>
      <c r="FF374" s="77">
        <f t="shared" ref="FF374:FF382" si="1137">IF(ABS(-$BV374*($BS374-CD374)/$BS374*$BX374)&gt;$BB374,$BB374*SIGN(-($BS374-CD374)),-$BV374*($BS374-CD374)/$BS374*$BX374)*DR374</f>
        <v>75775.214804585805</v>
      </c>
      <c r="FG374" s="77">
        <f t="shared" ref="FG374:FG382" si="1138">IF(ABS(-$BV374*($BS374-CE374)/$BS374*$BX374)&gt;$BB374,$BB374*SIGN(-($BS374-CE374)),-$BV374*($BS374-CE374)/$BS374*$BX374)*DS374</f>
        <v>75775.214804585805</v>
      </c>
      <c r="GO374" s="77">
        <f t="shared" si="1038"/>
        <v>25005820.885513317</v>
      </c>
      <c r="GP374" s="77">
        <f t="shared" si="1039"/>
        <v>-542501.54419516877</v>
      </c>
      <c r="GQ374" s="77">
        <f t="shared" si="1040"/>
        <v>-1949505.5037081037</v>
      </c>
      <c r="GR374" s="77">
        <f t="shared" si="1041"/>
        <v>0</v>
      </c>
      <c r="GS374" s="77">
        <f t="shared" si="1057"/>
        <v>1949505.5037081037</v>
      </c>
      <c r="GT374" s="77">
        <f t="shared" ref="GT374:GT407" si="1139">FF374*(CD374-0.5*$AO374)</f>
        <v>18943803.70114645</v>
      </c>
      <c r="GU374" s="77">
        <f t="shared" ref="GU374:GU407" si="1140">FG374*(CE374-0.5*$AO374)</f>
        <v>25005820.885513317</v>
      </c>
      <c r="IC374" s="82">
        <v>396</v>
      </c>
    </row>
    <row r="375" spans="1:237" s="77" customFormat="1">
      <c r="A375" s="77">
        <v>375</v>
      </c>
      <c r="C375" s="122" t="s">
        <v>401</v>
      </c>
      <c r="D375" s="122" t="s">
        <v>403</v>
      </c>
      <c r="E375" s="125">
        <v>3</v>
      </c>
      <c r="F375" s="125">
        <f t="shared" si="1072"/>
        <v>7.8596491228070178E-2</v>
      </c>
      <c r="G375" s="122"/>
      <c r="H375" s="122"/>
      <c r="I375" s="122">
        <f>14.63/AU375</f>
        <v>1.8287500000000002E-2</v>
      </c>
      <c r="J375" s="122">
        <f t="shared" si="1102"/>
        <v>1.1428571428571428</v>
      </c>
      <c r="K375" s="125">
        <f t="shared" si="1089"/>
        <v>7</v>
      </c>
      <c r="L375" s="125">
        <f t="shared" si="1090"/>
        <v>4.12280701754386E-2</v>
      </c>
      <c r="M375" s="125">
        <f t="shared" si="1091"/>
        <v>3.8135964912280704E-2</v>
      </c>
      <c r="N375" s="125">
        <f t="shared" si="1092"/>
        <v>0.66118421052631571</v>
      </c>
      <c r="O375" s="125">
        <f t="shared" si="1093"/>
        <v>4.5602467922996583E-2</v>
      </c>
      <c r="P375" s="122">
        <v>0.2</v>
      </c>
      <c r="Q375" s="122" t="s">
        <v>3</v>
      </c>
      <c r="R375" s="133">
        <v>0</v>
      </c>
      <c r="S375" s="75">
        <f t="shared" si="980"/>
        <v>0.37529310182935915</v>
      </c>
      <c r="T375" s="59">
        <f t="shared" si="959"/>
        <v>1.4041566426242538</v>
      </c>
      <c r="U375" s="59">
        <f t="shared" si="960"/>
        <v>1.3860068409028343</v>
      </c>
      <c r="V375" s="59">
        <f t="shared" si="961"/>
        <v>1.5957901437075181</v>
      </c>
      <c r="W375" s="59">
        <f t="shared" si="962"/>
        <v>1.1364758711856513</v>
      </c>
      <c r="X375" s="59">
        <f t="shared" si="963"/>
        <v>1.1513580572719486</v>
      </c>
      <c r="Y375" s="127">
        <v>125440</v>
      </c>
      <c r="Z375" s="57">
        <f t="shared" si="964"/>
        <v>144426.35470419325</v>
      </c>
      <c r="AA375" s="57">
        <f t="shared" si="965"/>
        <v>142559.5332815281</v>
      </c>
      <c r="AB375" s="57">
        <f t="shared" si="1060"/>
        <v>411160.87849163724</v>
      </c>
      <c r="AC375" s="57">
        <f t="shared" si="966"/>
        <v>0.25</v>
      </c>
      <c r="AD375" s="57">
        <f t="shared" si="967"/>
        <v>1.5</v>
      </c>
      <c r="AE375" s="57">
        <f t="shared" si="968"/>
        <v>319200</v>
      </c>
      <c r="AF375" s="57">
        <f t="shared" si="969"/>
        <v>97193.579671008614</v>
      </c>
      <c r="AG375" s="57">
        <f t="shared" si="1058"/>
        <v>45365.953610519478</v>
      </c>
      <c r="AH375" s="57">
        <f t="shared" si="1061"/>
        <v>133676977.98371018</v>
      </c>
      <c r="AI375" s="77">
        <f t="shared" si="1062"/>
        <v>195251724.80959961</v>
      </c>
      <c r="AJ375" s="77">
        <v>200000</v>
      </c>
      <c r="AK375" s="77">
        <f t="shared" si="1123"/>
        <v>22.8</v>
      </c>
      <c r="AL375" s="78">
        <f t="shared" si="970"/>
        <v>2.5645654417100237</v>
      </c>
      <c r="AM375" s="57">
        <f t="shared" si="971"/>
        <v>1</v>
      </c>
      <c r="AN375" s="57">
        <f t="shared" si="972"/>
        <v>0.8</v>
      </c>
      <c r="AO375" s="77">
        <v>700</v>
      </c>
      <c r="AP375" s="79">
        <v>100</v>
      </c>
      <c r="AQ375" s="57">
        <f t="shared" si="973"/>
        <v>63.697464983727237</v>
      </c>
      <c r="AR375" s="57">
        <f t="shared" si="1063"/>
        <v>500</v>
      </c>
      <c r="AS375" s="57">
        <f t="shared" si="974"/>
        <v>636.30253501627271</v>
      </c>
      <c r="AT375" s="77">
        <v>100</v>
      </c>
      <c r="AU375" s="77">
        <v>800</v>
      </c>
      <c r="AV375" s="57">
        <f t="shared" si="975"/>
        <v>70000</v>
      </c>
      <c r="AW375" s="77">
        <v>0</v>
      </c>
      <c r="AX375" s="77">
        <f t="shared" si="976"/>
        <v>70000</v>
      </c>
      <c r="AY375" s="77">
        <f t="shared" si="1124"/>
        <v>70000</v>
      </c>
      <c r="AZ375" s="77">
        <f t="shared" si="1044"/>
        <v>235</v>
      </c>
      <c r="BA375" s="77">
        <v>235</v>
      </c>
      <c r="BB375" s="77">
        <v>335</v>
      </c>
      <c r="BC375" s="77">
        <v>235</v>
      </c>
      <c r="BD375" s="77">
        <v>4.0000000000000001E-3</v>
      </c>
      <c r="BE375" s="77">
        <v>3.7000000000000002E-3</v>
      </c>
      <c r="BF375" s="77">
        <v>4.4999999999999998E-2</v>
      </c>
      <c r="BG375" s="77">
        <f t="shared" si="1125"/>
        <v>4.4244096538056258E-3</v>
      </c>
      <c r="BH375" s="79">
        <f t="shared" si="1126"/>
        <v>175</v>
      </c>
      <c r="BI375" s="79">
        <f t="shared" si="1127"/>
        <v>33.183072403542191</v>
      </c>
      <c r="BJ375" s="79">
        <v>2</v>
      </c>
      <c r="BK375" s="57">
        <f t="shared" si="1059"/>
        <v>66.366144807084382</v>
      </c>
      <c r="BL375" s="57">
        <f t="shared" si="1018"/>
        <v>200</v>
      </c>
      <c r="BM375" s="80">
        <f t="shared" si="1128"/>
        <v>254.46900494077323</v>
      </c>
      <c r="BN375" s="80">
        <v>4</v>
      </c>
      <c r="BO375" s="57">
        <f t="shared" si="1065"/>
        <v>1017.8760197630929</v>
      </c>
      <c r="BP375" s="57">
        <f t="shared" si="977"/>
        <v>200175.91562667108</v>
      </c>
      <c r="BQ375" s="77">
        <f t="shared" si="978"/>
        <v>2.0954757928848267E-9</v>
      </c>
      <c r="BR375" s="57">
        <f t="shared" si="1022"/>
        <v>160140732.50133687</v>
      </c>
      <c r="BS375" s="57">
        <v>127.39492996745447</v>
      </c>
      <c r="BT375" s="57">
        <f t="shared" si="981"/>
        <v>191.12620045899536</v>
      </c>
      <c r="BU375" s="57" t="e">
        <f>IF(BS375/AS375&gt;#REF!,1,0)</f>
        <v>#REF!</v>
      </c>
      <c r="BV375" s="57">
        <v>3.3E-3</v>
      </c>
      <c r="BW375" s="57">
        <v>30000</v>
      </c>
      <c r="BX375" s="57">
        <v>200000</v>
      </c>
      <c r="BY375" s="77">
        <v>20</v>
      </c>
      <c r="BZ375" s="77">
        <v>100</v>
      </c>
      <c r="CA375" s="77">
        <f t="shared" si="1129"/>
        <v>225</v>
      </c>
      <c r="CB375" s="77">
        <f t="shared" si="1130"/>
        <v>350</v>
      </c>
      <c r="CC375" s="77">
        <f t="shared" si="1131"/>
        <v>475</v>
      </c>
      <c r="CD375" s="77">
        <f t="shared" si="1132"/>
        <v>600</v>
      </c>
      <c r="CE375" s="77">
        <f t="shared" si="1133"/>
        <v>680</v>
      </c>
      <c r="DM375" s="77">
        <f t="shared" si="1134"/>
        <v>226.1946710584651</v>
      </c>
      <c r="DN375" s="77">
        <f t="shared" si="1134"/>
        <v>226.1946710584651</v>
      </c>
      <c r="DO375" s="77">
        <f t="shared" si="1135"/>
        <v>66.366144807084382</v>
      </c>
      <c r="DP375" s="77">
        <f t="shared" si="1135"/>
        <v>66.366144807084382</v>
      </c>
      <c r="DQ375" s="77">
        <f t="shared" si="1135"/>
        <v>66.366144807084382</v>
      </c>
      <c r="DR375" s="77">
        <f t="shared" si="1136"/>
        <v>226.1946710584651</v>
      </c>
      <c r="DS375" s="77">
        <f t="shared" si="1136"/>
        <v>226.1946710584651</v>
      </c>
      <c r="FA375" s="77">
        <f t="shared" si="1113"/>
        <v>-75775.214804585805</v>
      </c>
      <c r="FB375" s="77">
        <f t="shared" si="1114"/>
        <v>-32102.906567781942</v>
      </c>
      <c r="FC375" s="77">
        <f t="shared" si="1115"/>
        <v>15596.04402966483</v>
      </c>
      <c r="FD375" s="77">
        <f t="shared" si="1101"/>
        <v>15596.04402966483</v>
      </c>
      <c r="FE375" s="77">
        <f t="shared" si="1080"/>
        <v>15596.04402966483</v>
      </c>
      <c r="FF375" s="77">
        <f t="shared" si="1137"/>
        <v>75775.214804585805</v>
      </c>
      <c r="FG375" s="77">
        <f t="shared" si="1138"/>
        <v>75775.214804585805</v>
      </c>
      <c r="GO375" s="77">
        <f t="shared" si="1038"/>
        <v>25005820.885513317</v>
      </c>
      <c r="GP375" s="77">
        <f t="shared" si="1039"/>
        <v>8025726.641945485</v>
      </c>
      <c r="GQ375" s="77">
        <f t="shared" si="1040"/>
        <v>-1949505.5037081037</v>
      </c>
      <c r="GR375" s="77">
        <f t="shared" si="1041"/>
        <v>0</v>
      </c>
      <c r="GS375" s="77">
        <f t="shared" si="1057"/>
        <v>1949505.5037081037</v>
      </c>
      <c r="GT375" s="77">
        <f t="shared" si="1139"/>
        <v>18943803.70114645</v>
      </c>
      <c r="GU375" s="77">
        <f t="shared" si="1140"/>
        <v>25005820.885513317</v>
      </c>
      <c r="IC375" s="82">
        <v>397</v>
      </c>
    </row>
    <row r="376" spans="1:237" s="77" customFormat="1">
      <c r="A376" s="77">
        <v>376</v>
      </c>
      <c r="C376" s="122" t="s">
        <v>401</v>
      </c>
      <c r="D376" s="122" t="s">
        <v>404</v>
      </c>
      <c r="E376" s="125">
        <v>3</v>
      </c>
      <c r="F376" s="125">
        <f t="shared" si="1072"/>
        <v>8.4561403508771921E-2</v>
      </c>
      <c r="G376" s="122"/>
      <c r="H376" s="122"/>
      <c r="I376" s="122">
        <f>14.27/AU376</f>
        <v>1.7837499999999999E-2</v>
      </c>
      <c r="J376" s="122">
        <f t="shared" si="1102"/>
        <v>1.1428571428571428</v>
      </c>
      <c r="K376" s="125">
        <f t="shared" si="1089"/>
        <v>7</v>
      </c>
      <c r="L376" s="125">
        <f t="shared" si="1090"/>
        <v>4.12280701754386E-2</v>
      </c>
      <c r="M376" s="125">
        <f t="shared" si="1091"/>
        <v>3.8135964912280704E-2</v>
      </c>
      <c r="N376" s="125">
        <f t="shared" si="1092"/>
        <v>0.66118421052631571</v>
      </c>
      <c r="O376" s="125">
        <f t="shared" si="1093"/>
        <v>4.5602467922996583E-2</v>
      </c>
      <c r="P376" s="122">
        <v>0.3</v>
      </c>
      <c r="Q376" s="122" t="s">
        <v>3</v>
      </c>
      <c r="R376" s="133">
        <v>0</v>
      </c>
      <c r="S376" s="75">
        <f t="shared" si="980"/>
        <v>0.40377516759319443</v>
      </c>
      <c r="T376" s="59">
        <f t="shared" si="959"/>
        <v>1.6271006241574781</v>
      </c>
      <c r="U376" s="59">
        <f t="shared" si="960"/>
        <v>1.5735244335056855</v>
      </c>
      <c r="V376" s="59">
        <f t="shared" si="961"/>
        <v>1.6838944722081126</v>
      </c>
      <c r="W376" s="59">
        <f t="shared" si="962"/>
        <v>1.0349049390107896</v>
      </c>
      <c r="X376" s="59">
        <f t="shared" si="963"/>
        <v>1.070141928750691</v>
      </c>
      <c r="Y376" s="127">
        <v>134960</v>
      </c>
      <c r="Z376" s="57">
        <f t="shared" si="964"/>
        <v>144426.35470419325</v>
      </c>
      <c r="AA376" s="57">
        <f t="shared" si="965"/>
        <v>139670.77056889617</v>
      </c>
      <c r="AB376" s="57">
        <f t="shared" si="1060"/>
        <v>392263.32493951527</v>
      </c>
      <c r="AC376" s="57">
        <f t="shared" si="966"/>
        <v>0.25</v>
      </c>
      <c r="AD376" s="57">
        <f t="shared" si="967"/>
        <v>1.5</v>
      </c>
      <c r="AE376" s="57">
        <f t="shared" si="968"/>
        <v>319200</v>
      </c>
      <c r="AF376" s="57">
        <f t="shared" si="969"/>
        <v>95489.307450392691</v>
      </c>
      <c r="AG376" s="57">
        <f t="shared" si="1058"/>
        <v>44181.463118503481</v>
      </c>
      <c r="AH376" s="57">
        <f t="shared" si="1061"/>
        <v>129889064.63998467</v>
      </c>
      <c r="AI376" s="77">
        <f t="shared" si="1062"/>
        <v>183921595.3116276</v>
      </c>
      <c r="AJ376" s="77">
        <v>300000</v>
      </c>
      <c r="AK376" s="77">
        <f t="shared" si="1123"/>
        <v>22.8</v>
      </c>
      <c r="AL376" s="78">
        <f t="shared" si="970"/>
        <v>2.5645654417100237</v>
      </c>
      <c r="AM376" s="57">
        <f t="shared" si="971"/>
        <v>1</v>
      </c>
      <c r="AN376" s="57">
        <f t="shared" si="972"/>
        <v>0.8</v>
      </c>
      <c r="AO376" s="77">
        <v>700</v>
      </c>
      <c r="AP376" s="79">
        <v>100</v>
      </c>
      <c r="AQ376" s="57">
        <f t="shared" si="973"/>
        <v>80.311120000067234</v>
      </c>
      <c r="AR376" s="57">
        <f t="shared" si="1063"/>
        <v>500</v>
      </c>
      <c r="AS376" s="57">
        <f t="shared" si="974"/>
        <v>619.68887999993274</v>
      </c>
      <c r="AT376" s="77">
        <v>100</v>
      </c>
      <c r="AU376" s="77">
        <v>800</v>
      </c>
      <c r="AV376" s="57">
        <f t="shared" si="975"/>
        <v>70000</v>
      </c>
      <c r="AW376" s="77">
        <v>0</v>
      </c>
      <c r="AX376" s="77">
        <f t="shared" si="976"/>
        <v>70000</v>
      </c>
      <c r="AY376" s="77">
        <f t="shared" si="1124"/>
        <v>70000</v>
      </c>
      <c r="AZ376" s="77">
        <f t="shared" ref="AZ376:AZ407" si="1141">BA376</f>
        <v>235</v>
      </c>
      <c r="BA376" s="77">
        <v>235</v>
      </c>
      <c r="BB376" s="77">
        <v>335</v>
      </c>
      <c r="BC376" s="77">
        <v>235</v>
      </c>
      <c r="BD376" s="77">
        <v>4.0000000000000001E-3</v>
      </c>
      <c r="BE376" s="77">
        <v>3.7000000000000002E-3</v>
      </c>
      <c r="BF376" s="77">
        <v>4.4999999999999998E-2</v>
      </c>
      <c r="BG376" s="77">
        <f t="shared" si="1125"/>
        <v>4.4244096538056258E-3</v>
      </c>
      <c r="BH376" s="79">
        <f t="shared" si="1126"/>
        <v>175</v>
      </c>
      <c r="BI376" s="79">
        <f t="shared" si="1127"/>
        <v>33.183072403542191</v>
      </c>
      <c r="BJ376" s="79">
        <v>2</v>
      </c>
      <c r="BK376" s="57">
        <f t="shared" si="1059"/>
        <v>66.366144807084382</v>
      </c>
      <c r="BL376" s="57">
        <f t="shared" si="1018"/>
        <v>200</v>
      </c>
      <c r="BM376" s="80">
        <f t="shared" si="1128"/>
        <v>254.46900494077323</v>
      </c>
      <c r="BN376" s="80">
        <v>4</v>
      </c>
      <c r="BO376" s="57">
        <f t="shared" si="1065"/>
        <v>1017.8760197630929</v>
      </c>
      <c r="BP376" s="57">
        <f t="shared" si="977"/>
        <v>227258.39796920688</v>
      </c>
      <c r="BQ376" s="77">
        <f t="shared" si="978"/>
        <v>0</v>
      </c>
      <c r="BR376" s="57">
        <f t="shared" si="1022"/>
        <v>181806718.3753655</v>
      </c>
      <c r="BS376" s="57">
        <v>160.62224000013447</v>
      </c>
      <c r="BT376" s="57">
        <f t="shared" si="981"/>
        <v>191.12620045899536</v>
      </c>
      <c r="BU376" s="57" t="e">
        <f>IF(BS376/AS376&gt;#REF!,1,0)</f>
        <v>#REF!</v>
      </c>
      <c r="BV376" s="57">
        <v>3.3E-3</v>
      </c>
      <c r="BW376" s="57">
        <v>30000</v>
      </c>
      <c r="BX376" s="57">
        <v>200000</v>
      </c>
      <c r="BY376" s="77">
        <v>20</v>
      </c>
      <c r="BZ376" s="77">
        <v>100</v>
      </c>
      <c r="CA376" s="77">
        <f t="shared" si="1129"/>
        <v>225</v>
      </c>
      <c r="CB376" s="77">
        <f t="shared" si="1130"/>
        <v>350</v>
      </c>
      <c r="CC376" s="77">
        <f t="shared" si="1131"/>
        <v>475</v>
      </c>
      <c r="CD376" s="77">
        <f t="shared" si="1132"/>
        <v>600</v>
      </c>
      <c r="CE376" s="77">
        <f t="shared" si="1133"/>
        <v>680</v>
      </c>
      <c r="DM376" s="77">
        <f t="shared" si="1134"/>
        <v>226.1946710584651</v>
      </c>
      <c r="DN376" s="77">
        <f t="shared" si="1134"/>
        <v>226.1946710584651</v>
      </c>
      <c r="DO376" s="77">
        <f t="shared" si="1135"/>
        <v>66.366144807084382</v>
      </c>
      <c r="DP376" s="77">
        <f t="shared" si="1135"/>
        <v>66.366144807084382</v>
      </c>
      <c r="DQ376" s="77">
        <f t="shared" si="1135"/>
        <v>66.366144807084382</v>
      </c>
      <c r="DR376" s="77">
        <f t="shared" si="1136"/>
        <v>226.1946710584651</v>
      </c>
      <c r="DS376" s="77">
        <f t="shared" si="1136"/>
        <v>226.1946710584651</v>
      </c>
      <c r="FA376" s="77">
        <f t="shared" si="1113"/>
        <v>-75775.214804585805</v>
      </c>
      <c r="FB376" s="77">
        <f t="shared" si="1114"/>
        <v>-56344.63969327369</v>
      </c>
      <c r="FC376" s="77">
        <f t="shared" si="1115"/>
        <v>15596.04402966483</v>
      </c>
      <c r="FD376" s="77">
        <f t="shared" si="1101"/>
        <v>15596.04402966483</v>
      </c>
      <c r="FE376" s="77">
        <f t="shared" si="1080"/>
        <v>15596.04402966483</v>
      </c>
      <c r="FF376" s="77">
        <f t="shared" si="1137"/>
        <v>75775.214804585805</v>
      </c>
      <c r="FG376" s="77">
        <f t="shared" si="1138"/>
        <v>75775.214804585805</v>
      </c>
      <c r="GO376" s="77">
        <f t="shared" si="1038"/>
        <v>25005820.885513317</v>
      </c>
      <c r="GP376" s="77">
        <f t="shared" si="1039"/>
        <v>14086159.923318423</v>
      </c>
      <c r="GQ376" s="77">
        <f t="shared" si="1040"/>
        <v>-1949505.5037081037</v>
      </c>
      <c r="GR376" s="77">
        <f t="shared" si="1041"/>
        <v>0</v>
      </c>
      <c r="GS376" s="77">
        <f t="shared" si="1057"/>
        <v>1949505.5037081037</v>
      </c>
      <c r="GT376" s="77">
        <f t="shared" si="1139"/>
        <v>18943803.70114645</v>
      </c>
      <c r="GU376" s="77">
        <f t="shared" si="1140"/>
        <v>25005820.885513317</v>
      </c>
      <c r="IC376" s="82">
        <v>398</v>
      </c>
    </row>
    <row r="377" spans="1:237" s="77" customFormat="1">
      <c r="A377" s="77">
        <v>377</v>
      </c>
      <c r="C377" s="122" t="s">
        <v>401</v>
      </c>
      <c r="D377" s="122" t="s">
        <v>405</v>
      </c>
      <c r="E377" s="125">
        <v>2</v>
      </c>
      <c r="F377" s="125">
        <f t="shared" si="1072"/>
        <v>5.460526315789474E-2</v>
      </c>
      <c r="G377" s="122"/>
      <c r="H377" s="122"/>
      <c r="I377" s="122">
        <f>28.2/AU377</f>
        <v>2.4521739130434782E-2</v>
      </c>
      <c r="J377" s="122">
        <f t="shared" si="1102"/>
        <v>1.6428571428571428</v>
      </c>
      <c r="K377" s="125">
        <f t="shared" si="1089"/>
        <v>7</v>
      </c>
      <c r="L377" s="125">
        <f t="shared" si="1090"/>
        <v>4.12280701754386E-2</v>
      </c>
      <c r="M377" s="125">
        <f t="shared" si="1091"/>
        <v>3.8135964912280704E-2</v>
      </c>
      <c r="N377" s="125">
        <f t="shared" si="1092"/>
        <v>0.66118421052631571</v>
      </c>
      <c r="O377" s="125">
        <f t="shared" si="1093"/>
        <v>4.5602467922996583E-2</v>
      </c>
      <c r="P377" s="122">
        <v>0.1</v>
      </c>
      <c r="Q377" s="122" t="s">
        <v>3</v>
      </c>
      <c r="R377" s="133">
        <v>0</v>
      </c>
      <c r="S377" s="75">
        <f t="shared" si="980"/>
        <v>0.26073655791158046</v>
      </c>
      <c r="T377" s="59">
        <f t="shared" si="959"/>
        <v>0.99569603095470904</v>
      </c>
      <c r="U377" s="59">
        <f t="shared" si="960"/>
        <v>0.86452710525760057</v>
      </c>
      <c r="V377" s="59">
        <f t="shared" si="961"/>
        <v>1.3569202730714218</v>
      </c>
      <c r="W377" s="59">
        <f t="shared" si="962"/>
        <v>1.3627856603690163</v>
      </c>
      <c r="X377" s="59">
        <f t="shared" si="963"/>
        <v>1.5695520300281438</v>
      </c>
      <c r="Y377" s="127">
        <v>87150</v>
      </c>
      <c r="Z377" s="57">
        <f t="shared" si="964"/>
        <v>136786.45941695274</v>
      </c>
      <c r="AA377" s="57">
        <f t="shared" si="965"/>
        <v>118766.77030115978</v>
      </c>
      <c r="AB377" s="57">
        <f t="shared" si="1060"/>
        <v>297430.40008182236</v>
      </c>
      <c r="AC377" s="57">
        <f t="shared" si="966"/>
        <v>0.22714285714285715</v>
      </c>
      <c r="AD377" s="57">
        <f t="shared" si="967"/>
        <v>1.6428571428571428</v>
      </c>
      <c r="AE377" s="57">
        <f t="shared" si="968"/>
        <v>159600</v>
      </c>
      <c r="AF377" s="57">
        <f t="shared" si="969"/>
        <v>72373.165014672966</v>
      </c>
      <c r="AG377" s="57">
        <f t="shared" si="1058"/>
        <v>46393.605286486811</v>
      </c>
      <c r="AH377" s="57">
        <f t="shared" si="1061"/>
        <v>136963332.34648201</v>
      </c>
      <c r="AI377" s="77">
        <f t="shared" si="1062"/>
        <v>205081627.7476137</v>
      </c>
      <c r="AJ377" s="77">
        <v>100000</v>
      </c>
      <c r="AK377" s="77">
        <f t="shared" si="1123"/>
        <v>22.8</v>
      </c>
      <c r="AL377" s="78">
        <f t="shared" si="970"/>
        <v>2.5645654417100237</v>
      </c>
      <c r="AM377" s="57">
        <f t="shared" si="971"/>
        <v>1</v>
      </c>
      <c r="AN377" s="57">
        <f t="shared" si="972"/>
        <v>0.8</v>
      </c>
      <c r="AO377" s="77">
        <v>700</v>
      </c>
      <c r="AP377" s="79">
        <v>100</v>
      </c>
      <c r="AQ377" s="57">
        <f t="shared" si="973"/>
        <v>49.283630059289429</v>
      </c>
      <c r="AR377" s="57">
        <f t="shared" si="1063"/>
        <v>500</v>
      </c>
      <c r="AS377" s="57">
        <f t="shared" si="974"/>
        <v>650.71636994071059</v>
      </c>
      <c r="AT377" s="77">
        <v>100</v>
      </c>
      <c r="AU377" s="77">
        <v>1150</v>
      </c>
      <c r="AV377" s="57">
        <f t="shared" si="975"/>
        <v>70000</v>
      </c>
      <c r="AW377" s="77">
        <v>0</v>
      </c>
      <c r="AX377" s="77">
        <f t="shared" si="976"/>
        <v>70000</v>
      </c>
      <c r="AY377" s="77">
        <f t="shared" si="1124"/>
        <v>70000</v>
      </c>
      <c r="AZ377" s="77">
        <f t="shared" si="1141"/>
        <v>235</v>
      </c>
      <c r="BA377" s="77">
        <v>235</v>
      </c>
      <c r="BB377" s="77">
        <v>335</v>
      </c>
      <c r="BC377" s="77">
        <v>235</v>
      </c>
      <c r="BD377" s="77">
        <v>4.0000000000000001E-3</v>
      </c>
      <c r="BE377" s="77">
        <v>3.7000000000000002E-3</v>
      </c>
      <c r="BF377" s="77">
        <v>4.4999999999999998E-2</v>
      </c>
      <c r="BG377" s="77">
        <f t="shared" si="1125"/>
        <v>4.4244096538056258E-3</v>
      </c>
      <c r="BH377" s="79">
        <f t="shared" si="1126"/>
        <v>175</v>
      </c>
      <c r="BI377" s="79">
        <f t="shared" si="1127"/>
        <v>33.183072403542191</v>
      </c>
      <c r="BJ377" s="79">
        <v>2</v>
      </c>
      <c r="BK377" s="57">
        <f t="shared" si="1059"/>
        <v>66.366144807084382</v>
      </c>
      <c r="BL377" s="57">
        <f t="shared" si="1018"/>
        <v>200</v>
      </c>
      <c r="BM377" s="80">
        <f t="shared" si="1128"/>
        <v>254.46900494077323</v>
      </c>
      <c r="BN377" s="80">
        <v>4</v>
      </c>
      <c r="BO377" s="57">
        <f t="shared" si="1065"/>
        <v>1017.8760197630929</v>
      </c>
      <c r="BP377" s="57">
        <f t="shared" si="977"/>
        <v>118255.60179817441</v>
      </c>
      <c r="BQ377" s="77">
        <f t="shared" si="978"/>
        <v>1.178705133497715E-9</v>
      </c>
      <c r="BR377" s="57">
        <f t="shared" si="1022"/>
        <v>135993942.06790057</v>
      </c>
      <c r="BS377" s="57">
        <v>98.567260118578858</v>
      </c>
      <c r="BT377" s="57">
        <f t="shared" si="981"/>
        <v>98.296798166677462</v>
      </c>
      <c r="BU377" s="57" t="e">
        <f>IF(BS377/AS377&gt;#REF!,1,0)</f>
        <v>#REF!</v>
      </c>
      <c r="BV377" s="57">
        <v>3.3E-3</v>
      </c>
      <c r="BW377" s="57">
        <v>30000</v>
      </c>
      <c r="BX377" s="57">
        <v>200000</v>
      </c>
      <c r="BY377" s="77">
        <v>20</v>
      </c>
      <c r="BZ377" s="77">
        <v>100</v>
      </c>
      <c r="CA377" s="77">
        <f t="shared" si="1129"/>
        <v>225</v>
      </c>
      <c r="CB377" s="77">
        <f t="shared" si="1130"/>
        <v>350</v>
      </c>
      <c r="CC377" s="77">
        <f t="shared" si="1131"/>
        <v>475</v>
      </c>
      <c r="CD377" s="77">
        <f t="shared" si="1132"/>
        <v>600</v>
      </c>
      <c r="CE377" s="77">
        <f t="shared" si="1133"/>
        <v>680</v>
      </c>
      <c r="DM377" s="77">
        <f t="shared" si="1134"/>
        <v>226.1946710584651</v>
      </c>
      <c r="DN377" s="77">
        <f t="shared" si="1134"/>
        <v>226.1946710584651</v>
      </c>
      <c r="DO377" s="77">
        <f t="shared" si="1135"/>
        <v>66.366144807084382</v>
      </c>
      <c r="DP377" s="77">
        <f t="shared" si="1135"/>
        <v>66.366144807084382</v>
      </c>
      <c r="DQ377" s="77">
        <f t="shared" si="1135"/>
        <v>66.366144807084382</v>
      </c>
      <c r="DR377" s="77">
        <f t="shared" si="1136"/>
        <v>226.1946710584651</v>
      </c>
      <c r="DS377" s="77">
        <f t="shared" si="1136"/>
        <v>226.1946710584651</v>
      </c>
      <c r="FA377" s="77">
        <f t="shared" si="1113"/>
        <v>-75775.214804585805</v>
      </c>
      <c r="FB377" s="77">
        <f t="shared" si="1114"/>
        <v>2170.0061767806751</v>
      </c>
      <c r="FC377" s="77">
        <f t="shared" si="1115"/>
        <v>15596.04402966483</v>
      </c>
      <c r="FD377" s="77">
        <f t="shared" si="1101"/>
        <v>15596.04402966483</v>
      </c>
      <c r="FE377" s="77">
        <f t="shared" si="1080"/>
        <v>15596.04402966483</v>
      </c>
      <c r="FF377" s="77">
        <f t="shared" si="1137"/>
        <v>75775.214804585805</v>
      </c>
      <c r="FG377" s="77">
        <f t="shared" si="1138"/>
        <v>75775.214804585805</v>
      </c>
      <c r="GO377" s="77">
        <f t="shared" si="1038"/>
        <v>25005820.885513317</v>
      </c>
      <c r="GP377" s="77">
        <f t="shared" si="1039"/>
        <v>-542501.54419516877</v>
      </c>
      <c r="GQ377" s="77">
        <f t="shared" si="1040"/>
        <v>-1949505.5037081037</v>
      </c>
      <c r="GR377" s="77">
        <f t="shared" si="1041"/>
        <v>0</v>
      </c>
      <c r="GS377" s="77">
        <f t="shared" si="1057"/>
        <v>1949505.5037081037</v>
      </c>
      <c r="GT377" s="77">
        <f t="shared" si="1139"/>
        <v>18943803.70114645</v>
      </c>
      <c r="GU377" s="77">
        <f t="shared" si="1140"/>
        <v>25005820.885513317</v>
      </c>
      <c r="IC377" s="82">
        <v>399</v>
      </c>
    </row>
    <row r="378" spans="1:237" s="77" customFormat="1">
      <c r="A378" s="77">
        <v>378</v>
      </c>
      <c r="C378" s="122" t="s">
        <v>401</v>
      </c>
      <c r="D378" s="122" t="s">
        <v>406</v>
      </c>
      <c r="E378" s="125">
        <v>2</v>
      </c>
      <c r="F378" s="125">
        <f t="shared" si="1072"/>
        <v>5.5526315789473681E-2</v>
      </c>
      <c r="G378" s="122"/>
      <c r="H378" s="122"/>
      <c r="I378" s="122">
        <f>23.8/AU378</f>
        <v>2.0695652173913046E-2</v>
      </c>
      <c r="J378" s="122">
        <f t="shared" si="1102"/>
        <v>1.6428571428571428</v>
      </c>
      <c r="K378" s="125">
        <f t="shared" si="1089"/>
        <v>7</v>
      </c>
      <c r="L378" s="125">
        <f t="shared" si="1090"/>
        <v>4.12280701754386E-2</v>
      </c>
      <c r="M378" s="125">
        <f t="shared" si="1091"/>
        <v>3.8135964912280704E-2</v>
      </c>
      <c r="N378" s="125">
        <f t="shared" si="1092"/>
        <v>0.66118421052631571</v>
      </c>
      <c r="O378" s="125">
        <f t="shared" si="1093"/>
        <v>4.5602467922996583E-2</v>
      </c>
      <c r="P378" s="122">
        <v>0.2</v>
      </c>
      <c r="Q378" s="122" t="s">
        <v>3</v>
      </c>
      <c r="R378" s="133">
        <v>0</v>
      </c>
      <c r="S378" s="75">
        <f t="shared" si="980"/>
        <v>0.26513452394864329</v>
      </c>
      <c r="T378" s="59">
        <f t="shared" si="959"/>
        <v>1.0678050170816278</v>
      </c>
      <c r="U378" s="59">
        <f t="shared" si="960"/>
        <v>1.0180306695873826</v>
      </c>
      <c r="V378" s="59">
        <f t="shared" si="961"/>
        <v>1.5713474483268757</v>
      </c>
      <c r="W378" s="59">
        <f t="shared" si="962"/>
        <v>1.4715677705106298</v>
      </c>
      <c r="X378" s="59">
        <f t="shared" si="963"/>
        <v>1.5435168067812315</v>
      </c>
      <c r="Y378" s="127">
        <v>88620</v>
      </c>
      <c r="Z378" s="57">
        <f t="shared" si="964"/>
        <v>136786.45941695274</v>
      </c>
      <c r="AA378" s="57">
        <f t="shared" si="965"/>
        <v>130410.33582265201</v>
      </c>
      <c r="AB378" s="57">
        <f t="shared" si="1060"/>
        <v>286024.9589507042</v>
      </c>
      <c r="AC378" s="57">
        <f t="shared" si="966"/>
        <v>0.22714285714285715</v>
      </c>
      <c r="AD378" s="57">
        <f t="shared" si="967"/>
        <v>1.6428571428571428</v>
      </c>
      <c r="AE378" s="57">
        <f t="shared" si="968"/>
        <v>319200</v>
      </c>
      <c r="AF378" s="57">
        <f t="shared" si="969"/>
        <v>85044.382212132536</v>
      </c>
      <c r="AG378" s="57">
        <f t="shared" si="1058"/>
        <v>45365.953610519478</v>
      </c>
      <c r="AH378" s="57">
        <f t="shared" si="1061"/>
        <v>133676977.98371018</v>
      </c>
      <c r="AI378" s="77">
        <f t="shared" si="1062"/>
        <v>195251724.80959961</v>
      </c>
      <c r="AJ378" s="77">
        <v>200000</v>
      </c>
      <c r="AK378" s="77">
        <f t="shared" si="1123"/>
        <v>22.8</v>
      </c>
      <c r="AL378" s="78">
        <f t="shared" si="970"/>
        <v>2.5645654417100237</v>
      </c>
      <c r="AM378" s="57">
        <f t="shared" si="971"/>
        <v>1</v>
      </c>
      <c r="AN378" s="57">
        <f t="shared" si="972"/>
        <v>0.8</v>
      </c>
      <c r="AO378" s="77">
        <v>700</v>
      </c>
      <c r="AP378" s="79">
        <v>100</v>
      </c>
      <c r="AQ378" s="57">
        <f t="shared" si="973"/>
        <v>63.697464983727237</v>
      </c>
      <c r="AR378" s="57">
        <f t="shared" si="1063"/>
        <v>500</v>
      </c>
      <c r="AS378" s="57">
        <f t="shared" si="974"/>
        <v>636.30253501627271</v>
      </c>
      <c r="AT378" s="77">
        <v>100</v>
      </c>
      <c r="AU378" s="77">
        <v>1150</v>
      </c>
      <c r="AV378" s="57">
        <f t="shared" si="975"/>
        <v>70000</v>
      </c>
      <c r="AW378" s="77">
        <v>0</v>
      </c>
      <c r="AX378" s="77">
        <f t="shared" si="976"/>
        <v>70000</v>
      </c>
      <c r="AY378" s="77">
        <f t="shared" si="1124"/>
        <v>70000</v>
      </c>
      <c r="AZ378" s="77">
        <f t="shared" si="1141"/>
        <v>235</v>
      </c>
      <c r="BA378" s="77">
        <v>235</v>
      </c>
      <c r="BB378" s="77">
        <v>335</v>
      </c>
      <c r="BC378" s="77">
        <v>235</v>
      </c>
      <c r="BD378" s="77">
        <v>4.0000000000000001E-3</v>
      </c>
      <c r="BE378" s="77">
        <v>3.7000000000000002E-3</v>
      </c>
      <c r="BF378" s="77">
        <v>4.4999999999999998E-2</v>
      </c>
      <c r="BG378" s="77">
        <f t="shared" si="1125"/>
        <v>4.4244096538056258E-3</v>
      </c>
      <c r="BH378" s="79">
        <f t="shared" si="1126"/>
        <v>175</v>
      </c>
      <c r="BI378" s="79">
        <f t="shared" si="1127"/>
        <v>33.183072403542191</v>
      </c>
      <c r="BJ378" s="79">
        <v>2</v>
      </c>
      <c r="BK378" s="57">
        <f t="shared" si="1059"/>
        <v>66.366144807084382</v>
      </c>
      <c r="BL378" s="57">
        <f t="shared" si="1018"/>
        <v>200</v>
      </c>
      <c r="BM378" s="80">
        <f t="shared" si="1128"/>
        <v>254.46900494077323</v>
      </c>
      <c r="BN378" s="80">
        <v>4</v>
      </c>
      <c r="BO378" s="57">
        <f t="shared" si="1065"/>
        <v>1017.8760197630929</v>
      </c>
      <c r="BP378" s="57">
        <f t="shared" si="977"/>
        <v>139252.81087072773</v>
      </c>
      <c r="BQ378" s="77">
        <f t="shared" si="978"/>
        <v>2.0954757928848267E-9</v>
      </c>
      <c r="BR378" s="57">
        <f t="shared" si="1022"/>
        <v>160140732.50133687</v>
      </c>
      <c r="BS378" s="57">
        <v>127.39492996745447</v>
      </c>
      <c r="BT378" s="57">
        <f t="shared" si="981"/>
        <v>191.12620045899536</v>
      </c>
      <c r="BU378" s="57" t="e">
        <f>IF(BS378/AS378&gt;#REF!,1,0)</f>
        <v>#REF!</v>
      </c>
      <c r="BV378" s="57">
        <v>3.3E-3</v>
      </c>
      <c r="BW378" s="57">
        <v>30000</v>
      </c>
      <c r="BX378" s="57">
        <v>200000</v>
      </c>
      <c r="BY378" s="77">
        <v>20</v>
      </c>
      <c r="BZ378" s="77">
        <v>100</v>
      </c>
      <c r="CA378" s="77">
        <f t="shared" si="1129"/>
        <v>225</v>
      </c>
      <c r="CB378" s="77">
        <f t="shared" si="1130"/>
        <v>350</v>
      </c>
      <c r="CC378" s="77">
        <f t="shared" si="1131"/>
        <v>475</v>
      </c>
      <c r="CD378" s="77">
        <f t="shared" si="1132"/>
        <v>600</v>
      </c>
      <c r="CE378" s="77">
        <f t="shared" si="1133"/>
        <v>680</v>
      </c>
      <c r="DM378" s="77">
        <f t="shared" si="1134"/>
        <v>226.1946710584651</v>
      </c>
      <c r="DN378" s="77">
        <f t="shared" si="1134"/>
        <v>226.1946710584651</v>
      </c>
      <c r="DO378" s="77">
        <f t="shared" si="1135"/>
        <v>66.366144807084382</v>
      </c>
      <c r="DP378" s="77">
        <f t="shared" si="1135"/>
        <v>66.366144807084382</v>
      </c>
      <c r="DQ378" s="77">
        <f t="shared" si="1135"/>
        <v>66.366144807084382</v>
      </c>
      <c r="DR378" s="77">
        <f t="shared" si="1136"/>
        <v>226.1946710584651</v>
      </c>
      <c r="DS378" s="77">
        <f t="shared" si="1136"/>
        <v>226.1946710584651</v>
      </c>
      <c r="FA378" s="77">
        <f t="shared" si="1113"/>
        <v>-75775.214804585805</v>
      </c>
      <c r="FB378" s="77">
        <f t="shared" si="1114"/>
        <v>-32102.906567781942</v>
      </c>
      <c r="FC378" s="77">
        <f t="shared" si="1115"/>
        <v>15596.04402966483</v>
      </c>
      <c r="FD378" s="77">
        <f t="shared" si="1101"/>
        <v>15596.04402966483</v>
      </c>
      <c r="FE378" s="77">
        <f t="shared" si="1080"/>
        <v>15596.04402966483</v>
      </c>
      <c r="FF378" s="77">
        <f t="shared" si="1137"/>
        <v>75775.214804585805</v>
      </c>
      <c r="FG378" s="77">
        <f t="shared" si="1138"/>
        <v>75775.214804585805</v>
      </c>
      <c r="GO378" s="77">
        <f t="shared" si="1038"/>
        <v>25005820.885513317</v>
      </c>
      <c r="GP378" s="77">
        <f t="shared" si="1039"/>
        <v>8025726.641945485</v>
      </c>
      <c r="GQ378" s="77">
        <f t="shared" si="1040"/>
        <v>-1949505.5037081037</v>
      </c>
      <c r="GR378" s="77">
        <f t="shared" si="1041"/>
        <v>0</v>
      </c>
      <c r="GS378" s="77">
        <f t="shared" si="1057"/>
        <v>1949505.5037081037</v>
      </c>
      <c r="GT378" s="77">
        <f t="shared" si="1139"/>
        <v>18943803.70114645</v>
      </c>
      <c r="GU378" s="77">
        <f t="shared" si="1140"/>
        <v>25005820.885513317</v>
      </c>
      <c r="IC378" s="82">
        <v>400</v>
      </c>
    </row>
    <row r="379" spans="1:237" s="77" customFormat="1">
      <c r="A379" s="77">
        <v>379</v>
      </c>
      <c r="C379" s="122" t="s">
        <v>401</v>
      </c>
      <c r="D379" s="122" t="s">
        <v>407</v>
      </c>
      <c r="E379" s="125">
        <v>2</v>
      </c>
      <c r="F379" s="125">
        <f t="shared" si="1072"/>
        <v>5.8233082706766914E-2</v>
      </c>
      <c r="G379" s="122"/>
      <c r="H379" s="122"/>
      <c r="I379" s="122">
        <f>21.98/AU379</f>
        <v>1.9113043478260872E-2</v>
      </c>
      <c r="J379" s="122">
        <f t="shared" si="1102"/>
        <v>1.6428571428571428</v>
      </c>
      <c r="K379" s="125">
        <f t="shared" si="1089"/>
        <v>7</v>
      </c>
      <c r="L379" s="125">
        <f t="shared" si="1090"/>
        <v>4.12280701754386E-2</v>
      </c>
      <c r="M379" s="125">
        <f t="shared" si="1091"/>
        <v>3.8135964912280704E-2</v>
      </c>
      <c r="N379" s="125">
        <f t="shared" si="1092"/>
        <v>0.66118421052631571</v>
      </c>
      <c r="O379" s="125">
        <f t="shared" si="1093"/>
        <v>4.5602467922996583E-2</v>
      </c>
      <c r="P379" s="122">
        <v>0.3</v>
      </c>
      <c r="Q379" s="122" t="s">
        <v>3</v>
      </c>
      <c r="R379" s="133">
        <v>0</v>
      </c>
      <c r="S379" s="75">
        <f t="shared" si="980"/>
        <v>0.27805915883307269</v>
      </c>
      <c r="T379" s="59">
        <f t="shared" si="959"/>
        <v>1.2376661433418359</v>
      </c>
      <c r="U379" s="59">
        <f t="shared" si="960"/>
        <v>1.1557635109581685</v>
      </c>
      <c r="V379" s="59">
        <f t="shared" si="961"/>
        <v>1.7010199977111504</v>
      </c>
      <c r="W379" s="59">
        <f t="shared" si="962"/>
        <v>1.3743770942285032</v>
      </c>
      <c r="X379" s="59">
        <f t="shared" si="963"/>
        <v>1.4717716743808127</v>
      </c>
      <c r="Y379" s="127">
        <v>92940</v>
      </c>
      <c r="Z379" s="57">
        <f t="shared" si="964"/>
        <v>136786.45941695274</v>
      </c>
      <c r="AA379" s="57">
        <f t="shared" si="965"/>
        <v>127734.60713759708</v>
      </c>
      <c r="AB379" s="57">
        <f t="shared" si="1060"/>
        <v>272878.83474053239</v>
      </c>
      <c r="AC379" s="57">
        <f t="shared" si="966"/>
        <v>0.22714285714285715</v>
      </c>
      <c r="AD379" s="57">
        <f t="shared" si="967"/>
        <v>1.6428571428571428</v>
      </c>
      <c r="AE379" s="57">
        <f t="shared" si="968"/>
        <v>319200</v>
      </c>
      <c r="AF379" s="57">
        <f t="shared" si="969"/>
        <v>83553.144019093597</v>
      </c>
      <c r="AG379" s="57">
        <f t="shared" si="1058"/>
        <v>44181.463118503481</v>
      </c>
      <c r="AH379" s="57">
        <f t="shared" si="1061"/>
        <v>129889064.63998467</v>
      </c>
      <c r="AI379" s="77">
        <f t="shared" si="1062"/>
        <v>183921595.3116276</v>
      </c>
      <c r="AJ379" s="77">
        <v>300000</v>
      </c>
      <c r="AK379" s="77">
        <f t="shared" si="1123"/>
        <v>22.8</v>
      </c>
      <c r="AL379" s="78">
        <f t="shared" si="970"/>
        <v>2.5645654417100237</v>
      </c>
      <c r="AM379" s="57">
        <f t="shared" si="971"/>
        <v>1</v>
      </c>
      <c r="AN379" s="57">
        <f t="shared" si="972"/>
        <v>0.8</v>
      </c>
      <c r="AO379" s="77">
        <v>700</v>
      </c>
      <c r="AP379" s="79">
        <v>100</v>
      </c>
      <c r="AQ379" s="57">
        <f t="shared" si="973"/>
        <v>80.311120000067234</v>
      </c>
      <c r="AR379" s="57">
        <f t="shared" si="1063"/>
        <v>500</v>
      </c>
      <c r="AS379" s="57">
        <f t="shared" si="974"/>
        <v>619.68887999993274</v>
      </c>
      <c r="AT379" s="77">
        <v>100</v>
      </c>
      <c r="AU379" s="77">
        <v>1150</v>
      </c>
      <c r="AV379" s="57">
        <f t="shared" si="975"/>
        <v>70000</v>
      </c>
      <c r="AW379" s="77">
        <v>0</v>
      </c>
      <c r="AX379" s="77">
        <f t="shared" si="976"/>
        <v>70000</v>
      </c>
      <c r="AY379" s="77">
        <f t="shared" si="1124"/>
        <v>70000</v>
      </c>
      <c r="AZ379" s="77">
        <f t="shared" si="1141"/>
        <v>235</v>
      </c>
      <c r="BA379" s="77">
        <v>235</v>
      </c>
      <c r="BB379" s="77">
        <v>335</v>
      </c>
      <c r="BC379" s="77">
        <v>235</v>
      </c>
      <c r="BD379" s="77">
        <v>4.0000000000000001E-3</v>
      </c>
      <c r="BE379" s="77">
        <v>3.7000000000000002E-3</v>
      </c>
      <c r="BF379" s="77">
        <v>4.4999999999999998E-2</v>
      </c>
      <c r="BG379" s="77">
        <f t="shared" si="1125"/>
        <v>4.4244096538056258E-3</v>
      </c>
      <c r="BH379" s="79">
        <f t="shared" si="1126"/>
        <v>175</v>
      </c>
      <c r="BI379" s="79">
        <f t="shared" si="1127"/>
        <v>33.183072403542191</v>
      </c>
      <c r="BJ379" s="79">
        <v>2</v>
      </c>
      <c r="BK379" s="57">
        <f t="shared" si="1059"/>
        <v>66.366144807084382</v>
      </c>
      <c r="BL379" s="57">
        <f t="shared" si="1018"/>
        <v>200</v>
      </c>
      <c r="BM379" s="80">
        <f t="shared" si="1128"/>
        <v>254.46900494077323</v>
      </c>
      <c r="BN379" s="80">
        <v>4</v>
      </c>
      <c r="BO379" s="57">
        <f t="shared" si="1065"/>
        <v>1017.8760197630929</v>
      </c>
      <c r="BP379" s="57">
        <f t="shared" si="977"/>
        <v>158092.79858727433</v>
      </c>
      <c r="BQ379" s="77">
        <f t="shared" si="978"/>
        <v>0</v>
      </c>
      <c r="BR379" s="57">
        <f t="shared" si="1022"/>
        <v>181806718.3753655</v>
      </c>
      <c r="BS379" s="57">
        <v>160.62224000013447</v>
      </c>
      <c r="BT379" s="57">
        <f t="shared" si="981"/>
        <v>191.12620045899536</v>
      </c>
      <c r="BU379" s="57" t="e">
        <f>IF(BS379/AS379&gt;#REF!,1,0)</f>
        <v>#REF!</v>
      </c>
      <c r="BV379" s="57">
        <v>3.3E-3</v>
      </c>
      <c r="BW379" s="57">
        <v>30000</v>
      </c>
      <c r="BX379" s="57">
        <v>200000</v>
      </c>
      <c r="BY379" s="77">
        <v>20</v>
      </c>
      <c r="BZ379" s="77">
        <v>100</v>
      </c>
      <c r="CA379" s="77">
        <f t="shared" si="1129"/>
        <v>225</v>
      </c>
      <c r="CB379" s="77">
        <f t="shared" si="1130"/>
        <v>350</v>
      </c>
      <c r="CC379" s="77">
        <f t="shared" si="1131"/>
        <v>475</v>
      </c>
      <c r="CD379" s="77">
        <f t="shared" si="1132"/>
        <v>600</v>
      </c>
      <c r="CE379" s="77">
        <f t="shared" si="1133"/>
        <v>680</v>
      </c>
      <c r="DM379" s="77">
        <f t="shared" si="1134"/>
        <v>226.1946710584651</v>
      </c>
      <c r="DN379" s="77">
        <f t="shared" si="1134"/>
        <v>226.1946710584651</v>
      </c>
      <c r="DO379" s="77">
        <f t="shared" si="1135"/>
        <v>66.366144807084382</v>
      </c>
      <c r="DP379" s="77">
        <f t="shared" si="1135"/>
        <v>66.366144807084382</v>
      </c>
      <c r="DQ379" s="77">
        <f t="shared" si="1135"/>
        <v>66.366144807084382</v>
      </c>
      <c r="DR379" s="77">
        <f t="shared" si="1136"/>
        <v>226.1946710584651</v>
      </c>
      <c r="DS379" s="77">
        <f t="shared" si="1136"/>
        <v>226.1946710584651</v>
      </c>
      <c r="FA379" s="77">
        <f t="shared" si="1113"/>
        <v>-75775.214804585805</v>
      </c>
      <c r="FB379" s="77">
        <f t="shared" si="1114"/>
        <v>-56344.63969327369</v>
      </c>
      <c r="FC379" s="77">
        <f t="shared" si="1115"/>
        <v>15596.04402966483</v>
      </c>
      <c r="FD379" s="77">
        <f t="shared" si="1101"/>
        <v>15596.04402966483</v>
      </c>
      <c r="FE379" s="77">
        <f t="shared" si="1080"/>
        <v>15596.04402966483</v>
      </c>
      <c r="FF379" s="77">
        <f t="shared" si="1137"/>
        <v>75775.214804585805</v>
      </c>
      <c r="FG379" s="77">
        <f t="shared" si="1138"/>
        <v>75775.214804585805</v>
      </c>
      <c r="GO379" s="77">
        <f t="shared" si="1038"/>
        <v>25005820.885513317</v>
      </c>
      <c r="GP379" s="77">
        <f t="shared" si="1039"/>
        <v>14086159.923318423</v>
      </c>
      <c r="GQ379" s="77">
        <f t="shared" si="1040"/>
        <v>-1949505.5037081037</v>
      </c>
      <c r="GR379" s="77">
        <f t="shared" si="1041"/>
        <v>0</v>
      </c>
      <c r="GS379" s="77">
        <f t="shared" si="1057"/>
        <v>1949505.5037081037</v>
      </c>
      <c r="GT379" s="77">
        <f t="shared" si="1139"/>
        <v>18943803.70114645</v>
      </c>
      <c r="GU379" s="77">
        <f t="shared" si="1140"/>
        <v>25005820.885513317</v>
      </c>
      <c r="IC379" s="82">
        <v>401</v>
      </c>
    </row>
    <row r="380" spans="1:237" s="77" customFormat="1">
      <c r="A380" s="77">
        <v>380</v>
      </c>
      <c r="C380" s="122" t="s">
        <v>401</v>
      </c>
      <c r="D380" s="122" t="s">
        <v>408</v>
      </c>
      <c r="E380" s="125">
        <v>1</v>
      </c>
      <c r="F380" s="125">
        <f t="shared" si="1072"/>
        <v>4.4110275689223058E-2</v>
      </c>
      <c r="G380" s="122"/>
      <c r="H380" s="122"/>
      <c r="I380" s="122">
        <f>35.45/AU380</f>
        <v>2.3633333333333336E-2</v>
      </c>
      <c r="J380" s="122">
        <f t="shared" si="1102"/>
        <v>2.1428571428571428</v>
      </c>
      <c r="K380" s="125">
        <f t="shared" si="1089"/>
        <v>7</v>
      </c>
      <c r="L380" s="125">
        <f t="shared" si="1090"/>
        <v>4.12280701754386E-2</v>
      </c>
      <c r="M380" s="125">
        <f t="shared" si="1091"/>
        <v>3.8135964912280704E-2</v>
      </c>
      <c r="N380" s="125">
        <f t="shared" si="1092"/>
        <v>0.66118421052631571</v>
      </c>
      <c r="O380" s="125">
        <f t="shared" si="1093"/>
        <v>4.5602467922996583E-2</v>
      </c>
      <c r="P380" s="122">
        <v>0.1</v>
      </c>
      <c r="Q380" s="122" t="s">
        <v>3</v>
      </c>
      <c r="R380" s="133">
        <v>0</v>
      </c>
      <c r="S380" s="75">
        <f t="shared" si="980"/>
        <v>0.21062367959810976</v>
      </c>
      <c r="T380" s="59">
        <f t="shared" si="959"/>
        <v>0.93717679256023922</v>
      </c>
      <c r="U380" s="59">
        <f t="shared" si="960"/>
        <v>0.77037262251598781</v>
      </c>
      <c r="V380" s="59">
        <f t="shared" si="961"/>
        <v>1.2878214210975434</v>
      </c>
      <c r="W380" s="59">
        <f t="shared" si="962"/>
        <v>1.3741499270157882</v>
      </c>
      <c r="X380" s="59">
        <f t="shared" si="963"/>
        <v>1.6716863806655029</v>
      </c>
      <c r="Y380" s="127">
        <v>70400</v>
      </c>
      <c r="Z380" s="57">
        <f t="shared" si="964"/>
        <v>117686.7211988514</v>
      </c>
      <c r="AA380" s="57">
        <f t="shared" si="965"/>
        <v>96740.154861911491</v>
      </c>
      <c r="AB380" s="57">
        <f t="shared" si="1060"/>
        <v>228029.97339606381</v>
      </c>
      <c r="AC380" s="57">
        <f t="shared" si="966"/>
        <v>0.17</v>
      </c>
      <c r="AD380" s="57">
        <f t="shared" si="967"/>
        <v>2.1428571428571428</v>
      </c>
      <c r="AE380" s="57">
        <f t="shared" si="968"/>
        <v>159600</v>
      </c>
      <c r="AF380" s="57">
        <f t="shared" si="969"/>
        <v>50346.549575424673</v>
      </c>
      <c r="AG380" s="57">
        <f t="shared" si="1058"/>
        <v>46393.605286486811</v>
      </c>
      <c r="AH380" s="57">
        <f t="shared" si="1061"/>
        <v>136963332.34648201</v>
      </c>
      <c r="AI380" s="77">
        <f t="shared" si="1062"/>
        <v>205081627.7476137</v>
      </c>
      <c r="AJ380" s="77">
        <v>100000</v>
      </c>
      <c r="AK380" s="77">
        <f t="shared" si="1123"/>
        <v>22.8</v>
      </c>
      <c r="AL380" s="78">
        <f t="shared" si="970"/>
        <v>2.5645654417100237</v>
      </c>
      <c r="AM380" s="57">
        <f t="shared" si="971"/>
        <v>1</v>
      </c>
      <c r="AN380" s="57">
        <f t="shared" si="972"/>
        <v>0.8</v>
      </c>
      <c r="AO380" s="77">
        <v>700</v>
      </c>
      <c r="AP380" s="79">
        <v>100</v>
      </c>
      <c r="AQ380" s="57">
        <f t="shared" si="973"/>
        <v>49.283630059289429</v>
      </c>
      <c r="AR380" s="57">
        <f t="shared" si="1063"/>
        <v>500</v>
      </c>
      <c r="AS380" s="57">
        <f t="shared" si="974"/>
        <v>650.71636994071059</v>
      </c>
      <c r="AT380" s="77">
        <v>100</v>
      </c>
      <c r="AU380" s="77">
        <v>1500</v>
      </c>
      <c r="AV380" s="57">
        <f t="shared" si="975"/>
        <v>70000</v>
      </c>
      <c r="AW380" s="77">
        <v>0</v>
      </c>
      <c r="AX380" s="77">
        <f t="shared" si="976"/>
        <v>70000</v>
      </c>
      <c r="AY380" s="77">
        <f t="shared" si="1124"/>
        <v>70000</v>
      </c>
      <c r="AZ380" s="77">
        <f t="shared" si="1141"/>
        <v>235</v>
      </c>
      <c r="BA380" s="77">
        <v>235</v>
      </c>
      <c r="BB380" s="77">
        <v>335</v>
      </c>
      <c r="BC380" s="77">
        <v>235</v>
      </c>
      <c r="BD380" s="77">
        <v>4.0000000000000001E-3</v>
      </c>
      <c r="BE380" s="77">
        <v>3.7000000000000002E-3</v>
      </c>
      <c r="BF380" s="77">
        <v>4.4999999999999998E-2</v>
      </c>
      <c r="BG380" s="77">
        <f t="shared" si="1125"/>
        <v>4.4244096538056258E-3</v>
      </c>
      <c r="BH380" s="79">
        <f t="shared" si="1126"/>
        <v>175</v>
      </c>
      <c r="BI380" s="79">
        <f t="shared" si="1127"/>
        <v>33.183072403542191</v>
      </c>
      <c r="BJ380" s="79">
        <v>2</v>
      </c>
      <c r="BK380" s="57">
        <f t="shared" si="1059"/>
        <v>66.366144807084382</v>
      </c>
      <c r="BL380" s="57">
        <f t="shared" si="1018"/>
        <v>200</v>
      </c>
      <c r="BM380" s="80">
        <f t="shared" si="1128"/>
        <v>254.46900494077323</v>
      </c>
      <c r="BN380" s="80">
        <v>4</v>
      </c>
      <c r="BO380" s="57">
        <f t="shared" si="1065"/>
        <v>1017.8760197630929</v>
      </c>
      <c r="BP380" s="57">
        <f t="shared" si="977"/>
        <v>90662.628045267047</v>
      </c>
      <c r="BQ380" s="77">
        <f t="shared" si="978"/>
        <v>1.178705133497715E-9</v>
      </c>
      <c r="BR380" s="57">
        <f t="shared" si="1022"/>
        <v>135993942.06790057</v>
      </c>
      <c r="BS380" s="57">
        <v>98.567260118578858</v>
      </c>
      <c r="BT380" s="57">
        <f t="shared" si="981"/>
        <v>98.296798166677462</v>
      </c>
      <c r="BU380" s="57" t="e">
        <f>IF(BS380/AS380&gt;#REF!,1,0)</f>
        <v>#REF!</v>
      </c>
      <c r="BV380" s="57">
        <v>3.3E-3</v>
      </c>
      <c r="BW380" s="57">
        <v>30000</v>
      </c>
      <c r="BX380" s="57">
        <v>200000</v>
      </c>
      <c r="BY380" s="77">
        <v>20</v>
      </c>
      <c r="BZ380" s="77">
        <v>100</v>
      </c>
      <c r="CA380" s="77">
        <f t="shared" si="1129"/>
        <v>225</v>
      </c>
      <c r="CB380" s="77">
        <f t="shared" si="1130"/>
        <v>350</v>
      </c>
      <c r="CC380" s="77">
        <f t="shared" si="1131"/>
        <v>475</v>
      </c>
      <c r="CD380" s="77">
        <f t="shared" si="1132"/>
        <v>600</v>
      </c>
      <c r="CE380" s="77">
        <f t="shared" si="1133"/>
        <v>680</v>
      </c>
      <c r="DM380" s="77">
        <f t="shared" si="1134"/>
        <v>226.1946710584651</v>
      </c>
      <c r="DN380" s="77">
        <f t="shared" si="1134"/>
        <v>226.1946710584651</v>
      </c>
      <c r="DO380" s="77">
        <f t="shared" si="1135"/>
        <v>66.366144807084382</v>
      </c>
      <c r="DP380" s="77">
        <f t="shared" si="1135"/>
        <v>66.366144807084382</v>
      </c>
      <c r="DQ380" s="77">
        <f t="shared" si="1135"/>
        <v>66.366144807084382</v>
      </c>
      <c r="DR380" s="77">
        <f t="shared" si="1136"/>
        <v>226.1946710584651</v>
      </c>
      <c r="DS380" s="77">
        <f t="shared" si="1136"/>
        <v>226.1946710584651</v>
      </c>
      <c r="FA380" s="77">
        <f t="shared" si="1113"/>
        <v>-75775.214804585805</v>
      </c>
      <c r="FB380" s="77">
        <f t="shared" si="1114"/>
        <v>2170.0061767806751</v>
      </c>
      <c r="FC380" s="77">
        <f t="shared" si="1115"/>
        <v>15596.04402966483</v>
      </c>
      <c r="FD380" s="77">
        <f t="shared" si="1101"/>
        <v>15596.04402966483</v>
      </c>
      <c r="FE380" s="77">
        <f t="shared" si="1080"/>
        <v>15596.04402966483</v>
      </c>
      <c r="FF380" s="77">
        <f t="shared" si="1137"/>
        <v>75775.214804585805</v>
      </c>
      <c r="FG380" s="77">
        <f t="shared" si="1138"/>
        <v>75775.214804585805</v>
      </c>
      <c r="GO380" s="77">
        <f t="shared" si="1038"/>
        <v>25005820.885513317</v>
      </c>
      <c r="GP380" s="77">
        <f t="shared" si="1039"/>
        <v>-542501.54419516877</v>
      </c>
      <c r="GQ380" s="77">
        <f t="shared" si="1040"/>
        <v>-1949505.5037081037</v>
      </c>
      <c r="GR380" s="77">
        <f t="shared" si="1041"/>
        <v>0</v>
      </c>
      <c r="GS380" s="77">
        <f t="shared" si="1057"/>
        <v>1949505.5037081037</v>
      </c>
      <c r="GT380" s="77">
        <f t="shared" si="1139"/>
        <v>18943803.70114645</v>
      </c>
      <c r="GU380" s="77">
        <f t="shared" si="1140"/>
        <v>25005820.885513317</v>
      </c>
      <c r="IC380" s="82">
        <v>402</v>
      </c>
    </row>
    <row r="381" spans="1:237" s="77" customFormat="1">
      <c r="A381" s="77">
        <v>381</v>
      </c>
      <c r="C381" s="122" t="s">
        <v>401</v>
      </c>
      <c r="D381" s="122" t="s">
        <v>409</v>
      </c>
      <c r="E381" s="125">
        <v>1</v>
      </c>
      <c r="F381" s="125">
        <f t="shared" si="1072"/>
        <v>4.5087719298245614E-2</v>
      </c>
      <c r="G381" s="122"/>
      <c r="H381" s="122"/>
      <c r="I381" s="122">
        <f>34.97/AU381</f>
        <v>2.3313333333333332E-2</v>
      </c>
      <c r="J381" s="122">
        <f t="shared" si="1102"/>
        <v>2.1428571428571428</v>
      </c>
      <c r="K381" s="125">
        <f t="shared" si="1089"/>
        <v>7</v>
      </c>
      <c r="L381" s="125">
        <f t="shared" si="1090"/>
        <v>4.12280701754386E-2</v>
      </c>
      <c r="M381" s="125">
        <f t="shared" si="1091"/>
        <v>3.8135964912280704E-2</v>
      </c>
      <c r="N381" s="125">
        <f t="shared" si="1092"/>
        <v>0.66118421052631571</v>
      </c>
      <c r="O381" s="125">
        <f t="shared" si="1093"/>
        <v>4.5602467922996583E-2</v>
      </c>
      <c r="P381" s="122">
        <v>0.2</v>
      </c>
      <c r="Q381" s="122" t="s">
        <v>3</v>
      </c>
      <c r="R381" s="133">
        <v>0</v>
      </c>
      <c r="S381" s="75">
        <f t="shared" si="980"/>
        <v>0.2152909088619315</v>
      </c>
      <c r="T381" s="59">
        <f t="shared" si="959"/>
        <v>1.0213650036858535</v>
      </c>
      <c r="U381" s="59">
        <f t="shared" si="960"/>
        <v>0.90715832038378297</v>
      </c>
      <c r="V381" s="59">
        <f t="shared" si="961"/>
        <v>1.4836087873016202</v>
      </c>
      <c r="W381" s="59">
        <f t="shared" si="962"/>
        <v>1.4525745271745587</v>
      </c>
      <c r="X381" s="59">
        <f t="shared" si="963"/>
        <v>1.6354463757483519</v>
      </c>
      <c r="Y381" s="127">
        <v>71960</v>
      </c>
      <c r="Z381" s="57">
        <f t="shared" si="964"/>
        <v>117686.7211988514</v>
      </c>
      <c r="AA381" s="57">
        <f t="shared" si="965"/>
        <v>104527.26297548125</v>
      </c>
      <c r="AB381" s="57">
        <f t="shared" si="1060"/>
        <v>219285.80186220654</v>
      </c>
      <c r="AC381" s="57">
        <f t="shared" si="966"/>
        <v>0.17</v>
      </c>
      <c r="AD381" s="57">
        <f t="shared" si="967"/>
        <v>2.1428571428571428</v>
      </c>
      <c r="AE381" s="57">
        <f t="shared" si="968"/>
        <v>319200</v>
      </c>
      <c r="AF381" s="57">
        <f t="shared" si="969"/>
        <v>59161.309364961766</v>
      </c>
      <c r="AG381" s="57">
        <f t="shared" si="1058"/>
        <v>45365.953610519478</v>
      </c>
      <c r="AH381" s="57">
        <f t="shared" si="1061"/>
        <v>133676977.98371018</v>
      </c>
      <c r="AI381" s="77">
        <f t="shared" si="1062"/>
        <v>195251724.80959961</v>
      </c>
      <c r="AJ381" s="77">
        <v>200000</v>
      </c>
      <c r="AK381" s="77">
        <f t="shared" si="1123"/>
        <v>22.8</v>
      </c>
      <c r="AL381" s="78">
        <f t="shared" si="970"/>
        <v>2.5645654417100237</v>
      </c>
      <c r="AM381" s="57">
        <f t="shared" si="971"/>
        <v>1</v>
      </c>
      <c r="AN381" s="57">
        <f t="shared" si="972"/>
        <v>0.8</v>
      </c>
      <c r="AO381" s="77">
        <v>700</v>
      </c>
      <c r="AP381" s="79">
        <v>100</v>
      </c>
      <c r="AQ381" s="57">
        <f t="shared" si="973"/>
        <v>63.697464983727237</v>
      </c>
      <c r="AR381" s="57">
        <f t="shared" si="1063"/>
        <v>500</v>
      </c>
      <c r="AS381" s="57">
        <f t="shared" si="974"/>
        <v>636.30253501627271</v>
      </c>
      <c r="AT381" s="77">
        <v>100</v>
      </c>
      <c r="AU381" s="77">
        <v>1500</v>
      </c>
      <c r="AV381" s="57">
        <f t="shared" si="975"/>
        <v>70000</v>
      </c>
      <c r="AW381" s="77">
        <v>0</v>
      </c>
      <c r="AX381" s="77">
        <f t="shared" si="976"/>
        <v>70000</v>
      </c>
      <c r="AY381" s="77">
        <f t="shared" si="1124"/>
        <v>70000</v>
      </c>
      <c r="AZ381" s="77">
        <f t="shared" si="1141"/>
        <v>235</v>
      </c>
      <c r="BA381" s="77">
        <v>235</v>
      </c>
      <c r="BB381" s="77">
        <v>335</v>
      </c>
      <c r="BC381" s="77">
        <v>235</v>
      </c>
      <c r="BD381" s="77">
        <v>4.0000000000000001E-3</v>
      </c>
      <c r="BE381" s="77">
        <v>3.7000000000000002E-3</v>
      </c>
      <c r="BF381" s="77">
        <v>4.4999999999999998E-2</v>
      </c>
      <c r="BG381" s="77">
        <f t="shared" si="1125"/>
        <v>4.4244096538056258E-3</v>
      </c>
      <c r="BH381" s="79">
        <f t="shared" si="1126"/>
        <v>175</v>
      </c>
      <c r="BI381" s="79">
        <f t="shared" si="1127"/>
        <v>33.183072403542191</v>
      </c>
      <c r="BJ381" s="79">
        <v>2</v>
      </c>
      <c r="BK381" s="57">
        <f t="shared" si="1059"/>
        <v>66.366144807084382</v>
      </c>
      <c r="BL381" s="57">
        <f t="shared" si="1018"/>
        <v>200</v>
      </c>
      <c r="BM381" s="80">
        <f t="shared" si="1128"/>
        <v>254.46900494077323</v>
      </c>
      <c r="BN381" s="80">
        <v>4</v>
      </c>
      <c r="BO381" s="57">
        <f t="shared" si="1065"/>
        <v>1017.8760197630929</v>
      </c>
      <c r="BP381" s="57">
        <f t="shared" si="977"/>
        <v>106760.48833422459</v>
      </c>
      <c r="BQ381" s="77">
        <f t="shared" si="978"/>
        <v>2.0954757928848267E-9</v>
      </c>
      <c r="BR381" s="57">
        <f t="shared" si="1022"/>
        <v>160140732.50133687</v>
      </c>
      <c r="BS381" s="57">
        <v>127.39492996745447</v>
      </c>
      <c r="BT381" s="57">
        <f t="shared" si="981"/>
        <v>191.12620045899536</v>
      </c>
      <c r="BU381" s="57" t="e">
        <f>IF(BS381/AS381&gt;#REF!,1,0)</f>
        <v>#REF!</v>
      </c>
      <c r="BV381" s="57">
        <v>3.3E-3</v>
      </c>
      <c r="BW381" s="57">
        <v>30000</v>
      </c>
      <c r="BX381" s="57">
        <v>200000</v>
      </c>
      <c r="BY381" s="77">
        <v>20</v>
      </c>
      <c r="BZ381" s="77">
        <v>100</v>
      </c>
      <c r="CA381" s="77">
        <f t="shared" si="1129"/>
        <v>225</v>
      </c>
      <c r="CB381" s="77">
        <f t="shared" si="1130"/>
        <v>350</v>
      </c>
      <c r="CC381" s="77">
        <f t="shared" si="1131"/>
        <v>475</v>
      </c>
      <c r="CD381" s="77">
        <f t="shared" si="1132"/>
        <v>600</v>
      </c>
      <c r="CE381" s="77">
        <f t="shared" si="1133"/>
        <v>680</v>
      </c>
      <c r="DM381" s="77">
        <f t="shared" si="1134"/>
        <v>226.1946710584651</v>
      </c>
      <c r="DN381" s="77">
        <f t="shared" si="1134"/>
        <v>226.1946710584651</v>
      </c>
      <c r="DO381" s="77">
        <f t="shared" si="1135"/>
        <v>66.366144807084382</v>
      </c>
      <c r="DP381" s="77">
        <f t="shared" si="1135"/>
        <v>66.366144807084382</v>
      </c>
      <c r="DQ381" s="77">
        <f t="shared" si="1135"/>
        <v>66.366144807084382</v>
      </c>
      <c r="DR381" s="77">
        <f t="shared" si="1136"/>
        <v>226.1946710584651</v>
      </c>
      <c r="DS381" s="77">
        <f t="shared" si="1136"/>
        <v>226.1946710584651</v>
      </c>
      <c r="FA381" s="77">
        <f t="shared" si="1113"/>
        <v>-75775.214804585805</v>
      </c>
      <c r="FB381" s="77">
        <f t="shared" si="1114"/>
        <v>-32102.906567781942</v>
      </c>
      <c r="FC381" s="77">
        <f t="shared" si="1115"/>
        <v>15596.04402966483</v>
      </c>
      <c r="FD381" s="77">
        <f t="shared" si="1101"/>
        <v>15596.04402966483</v>
      </c>
      <c r="FE381" s="77">
        <f t="shared" si="1080"/>
        <v>15596.04402966483</v>
      </c>
      <c r="FF381" s="77">
        <f t="shared" si="1137"/>
        <v>75775.214804585805</v>
      </c>
      <c r="FG381" s="77">
        <f t="shared" si="1138"/>
        <v>75775.214804585805</v>
      </c>
      <c r="GO381" s="77">
        <f t="shared" si="1038"/>
        <v>25005820.885513317</v>
      </c>
      <c r="GP381" s="77">
        <f t="shared" si="1039"/>
        <v>8025726.641945485</v>
      </c>
      <c r="GQ381" s="77">
        <f t="shared" si="1040"/>
        <v>-1949505.5037081037</v>
      </c>
      <c r="GR381" s="77">
        <f t="shared" si="1041"/>
        <v>0</v>
      </c>
      <c r="GS381" s="77">
        <f t="shared" si="1057"/>
        <v>1949505.5037081037</v>
      </c>
      <c r="GT381" s="77">
        <f t="shared" si="1139"/>
        <v>18943803.70114645</v>
      </c>
      <c r="GU381" s="77">
        <f t="shared" si="1140"/>
        <v>25005820.885513317</v>
      </c>
      <c r="IC381" s="82">
        <v>403</v>
      </c>
    </row>
    <row r="382" spans="1:237" s="77" customFormat="1">
      <c r="A382" s="77">
        <v>382</v>
      </c>
      <c r="C382" s="122" t="s">
        <v>401</v>
      </c>
      <c r="D382" s="122" t="s">
        <v>410</v>
      </c>
      <c r="E382" s="125">
        <v>1</v>
      </c>
      <c r="F382" s="125">
        <f t="shared" si="1072"/>
        <v>4.6785714285714285E-2</v>
      </c>
      <c r="G382" s="122"/>
      <c r="H382" s="122"/>
      <c r="I382" s="122">
        <f>32.63/AU382</f>
        <v>2.1753333333333336E-2</v>
      </c>
      <c r="J382" s="122">
        <f t="shared" si="1102"/>
        <v>2.1428571428571428</v>
      </c>
      <c r="K382" s="125">
        <f t="shared" si="1089"/>
        <v>7</v>
      </c>
      <c r="L382" s="125">
        <f t="shared" si="1090"/>
        <v>4.12280701754386E-2</v>
      </c>
      <c r="M382" s="125">
        <f t="shared" si="1091"/>
        <v>3.8135964912280704E-2</v>
      </c>
      <c r="N382" s="125">
        <f t="shared" si="1092"/>
        <v>0.66118421052631571</v>
      </c>
      <c r="O382" s="125">
        <f t="shared" si="1093"/>
        <v>4.5602467922996583E-2</v>
      </c>
      <c r="P382" s="122">
        <v>0.3</v>
      </c>
      <c r="Q382" s="122" t="s">
        <v>3</v>
      </c>
      <c r="R382" s="133">
        <v>0</v>
      </c>
      <c r="S382" s="75">
        <f t="shared" si="980"/>
        <v>0.22339872380100645</v>
      </c>
      <c r="T382" s="59">
        <f t="shared" ref="T382:T426" si="1142">BP382/AA382</f>
        <v>1.1847321009816862</v>
      </c>
      <c r="U382" s="59">
        <f t="shared" ref="U382:U426" si="1143">BP382/Z382</f>
        <v>1.0298908634910058</v>
      </c>
      <c r="V382" s="59">
        <f t="shared" ref="V382:V426" si="1144">BP382/Y382</f>
        <v>1.6232018068422436</v>
      </c>
      <c r="W382" s="59">
        <f t="shared" ref="W382:W426" si="1145">AA382/Y382</f>
        <v>1.3701002998882492</v>
      </c>
      <c r="X382" s="59">
        <f t="shared" ref="X382:X426" si="1146">Z382/Y382</f>
        <v>1.576091083418393</v>
      </c>
      <c r="Y382" s="127">
        <v>74670</v>
      </c>
      <c r="Z382" s="57">
        <f t="shared" ref="Z382:Z426" si="1147">(AC382*1*AK382^0.5+BE382*AZ382)*AX382</f>
        <v>117686.7211988514</v>
      </c>
      <c r="AA382" s="57">
        <f t="shared" ref="AA382:AA426" si="1148">IF(AF382&lt;0,AG382,AF382+AG382)</f>
        <v>102305.38939265556</v>
      </c>
      <c r="AB382" s="57">
        <f t="shared" si="1060"/>
        <v>209207.10663440815</v>
      </c>
      <c r="AC382" s="57">
        <f t="shared" ref="AC382:AC426" si="1149">IF(J382&lt;=1.5,0.25,IF(J382&gt;=2,0.17,0.25-(J382-1.5)/(2-1.5)*(0.25-0.17)))</f>
        <v>0.17</v>
      </c>
      <c r="AD382" s="57">
        <f t="shared" ref="AD382:AD426" si="1150">IF(J382&lt;1.5,1.5,IF(J382&gt;2.2,2.2,J382))</f>
        <v>2.1428571428571428</v>
      </c>
      <c r="AE382" s="57">
        <f t="shared" ref="AE382:AE426" si="1151">IF(P382&gt;0.2,0.2*AY382*AK382,P382*AY382*AK382)</f>
        <v>319200</v>
      </c>
      <c r="AF382" s="57">
        <f t="shared" ref="AF382:AF426" si="1152">(1/(AD382-0.5))*(0.4*AL382*AT382*AS382+0.1*AE382*AV382/AY382)</f>
        <v>58123.92627415208</v>
      </c>
      <c r="AG382" s="57">
        <f t="shared" si="1058"/>
        <v>44181.463118503481</v>
      </c>
      <c r="AH382" s="57">
        <f t="shared" si="1061"/>
        <v>129889064.63998467</v>
      </c>
      <c r="AI382" s="77">
        <f t="shared" si="1062"/>
        <v>183921595.3116276</v>
      </c>
      <c r="AJ382" s="77">
        <v>300000</v>
      </c>
      <c r="AK382" s="77">
        <f t="shared" si="1123"/>
        <v>22.8</v>
      </c>
      <c r="AL382" s="78">
        <f t="shared" ref="AL382:AL426" si="1153">0.395*(AK382/0.76)^0.55</f>
        <v>2.5645654417100237</v>
      </c>
      <c r="AM382" s="57">
        <f t="shared" ref="AM382:AM426" si="1154">IF(AK382&lt;=38,1,IF(AK382&gt;=60.8,0.94,(1-(AK382-38)*(1-0.94)/(60.8-38))))</f>
        <v>1</v>
      </c>
      <c r="AN382" s="57">
        <f t="shared" ref="AN382:AN426" si="1155">IF(AK382&lt;=38,0.8,IF(AK382&gt;=60.8,0.74,0.8-(AK382-38)*(0.8-0.74)/(60.8-38)))</f>
        <v>0.8</v>
      </c>
      <c r="AO382" s="77">
        <v>700</v>
      </c>
      <c r="AP382" s="79">
        <v>100</v>
      </c>
      <c r="AQ382" s="57">
        <f t="shared" ref="AQ382:AQ426" si="1156">0.5*BS382</f>
        <v>80.311120000067234</v>
      </c>
      <c r="AR382" s="57">
        <f t="shared" si="1063"/>
        <v>500</v>
      </c>
      <c r="AS382" s="57">
        <f t="shared" ref="AS382:AS426" si="1157">AO382-AQ382</f>
        <v>619.68887999993274</v>
      </c>
      <c r="AT382" s="77">
        <v>100</v>
      </c>
      <c r="AU382" s="77">
        <v>1500</v>
      </c>
      <c r="AV382" s="57">
        <f t="shared" ref="AV382:AV426" si="1158">IF(Q382="R",AY382,AR382*AT382)</f>
        <v>70000</v>
      </c>
      <c r="AW382" s="77">
        <v>0</v>
      </c>
      <c r="AX382" s="77">
        <f t="shared" ref="AX382:AX426" si="1159">AO382*AT382</f>
        <v>70000</v>
      </c>
      <c r="AY382" s="77">
        <f t="shared" si="1124"/>
        <v>70000</v>
      </c>
      <c r="AZ382" s="77">
        <f t="shared" si="1141"/>
        <v>235</v>
      </c>
      <c r="BA382" s="77">
        <v>235</v>
      </c>
      <c r="BB382" s="77">
        <v>335</v>
      </c>
      <c r="BC382" s="77">
        <v>235</v>
      </c>
      <c r="BD382" s="77">
        <v>4.0000000000000001E-3</v>
      </c>
      <c r="BE382" s="77">
        <v>3.7000000000000002E-3</v>
      </c>
      <c r="BF382" s="77">
        <v>4.4999999999999998E-2</v>
      </c>
      <c r="BG382" s="77">
        <f t="shared" si="1125"/>
        <v>4.4244096538056258E-3</v>
      </c>
      <c r="BH382" s="79">
        <f t="shared" si="1126"/>
        <v>175</v>
      </c>
      <c r="BI382" s="79">
        <f t="shared" si="1127"/>
        <v>33.183072403542191</v>
      </c>
      <c r="BJ382" s="79">
        <v>2</v>
      </c>
      <c r="BK382" s="57">
        <f t="shared" si="1059"/>
        <v>66.366144807084382</v>
      </c>
      <c r="BL382" s="57">
        <f t="shared" si="1018"/>
        <v>200</v>
      </c>
      <c r="BM382" s="80">
        <f t="shared" si="1128"/>
        <v>254.46900494077323</v>
      </c>
      <c r="BN382" s="80">
        <v>4</v>
      </c>
      <c r="BO382" s="57">
        <f t="shared" si="1065"/>
        <v>1017.8760197630929</v>
      </c>
      <c r="BP382" s="57">
        <f t="shared" ref="BP382:BP426" si="1160">BR382/AU382</f>
        <v>121204.47891691033</v>
      </c>
      <c r="BQ382" s="77">
        <f t="shared" ref="BQ382:BQ426" si="1161">AJ382-AM382*AT382*BS382*AK382+SUM(FA382:GN382)</f>
        <v>0</v>
      </c>
      <c r="BR382" s="57">
        <f t="shared" si="1022"/>
        <v>181806718.3753655</v>
      </c>
      <c r="BS382" s="57">
        <v>160.62224000013447</v>
      </c>
      <c r="BT382" s="57">
        <f t="shared" si="981"/>
        <v>191.12620045899536</v>
      </c>
      <c r="BU382" s="57" t="e">
        <f>IF(BS382/AS382&gt;#REF!,1,0)</f>
        <v>#REF!</v>
      </c>
      <c r="BV382" s="57">
        <v>3.3E-3</v>
      </c>
      <c r="BW382" s="57">
        <v>30000</v>
      </c>
      <c r="BX382" s="57">
        <v>200000</v>
      </c>
      <c r="BY382" s="77">
        <v>20</v>
      </c>
      <c r="BZ382" s="77">
        <v>100</v>
      </c>
      <c r="CA382" s="77">
        <f t="shared" si="1129"/>
        <v>225</v>
      </c>
      <c r="CB382" s="77">
        <f t="shared" si="1130"/>
        <v>350</v>
      </c>
      <c r="CC382" s="77">
        <f t="shared" si="1131"/>
        <v>475</v>
      </c>
      <c r="CD382" s="77">
        <f t="shared" si="1132"/>
        <v>600</v>
      </c>
      <c r="CE382" s="77">
        <f t="shared" si="1133"/>
        <v>680</v>
      </c>
      <c r="DM382" s="77">
        <f t="shared" si="1134"/>
        <v>226.1946710584651</v>
      </c>
      <c r="DN382" s="77">
        <f t="shared" si="1134"/>
        <v>226.1946710584651</v>
      </c>
      <c r="DO382" s="77">
        <f t="shared" si="1135"/>
        <v>66.366144807084382</v>
      </c>
      <c r="DP382" s="77">
        <f t="shared" si="1135"/>
        <v>66.366144807084382</v>
      </c>
      <c r="DQ382" s="77">
        <f t="shared" si="1135"/>
        <v>66.366144807084382</v>
      </c>
      <c r="DR382" s="77">
        <f t="shared" si="1136"/>
        <v>226.1946710584651</v>
      </c>
      <c r="DS382" s="77">
        <f t="shared" si="1136"/>
        <v>226.1946710584651</v>
      </c>
      <c r="FA382" s="77">
        <f t="shared" si="1113"/>
        <v>-75775.214804585805</v>
      </c>
      <c r="FB382" s="77">
        <f t="shared" si="1114"/>
        <v>-56344.63969327369</v>
      </c>
      <c r="FC382" s="77">
        <f t="shared" si="1115"/>
        <v>15596.04402966483</v>
      </c>
      <c r="FD382" s="77">
        <f t="shared" si="1101"/>
        <v>15596.04402966483</v>
      </c>
      <c r="FE382" s="77">
        <f t="shared" si="1080"/>
        <v>15596.04402966483</v>
      </c>
      <c r="FF382" s="77">
        <f t="shared" si="1137"/>
        <v>75775.214804585805</v>
      </c>
      <c r="FG382" s="77">
        <f t="shared" si="1138"/>
        <v>75775.214804585805</v>
      </c>
      <c r="GO382" s="77">
        <f t="shared" si="1038"/>
        <v>25005820.885513317</v>
      </c>
      <c r="GP382" s="77">
        <f t="shared" si="1039"/>
        <v>14086159.923318423</v>
      </c>
      <c r="GQ382" s="77">
        <f t="shared" si="1040"/>
        <v>-1949505.5037081037</v>
      </c>
      <c r="GR382" s="77">
        <f t="shared" si="1041"/>
        <v>0</v>
      </c>
      <c r="GS382" s="77">
        <f t="shared" si="1057"/>
        <v>1949505.5037081037</v>
      </c>
      <c r="GT382" s="77">
        <f t="shared" si="1139"/>
        <v>18943803.70114645</v>
      </c>
      <c r="GU382" s="77">
        <f t="shared" si="1140"/>
        <v>25005820.885513317</v>
      </c>
      <c r="IC382" s="82">
        <v>404</v>
      </c>
    </row>
    <row r="383" spans="1:237" s="77" customFormat="1">
      <c r="A383" s="77">
        <v>383</v>
      </c>
      <c r="C383" s="122" t="s">
        <v>411</v>
      </c>
      <c r="D383" s="122" t="s">
        <v>412</v>
      </c>
      <c r="E383" s="125">
        <v>1</v>
      </c>
      <c r="F383" s="125">
        <f t="shared" si="1072"/>
        <v>7.3366524994294274E-2</v>
      </c>
      <c r="G383" s="122">
        <v>6.3499999999999997E-3</v>
      </c>
      <c r="H383" s="122">
        <v>1.295E-2</v>
      </c>
      <c r="I383" s="122">
        <f>(63.6+66.8)/2/AU383</f>
        <v>3.104761904761905E-2</v>
      </c>
      <c r="J383" s="122">
        <f t="shared" si="1102"/>
        <v>2.1</v>
      </c>
      <c r="K383" s="125">
        <f t="shared" si="1089"/>
        <v>10</v>
      </c>
      <c r="L383" s="125">
        <f t="shared" si="1090"/>
        <v>4.6258895753499646E-2</v>
      </c>
      <c r="M383" s="125">
        <f t="shared" si="1091"/>
        <v>0.13819113161804955</v>
      </c>
      <c r="N383" s="125">
        <f t="shared" si="1092"/>
        <v>0.17759620627159672</v>
      </c>
      <c r="O383" s="125">
        <f t="shared" si="1093"/>
        <v>3.8324527178895194E-2</v>
      </c>
      <c r="P383" s="122">
        <v>0.21</v>
      </c>
      <c r="Q383" s="122" t="s">
        <v>28</v>
      </c>
      <c r="R383" s="134">
        <f t="shared" ref="R383:R388" si="1162">AW383/AY383</f>
        <v>0.5714285714285714</v>
      </c>
      <c r="S383" s="75">
        <f t="shared" ref="S383:S426" si="1163">Y383/AY383/SQRT(AK383)</f>
        <v>0.62083514681724972</v>
      </c>
      <c r="T383" s="59">
        <f t="shared" si="1142"/>
        <v>0.63208167813094973</v>
      </c>
      <c r="U383" s="59">
        <f t="shared" si="1143"/>
        <v>0.49300893338340723</v>
      </c>
      <c r="V383" s="59">
        <f t="shared" si="1144"/>
        <v>0.75972560261135347</v>
      </c>
      <c r="W383" s="59">
        <f t="shared" si="1145"/>
        <v>1.2019421364306015</v>
      </c>
      <c r="X383" s="59">
        <f t="shared" si="1146"/>
        <v>1.5409976395306488</v>
      </c>
      <c r="Y383" s="127">
        <f>(747+724)/2*1000</f>
        <v>735500</v>
      </c>
      <c r="Z383" s="57">
        <f t="shared" si="1147"/>
        <v>1133403.7638747923</v>
      </c>
      <c r="AA383" s="57">
        <f t="shared" si="1148"/>
        <v>884028.44134470739</v>
      </c>
      <c r="AB383" s="57">
        <f t="shared" si="1060"/>
        <v>629616.41132719244</v>
      </c>
      <c r="AC383" s="57">
        <f t="shared" si="1149"/>
        <v>0.17</v>
      </c>
      <c r="AD383" s="57">
        <f t="shared" si="1150"/>
        <v>2.1</v>
      </c>
      <c r="AE383" s="57">
        <f t="shared" si="1151"/>
        <v>2005001.6</v>
      </c>
      <c r="AF383" s="57">
        <f t="shared" si="1152"/>
        <v>153755.50309339937</v>
      </c>
      <c r="AG383" s="57">
        <f t="shared" si="1058"/>
        <v>730272.93825130805</v>
      </c>
      <c r="AH383" s="57">
        <f t="shared" si="1061"/>
        <v>984858292.72677779</v>
      </c>
      <c r="AI383" s="77">
        <f t="shared" si="1062"/>
        <v>337336171.0603264</v>
      </c>
      <c r="AJ383" s="77">
        <f t="shared" ref="AJ383:AJ388" si="1164">P383*AY383*AK383</f>
        <v>2105251.6800000002</v>
      </c>
      <c r="AK383" s="77">
        <f>94.22*0.76</f>
        <v>71.607200000000006</v>
      </c>
      <c r="AL383" s="78">
        <f t="shared" si="1153"/>
        <v>4.8125560496111497</v>
      </c>
      <c r="AM383" s="57">
        <f t="shared" si="1154"/>
        <v>0.94</v>
      </c>
      <c r="AN383" s="57">
        <f t="shared" si="1155"/>
        <v>0.74</v>
      </c>
      <c r="AO383" s="77">
        <v>1000</v>
      </c>
      <c r="AP383" s="79">
        <v>200</v>
      </c>
      <c r="AQ383" s="57">
        <f t="shared" si="1156"/>
        <v>168.42441262386285</v>
      </c>
      <c r="AR383" s="57">
        <f t="shared" si="1063"/>
        <v>600</v>
      </c>
      <c r="AS383" s="57">
        <f t="shared" si="1157"/>
        <v>831.57558737613715</v>
      </c>
      <c r="AT383" s="77">
        <v>100</v>
      </c>
      <c r="AU383" s="77">
        <v>2100</v>
      </c>
      <c r="AV383" s="57">
        <f t="shared" si="1158"/>
        <v>60000</v>
      </c>
      <c r="AW383" s="77">
        <f t="shared" ref="AW383:AW388" si="1165">2*200*200</f>
        <v>80000</v>
      </c>
      <c r="AX383" s="77">
        <f t="shared" si="1159"/>
        <v>100000</v>
      </c>
      <c r="AY383" s="77">
        <f t="shared" ref="AY383:AY388" si="1166">600*100+AW383</f>
        <v>140000</v>
      </c>
      <c r="AZ383" s="77">
        <f t="shared" si="1141"/>
        <v>419.3</v>
      </c>
      <c r="BA383" s="77">
        <v>419.3</v>
      </c>
      <c r="BB383" s="77">
        <v>460</v>
      </c>
      <c r="BC383" s="77">
        <v>419.3</v>
      </c>
      <c r="BD383" s="77">
        <v>7.9000000000000008E-3</v>
      </c>
      <c r="BE383" s="77">
        <v>2.3599999999999999E-2</v>
      </c>
      <c r="BF383" s="77">
        <f t="shared" ref="BF383:BF388" si="1167">(PI()*12*12*8+PI()*8*8*4)/(4*200*200)</f>
        <v>2.7646015351590177E-2</v>
      </c>
      <c r="BG383" s="77">
        <f>(2*PI()*5*5)/(4*30*200)</f>
        <v>6.5449846949787362E-3</v>
      </c>
      <c r="BH383" s="79">
        <v>60</v>
      </c>
      <c r="BI383" s="79">
        <f t="shared" ref="BI383:BI388" si="1168">PI()*10*10/4</f>
        <v>78.539816339744831</v>
      </c>
      <c r="BJ383" s="79">
        <v>2</v>
      </c>
      <c r="BK383" s="57">
        <f t="shared" si="1059"/>
        <v>157.07963267948966</v>
      </c>
      <c r="BL383" s="57">
        <f t="shared" si="1018"/>
        <v>474</v>
      </c>
      <c r="BM383" s="80">
        <f t="shared" ref="BM383:BM388" si="1169">PI()*12*12/4*(5+3)+PI()*8*8/4*4</f>
        <v>1105.8406140636071</v>
      </c>
      <c r="BN383" s="80">
        <v>1</v>
      </c>
      <c r="BO383" s="57">
        <f t="shared" si="1065"/>
        <v>1105.8406140636071</v>
      </c>
      <c r="BP383" s="57">
        <f t="shared" si="1160"/>
        <v>558778.18072065047</v>
      </c>
      <c r="BQ383" s="77">
        <f t="shared" si="1161"/>
        <v>-8.7311491370201111E-10</v>
      </c>
      <c r="BR383" s="57">
        <f t="shared" si="1022"/>
        <v>1173434179.513366</v>
      </c>
      <c r="BS383" s="57">
        <v>336.8488252477257</v>
      </c>
      <c r="BT383" s="57">
        <f t="shared" ref="BT383:BT426" si="1170">(AE383 + BD383*MAX(AW383/2,AT383*AP383) * BA383)/(0.85 * AK383  * AT383 * (1.05 - AK383/140))</f>
        <v>652.12184658912633</v>
      </c>
      <c r="BU383" s="57" t="e">
        <f>IF(BS383/AS383&gt;#REF!,1,0)</f>
        <v>#REF!</v>
      </c>
      <c r="BV383" s="57">
        <v>3.3E-3</v>
      </c>
      <c r="BW383" s="57">
        <v>30000</v>
      </c>
      <c r="BX383" s="57">
        <v>200000</v>
      </c>
      <c r="BY383" s="77">
        <f>20</f>
        <v>20</v>
      </c>
      <c r="BZ383" s="77">
        <f t="shared" ref="BZ383:BZ391" si="1171">BY383+80</f>
        <v>100</v>
      </c>
      <c r="CA383" s="77">
        <f t="shared" ref="CA383:CA388" si="1172">BY383+80*2</f>
        <v>180</v>
      </c>
      <c r="CB383" s="77">
        <f t="shared" ref="CB383:CB388" si="1173">CA383+20+50</f>
        <v>250</v>
      </c>
      <c r="CC383" s="77">
        <f t="shared" ref="CC383:CC388" si="1174">CB383+100*1</f>
        <v>350</v>
      </c>
      <c r="CD383" s="77">
        <f t="shared" ref="CD383:CD388" si="1175">CB383+100*2</f>
        <v>450</v>
      </c>
      <c r="CE383" s="77">
        <f t="shared" ref="CE383:CE388" si="1176">CB383+100*3</f>
        <v>550</v>
      </c>
      <c r="CF383" s="77">
        <f t="shared" ref="CF383:CF388" si="1177">CB383+100*4</f>
        <v>650</v>
      </c>
      <c r="CG383" s="77">
        <f t="shared" ref="CG383:CG388" si="1178">CB383+100*5</f>
        <v>750</v>
      </c>
      <c r="CH383" s="77">
        <f t="shared" ref="CH383:CH388" si="1179">CG383+50+20</f>
        <v>820</v>
      </c>
      <c r="CI383" s="77">
        <f t="shared" ref="CI383:CI388" si="1180">CH383+80</f>
        <v>900</v>
      </c>
      <c r="CJ383" s="77">
        <f t="shared" ref="CJ383:CJ388" si="1181">CH383+80*2</f>
        <v>980</v>
      </c>
      <c r="DM383" s="77">
        <f t="shared" ref="DM383:DM388" si="1182">PI()*12*12/4*4</f>
        <v>452.38934211693021</v>
      </c>
      <c r="DN383" s="77">
        <f t="shared" ref="DN383:DO388" si="1183">PI()*12*12/4*2+PI()*8*8/4*2</f>
        <v>326.72563597333851</v>
      </c>
      <c r="DO383" s="77">
        <f t="shared" si="1183"/>
        <v>326.72563597333851</v>
      </c>
      <c r="DP383" s="77">
        <f t="shared" ref="DP383:DQ388" si="1184">PI()*8*8/4*2</f>
        <v>100.53096491487338</v>
      </c>
      <c r="DQ383" s="77">
        <f t="shared" si="1184"/>
        <v>100.53096491487338</v>
      </c>
      <c r="DR383" s="77">
        <f t="shared" ref="DR383:DS388" si="1185">PI()*6.5*6.5/4*2</f>
        <v>66.366144807084382</v>
      </c>
      <c r="DS383" s="77">
        <f t="shared" si="1185"/>
        <v>66.366144807084382</v>
      </c>
      <c r="DT383" s="77">
        <f t="shared" ref="DT383:DU388" si="1186">PI()*8*8/4*2</f>
        <v>100.53096491487338</v>
      </c>
      <c r="DU383" s="77">
        <f t="shared" si="1186"/>
        <v>100.53096491487338</v>
      </c>
      <c r="DV383" s="77">
        <f t="shared" ref="DV383:DW388" si="1187">PI()*12*12/4*2+PI()*8*8/4*2</f>
        <v>326.72563597333851</v>
      </c>
      <c r="DW383" s="77">
        <f t="shared" si="1187"/>
        <v>326.72563597333851</v>
      </c>
      <c r="DX383" s="77">
        <f t="shared" ref="DX383:DX388" si="1188">PI()*12*12/4*4</f>
        <v>452.38934211693021</v>
      </c>
      <c r="FA383" s="77">
        <f t="shared" si="1113"/>
        <v>-208099.0973737879</v>
      </c>
      <c r="FB383" s="77">
        <f t="shared" si="1114"/>
        <v>-150293.79254773571</v>
      </c>
      <c r="FC383" s="77">
        <f t="shared" ref="FC383:FC388" si="1189">IF(ABS(-$BV383*($BS383-CA383)/$BS383*$BX383)&gt;$BB383,$BB383*SIGN(-($BS383-CA383)),-$BV383*($BS383-CA383)/$BS383*$BX383)*DO383</f>
        <v>-100409.17083326816</v>
      </c>
      <c r="FD383" s="77">
        <f t="shared" si="1101"/>
        <v>-17106.954404015043</v>
      </c>
      <c r="FE383" s="77">
        <f t="shared" si="1080"/>
        <v>2590.4385719055158</v>
      </c>
      <c r="FF383" s="77">
        <f t="shared" ref="FF383:FI388" si="1190">IF(ABS(-$BV383*($BS383-CD383)/$BS383*$BX383)&gt;$BA383,$BA383*SIGN(-($BS383-CD383)),-$BV383*($BS383-CD383)/$BS383*$BX383)*DR383</f>
        <v>14713.451295244557</v>
      </c>
      <c r="FG383" s="77">
        <f t="shared" si="1190"/>
        <v>27716.808377004614</v>
      </c>
      <c r="FH383" s="77">
        <f t="shared" si="1190"/>
        <v>42152.633588806406</v>
      </c>
      <c r="FI383" s="77">
        <f t="shared" si="1190"/>
        <v>42152.633588806406</v>
      </c>
      <c r="FJ383" s="77">
        <f t="shared" ref="FJ383:FL388" si="1191">IF(ABS(-$BV383*($BS383-CH383)/$BS383*$BX383)&gt;$BB383,$BB383*SIGN(-($BS383-CH383)),-$BV383*($BS383-CH383)/$BS383*$BX383)*DV383</f>
        <v>150293.79254773571</v>
      </c>
      <c r="FK383" s="77">
        <f t="shared" si="1191"/>
        <v>150293.79254773571</v>
      </c>
      <c r="FL383" s="77">
        <f t="shared" si="1191"/>
        <v>208099.0973737879</v>
      </c>
      <c r="GO383" s="77">
        <f t="shared" si="1038"/>
        <v>99887566.739418194</v>
      </c>
      <c r="GP383" s="77">
        <f t="shared" si="1039"/>
        <v>60117517.019094281</v>
      </c>
      <c r="GQ383" s="77">
        <f t="shared" si="1040"/>
        <v>32130934.66664581</v>
      </c>
      <c r="GR383" s="77">
        <f t="shared" si="1041"/>
        <v>4276738.6010037605</v>
      </c>
      <c r="GS383" s="77">
        <f t="shared" si="1057"/>
        <v>-388565.78578582738</v>
      </c>
      <c r="GT383" s="77">
        <f t="shared" si="1139"/>
        <v>-735672.56476222782</v>
      </c>
      <c r="GU383" s="77">
        <f t="shared" si="1140"/>
        <v>1385840.4188502308</v>
      </c>
      <c r="GV383" s="77">
        <f t="shared" ref="GV383:GZ388" si="1192">FH383*(CF383-0.5*$AO383)</f>
        <v>6322895.0383209605</v>
      </c>
      <c r="GW383" s="77">
        <f t="shared" si="1192"/>
        <v>10538158.397201601</v>
      </c>
      <c r="GX383" s="77">
        <f t="shared" si="1192"/>
        <v>48094013.615275428</v>
      </c>
      <c r="GY383" s="77">
        <f t="shared" si="1192"/>
        <v>60117517.019094281</v>
      </c>
      <c r="GZ383" s="77">
        <f t="shared" si="1192"/>
        <v>99887566.739418194</v>
      </c>
      <c r="IC383" s="82">
        <v>405</v>
      </c>
    </row>
    <row r="384" spans="1:237" s="77" customFormat="1">
      <c r="A384" s="77">
        <v>384</v>
      </c>
      <c r="C384" s="122" t="s">
        <v>411</v>
      </c>
      <c r="D384" s="122" t="s">
        <v>413</v>
      </c>
      <c r="E384" s="125">
        <v>1</v>
      </c>
      <c r="F384" s="125">
        <f t="shared" si="1072"/>
        <v>6.067457321185097E-2</v>
      </c>
      <c r="G384" s="122">
        <v>5.5500000000000002E-3</v>
      </c>
      <c r="H384" s="122">
        <v>1.4999999999999999E-2</v>
      </c>
      <c r="I384" s="122">
        <f>(60.9+54.9)/2/AU384</f>
        <v>2.757142857142857E-2</v>
      </c>
      <c r="J384" s="122">
        <f t="shared" si="1102"/>
        <v>2.1</v>
      </c>
      <c r="K384" s="125">
        <f t="shared" si="1089"/>
        <v>10</v>
      </c>
      <c r="L384" s="125">
        <f t="shared" si="1090"/>
        <v>3.8720524088630082E-2</v>
      </c>
      <c r="M384" s="125">
        <f t="shared" si="1091"/>
        <v>6.4344400323752923E-2</v>
      </c>
      <c r="N384" s="125">
        <f t="shared" si="1092"/>
        <v>0.17270218345453447</v>
      </c>
      <c r="O384" s="125">
        <f t="shared" si="1093"/>
        <v>2.79513129641514E-2</v>
      </c>
      <c r="P384" s="122">
        <v>0.15</v>
      </c>
      <c r="Q384" s="122" t="s">
        <v>28</v>
      </c>
      <c r="R384" s="134">
        <f t="shared" si="1162"/>
        <v>0.5714285714285714</v>
      </c>
      <c r="S384" s="75">
        <f t="shared" si="1163"/>
        <v>0.52065854964110303</v>
      </c>
      <c r="T384" s="59">
        <f t="shared" si="1142"/>
        <v>0.55622159746127064</v>
      </c>
      <c r="U384" s="59">
        <f t="shared" si="1143"/>
        <v>0.81789375483241367</v>
      </c>
      <c r="V384" s="59">
        <f t="shared" si="1144"/>
        <v>0.8102951389557973</v>
      </c>
      <c r="W384" s="59">
        <f t="shared" si="1145"/>
        <v>1.4567847466804227</v>
      </c>
      <c r="X384" s="59">
        <f t="shared" si="1146"/>
        <v>0.99070953185334776</v>
      </c>
      <c r="Y384" s="127">
        <f>(646+605)/2*1000</f>
        <v>625500</v>
      </c>
      <c r="Z384" s="57">
        <f t="shared" si="1147"/>
        <v>619688.812174269</v>
      </c>
      <c r="AA384" s="57">
        <f t="shared" si="1148"/>
        <v>911218.85904860438</v>
      </c>
      <c r="AB384" s="57">
        <f t="shared" si="1060"/>
        <v>686265.98799027596</v>
      </c>
      <c r="AC384" s="57">
        <f t="shared" si="1149"/>
        <v>0.17</v>
      </c>
      <c r="AD384" s="57">
        <f t="shared" si="1150"/>
        <v>2.1</v>
      </c>
      <c r="AE384" s="57">
        <f t="shared" si="1151"/>
        <v>1546364.4</v>
      </c>
      <c r="AF384" s="57">
        <f t="shared" si="1152"/>
        <v>147652.15214283121</v>
      </c>
      <c r="AG384" s="57">
        <f t="shared" si="1058"/>
        <v>763566.70690577314</v>
      </c>
      <c r="AH384" s="57">
        <f t="shared" si="1061"/>
        <v>1065251497.2999995</v>
      </c>
      <c r="AI384" s="77">
        <f t="shared" si="1062"/>
        <v>375907077.47957987</v>
      </c>
      <c r="AJ384" s="77">
        <f t="shared" si="1164"/>
        <v>1546364.4</v>
      </c>
      <c r="AK384" s="77">
        <f>96.89*0.76</f>
        <v>73.636399999999995</v>
      </c>
      <c r="AL384" s="78">
        <f t="shared" si="1153"/>
        <v>4.8870920746316457</v>
      </c>
      <c r="AM384" s="57">
        <f t="shared" si="1154"/>
        <v>0.94</v>
      </c>
      <c r="AN384" s="57">
        <f t="shared" si="1155"/>
        <v>0.74</v>
      </c>
      <c r="AO384" s="77">
        <v>1000</v>
      </c>
      <c r="AP384" s="79">
        <v>200</v>
      </c>
      <c r="AQ384" s="57">
        <f t="shared" si="1156"/>
        <v>130.51216944106201</v>
      </c>
      <c r="AR384" s="57">
        <f t="shared" si="1063"/>
        <v>600</v>
      </c>
      <c r="AS384" s="57">
        <f t="shared" si="1157"/>
        <v>869.48783055893796</v>
      </c>
      <c r="AT384" s="77">
        <v>100</v>
      </c>
      <c r="AU384" s="77">
        <v>2100</v>
      </c>
      <c r="AV384" s="57">
        <f t="shared" si="1158"/>
        <v>60000</v>
      </c>
      <c r="AW384" s="77">
        <f t="shared" si="1165"/>
        <v>80000</v>
      </c>
      <c r="AX384" s="77">
        <f t="shared" si="1159"/>
        <v>100000</v>
      </c>
      <c r="AY384" s="77">
        <f t="shared" si="1166"/>
        <v>140000</v>
      </c>
      <c r="AZ384" s="77">
        <f t="shared" si="1141"/>
        <v>419.3</v>
      </c>
      <c r="BA384" s="77">
        <v>419.3</v>
      </c>
      <c r="BB384" s="77">
        <v>460</v>
      </c>
      <c r="BC384" s="77">
        <v>419.3</v>
      </c>
      <c r="BD384" s="77">
        <v>6.7999999999999996E-3</v>
      </c>
      <c r="BE384" s="77">
        <v>1.1299999999999999E-2</v>
      </c>
      <c r="BF384" s="77">
        <f t="shared" si="1167"/>
        <v>2.7646015351590177E-2</v>
      </c>
      <c r="BG384" s="77">
        <f>(2*PI()*5*5)/(4*40*200)</f>
        <v>4.9087385212340517E-3</v>
      </c>
      <c r="BH384" s="79">
        <v>60</v>
      </c>
      <c r="BI384" s="79">
        <f t="shared" si="1168"/>
        <v>78.539816339744831</v>
      </c>
      <c r="BJ384" s="79">
        <v>2</v>
      </c>
      <c r="BK384" s="57">
        <f t="shared" si="1059"/>
        <v>157.07963267948966</v>
      </c>
      <c r="BL384" s="57">
        <f t="shared" si="1018"/>
        <v>408</v>
      </c>
      <c r="BM384" s="80">
        <f t="shared" si="1169"/>
        <v>1105.8406140636071</v>
      </c>
      <c r="BN384" s="80">
        <v>1</v>
      </c>
      <c r="BO384" s="57">
        <f t="shared" si="1065"/>
        <v>1105.8406140636071</v>
      </c>
      <c r="BP384" s="57">
        <f t="shared" si="1160"/>
        <v>506839.60941685119</v>
      </c>
      <c r="BQ384" s="77">
        <f t="shared" si="1161"/>
        <v>6.6938810050487518E-10</v>
      </c>
      <c r="BR384" s="57">
        <f t="shared" si="1022"/>
        <v>1064363179.7753875</v>
      </c>
      <c r="BS384" s="57">
        <v>261.02433888212403</v>
      </c>
      <c r="BT384" s="57">
        <f t="shared" si="1170"/>
        <v>506.23517014148842</v>
      </c>
      <c r="BU384" s="57" t="e">
        <f>IF(BS384/AS384&gt;#REF!,1,0)</f>
        <v>#REF!</v>
      </c>
      <c r="BV384" s="57">
        <v>3.3E-3</v>
      </c>
      <c r="BW384" s="57">
        <v>30000</v>
      </c>
      <c r="BX384" s="57">
        <v>200000</v>
      </c>
      <c r="BY384" s="77">
        <f>20</f>
        <v>20</v>
      </c>
      <c r="BZ384" s="77">
        <f t="shared" si="1171"/>
        <v>100</v>
      </c>
      <c r="CA384" s="77">
        <f t="shared" si="1172"/>
        <v>180</v>
      </c>
      <c r="CB384" s="77">
        <f t="shared" si="1173"/>
        <v>250</v>
      </c>
      <c r="CC384" s="77">
        <f t="shared" si="1174"/>
        <v>350</v>
      </c>
      <c r="CD384" s="77">
        <f t="shared" si="1175"/>
        <v>450</v>
      </c>
      <c r="CE384" s="77">
        <f t="shared" si="1176"/>
        <v>550</v>
      </c>
      <c r="CF384" s="77">
        <f t="shared" si="1177"/>
        <v>650</v>
      </c>
      <c r="CG384" s="77">
        <f t="shared" si="1178"/>
        <v>750</v>
      </c>
      <c r="CH384" s="77">
        <f t="shared" si="1179"/>
        <v>820</v>
      </c>
      <c r="CI384" s="77">
        <f t="shared" si="1180"/>
        <v>900</v>
      </c>
      <c r="CJ384" s="77">
        <f t="shared" si="1181"/>
        <v>980</v>
      </c>
      <c r="DM384" s="77">
        <f t="shared" si="1182"/>
        <v>452.38934211693021</v>
      </c>
      <c r="DN384" s="77">
        <f t="shared" si="1183"/>
        <v>326.72563597333851</v>
      </c>
      <c r="DO384" s="77">
        <f t="shared" si="1183"/>
        <v>326.72563597333851</v>
      </c>
      <c r="DP384" s="77">
        <f t="shared" si="1184"/>
        <v>100.53096491487338</v>
      </c>
      <c r="DQ384" s="77">
        <f t="shared" si="1184"/>
        <v>100.53096491487338</v>
      </c>
      <c r="DR384" s="77">
        <f t="shared" si="1185"/>
        <v>66.366144807084382</v>
      </c>
      <c r="DS384" s="77">
        <f t="shared" si="1185"/>
        <v>66.366144807084382</v>
      </c>
      <c r="DT384" s="77">
        <f t="shared" si="1186"/>
        <v>100.53096491487338</v>
      </c>
      <c r="DU384" s="77">
        <f t="shared" si="1186"/>
        <v>100.53096491487338</v>
      </c>
      <c r="DV384" s="77">
        <f t="shared" si="1187"/>
        <v>326.72563597333851</v>
      </c>
      <c r="DW384" s="77">
        <f t="shared" si="1187"/>
        <v>326.72563597333851</v>
      </c>
      <c r="DX384" s="77">
        <f t="shared" si="1188"/>
        <v>452.38934211693021</v>
      </c>
      <c r="FA384" s="77">
        <f t="shared" si="1113"/>
        <v>-208099.0973737879</v>
      </c>
      <c r="FB384" s="77">
        <f t="shared" si="1114"/>
        <v>-133026.34780144593</v>
      </c>
      <c r="FC384" s="77">
        <f t="shared" si="1189"/>
        <v>-66936.290248679914</v>
      </c>
      <c r="FD384" s="77">
        <f t="shared" si="1101"/>
        <v>-2802.3045815414339</v>
      </c>
      <c r="FE384" s="77">
        <f t="shared" si="1080"/>
        <v>22616.948323368568</v>
      </c>
      <c r="FF384" s="77">
        <f t="shared" si="1190"/>
        <v>27827.324517610483</v>
      </c>
      <c r="FG384" s="77">
        <f t="shared" si="1190"/>
        <v>27827.324517610483</v>
      </c>
      <c r="FH384" s="77">
        <f t="shared" si="1190"/>
        <v>42152.633588806406</v>
      </c>
      <c r="FI384" s="77">
        <f t="shared" si="1190"/>
        <v>42152.633588806406</v>
      </c>
      <c r="FJ384" s="77">
        <f t="shared" si="1191"/>
        <v>150293.79254773571</v>
      </c>
      <c r="FK384" s="77">
        <f t="shared" si="1191"/>
        <v>150293.79254773571</v>
      </c>
      <c r="FL384" s="77">
        <f t="shared" si="1191"/>
        <v>208099.0973737879</v>
      </c>
      <c r="GO384" s="77">
        <f t="shared" si="1038"/>
        <v>99887566.739418194</v>
      </c>
      <c r="GP384" s="77">
        <f t="shared" si="1039"/>
        <v>53210539.120578371</v>
      </c>
      <c r="GQ384" s="77">
        <f t="shared" si="1040"/>
        <v>21419612.879577573</v>
      </c>
      <c r="GR384" s="77">
        <f t="shared" si="1041"/>
        <v>700576.14538535848</v>
      </c>
      <c r="GS384" s="77">
        <f t="shared" ref="GS384:GS415" si="1193">FE384*(CC384-0.5*$AO384)</f>
        <v>-3392542.248505285</v>
      </c>
      <c r="GT384" s="77">
        <f t="shared" si="1139"/>
        <v>-1391366.2258805241</v>
      </c>
      <c r="GU384" s="77">
        <f t="shared" si="1140"/>
        <v>1391366.2258805241</v>
      </c>
      <c r="GV384" s="77">
        <f t="shared" si="1192"/>
        <v>6322895.0383209605</v>
      </c>
      <c r="GW384" s="77">
        <f t="shared" si="1192"/>
        <v>10538158.397201601</v>
      </c>
      <c r="GX384" s="77">
        <f t="shared" si="1192"/>
        <v>48094013.615275428</v>
      </c>
      <c r="GY384" s="77">
        <f t="shared" si="1192"/>
        <v>60117517.019094281</v>
      </c>
      <c r="GZ384" s="77">
        <f t="shared" si="1192"/>
        <v>99887566.739418194</v>
      </c>
      <c r="IC384" s="82">
        <v>406</v>
      </c>
    </row>
    <row r="385" spans="1:237" s="77" customFormat="1">
      <c r="A385" s="77">
        <v>385</v>
      </c>
      <c r="C385" s="122" t="s">
        <v>411</v>
      </c>
      <c r="D385" s="122" t="s">
        <v>414</v>
      </c>
      <c r="E385" s="125">
        <v>2</v>
      </c>
      <c r="F385" s="125">
        <f t="shared" si="1072"/>
        <v>8.5479493228853565E-2</v>
      </c>
      <c r="G385" s="122">
        <v>8.0000000000000002E-3</v>
      </c>
      <c r="H385" s="122">
        <v>1.7285714285714286E-2</v>
      </c>
      <c r="I385" s="122">
        <f>(44.5+42)/2/AU385</f>
        <v>2.8833333333333332E-2</v>
      </c>
      <c r="J385" s="122">
        <f t="shared" si="1102"/>
        <v>1.5</v>
      </c>
      <c r="K385" s="125">
        <f t="shared" si="1089"/>
        <v>10</v>
      </c>
      <c r="L385" s="125">
        <f t="shared" si="1090"/>
        <v>4.3777753695206284E-2</v>
      </c>
      <c r="M385" s="125">
        <f t="shared" si="1091"/>
        <v>0.11193805375229961</v>
      </c>
      <c r="N385" s="125">
        <f t="shared" si="1092"/>
        <v>0.16807065643742311</v>
      </c>
      <c r="O385" s="125">
        <f t="shared" si="1093"/>
        <v>3.1087673914901328E-2</v>
      </c>
      <c r="P385" s="122">
        <v>0.15</v>
      </c>
      <c r="Q385" s="122" t="s">
        <v>28</v>
      </c>
      <c r="R385" s="134">
        <f t="shared" si="1162"/>
        <v>0.5714285714285714</v>
      </c>
      <c r="S385" s="75">
        <f t="shared" si="1163"/>
        <v>0.7435517136339943</v>
      </c>
      <c r="T385" s="59">
        <f t="shared" si="1142"/>
        <v>0.71732291534986492</v>
      </c>
      <c r="U385" s="59">
        <f t="shared" si="1143"/>
        <v>0.67702136785670641</v>
      </c>
      <c r="V385" s="59">
        <f t="shared" si="1144"/>
        <v>0.7958653022794433</v>
      </c>
      <c r="W385" s="59">
        <f t="shared" si="1145"/>
        <v>1.1094937652887757</v>
      </c>
      <c r="X385" s="59">
        <f t="shared" si="1146"/>
        <v>1.1755394143599476</v>
      </c>
      <c r="Y385" s="127">
        <f>(890+921)/2*1000</f>
        <v>905500</v>
      </c>
      <c r="Z385" s="57">
        <f t="shared" si="1147"/>
        <v>1064450.9397029325</v>
      </c>
      <c r="AA385" s="57">
        <f t="shared" si="1148"/>
        <v>1004646.6044689864</v>
      </c>
      <c r="AB385" s="57">
        <f t="shared" si="1060"/>
        <v>981022.070155208</v>
      </c>
      <c r="AC385" s="57">
        <f t="shared" si="1149"/>
        <v>0.25</v>
      </c>
      <c r="AD385" s="57">
        <f t="shared" si="1150"/>
        <v>1.5</v>
      </c>
      <c r="AE385" s="57">
        <f t="shared" si="1151"/>
        <v>1588977.5999999999</v>
      </c>
      <c r="AF385" s="57">
        <f t="shared" si="1152"/>
        <v>240712.99928992102</v>
      </c>
      <c r="AG385" s="57">
        <f t="shared" si="1058"/>
        <v>763933.60517906537</v>
      </c>
      <c r="AH385" s="57">
        <f t="shared" si="1061"/>
        <v>1095200975.2723486</v>
      </c>
      <c r="AI385" s="77">
        <f t="shared" si="1062"/>
        <v>376332129.96046335</v>
      </c>
      <c r="AJ385" s="77">
        <f t="shared" si="1164"/>
        <v>1588977.5999999999</v>
      </c>
      <c r="AK385" s="77">
        <f>99.56*0.76</f>
        <v>75.665599999999998</v>
      </c>
      <c r="AL385" s="78">
        <f t="shared" si="1153"/>
        <v>4.9607093694432738</v>
      </c>
      <c r="AM385" s="57">
        <f t="shared" si="1154"/>
        <v>0.94</v>
      </c>
      <c r="AN385" s="57">
        <f t="shared" si="1155"/>
        <v>0.74</v>
      </c>
      <c r="AO385" s="77">
        <v>1000</v>
      </c>
      <c r="AP385" s="79">
        <v>200</v>
      </c>
      <c r="AQ385" s="57">
        <f t="shared" si="1156"/>
        <v>130.09437544769446</v>
      </c>
      <c r="AR385" s="57">
        <f t="shared" si="1063"/>
        <v>600</v>
      </c>
      <c r="AS385" s="57">
        <f t="shared" si="1157"/>
        <v>869.90562455230554</v>
      </c>
      <c r="AT385" s="77">
        <v>100</v>
      </c>
      <c r="AU385" s="77">
        <v>1500</v>
      </c>
      <c r="AV385" s="57">
        <f t="shared" si="1158"/>
        <v>60000</v>
      </c>
      <c r="AW385" s="77">
        <f t="shared" si="1165"/>
        <v>80000</v>
      </c>
      <c r="AX385" s="77">
        <f t="shared" si="1159"/>
        <v>100000</v>
      </c>
      <c r="AY385" s="77">
        <f t="shared" si="1166"/>
        <v>140000</v>
      </c>
      <c r="AZ385" s="77">
        <f t="shared" si="1141"/>
        <v>419.3</v>
      </c>
      <c r="BA385" s="77">
        <v>419.3</v>
      </c>
      <c r="BB385" s="77">
        <v>460</v>
      </c>
      <c r="BC385" s="77">
        <v>419.3</v>
      </c>
      <c r="BD385" s="77">
        <v>7.9000000000000008E-3</v>
      </c>
      <c r="BE385" s="77">
        <v>2.0199999999999999E-2</v>
      </c>
      <c r="BF385" s="77">
        <f t="shared" si="1167"/>
        <v>2.7646015351590177E-2</v>
      </c>
      <c r="BG385" s="77">
        <f>(2*PI()*5*5)/(4*35*200)</f>
        <v>5.6099868814103448E-3</v>
      </c>
      <c r="BH385" s="79">
        <v>60</v>
      </c>
      <c r="BI385" s="79">
        <f t="shared" si="1168"/>
        <v>78.539816339744831</v>
      </c>
      <c r="BJ385" s="79">
        <v>2</v>
      </c>
      <c r="BK385" s="57">
        <f t="shared" si="1059"/>
        <v>157.07963267948966</v>
      </c>
      <c r="BL385" s="57">
        <f t="shared" si="1018"/>
        <v>474</v>
      </c>
      <c r="BM385" s="80">
        <f t="shared" si="1169"/>
        <v>1105.8406140636071</v>
      </c>
      <c r="BN385" s="80">
        <v>1</v>
      </c>
      <c r="BO385" s="57">
        <f t="shared" si="1065"/>
        <v>1105.8406140636071</v>
      </c>
      <c r="BP385" s="57">
        <f t="shared" si="1160"/>
        <v>720656.03121403593</v>
      </c>
      <c r="BQ385" s="77">
        <f t="shared" si="1161"/>
        <v>6.6938810050487518E-10</v>
      </c>
      <c r="BR385" s="57">
        <f t="shared" si="1022"/>
        <v>1080984046.821054</v>
      </c>
      <c r="BS385" s="57">
        <v>260.18875089538892</v>
      </c>
      <c r="BT385" s="57">
        <f t="shared" si="1170"/>
        <v>525.30639795157902</v>
      </c>
      <c r="BU385" s="57" t="e">
        <f>IF(BS385/AS385&gt;#REF!,1,0)</f>
        <v>#REF!</v>
      </c>
      <c r="BV385" s="57">
        <v>3.3E-3</v>
      </c>
      <c r="BW385" s="57">
        <v>30000</v>
      </c>
      <c r="BX385" s="57">
        <v>200000</v>
      </c>
      <c r="BY385" s="77">
        <f>20</f>
        <v>20</v>
      </c>
      <c r="BZ385" s="77">
        <f t="shared" si="1171"/>
        <v>100</v>
      </c>
      <c r="CA385" s="77">
        <f t="shared" si="1172"/>
        <v>180</v>
      </c>
      <c r="CB385" s="77">
        <f t="shared" si="1173"/>
        <v>250</v>
      </c>
      <c r="CC385" s="77">
        <f t="shared" si="1174"/>
        <v>350</v>
      </c>
      <c r="CD385" s="77">
        <f t="shared" si="1175"/>
        <v>450</v>
      </c>
      <c r="CE385" s="77">
        <f t="shared" si="1176"/>
        <v>550</v>
      </c>
      <c r="CF385" s="77">
        <f t="shared" si="1177"/>
        <v>650</v>
      </c>
      <c r="CG385" s="77">
        <f t="shared" si="1178"/>
        <v>750</v>
      </c>
      <c r="CH385" s="77">
        <f t="shared" si="1179"/>
        <v>820</v>
      </c>
      <c r="CI385" s="77">
        <f t="shared" si="1180"/>
        <v>900</v>
      </c>
      <c r="CJ385" s="77">
        <f t="shared" si="1181"/>
        <v>980</v>
      </c>
      <c r="DM385" s="77">
        <f t="shared" si="1182"/>
        <v>452.38934211693021</v>
      </c>
      <c r="DN385" s="77">
        <f t="shared" si="1183"/>
        <v>326.72563597333851</v>
      </c>
      <c r="DO385" s="77">
        <f t="shared" si="1183"/>
        <v>326.72563597333851</v>
      </c>
      <c r="DP385" s="77">
        <f t="shared" si="1184"/>
        <v>100.53096491487338</v>
      </c>
      <c r="DQ385" s="77">
        <f t="shared" si="1184"/>
        <v>100.53096491487338</v>
      </c>
      <c r="DR385" s="77">
        <f t="shared" si="1185"/>
        <v>66.366144807084382</v>
      </c>
      <c r="DS385" s="77">
        <f t="shared" si="1185"/>
        <v>66.366144807084382</v>
      </c>
      <c r="DT385" s="77">
        <f t="shared" si="1186"/>
        <v>100.53096491487338</v>
      </c>
      <c r="DU385" s="77">
        <f t="shared" si="1186"/>
        <v>100.53096491487338</v>
      </c>
      <c r="DV385" s="77">
        <f t="shared" si="1187"/>
        <v>326.72563597333851</v>
      </c>
      <c r="DW385" s="77">
        <f t="shared" si="1187"/>
        <v>326.72563597333851</v>
      </c>
      <c r="DX385" s="77">
        <f t="shared" si="1188"/>
        <v>452.38934211693021</v>
      </c>
      <c r="FA385" s="77">
        <f t="shared" si="1113"/>
        <v>-208099.0973737879</v>
      </c>
      <c r="FB385" s="77">
        <f t="shared" si="1114"/>
        <v>-132761.04012603874</v>
      </c>
      <c r="FC385" s="77">
        <f t="shared" si="1189"/>
        <v>-66458.736432946986</v>
      </c>
      <c r="FD385" s="77">
        <f t="shared" si="1101"/>
        <v>-2598.2217543051406</v>
      </c>
      <c r="FE385" s="77">
        <f t="shared" si="1080"/>
        <v>22902.664281499376</v>
      </c>
      <c r="FF385" s="77">
        <f t="shared" si="1190"/>
        <v>27827.324517610483</v>
      </c>
      <c r="FG385" s="77">
        <f t="shared" si="1190"/>
        <v>27827.324517610483</v>
      </c>
      <c r="FH385" s="77">
        <f t="shared" si="1190"/>
        <v>42152.633588806406</v>
      </c>
      <c r="FI385" s="77">
        <f t="shared" si="1190"/>
        <v>42152.633588806406</v>
      </c>
      <c r="FJ385" s="77">
        <f t="shared" si="1191"/>
        <v>150293.79254773571</v>
      </c>
      <c r="FK385" s="77">
        <f t="shared" si="1191"/>
        <v>150293.79254773571</v>
      </c>
      <c r="FL385" s="77">
        <f t="shared" si="1191"/>
        <v>208099.0973737879</v>
      </c>
      <c r="GO385" s="77">
        <f t="shared" si="1038"/>
        <v>99887566.739418194</v>
      </c>
      <c r="GP385" s="77">
        <f t="shared" si="1039"/>
        <v>53104416.050415501</v>
      </c>
      <c r="GQ385" s="77">
        <f t="shared" si="1040"/>
        <v>21266795.658543035</v>
      </c>
      <c r="GR385" s="77">
        <f t="shared" si="1041"/>
        <v>649555.43857628515</v>
      </c>
      <c r="GS385" s="77">
        <f t="shared" si="1193"/>
        <v>-3435399.6422249065</v>
      </c>
      <c r="GT385" s="77">
        <f t="shared" si="1139"/>
        <v>-1391366.2258805241</v>
      </c>
      <c r="GU385" s="77">
        <f t="shared" si="1140"/>
        <v>1391366.2258805241</v>
      </c>
      <c r="GV385" s="77">
        <f t="shared" si="1192"/>
        <v>6322895.0383209605</v>
      </c>
      <c r="GW385" s="77">
        <f t="shared" si="1192"/>
        <v>10538158.397201601</v>
      </c>
      <c r="GX385" s="77">
        <f t="shared" si="1192"/>
        <v>48094013.615275428</v>
      </c>
      <c r="GY385" s="77">
        <f t="shared" si="1192"/>
        <v>60117517.019094281</v>
      </c>
      <c r="GZ385" s="77">
        <f t="shared" si="1192"/>
        <v>99887566.739418194</v>
      </c>
      <c r="IC385" s="82">
        <v>407</v>
      </c>
    </row>
    <row r="386" spans="1:237" s="77" customFormat="1">
      <c r="A386" s="77">
        <v>386</v>
      </c>
      <c r="C386" s="122" t="s">
        <v>411</v>
      </c>
      <c r="D386" s="122" t="s">
        <v>415</v>
      </c>
      <c r="E386" s="125">
        <v>2</v>
      </c>
      <c r="F386" s="125">
        <f t="shared" si="1072"/>
        <v>9.5952407605827517E-2</v>
      </c>
      <c r="G386" s="122">
        <v>5.7857142857142855E-3</v>
      </c>
      <c r="H386" s="122">
        <v>1.5928571428571427E-2</v>
      </c>
      <c r="I386" s="122">
        <f>(37.3+37.6)/2/AU386</f>
        <v>2.4966666666666668E-2</v>
      </c>
      <c r="J386" s="122">
        <f t="shared" si="1102"/>
        <v>1.5</v>
      </c>
      <c r="K386" s="125">
        <f t="shared" si="1089"/>
        <v>10</v>
      </c>
      <c r="L386" s="125">
        <f t="shared" si="1090"/>
        <v>4.1997442952506084E-2</v>
      </c>
      <c r="M386" s="125">
        <f t="shared" si="1091"/>
        <v>6.2378554973575216E-2</v>
      </c>
      <c r="N386" s="125">
        <f t="shared" si="1092"/>
        <v>0.18731797330023334</v>
      </c>
      <c r="O386" s="125">
        <f t="shared" si="1093"/>
        <v>2.6948296211019108E-2</v>
      </c>
      <c r="P386" s="122">
        <v>0.16</v>
      </c>
      <c r="Q386" s="122" t="s">
        <v>28</v>
      </c>
      <c r="R386" s="134">
        <f t="shared" si="1162"/>
        <v>0.5714285714285714</v>
      </c>
      <c r="S386" s="75">
        <f t="shared" si="1163"/>
        <v>0.79060824566782884</v>
      </c>
      <c r="T386" s="59">
        <f t="shared" si="1142"/>
        <v>0.70509937650944599</v>
      </c>
      <c r="U386" s="59">
        <f t="shared" si="1143"/>
        <v>1.1015233239915112</v>
      </c>
      <c r="V386" s="59">
        <f t="shared" si="1144"/>
        <v>0.76029589770131212</v>
      </c>
      <c r="W386" s="59">
        <f t="shared" si="1145"/>
        <v>1.0782819032759798</v>
      </c>
      <c r="X386" s="59">
        <f t="shared" si="1146"/>
        <v>0.69022224145584343</v>
      </c>
      <c r="Y386" s="127">
        <f>(910+914)/2*1000</f>
        <v>912000</v>
      </c>
      <c r="Z386" s="57">
        <f t="shared" si="1147"/>
        <v>629482.68420772918</v>
      </c>
      <c r="AA386" s="57">
        <f t="shared" si="1148"/>
        <v>983393.09578769351</v>
      </c>
      <c r="AB386" s="57">
        <f t="shared" si="1060"/>
        <v>894030.06062309328</v>
      </c>
      <c r="AC386" s="57">
        <f t="shared" si="1149"/>
        <v>0.25</v>
      </c>
      <c r="AD386" s="57">
        <f t="shared" si="1150"/>
        <v>1.5</v>
      </c>
      <c r="AE386" s="57">
        <f t="shared" si="1151"/>
        <v>1520753.92</v>
      </c>
      <c r="AF386" s="57">
        <f t="shared" si="1152"/>
        <v>226333.33153839019</v>
      </c>
      <c r="AG386" s="57">
        <f t="shared" si="1058"/>
        <v>757059.76424930338</v>
      </c>
      <c r="AH386" s="57">
        <f t="shared" si="1061"/>
        <v>972676321.2652359</v>
      </c>
      <c r="AI386" s="77">
        <f t="shared" si="1062"/>
        <v>368368769.66940397</v>
      </c>
      <c r="AJ386" s="77">
        <f t="shared" si="1164"/>
        <v>1520753.92</v>
      </c>
      <c r="AK386" s="77">
        <f>89.33*0.76</f>
        <v>67.890799999999999</v>
      </c>
      <c r="AL386" s="78">
        <f t="shared" si="1153"/>
        <v>4.6735363974580864</v>
      </c>
      <c r="AM386" s="57">
        <f t="shared" si="1154"/>
        <v>0.94</v>
      </c>
      <c r="AN386" s="57">
        <f t="shared" si="1155"/>
        <v>0.74</v>
      </c>
      <c r="AO386" s="77">
        <v>1000</v>
      </c>
      <c r="AP386" s="79">
        <v>200</v>
      </c>
      <c r="AQ386" s="57">
        <f t="shared" si="1156"/>
        <v>137.92174793993635</v>
      </c>
      <c r="AR386" s="57">
        <f t="shared" si="1063"/>
        <v>600</v>
      </c>
      <c r="AS386" s="57">
        <f t="shared" si="1157"/>
        <v>862.07825206006362</v>
      </c>
      <c r="AT386" s="77">
        <v>100</v>
      </c>
      <c r="AU386" s="77">
        <v>1500</v>
      </c>
      <c r="AV386" s="57">
        <f t="shared" si="1158"/>
        <v>60000</v>
      </c>
      <c r="AW386" s="77">
        <f t="shared" si="1165"/>
        <v>80000</v>
      </c>
      <c r="AX386" s="77">
        <f t="shared" si="1159"/>
        <v>100000</v>
      </c>
      <c r="AY386" s="77">
        <f t="shared" si="1166"/>
        <v>140000</v>
      </c>
      <c r="AZ386" s="77">
        <f t="shared" si="1141"/>
        <v>419.3</v>
      </c>
      <c r="BA386" s="77">
        <v>419.3</v>
      </c>
      <c r="BB386" s="77">
        <v>460</v>
      </c>
      <c r="BC386" s="77">
        <v>419.3</v>
      </c>
      <c r="BD386" s="77">
        <v>6.7999999999999996E-3</v>
      </c>
      <c r="BE386" s="77">
        <v>1.01E-2</v>
      </c>
      <c r="BF386" s="77">
        <f t="shared" si="1167"/>
        <v>2.7646015351590177E-2</v>
      </c>
      <c r="BG386" s="77">
        <f>(2*PI()*5*5)/(4*45*200)</f>
        <v>4.3633231299858239E-3</v>
      </c>
      <c r="BH386" s="79">
        <v>60</v>
      </c>
      <c r="BI386" s="79">
        <f t="shared" si="1168"/>
        <v>78.539816339744831</v>
      </c>
      <c r="BJ386" s="79">
        <v>2</v>
      </c>
      <c r="BK386" s="57">
        <f t="shared" si="1059"/>
        <v>157.07963267948966</v>
      </c>
      <c r="BL386" s="57">
        <f t="shared" si="1018"/>
        <v>408</v>
      </c>
      <c r="BM386" s="80">
        <f t="shared" si="1169"/>
        <v>1105.8406140636071</v>
      </c>
      <c r="BN386" s="80">
        <v>1</v>
      </c>
      <c r="BO386" s="57">
        <f t="shared" si="1065"/>
        <v>1105.8406140636071</v>
      </c>
      <c r="BP386" s="57">
        <f t="shared" si="1160"/>
        <v>693389.85870359663</v>
      </c>
      <c r="BQ386" s="77">
        <f t="shared" si="1161"/>
        <v>8.7311491370201111E-10</v>
      </c>
      <c r="BR386" s="57">
        <f t="shared" si="1022"/>
        <v>1040084788.0553949</v>
      </c>
      <c r="BS386" s="57">
        <v>275.84349587987271</v>
      </c>
      <c r="BT386" s="57">
        <f t="shared" si="1170"/>
        <v>501.34507751668275</v>
      </c>
      <c r="BU386" s="57" t="e">
        <f>IF(BS386/AS386&gt;#REF!,1,0)</f>
        <v>#REF!</v>
      </c>
      <c r="BV386" s="57">
        <v>3.3E-3</v>
      </c>
      <c r="BW386" s="57">
        <v>30000</v>
      </c>
      <c r="BX386" s="57">
        <v>200000</v>
      </c>
      <c r="BY386" s="77">
        <f>20</f>
        <v>20</v>
      </c>
      <c r="BZ386" s="77">
        <f t="shared" si="1171"/>
        <v>100</v>
      </c>
      <c r="CA386" s="77">
        <f t="shared" si="1172"/>
        <v>180</v>
      </c>
      <c r="CB386" s="77">
        <f t="shared" si="1173"/>
        <v>250</v>
      </c>
      <c r="CC386" s="77">
        <f t="shared" si="1174"/>
        <v>350</v>
      </c>
      <c r="CD386" s="77">
        <f t="shared" si="1175"/>
        <v>450</v>
      </c>
      <c r="CE386" s="77">
        <f t="shared" si="1176"/>
        <v>550</v>
      </c>
      <c r="CF386" s="77">
        <f t="shared" si="1177"/>
        <v>650</v>
      </c>
      <c r="CG386" s="77">
        <f t="shared" si="1178"/>
        <v>750</v>
      </c>
      <c r="CH386" s="77">
        <f t="shared" si="1179"/>
        <v>820</v>
      </c>
      <c r="CI386" s="77">
        <f t="shared" si="1180"/>
        <v>900</v>
      </c>
      <c r="CJ386" s="77">
        <f t="shared" si="1181"/>
        <v>980</v>
      </c>
      <c r="DM386" s="77">
        <f t="shared" si="1182"/>
        <v>452.38934211693021</v>
      </c>
      <c r="DN386" s="77">
        <f t="shared" si="1183"/>
        <v>326.72563597333851</v>
      </c>
      <c r="DO386" s="77">
        <f t="shared" si="1183"/>
        <v>326.72563597333851</v>
      </c>
      <c r="DP386" s="77">
        <f t="shared" si="1184"/>
        <v>100.53096491487338</v>
      </c>
      <c r="DQ386" s="77">
        <f t="shared" si="1184"/>
        <v>100.53096491487338</v>
      </c>
      <c r="DR386" s="77">
        <f t="shared" si="1185"/>
        <v>66.366144807084382</v>
      </c>
      <c r="DS386" s="77">
        <f t="shared" si="1185"/>
        <v>66.366144807084382</v>
      </c>
      <c r="DT386" s="77">
        <f t="shared" si="1186"/>
        <v>100.53096491487338</v>
      </c>
      <c r="DU386" s="77">
        <f t="shared" si="1186"/>
        <v>100.53096491487338</v>
      </c>
      <c r="DV386" s="77">
        <f t="shared" si="1187"/>
        <v>326.72563597333851</v>
      </c>
      <c r="DW386" s="77">
        <f t="shared" si="1187"/>
        <v>326.72563597333851</v>
      </c>
      <c r="DX386" s="77">
        <f t="shared" si="1188"/>
        <v>452.38934211693021</v>
      </c>
      <c r="FA386" s="77">
        <f t="shared" si="1113"/>
        <v>-208099.0973737879</v>
      </c>
      <c r="FB386" s="77">
        <f t="shared" si="1114"/>
        <v>-137464.54805581769</v>
      </c>
      <c r="FC386" s="77">
        <f t="shared" si="1189"/>
        <v>-74925.050706549155</v>
      </c>
      <c r="FD386" s="77">
        <f t="shared" si="1101"/>
        <v>-6216.3047772120462</v>
      </c>
      <c r="FE386" s="77">
        <f t="shared" si="1080"/>
        <v>17837.348049429707</v>
      </c>
      <c r="FF386" s="77">
        <f t="shared" si="1190"/>
        <v>27654.60604709405</v>
      </c>
      <c r="FG386" s="77">
        <f t="shared" si="1190"/>
        <v>27827.324517610483</v>
      </c>
      <c r="FH386" s="77">
        <f t="shared" si="1190"/>
        <v>42152.633588806406</v>
      </c>
      <c r="FI386" s="77">
        <f t="shared" si="1190"/>
        <v>42152.633588806406</v>
      </c>
      <c r="FJ386" s="77">
        <f t="shared" si="1191"/>
        <v>150293.79254773571</v>
      </c>
      <c r="FK386" s="77">
        <f t="shared" si="1191"/>
        <v>150293.79254773571</v>
      </c>
      <c r="FL386" s="77">
        <f t="shared" si="1191"/>
        <v>208099.0973737879</v>
      </c>
      <c r="GO386" s="77">
        <f t="shared" si="1038"/>
        <v>99887566.739418194</v>
      </c>
      <c r="GP386" s="77">
        <f t="shared" si="1039"/>
        <v>54985819.222327076</v>
      </c>
      <c r="GQ386" s="77">
        <f t="shared" si="1040"/>
        <v>23976016.226095729</v>
      </c>
      <c r="GR386" s="77">
        <f t="shared" si="1041"/>
        <v>1554076.1943030115</v>
      </c>
      <c r="GS386" s="77">
        <f t="shared" si="1193"/>
        <v>-2675602.2074144562</v>
      </c>
      <c r="GT386" s="77">
        <f t="shared" si="1139"/>
        <v>-1382730.3023547025</v>
      </c>
      <c r="GU386" s="77">
        <f t="shared" si="1140"/>
        <v>1391366.2258805241</v>
      </c>
      <c r="GV386" s="77">
        <f t="shared" si="1192"/>
        <v>6322895.0383209605</v>
      </c>
      <c r="GW386" s="77">
        <f t="shared" si="1192"/>
        <v>10538158.397201601</v>
      </c>
      <c r="GX386" s="77">
        <f t="shared" si="1192"/>
        <v>48094013.615275428</v>
      </c>
      <c r="GY386" s="77">
        <f t="shared" si="1192"/>
        <v>60117517.019094281</v>
      </c>
      <c r="GZ386" s="77">
        <f t="shared" si="1192"/>
        <v>99887566.739418194</v>
      </c>
      <c r="IC386" s="82">
        <v>408</v>
      </c>
    </row>
    <row r="387" spans="1:237" s="77" customFormat="1">
      <c r="A387" s="77">
        <v>387</v>
      </c>
      <c r="C387" s="122" t="s">
        <v>411</v>
      </c>
      <c r="D387" s="122" t="s">
        <v>416</v>
      </c>
      <c r="E387" s="125">
        <v>2</v>
      </c>
      <c r="F387" s="125">
        <f t="shared" si="1072"/>
        <v>0.10947462036480454</v>
      </c>
      <c r="G387" s="122">
        <v>8.3333333333333332E-3</v>
      </c>
      <c r="H387" s="122">
        <v>2.7666666666666666E-2</v>
      </c>
      <c r="I387" s="122">
        <f>(30.6+30.2)/2/AU387</f>
        <v>3.04E-2</v>
      </c>
      <c r="J387" s="122">
        <f t="shared" si="1102"/>
        <v>1</v>
      </c>
      <c r="K387" s="125">
        <f t="shared" si="1089"/>
        <v>10</v>
      </c>
      <c r="L387" s="125">
        <f t="shared" si="1090"/>
        <v>4.7602808627072273E-2</v>
      </c>
      <c r="M387" s="125">
        <f t="shared" si="1091"/>
        <v>9.4603050056333488E-2</v>
      </c>
      <c r="N387" s="125">
        <f t="shared" si="1092"/>
        <v>0.1827557290837685</v>
      </c>
      <c r="O387" s="125">
        <f t="shared" si="1093"/>
        <v>2.6291953915796602E-2</v>
      </c>
      <c r="P387" s="122">
        <v>0.16</v>
      </c>
      <c r="Q387" s="122" t="s">
        <v>28</v>
      </c>
      <c r="R387" s="134">
        <f t="shared" si="1162"/>
        <v>0.5714285714285714</v>
      </c>
      <c r="S387" s="75">
        <f t="shared" si="1163"/>
        <v>0.91321520941539303</v>
      </c>
      <c r="T387" s="59">
        <f t="shared" si="1142"/>
        <v>1.0678485987642237</v>
      </c>
      <c r="U387" s="59">
        <f t="shared" si="1143"/>
        <v>1.216621311034757</v>
      </c>
      <c r="V387" s="59">
        <f t="shared" si="1144"/>
        <v>0.98886382308911247</v>
      </c>
      <c r="W387" s="59">
        <f t="shared" si="1145"/>
        <v>0.92603373196676297</v>
      </c>
      <c r="X387" s="59">
        <f t="shared" si="1146"/>
        <v>0.81279508596480776</v>
      </c>
      <c r="Y387" s="127">
        <f>(1078+1055)/2*1000</f>
        <v>1066500</v>
      </c>
      <c r="Z387" s="57">
        <f t="shared" si="1147"/>
        <v>866845.95918146754</v>
      </c>
      <c r="AA387" s="57">
        <f t="shared" si="1148"/>
        <v>987614.97514255275</v>
      </c>
      <c r="AB387" s="57">
        <f t="shared" ref="AB387:AB418" si="1194">(AH387+AI387)/AU387</f>
        <v>1366185.7974692672</v>
      </c>
      <c r="AC387" s="57">
        <f t="shared" si="1149"/>
        <v>0.25</v>
      </c>
      <c r="AD387" s="57">
        <f t="shared" si="1150"/>
        <v>1.5</v>
      </c>
      <c r="AE387" s="57">
        <f t="shared" si="1151"/>
        <v>1558717.4399999999</v>
      </c>
      <c r="AF387" s="57">
        <f t="shared" si="1152"/>
        <v>230230.76739425934</v>
      </c>
      <c r="AG387" s="57">
        <f t="shared" si="1058"/>
        <v>757384.20774829341</v>
      </c>
      <c r="AH387" s="57">
        <f t="shared" ref="AH387:AH418" si="1195">AM387*AK387*AT387*AP387*(AS387-0.5*AP387)</f>
        <v>997441159.2711978</v>
      </c>
      <c r="AI387" s="77">
        <f t="shared" ref="AI387:AI418" si="1196">BB387*BO387*(AS387-AQ387)</f>
        <v>368744638.19806933</v>
      </c>
      <c r="AJ387" s="77">
        <f t="shared" si="1164"/>
        <v>1558717.4399999999</v>
      </c>
      <c r="AK387" s="77">
        <f>91.56*0.76</f>
        <v>69.585599999999999</v>
      </c>
      <c r="AL387" s="78">
        <f t="shared" si="1153"/>
        <v>4.7373478709275245</v>
      </c>
      <c r="AM387" s="57">
        <f t="shared" si="1154"/>
        <v>0.94</v>
      </c>
      <c r="AN387" s="57">
        <f t="shared" si="1155"/>
        <v>0.74</v>
      </c>
      <c r="AO387" s="77">
        <v>1000</v>
      </c>
      <c r="AP387" s="79">
        <v>200</v>
      </c>
      <c r="AQ387" s="57">
        <f t="shared" si="1156"/>
        <v>137.55229799990576</v>
      </c>
      <c r="AR387" s="57">
        <f t="shared" ref="AR387:AR418" si="1197">AO387-2*AP387</f>
        <v>600</v>
      </c>
      <c r="AS387" s="57">
        <f t="shared" si="1157"/>
        <v>862.4477020000943</v>
      </c>
      <c r="AT387" s="77">
        <v>100</v>
      </c>
      <c r="AU387" s="77">
        <v>1000</v>
      </c>
      <c r="AV387" s="57">
        <f t="shared" si="1158"/>
        <v>60000</v>
      </c>
      <c r="AW387" s="77">
        <f t="shared" si="1165"/>
        <v>80000</v>
      </c>
      <c r="AX387" s="77">
        <f t="shared" si="1159"/>
        <v>100000</v>
      </c>
      <c r="AY387" s="77">
        <f t="shared" si="1166"/>
        <v>140000</v>
      </c>
      <c r="AZ387" s="77">
        <f t="shared" si="1141"/>
        <v>419.3</v>
      </c>
      <c r="BA387" s="77">
        <v>419.3</v>
      </c>
      <c r="BB387" s="77">
        <v>460</v>
      </c>
      <c r="BC387" s="77">
        <v>419.3</v>
      </c>
      <c r="BD387" s="77">
        <v>7.9000000000000008E-3</v>
      </c>
      <c r="BE387" s="77">
        <v>1.5699999999999999E-2</v>
      </c>
      <c r="BF387" s="77">
        <f t="shared" si="1167"/>
        <v>2.7646015351590177E-2</v>
      </c>
      <c r="BG387" s="77">
        <f>(2*PI()*5*5)/(4*45*200)</f>
        <v>4.3633231299858239E-3</v>
      </c>
      <c r="BH387" s="79">
        <v>60</v>
      </c>
      <c r="BI387" s="79">
        <f t="shared" si="1168"/>
        <v>78.539816339744831</v>
      </c>
      <c r="BJ387" s="79">
        <v>2</v>
      </c>
      <c r="BK387" s="57">
        <f t="shared" si="1059"/>
        <v>157.07963267948966</v>
      </c>
      <c r="BL387" s="57">
        <f t="shared" si="1018"/>
        <v>474</v>
      </c>
      <c r="BM387" s="80">
        <f t="shared" si="1169"/>
        <v>1105.8406140636071</v>
      </c>
      <c r="BN387" s="80">
        <v>1</v>
      </c>
      <c r="BO387" s="57">
        <f t="shared" ref="BO387:BO418" si="1198">BM387*BN387</f>
        <v>1105.8406140636071</v>
      </c>
      <c r="BP387" s="57">
        <f t="shared" si="1160"/>
        <v>1054623.2673245384</v>
      </c>
      <c r="BQ387" s="77">
        <f t="shared" si="1161"/>
        <v>0</v>
      </c>
      <c r="BR387" s="57">
        <f t="shared" si="1022"/>
        <v>1054623267.3245384</v>
      </c>
      <c r="BS387" s="57">
        <v>275.10459599981152</v>
      </c>
      <c r="BT387" s="57">
        <f t="shared" si="1170"/>
        <v>517.09117019596965</v>
      </c>
      <c r="BU387" s="57" t="e">
        <f>IF(BS387/AS387&gt;#REF!,1,0)</f>
        <v>#REF!</v>
      </c>
      <c r="BV387" s="57">
        <v>3.3E-3</v>
      </c>
      <c r="BW387" s="57">
        <v>30000</v>
      </c>
      <c r="BX387" s="57">
        <v>200000</v>
      </c>
      <c r="BY387" s="77">
        <f>20</f>
        <v>20</v>
      </c>
      <c r="BZ387" s="77">
        <f t="shared" si="1171"/>
        <v>100</v>
      </c>
      <c r="CA387" s="77">
        <f t="shared" si="1172"/>
        <v>180</v>
      </c>
      <c r="CB387" s="77">
        <f t="shared" si="1173"/>
        <v>250</v>
      </c>
      <c r="CC387" s="77">
        <f t="shared" si="1174"/>
        <v>350</v>
      </c>
      <c r="CD387" s="77">
        <f t="shared" si="1175"/>
        <v>450</v>
      </c>
      <c r="CE387" s="77">
        <f t="shared" si="1176"/>
        <v>550</v>
      </c>
      <c r="CF387" s="77">
        <f t="shared" si="1177"/>
        <v>650</v>
      </c>
      <c r="CG387" s="77">
        <f t="shared" si="1178"/>
        <v>750</v>
      </c>
      <c r="CH387" s="77">
        <f t="shared" si="1179"/>
        <v>820</v>
      </c>
      <c r="CI387" s="77">
        <f t="shared" si="1180"/>
        <v>900</v>
      </c>
      <c r="CJ387" s="77">
        <f t="shared" si="1181"/>
        <v>980</v>
      </c>
      <c r="DM387" s="77">
        <f t="shared" si="1182"/>
        <v>452.38934211693021</v>
      </c>
      <c r="DN387" s="77">
        <f t="shared" si="1183"/>
        <v>326.72563597333851</v>
      </c>
      <c r="DO387" s="77">
        <f t="shared" si="1183"/>
        <v>326.72563597333851</v>
      </c>
      <c r="DP387" s="77">
        <f t="shared" si="1184"/>
        <v>100.53096491487338</v>
      </c>
      <c r="DQ387" s="77">
        <f t="shared" si="1184"/>
        <v>100.53096491487338</v>
      </c>
      <c r="DR387" s="77">
        <f t="shared" si="1185"/>
        <v>66.366144807084382</v>
      </c>
      <c r="DS387" s="77">
        <f t="shared" si="1185"/>
        <v>66.366144807084382</v>
      </c>
      <c r="DT387" s="77">
        <f t="shared" si="1186"/>
        <v>100.53096491487338</v>
      </c>
      <c r="DU387" s="77">
        <f t="shared" si="1186"/>
        <v>100.53096491487338</v>
      </c>
      <c r="DV387" s="77">
        <f t="shared" si="1187"/>
        <v>326.72563597333851</v>
      </c>
      <c r="DW387" s="77">
        <f t="shared" si="1187"/>
        <v>326.72563597333851</v>
      </c>
      <c r="DX387" s="77">
        <f t="shared" si="1188"/>
        <v>452.38934211693021</v>
      </c>
      <c r="FA387" s="77">
        <f t="shared" si="1113"/>
        <v>-208099.0973737879</v>
      </c>
      <c r="FB387" s="77">
        <f t="shared" si="1114"/>
        <v>-137254.58052091286</v>
      </c>
      <c r="FC387" s="77">
        <f t="shared" si="1189"/>
        <v>-74547.109143720416</v>
      </c>
      <c r="FD387" s="77">
        <f t="shared" si="1101"/>
        <v>-6054.7912888236951</v>
      </c>
      <c r="FE387" s="77">
        <f t="shared" si="1080"/>
        <v>18063.466933173397</v>
      </c>
      <c r="FF387" s="77">
        <f t="shared" si="1190"/>
        <v>27827.324517610483</v>
      </c>
      <c r="FG387" s="77">
        <f t="shared" si="1190"/>
        <v>27827.324517610483</v>
      </c>
      <c r="FH387" s="77">
        <f t="shared" si="1190"/>
        <v>42152.633588806406</v>
      </c>
      <c r="FI387" s="77">
        <f t="shared" si="1190"/>
        <v>42152.633588806406</v>
      </c>
      <c r="FJ387" s="77">
        <f t="shared" si="1191"/>
        <v>150293.79254773571</v>
      </c>
      <c r="FK387" s="77">
        <f t="shared" si="1191"/>
        <v>150293.79254773571</v>
      </c>
      <c r="FL387" s="77">
        <f t="shared" si="1191"/>
        <v>208099.0973737879</v>
      </c>
      <c r="GO387" s="77">
        <f t="shared" si="1038"/>
        <v>99887566.739418194</v>
      </c>
      <c r="GP387" s="77">
        <f t="shared" si="1039"/>
        <v>54901832.208365142</v>
      </c>
      <c r="GQ387" s="77">
        <f t="shared" si="1040"/>
        <v>23855074.925990533</v>
      </c>
      <c r="GR387" s="77">
        <f t="shared" si="1041"/>
        <v>1513697.8222059237</v>
      </c>
      <c r="GS387" s="77">
        <f t="shared" si="1193"/>
        <v>-2709520.0399760096</v>
      </c>
      <c r="GT387" s="77">
        <f t="shared" si="1139"/>
        <v>-1391366.2258805241</v>
      </c>
      <c r="GU387" s="77">
        <f t="shared" si="1140"/>
        <v>1391366.2258805241</v>
      </c>
      <c r="GV387" s="77">
        <f t="shared" si="1192"/>
        <v>6322895.0383209605</v>
      </c>
      <c r="GW387" s="77">
        <f t="shared" si="1192"/>
        <v>10538158.397201601</v>
      </c>
      <c r="GX387" s="77">
        <f t="shared" si="1192"/>
        <v>48094013.615275428</v>
      </c>
      <c r="GY387" s="77">
        <f t="shared" si="1192"/>
        <v>60117517.019094281</v>
      </c>
      <c r="GZ387" s="77">
        <f t="shared" si="1192"/>
        <v>99887566.739418194</v>
      </c>
      <c r="IC387" s="82">
        <v>409</v>
      </c>
    </row>
    <row r="388" spans="1:237" s="77" customFormat="1">
      <c r="A388" s="77">
        <v>388</v>
      </c>
      <c r="C388" s="122" t="s">
        <v>411</v>
      </c>
      <c r="D388" s="122" t="s">
        <v>417</v>
      </c>
      <c r="E388" s="125">
        <v>2</v>
      </c>
      <c r="F388" s="125">
        <f t="shared" ref="F388:F419" si="1199">Y388/AY388/AK388</f>
        <v>0.10819151417206187</v>
      </c>
      <c r="G388" s="122">
        <v>1.1000000000000001E-2</v>
      </c>
      <c r="H388" s="122">
        <v>2.0333333333333335E-2</v>
      </c>
      <c r="I388" s="122">
        <f>(36+24.8)/2/AU388</f>
        <v>3.04E-2</v>
      </c>
      <c r="J388" s="122">
        <f t="shared" si="1102"/>
        <v>1</v>
      </c>
      <c r="K388" s="125">
        <f t="shared" si="1089"/>
        <v>10</v>
      </c>
      <c r="L388" s="125">
        <f t="shared" si="1090"/>
        <v>4.0974569451150807E-2</v>
      </c>
      <c r="M388" s="125">
        <f t="shared" si="1091"/>
        <v>5.4833615000804768E-2</v>
      </c>
      <c r="N388" s="125">
        <f t="shared" si="1092"/>
        <v>0.1827557290837685</v>
      </c>
      <c r="O388" s="125">
        <f t="shared" si="1093"/>
        <v>2.1511598658379039E-2</v>
      </c>
      <c r="P388" s="122">
        <v>0.16</v>
      </c>
      <c r="Q388" s="122" t="s">
        <v>28</v>
      </c>
      <c r="R388" s="134">
        <f t="shared" si="1162"/>
        <v>0.5714285714285714</v>
      </c>
      <c r="S388" s="75">
        <f t="shared" si="1163"/>
        <v>0.90251179627175271</v>
      </c>
      <c r="T388" s="59">
        <f t="shared" si="1142"/>
        <v>1.0678485987642237</v>
      </c>
      <c r="U388" s="59">
        <f t="shared" si="1143"/>
        <v>1.7871700439143288</v>
      </c>
      <c r="V388" s="59">
        <f t="shared" si="1144"/>
        <v>1.0005913352225222</v>
      </c>
      <c r="W388" s="59">
        <f t="shared" si="1145"/>
        <v>0.93701610544834224</v>
      </c>
      <c r="X388" s="59">
        <f t="shared" si="1146"/>
        <v>0.55987472408108885</v>
      </c>
      <c r="Y388" s="127">
        <f>(1066+1042)/2*1000</f>
        <v>1054000</v>
      </c>
      <c r="Z388" s="57">
        <f t="shared" si="1147"/>
        <v>590107.95918146765</v>
      </c>
      <c r="AA388" s="57">
        <f t="shared" si="1148"/>
        <v>987614.97514255275</v>
      </c>
      <c r="AB388" s="57">
        <f t="shared" si="1194"/>
        <v>1366185.7974692672</v>
      </c>
      <c r="AC388" s="57">
        <f t="shared" si="1149"/>
        <v>0.25</v>
      </c>
      <c r="AD388" s="57">
        <f t="shared" si="1150"/>
        <v>1.5</v>
      </c>
      <c r="AE388" s="57">
        <f t="shared" si="1151"/>
        <v>1558717.4399999999</v>
      </c>
      <c r="AF388" s="57">
        <f t="shared" si="1152"/>
        <v>230230.76739425934</v>
      </c>
      <c r="AG388" s="57">
        <f t="shared" si="1058"/>
        <v>757384.20774829341</v>
      </c>
      <c r="AH388" s="57">
        <f t="shared" si="1195"/>
        <v>997441159.2711978</v>
      </c>
      <c r="AI388" s="77">
        <f t="shared" si="1196"/>
        <v>368744638.19806933</v>
      </c>
      <c r="AJ388" s="77">
        <f t="shared" si="1164"/>
        <v>1558717.4399999999</v>
      </c>
      <c r="AK388" s="77">
        <f>91.56*0.76</f>
        <v>69.585599999999999</v>
      </c>
      <c r="AL388" s="78">
        <f t="shared" si="1153"/>
        <v>4.7373478709275245</v>
      </c>
      <c r="AM388" s="57">
        <f t="shared" si="1154"/>
        <v>0.94</v>
      </c>
      <c r="AN388" s="57">
        <f t="shared" si="1155"/>
        <v>0.74</v>
      </c>
      <c r="AO388" s="77">
        <v>1000</v>
      </c>
      <c r="AP388" s="79">
        <v>200</v>
      </c>
      <c r="AQ388" s="57">
        <f t="shared" si="1156"/>
        <v>137.55229799990576</v>
      </c>
      <c r="AR388" s="57">
        <f t="shared" si="1197"/>
        <v>600</v>
      </c>
      <c r="AS388" s="57">
        <f t="shared" si="1157"/>
        <v>862.4477020000943</v>
      </c>
      <c r="AT388" s="77">
        <v>100</v>
      </c>
      <c r="AU388" s="77">
        <v>1000</v>
      </c>
      <c r="AV388" s="57">
        <f t="shared" si="1158"/>
        <v>60000</v>
      </c>
      <c r="AW388" s="77">
        <f t="shared" si="1165"/>
        <v>80000</v>
      </c>
      <c r="AX388" s="77">
        <f t="shared" si="1159"/>
        <v>100000</v>
      </c>
      <c r="AY388" s="77">
        <f t="shared" si="1166"/>
        <v>140000</v>
      </c>
      <c r="AZ388" s="77">
        <f t="shared" si="1141"/>
        <v>419.3</v>
      </c>
      <c r="BA388" s="77">
        <v>419.3</v>
      </c>
      <c r="BB388" s="77">
        <v>460</v>
      </c>
      <c r="BC388" s="77">
        <v>419.3</v>
      </c>
      <c r="BD388" s="77">
        <v>6.7999999999999996E-3</v>
      </c>
      <c r="BE388" s="77">
        <v>9.1000000000000004E-3</v>
      </c>
      <c r="BF388" s="77">
        <f t="shared" si="1167"/>
        <v>2.7646015351590177E-2</v>
      </c>
      <c r="BG388" s="77">
        <f>(2*PI()*5*5)/(4*55*200)</f>
        <v>3.5699916518065833E-3</v>
      </c>
      <c r="BH388" s="79">
        <v>60</v>
      </c>
      <c r="BI388" s="79">
        <f t="shared" si="1168"/>
        <v>78.539816339744831</v>
      </c>
      <c r="BJ388" s="79">
        <v>2</v>
      </c>
      <c r="BK388" s="57">
        <f t="shared" si="1059"/>
        <v>157.07963267948966</v>
      </c>
      <c r="BL388" s="57">
        <f t="shared" si="1018"/>
        <v>408</v>
      </c>
      <c r="BM388" s="80">
        <f t="shared" si="1169"/>
        <v>1105.8406140636071</v>
      </c>
      <c r="BN388" s="80">
        <v>1</v>
      </c>
      <c r="BO388" s="57">
        <f t="shared" si="1198"/>
        <v>1105.8406140636071</v>
      </c>
      <c r="BP388" s="57">
        <f t="shared" si="1160"/>
        <v>1054623.2673245384</v>
      </c>
      <c r="BQ388" s="77">
        <f t="shared" si="1161"/>
        <v>0</v>
      </c>
      <c r="BR388" s="57">
        <f t="shared" si="1022"/>
        <v>1054623267.3245384</v>
      </c>
      <c r="BS388" s="57">
        <v>275.10459599981152</v>
      </c>
      <c r="BT388" s="57">
        <f t="shared" si="1170"/>
        <v>511.45030760752883</v>
      </c>
      <c r="BU388" s="57" t="e">
        <f>IF(BS388/AS388&gt;#REF!,1,0)</f>
        <v>#REF!</v>
      </c>
      <c r="BV388" s="57">
        <v>3.3E-3</v>
      </c>
      <c r="BW388" s="57">
        <v>30000</v>
      </c>
      <c r="BX388" s="57">
        <v>200000</v>
      </c>
      <c r="BY388" s="77">
        <f>20</f>
        <v>20</v>
      </c>
      <c r="BZ388" s="77">
        <f t="shared" si="1171"/>
        <v>100</v>
      </c>
      <c r="CA388" s="77">
        <f t="shared" si="1172"/>
        <v>180</v>
      </c>
      <c r="CB388" s="77">
        <f t="shared" si="1173"/>
        <v>250</v>
      </c>
      <c r="CC388" s="77">
        <f t="shared" si="1174"/>
        <v>350</v>
      </c>
      <c r="CD388" s="77">
        <f t="shared" si="1175"/>
        <v>450</v>
      </c>
      <c r="CE388" s="77">
        <f t="shared" si="1176"/>
        <v>550</v>
      </c>
      <c r="CF388" s="77">
        <f t="shared" si="1177"/>
        <v>650</v>
      </c>
      <c r="CG388" s="77">
        <f t="shared" si="1178"/>
        <v>750</v>
      </c>
      <c r="CH388" s="77">
        <f t="shared" si="1179"/>
        <v>820</v>
      </c>
      <c r="CI388" s="77">
        <f t="shared" si="1180"/>
        <v>900</v>
      </c>
      <c r="CJ388" s="77">
        <f t="shared" si="1181"/>
        <v>980</v>
      </c>
      <c r="DM388" s="77">
        <f t="shared" si="1182"/>
        <v>452.38934211693021</v>
      </c>
      <c r="DN388" s="77">
        <f t="shared" si="1183"/>
        <v>326.72563597333851</v>
      </c>
      <c r="DO388" s="77">
        <f t="shared" si="1183"/>
        <v>326.72563597333851</v>
      </c>
      <c r="DP388" s="77">
        <f t="shared" si="1184"/>
        <v>100.53096491487338</v>
      </c>
      <c r="DQ388" s="77">
        <f t="shared" si="1184"/>
        <v>100.53096491487338</v>
      </c>
      <c r="DR388" s="77">
        <f t="shared" si="1185"/>
        <v>66.366144807084382</v>
      </c>
      <c r="DS388" s="77">
        <f t="shared" si="1185"/>
        <v>66.366144807084382</v>
      </c>
      <c r="DT388" s="77">
        <f t="shared" si="1186"/>
        <v>100.53096491487338</v>
      </c>
      <c r="DU388" s="77">
        <f t="shared" si="1186"/>
        <v>100.53096491487338</v>
      </c>
      <c r="DV388" s="77">
        <f t="shared" si="1187"/>
        <v>326.72563597333851</v>
      </c>
      <c r="DW388" s="77">
        <f t="shared" si="1187"/>
        <v>326.72563597333851</v>
      </c>
      <c r="DX388" s="77">
        <f t="shared" si="1188"/>
        <v>452.38934211693021</v>
      </c>
      <c r="FA388" s="77">
        <f t="shared" si="1113"/>
        <v>-208099.0973737879</v>
      </c>
      <c r="FB388" s="77">
        <f t="shared" si="1114"/>
        <v>-137254.58052091286</v>
      </c>
      <c r="FC388" s="77">
        <f t="shared" si="1189"/>
        <v>-74547.109143720416</v>
      </c>
      <c r="FD388" s="77">
        <f t="shared" si="1101"/>
        <v>-6054.7912888236951</v>
      </c>
      <c r="FE388" s="77">
        <f t="shared" si="1080"/>
        <v>18063.466933173397</v>
      </c>
      <c r="FF388" s="77">
        <f t="shared" si="1190"/>
        <v>27827.324517610483</v>
      </c>
      <c r="FG388" s="77">
        <f t="shared" si="1190"/>
        <v>27827.324517610483</v>
      </c>
      <c r="FH388" s="77">
        <f t="shared" si="1190"/>
        <v>42152.633588806406</v>
      </c>
      <c r="FI388" s="77">
        <f t="shared" si="1190"/>
        <v>42152.633588806406</v>
      </c>
      <c r="FJ388" s="77">
        <f t="shared" si="1191"/>
        <v>150293.79254773571</v>
      </c>
      <c r="FK388" s="77">
        <f t="shared" si="1191"/>
        <v>150293.79254773571</v>
      </c>
      <c r="FL388" s="77">
        <f t="shared" si="1191"/>
        <v>208099.0973737879</v>
      </c>
      <c r="GO388" s="77">
        <f t="shared" si="1038"/>
        <v>99887566.739418194</v>
      </c>
      <c r="GP388" s="77">
        <f t="shared" si="1039"/>
        <v>54901832.208365142</v>
      </c>
      <c r="GQ388" s="77">
        <f t="shared" si="1040"/>
        <v>23855074.925990533</v>
      </c>
      <c r="GR388" s="77">
        <f t="shared" si="1041"/>
        <v>1513697.8222059237</v>
      </c>
      <c r="GS388" s="77">
        <f t="shared" si="1193"/>
        <v>-2709520.0399760096</v>
      </c>
      <c r="GT388" s="77">
        <f t="shared" si="1139"/>
        <v>-1391366.2258805241</v>
      </c>
      <c r="GU388" s="77">
        <f t="shared" si="1140"/>
        <v>1391366.2258805241</v>
      </c>
      <c r="GV388" s="77">
        <f t="shared" si="1192"/>
        <v>6322895.0383209605</v>
      </c>
      <c r="GW388" s="77">
        <f t="shared" si="1192"/>
        <v>10538158.397201601</v>
      </c>
      <c r="GX388" s="77">
        <f t="shared" si="1192"/>
        <v>48094013.615275428</v>
      </c>
      <c r="GY388" s="77">
        <f t="shared" si="1192"/>
        <v>60117517.019094281</v>
      </c>
      <c r="GZ388" s="77">
        <f t="shared" si="1192"/>
        <v>99887566.739418194</v>
      </c>
      <c r="IC388" s="82">
        <v>410</v>
      </c>
    </row>
    <row r="389" spans="1:237" s="77" customFormat="1">
      <c r="A389" s="77">
        <v>389</v>
      </c>
      <c r="C389" s="122" t="s">
        <v>418</v>
      </c>
      <c r="D389" s="122" t="s">
        <v>419</v>
      </c>
      <c r="E389" s="125">
        <v>3</v>
      </c>
      <c r="F389" s="125">
        <f t="shared" si="1199"/>
        <v>9.2824654228162995E-2</v>
      </c>
      <c r="G389" s="122">
        <v>5.0749999999999997E-3</v>
      </c>
      <c r="H389" s="122"/>
      <c r="I389" s="122">
        <f>22.34/AU389</f>
        <v>1.7184615384615385E-2</v>
      </c>
      <c r="J389" s="122">
        <f t="shared" si="1102"/>
        <v>1.8571428571428572</v>
      </c>
      <c r="K389" s="125">
        <f t="shared" si="1089"/>
        <v>7</v>
      </c>
      <c r="L389" s="125">
        <f t="shared" si="1090"/>
        <v>3.8810610998294963E-2</v>
      </c>
      <c r="M389" s="125">
        <f t="shared" si="1091"/>
        <v>4.3122901109216627E-2</v>
      </c>
      <c r="N389" s="125">
        <f t="shared" si="1092"/>
        <v>0.82088312265339536</v>
      </c>
      <c r="O389" s="125">
        <f t="shared" si="1093"/>
        <v>6.4684351663824941E-2</v>
      </c>
      <c r="P389" s="122">
        <v>0.15</v>
      </c>
      <c r="Q389" s="122" t="s">
        <v>3</v>
      </c>
      <c r="R389" s="133">
        <v>0</v>
      </c>
      <c r="S389" s="75">
        <f t="shared" si="1163"/>
        <v>0.56414178834199269</v>
      </c>
      <c r="T389" s="59">
        <f t="shared" si="1142"/>
        <v>1.1555942902360667</v>
      </c>
      <c r="U389" s="59">
        <f t="shared" si="1143"/>
        <v>1.0417210263917589</v>
      </c>
      <c r="V389" s="59">
        <f t="shared" si="1144"/>
        <v>0.84006712827935259</v>
      </c>
      <c r="W389" s="59">
        <f t="shared" si="1145"/>
        <v>0.72695680082301406</v>
      </c>
      <c r="X389" s="59">
        <f t="shared" si="1146"/>
        <v>0.80642235972630694</v>
      </c>
      <c r="Y389" s="127">
        <v>240000</v>
      </c>
      <c r="Z389" s="57">
        <f t="shared" si="1147"/>
        <v>193541.36633431367</v>
      </c>
      <c r="AA389" s="57">
        <f t="shared" si="1148"/>
        <v>174469.63219752337</v>
      </c>
      <c r="AB389" s="57">
        <f t="shared" si="1194"/>
        <v>307113.77329389827</v>
      </c>
      <c r="AC389" s="57">
        <f t="shared" si="1149"/>
        <v>0.19285714285714287</v>
      </c>
      <c r="AD389" s="57">
        <f t="shared" si="1150"/>
        <v>1.8571428571428572</v>
      </c>
      <c r="AE389" s="57">
        <f t="shared" si="1151"/>
        <v>387828</v>
      </c>
      <c r="AF389" s="57">
        <f t="shared" si="1152"/>
        <v>92204.766503153834</v>
      </c>
      <c r="AG389" s="57">
        <f t="shared" si="1058"/>
        <v>82264.865694369553</v>
      </c>
      <c r="AH389" s="57">
        <f t="shared" si="1195"/>
        <v>219992491.92637444</v>
      </c>
      <c r="AI389" s="77">
        <f t="shared" si="1196"/>
        <v>179255413.35569334</v>
      </c>
      <c r="AJ389" s="77">
        <v>200000</v>
      </c>
      <c r="AK389" s="77">
        <f>48.6*0.76</f>
        <v>36.936</v>
      </c>
      <c r="AL389" s="78">
        <f t="shared" si="1153"/>
        <v>3.3438519734087286</v>
      </c>
      <c r="AM389" s="57">
        <f t="shared" si="1154"/>
        <v>1</v>
      </c>
      <c r="AN389" s="57">
        <f t="shared" si="1155"/>
        <v>0.8</v>
      </c>
      <c r="AO389" s="77">
        <v>700</v>
      </c>
      <c r="AP389" s="79">
        <v>100</v>
      </c>
      <c r="AQ389" s="57">
        <f t="shared" si="1156"/>
        <v>54.395462620818662</v>
      </c>
      <c r="AR389" s="57">
        <f t="shared" si="1197"/>
        <v>500</v>
      </c>
      <c r="AS389" s="57">
        <f t="shared" si="1157"/>
        <v>645.60453737918135</v>
      </c>
      <c r="AT389" s="77">
        <v>100</v>
      </c>
      <c r="AU389" s="77">
        <f>1200+100</f>
        <v>1300</v>
      </c>
      <c r="AV389" s="57">
        <f t="shared" si="1158"/>
        <v>70000</v>
      </c>
      <c r="AW389" s="77">
        <v>0</v>
      </c>
      <c r="AX389" s="77">
        <f t="shared" si="1159"/>
        <v>70000</v>
      </c>
      <c r="AY389" s="77">
        <f t="shared" ref="AY389:AY395" si="1200">AO389*AT389</f>
        <v>70000</v>
      </c>
      <c r="AZ389" s="77">
        <f t="shared" si="1141"/>
        <v>360</v>
      </c>
      <c r="BA389" s="77">
        <v>360</v>
      </c>
      <c r="BB389" s="77">
        <v>377</v>
      </c>
      <c r="BC389" s="77">
        <v>360</v>
      </c>
      <c r="BD389" s="77">
        <f>(PI()*6.5*6.5*6)/(4*500*100)</f>
        <v>3.9819686884250633E-3</v>
      </c>
      <c r="BE389" s="77">
        <f>(2*PI()*6.5*6.5)/(4*150*100)</f>
        <v>4.4244096538056258E-3</v>
      </c>
      <c r="BF389" s="77">
        <f>(PI()*16*16*4)/(4*100*100)</f>
        <v>8.0424771931898703E-2</v>
      </c>
      <c r="BG389" s="77">
        <f>(2*PI()*6.5*6.5)/(4*100*100)</f>
        <v>6.6366144807084382E-3</v>
      </c>
      <c r="BH389" s="79">
        <v>150</v>
      </c>
      <c r="BI389" s="79">
        <f>PI()*6.5*6.5/4</f>
        <v>33.183072403542191</v>
      </c>
      <c r="BJ389" s="79">
        <v>2</v>
      </c>
      <c r="BK389" s="57">
        <f t="shared" si="1059"/>
        <v>66.366144807084382</v>
      </c>
      <c r="BL389" s="57">
        <f t="shared" si="1018"/>
        <v>199.09843442125316</v>
      </c>
      <c r="BM389" s="80">
        <f>PI()*16*16/4</f>
        <v>201.06192982974676</v>
      </c>
      <c r="BN389" s="80">
        <v>4</v>
      </c>
      <c r="BO389" s="57">
        <f t="shared" si="1198"/>
        <v>804.24771931898704</v>
      </c>
      <c r="BP389" s="57">
        <f t="shared" si="1160"/>
        <v>201616.11078704463</v>
      </c>
      <c r="BQ389" s="77">
        <f t="shared" si="1161"/>
        <v>4.3655745685100555E-10</v>
      </c>
      <c r="BR389" s="57">
        <f t="shared" si="1022"/>
        <v>262100944.02315801</v>
      </c>
      <c r="BS389" s="57">
        <v>108.79092524163732</v>
      </c>
      <c r="BT389" s="57">
        <f t="shared" si="1170"/>
        <v>162.93566688446646</v>
      </c>
      <c r="BU389" s="57"/>
      <c r="BV389" s="57">
        <v>3.3E-3</v>
      </c>
      <c r="BW389" s="57">
        <v>30000</v>
      </c>
      <c r="BX389" s="57">
        <v>200000</v>
      </c>
      <c r="BY389" s="77">
        <f>20</f>
        <v>20</v>
      </c>
      <c r="BZ389" s="77">
        <f t="shared" si="1171"/>
        <v>100</v>
      </c>
      <c r="CA389" s="77">
        <f>BZ389+100</f>
        <v>200</v>
      </c>
      <c r="CB389" s="77">
        <f>CA389+150*1</f>
        <v>350</v>
      </c>
      <c r="CC389" s="77">
        <f>CA389+150*2</f>
        <v>500</v>
      </c>
      <c r="CD389" s="77">
        <f>CC389+100</f>
        <v>600</v>
      </c>
      <c r="CE389" s="77">
        <f>CD389+80</f>
        <v>680</v>
      </c>
      <c r="DM389" s="77">
        <f t="shared" ref="DM389:DN391" si="1201">PI()*16*16/4*2</f>
        <v>402.12385965949352</v>
      </c>
      <c r="DN389" s="77">
        <f t="shared" si="1201"/>
        <v>402.12385965949352</v>
      </c>
      <c r="DO389" s="77">
        <f t="shared" ref="DO389:DQ391" si="1202">PI()*6.5*6.5/4*2</f>
        <v>66.366144807084382</v>
      </c>
      <c r="DP389" s="77">
        <f t="shared" si="1202"/>
        <v>66.366144807084382</v>
      </c>
      <c r="DQ389" s="77">
        <f t="shared" si="1202"/>
        <v>66.366144807084382</v>
      </c>
      <c r="DR389" s="77">
        <f t="shared" ref="DR389:DS391" si="1203">PI()*16*16/4*2</f>
        <v>402.12385965949352</v>
      </c>
      <c r="DS389" s="77">
        <f t="shared" si="1203"/>
        <v>402.12385965949352</v>
      </c>
      <c r="FA389" s="77">
        <f t="shared" si="1113"/>
        <v>-151600.69509162905</v>
      </c>
      <c r="FB389" s="77">
        <f t="shared" si="1114"/>
        <v>-21445.970010768171</v>
      </c>
      <c r="FC389" s="77">
        <f>IF(ABS(-$BV389*($BS389-CA389)/$BS389*$BX389)&gt;$BA389,$BA389*SIGN(-($BS389-CA389)),-$BV389*($BS389-CA389)/$BS389*$BX389)*DO389</f>
        <v>23891.812130550377</v>
      </c>
      <c r="FD389" s="77">
        <f t="shared" si="1101"/>
        <v>23891.812130550377</v>
      </c>
      <c r="FE389" s="77">
        <f t="shared" si="1080"/>
        <v>23891.812130550377</v>
      </c>
      <c r="FF389" s="77">
        <f t="shared" ref="FF389:FG391" si="1204">IF(ABS(-$BV389*($BS389-CD389)/$BS389*$BX389)&gt;$BB389,$BB389*SIGN(-($BS389-CD389)),-$BV389*($BS389-CD389)/$BS389*$BX389)*DR389</f>
        <v>151600.69509162905</v>
      </c>
      <c r="FG389" s="77">
        <f t="shared" si="1204"/>
        <v>151600.69509162905</v>
      </c>
      <c r="GO389" s="77">
        <f t="shared" si="1038"/>
        <v>50028229.380237587</v>
      </c>
      <c r="GP389" s="77">
        <f t="shared" si="1039"/>
        <v>5361492.5026920428</v>
      </c>
      <c r="GQ389" s="77">
        <f t="shared" si="1040"/>
        <v>-3583771.8195825564</v>
      </c>
      <c r="GR389" s="77">
        <f t="shared" si="1041"/>
        <v>0</v>
      </c>
      <c r="GS389" s="77">
        <f t="shared" si="1193"/>
        <v>3583771.8195825564</v>
      </c>
      <c r="GT389" s="77">
        <f t="shared" si="1139"/>
        <v>37900173.772907265</v>
      </c>
      <c r="GU389" s="77">
        <f t="shared" si="1140"/>
        <v>50028229.380237587</v>
      </c>
      <c r="IC389" s="82">
        <v>411</v>
      </c>
    </row>
    <row r="390" spans="1:237" s="77" customFormat="1">
      <c r="A390" s="77">
        <v>390</v>
      </c>
      <c r="C390" s="122" t="s">
        <v>418</v>
      </c>
      <c r="D390" s="122" t="s">
        <v>420</v>
      </c>
      <c r="E390" s="125">
        <v>3</v>
      </c>
      <c r="F390" s="125">
        <f t="shared" si="1199"/>
        <v>0.11487050960735172</v>
      </c>
      <c r="G390" s="122">
        <v>4.8999999999999998E-3</v>
      </c>
      <c r="H390" s="122"/>
      <c r="I390" s="122">
        <f>18.18/AU390</f>
        <v>1.3984615384615384E-2</v>
      </c>
      <c r="J390" s="122">
        <f t="shared" si="1102"/>
        <v>1.8571428571428572</v>
      </c>
      <c r="K390" s="125">
        <f t="shared" si="1089"/>
        <v>7</v>
      </c>
      <c r="L390" s="125">
        <f t="shared" si="1090"/>
        <v>3.8810610998294963E-2</v>
      </c>
      <c r="M390" s="125">
        <f t="shared" si="1091"/>
        <v>4.3122901109216627E-2</v>
      </c>
      <c r="N390" s="125">
        <f t="shared" si="1092"/>
        <v>0.82088312265339536</v>
      </c>
      <c r="O390" s="125">
        <f t="shared" si="1093"/>
        <v>6.4684351663824941E-2</v>
      </c>
      <c r="P390" s="122">
        <v>0.31</v>
      </c>
      <c r="Q390" s="122" t="s">
        <v>3</v>
      </c>
      <c r="R390" s="133">
        <v>0</v>
      </c>
      <c r="S390" s="75">
        <f t="shared" si="1163"/>
        <v>0.69812546307321599</v>
      </c>
      <c r="T390" s="59">
        <f t="shared" si="1142"/>
        <v>1.3160062358753224</v>
      </c>
      <c r="U390" s="59">
        <f t="shared" si="1143"/>
        <v>1.2235544979713533</v>
      </c>
      <c r="V390" s="59">
        <f t="shared" si="1144"/>
        <v>0.79733471152145097</v>
      </c>
      <c r="W390" s="59">
        <f t="shared" si="1145"/>
        <v>0.60587456942490503</v>
      </c>
      <c r="X390" s="59">
        <f t="shared" si="1146"/>
        <v>0.65165443210206619</v>
      </c>
      <c r="Y390" s="127">
        <v>297000</v>
      </c>
      <c r="Z390" s="57">
        <f t="shared" si="1147"/>
        <v>193541.36633431367</v>
      </c>
      <c r="AA390" s="57">
        <f t="shared" si="1148"/>
        <v>179944.74711919681</v>
      </c>
      <c r="AB390" s="57">
        <f t="shared" si="1194"/>
        <v>293660.11009386223</v>
      </c>
      <c r="AC390" s="57">
        <f t="shared" si="1149"/>
        <v>0.19285714285714287</v>
      </c>
      <c r="AD390" s="57">
        <f t="shared" si="1150"/>
        <v>1.8571428571428572</v>
      </c>
      <c r="AE390" s="57">
        <f t="shared" si="1151"/>
        <v>517104</v>
      </c>
      <c r="AF390" s="57">
        <f t="shared" si="1152"/>
        <v>99963.836064315314</v>
      </c>
      <c r="AG390" s="57">
        <f t="shared" si="1058"/>
        <v>79980.911054881508</v>
      </c>
      <c r="AH390" s="57">
        <f t="shared" si="1195"/>
        <v>213372011.3327117</v>
      </c>
      <c r="AI390" s="77">
        <f t="shared" si="1196"/>
        <v>168386131.7893092</v>
      </c>
      <c r="AJ390" s="77">
        <v>400000</v>
      </c>
      <c r="AK390" s="77">
        <f>48.6*0.76</f>
        <v>36.936</v>
      </c>
      <c r="AL390" s="78">
        <f t="shared" si="1153"/>
        <v>3.3438519734087286</v>
      </c>
      <c r="AM390" s="57">
        <f t="shared" si="1154"/>
        <v>1</v>
      </c>
      <c r="AN390" s="57">
        <f t="shared" si="1155"/>
        <v>0.8</v>
      </c>
      <c r="AO390" s="77">
        <v>700</v>
      </c>
      <c r="AP390" s="79">
        <v>100</v>
      </c>
      <c r="AQ390" s="57">
        <f t="shared" si="1156"/>
        <v>72.31965742713966</v>
      </c>
      <c r="AR390" s="57">
        <f t="shared" si="1197"/>
        <v>500</v>
      </c>
      <c r="AS390" s="57">
        <f t="shared" si="1157"/>
        <v>627.68034257286035</v>
      </c>
      <c r="AT390" s="77">
        <v>100</v>
      </c>
      <c r="AU390" s="77">
        <f>1200+100</f>
        <v>1300</v>
      </c>
      <c r="AV390" s="57">
        <f t="shared" si="1158"/>
        <v>70000</v>
      </c>
      <c r="AW390" s="77">
        <v>0</v>
      </c>
      <c r="AX390" s="77">
        <f t="shared" si="1159"/>
        <v>70000</v>
      </c>
      <c r="AY390" s="77">
        <f t="shared" si="1200"/>
        <v>70000</v>
      </c>
      <c r="AZ390" s="77">
        <f t="shared" si="1141"/>
        <v>360</v>
      </c>
      <c r="BA390" s="77">
        <v>360</v>
      </c>
      <c r="BB390" s="77">
        <v>377</v>
      </c>
      <c r="BC390" s="77">
        <v>360</v>
      </c>
      <c r="BD390" s="77">
        <f>(PI()*6.5*6.5*6)/(4*500*100)</f>
        <v>3.9819686884250633E-3</v>
      </c>
      <c r="BE390" s="77">
        <f>(2*PI()*6.5*6.5)/(4*150*100)</f>
        <v>4.4244096538056258E-3</v>
      </c>
      <c r="BF390" s="77">
        <f>(PI()*16*16*4)/(4*100*100)</f>
        <v>8.0424771931898703E-2</v>
      </c>
      <c r="BG390" s="77">
        <f>(2*PI()*6.5*6.5)/(4*100*100)</f>
        <v>6.6366144807084382E-3</v>
      </c>
      <c r="BH390" s="79">
        <v>150</v>
      </c>
      <c r="BI390" s="79">
        <f>PI()*6.5*6.5/4</f>
        <v>33.183072403542191</v>
      </c>
      <c r="BJ390" s="79">
        <v>2</v>
      </c>
      <c r="BK390" s="57">
        <f t="shared" si="1059"/>
        <v>66.366144807084382</v>
      </c>
      <c r="BL390" s="57">
        <f t="shared" si="1018"/>
        <v>199.09843442125316</v>
      </c>
      <c r="BM390" s="80">
        <f>PI()*16*16/4</f>
        <v>201.06192982974676</v>
      </c>
      <c r="BN390" s="80">
        <v>4</v>
      </c>
      <c r="BO390" s="57">
        <f t="shared" si="1198"/>
        <v>804.24771931898704</v>
      </c>
      <c r="BP390" s="57">
        <f t="shared" si="1160"/>
        <v>236808.40932187095</v>
      </c>
      <c r="BQ390" s="77">
        <f t="shared" si="1161"/>
        <v>8.149072527885437E-10</v>
      </c>
      <c r="BR390" s="57">
        <f t="shared" si="1022"/>
        <v>307850932.11843222</v>
      </c>
      <c r="BS390" s="57">
        <v>144.63931485427932</v>
      </c>
      <c r="BT390" s="57">
        <f t="shared" si="1170"/>
        <v>215.31161072035232</v>
      </c>
      <c r="BU390" s="57"/>
      <c r="BV390" s="57">
        <v>3.3E-3</v>
      </c>
      <c r="BW390" s="57">
        <v>30000</v>
      </c>
      <c r="BX390" s="57">
        <v>200000</v>
      </c>
      <c r="BY390" s="77">
        <f>20</f>
        <v>20</v>
      </c>
      <c r="BZ390" s="77">
        <f t="shared" si="1171"/>
        <v>100</v>
      </c>
      <c r="CA390" s="77">
        <f>BZ390+100</f>
        <v>200</v>
      </c>
      <c r="CB390" s="77">
        <f>CA390+150*1</f>
        <v>350</v>
      </c>
      <c r="CC390" s="77">
        <f>CA390+150*2</f>
        <v>500</v>
      </c>
      <c r="CD390" s="77">
        <f>CC390+100</f>
        <v>600</v>
      </c>
      <c r="CE390" s="77">
        <f>CD390+80</f>
        <v>680</v>
      </c>
      <c r="DM390" s="77">
        <f t="shared" si="1201"/>
        <v>402.12385965949352</v>
      </c>
      <c r="DN390" s="77">
        <f t="shared" si="1201"/>
        <v>402.12385965949352</v>
      </c>
      <c r="DO390" s="77">
        <f t="shared" si="1202"/>
        <v>66.366144807084382</v>
      </c>
      <c r="DP390" s="77">
        <f t="shared" si="1202"/>
        <v>66.366144807084382</v>
      </c>
      <c r="DQ390" s="77">
        <f t="shared" si="1202"/>
        <v>66.366144807084382</v>
      </c>
      <c r="DR390" s="77">
        <f t="shared" si="1203"/>
        <v>402.12385965949352</v>
      </c>
      <c r="DS390" s="77">
        <f t="shared" si="1203"/>
        <v>402.12385965949352</v>
      </c>
      <c r="FA390" s="77">
        <f t="shared" si="1113"/>
        <v>-151600.69509162905</v>
      </c>
      <c r="FB390" s="77">
        <f t="shared" si="1114"/>
        <v>-81909.625857231935</v>
      </c>
      <c r="FC390" s="77">
        <f>IF(ABS(-$BV390*($BS390-CA390)/$BS390*$BX390)&gt;$BA390,$BA390*SIGN(-($BS390-CA390)),-$BV390*($BS390-CA390)/$BS390*$BX390)*DO390</f>
        <v>16765.07985026906</v>
      </c>
      <c r="FD390" s="77">
        <f t="shared" si="1101"/>
        <v>23891.812130550377</v>
      </c>
      <c r="FE390" s="77">
        <f t="shared" si="1080"/>
        <v>23891.812130550377</v>
      </c>
      <c r="FF390" s="77">
        <f t="shared" si="1204"/>
        <v>151600.69509162905</v>
      </c>
      <c r="FG390" s="77">
        <f t="shared" si="1204"/>
        <v>151600.69509162905</v>
      </c>
      <c r="GO390" s="77">
        <f t="shared" si="1038"/>
        <v>50028229.380237587</v>
      </c>
      <c r="GP390" s="77">
        <f t="shared" si="1039"/>
        <v>20477406.464307982</v>
      </c>
      <c r="GQ390" s="77">
        <f t="shared" si="1040"/>
        <v>-2514761.9775403589</v>
      </c>
      <c r="GR390" s="77">
        <f t="shared" si="1041"/>
        <v>0</v>
      </c>
      <c r="GS390" s="77">
        <f t="shared" si="1193"/>
        <v>3583771.8195825564</v>
      </c>
      <c r="GT390" s="77">
        <f t="shared" si="1139"/>
        <v>37900173.772907265</v>
      </c>
      <c r="GU390" s="77">
        <f t="shared" si="1140"/>
        <v>50028229.380237587</v>
      </c>
      <c r="IC390" s="82">
        <v>412</v>
      </c>
    </row>
    <row r="391" spans="1:237" s="77" customFormat="1">
      <c r="A391" s="77">
        <v>391</v>
      </c>
      <c r="C391" s="122" t="s">
        <v>418</v>
      </c>
      <c r="D391" s="122" t="s">
        <v>421</v>
      </c>
      <c r="E391" s="125">
        <v>3</v>
      </c>
      <c r="F391" s="125">
        <f t="shared" si="1199"/>
        <v>0.12144558928184659</v>
      </c>
      <c r="G391" s="122">
        <v>4.6500000000000005E-3</v>
      </c>
      <c r="H391" s="122"/>
      <c r="I391" s="122">
        <f>14.51/AU391</f>
        <v>1.1161538461538461E-2</v>
      </c>
      <c r="J391" s="122">
        <f t="shared" si="1102"/>
        <v>1.8571428571428572</v>
      </c>
      <c r="K391" s="125">
        <f t="shared" si="1089"/>
        <v>7</v>
      </c>
      <c r="L391" s="125">
        <f t="shared" si="1090"/>
        <v>3.8810610998294963E-2</v>
      </c>
      <c r="M391" s="125">
        <f t="shared" si="1091"/>
        <v>4.3122901109216627E-2</v>
      </c>
      <c r="N391" s="125">
        <f t="shared" si="1092"/>
        <v>0.82088312265339536</v>
      </c>
      <c r="O391" s="125">
        <f t="shared" si="1093"/>
        <v>6.4684351663824941E-2</v>
      </c>
      <c r="P391" s="132">
        <v>0.46</v>
      </c>
      <c r="Q391" s="122" t="s">
        <v>3</v>
      </c>
      <c r="R391" s="133">
        <v>0</v>
      </c>
      <c r="S391" s="75">
        <f t="shared" si="1163"/>
        <v>0.7380855064141072</v>
      </c>
      <c r="T391" s="59">
        <f t="shared" si="1142"/>
        <v>1.5215941309665422</v>
      </c>
      <c r="U391" s="59">
        <f t="shared" si="1143"/>
        <v>1.3792830572155907</v>
      </c>
      <c r="V391" s="59">
        <f t="shared" si="1144"/>
        <v>0.85015390909323174</v>
      </c>
      <c r="W391" s="59">
        <f t="shared" si="1145"/>
        <v>0.55872580722508414</v>
      </c>
      <c r="X391" s="59">
        <f t="shared" si="1146"/>
        <v>0.61637377813475691</v>
      </c>
      <c r="Y391" s="127">
        <v>314000</v>
      </c>
      <c r="Z391" s="57">
        <f t="shared" si="1147"/>
        <v>193541.36633431367</v>
      </c>
      <c r="AA391" s="57">
        <f t="shared" si="1148"/>
        <v>175439.90346867644</v>
      </c>
      <c r="AB391" s="57">
        <f t="shared" si="1194"/>
        <v>278697.29747489543</v>
      </c>
      <c r="AC391" s="57">
        <f t="shared" si="1149"/>
        <v>0.19285714285714287</v>
      </c>
      <c r="AD391" s="57">
        <f t="shared" si="1150"/>
        <v>1.8571428571428572</v>
      </c>
      <c r="AE391" s="57">
        <f t="shared" si="1151"/>
        <v>517104</v>
      </c>
      <c r="AF391" s="57">
        <f t="shared" si="1152"/>
        <v>97999.14707596814</v>
      </c>
      <c r="AG391" s="57">
        <f t="shared" si="1058"/>
        <v>77440.75639270831</v>
      </c>
      <c r="AH391" s="57">
        <f t="shared" si="1195"/>
        <v>206008885.83316627</v>
      </c>
      <c r="AI391" s="77">
        <f t="shared" si="1196"/>
        <v>156297600.8841978</v>
      </c>
      <c r="AJ391" s="77">
        <v>600000</v>
      </c>
      <c r="AK391" s="77">
        <f>48.6*0.76</f>
        <v>36.936</v>
      </c>
      <c r="AL391" s="78">
        <f t="shared" si="1153"/>
        <v>3.3438519734087286</v>
      </c>
      <c r="AM391" s="57">
        <f t="shared" si="1154"/>
        <v>1</v>
      </c>
      <c r="AN391" s="57">
        <f t="shared" si="1155"/>
        <v>0.8</v>
      </c>
      <c r="AO391" s="77">
        <v>700</v>
      </c>
      <c r="AP391" s="79">
        <v>100</v>
      </c>
      <c r="AQ391" s="57">
        <f t="shared" si="1156"/>
        <v>92.254478467710982</v>
      </c>
      <c r="AR391" s="57">
        <f t="shared" si="1197"/>
        <v>500</v>
      </c>
      <c r="AS391" s="57">
        <f t="shared" si="1157"/>
        <v>607.74552153228899</v>
      </c>
      <c r="AT391" s="77">
        <v>100</v>
      </c>
      <c r="AU391" s="77">
        <f>1200+100</f>
        <v>1300</v>
      </c>
      <c r="AV391" s="57">
        <f t="shared" si="1158"/>
        <v>70000</v>
      </c>
      <c r="AW391" s="77">
        <v>0</v>
      </c>
      <c r="AX391" s="77">
        <f t="shared" si="1159"/>
        <v>70000</v>
      </c>
      <c r="AY391" s="77">
        <f t="shared" si="1200"/>
        <v>70000</v>
      </c>
      <c r="AZ391" s="77">
        <f t="shared" si="1141"/>
        <v>360</v>
      </c>
      <c r="BA391" s="77">
        <v>360</v>
      </c>
      <c r="BB391" s="77">
        <v>377</v>
      </c>
      <c r="BC391" s="77">
        <v>360</v>
      </c>
      <c r="BD391" s="77">
        <f>(PI()*6.5*6.5*6)/(4*500*100)</f>
        <v>3.9819686884250633E-3</v>
      </c>
      <c r="BE391" s="77">
        <f>(2*PI()*6.5*6.5)/(4*150*100)</f>
        <v>4.4244096538056258E-3</v>
      </c>
      <c r="BF391" s="77">
        <f>(PI()*16*16*4)/(4*100*100)</f>
        <v>8.0424771931898703E-2</v>
      </c>
      <c r="BG391" s="77">
        <f>(2*PI()*6.5*6.5)/(4*100*100)</f>
        <v>6.6366144807084382E-3</v>
      </c>
      <c r="BH391" s="79">
        <v>150</v>
      </c>
      <c r="BI391" s="79">
        <f>PI()*6.5*6.5/4</f>
        <v>33.183072403542191</v>
      </c>
      <c r="BJ391" s="79">
        <v>2</v>
      </c>
      <c r="BK391" s="57">
        <f t="shared" si="1059"/>
        <v>66.366144807084382</v>
      </c>
      <c r="BL391" s="57">
        <f t="shared" si="1018"/>
        <v>199.09843442125316</v>
      </c>
      <c r="BM391" s="80">
        <f>PI()*16*16/4</f>
        <v>201.06192982974676</v>
      </c>
      <c r="BN391" s="80">
        <v>4</v>
      </c>
      <c r="BO391" s="57">
        <f t="shared" si="1198"/>
        <v>804.24771931898704</v>
      </c>
      <c r="BP391" s="57">
        <f t="shared" si="1160"/>
        <v>266948.32745527476</v>
      </c>
      <c r="BQ391" s="77">
        <f t="shared" si="1161"/>
        <v>1.4551915228366852E-9</v>
      </c>
      <c r="BR391" s="57">
        <f t="shared" si="1022"/>
        <v>347032825.69185722</v>
      </c>
      <c r="BS391" s="57">
        <v>184.50895693542196</v>
      </c>
      <c r="BT391" s="57">
        <f t="shared" si="1170"/>
        <v>215.31161072035232</v>
      </c>
      <c r="BU391" s="57"/>
      <c r="BV391" s="57">
        <v>3.3E-3</v>
      </c>
      <c r="BW391" s="57">
        <v>30000</v>
      </c>
      <c r="BX391" s="57">
        <v>200000</v>
      </c>
      <c r="BY391" s="77">
        <f>20</f>
        <v>20</v>
      </c>
      <c r="BZ391" s="77">
        <f t="shared" si="1171"/>
        <v>100</v>
      </c>
      <c r="CA391" s="77">
        <f>BZ391+100</f>
        <v>200</v>
      </c>
      <c r="CB391" s="77">
        <f>CA391+150*1</f>
        <v>350</v>
      </c>
      <c r="CC391" s="77">
        <f>CA391+150*2</f>
        <v>500</v>
      </c>
      <c r="CD391" s="77">
        <f>CC391+100</f>
        <v>600</v>
      </c>
      <c r="CE391" s="77">
        <f>CD391+80</f>
        <v>680</v>
      </c>
      <c r="DM391" s="77">
        <f t="shared" si="1201"/>
        <v>402.12385965949352</v>
      </c>
      <c r="DN391" s="77">
        <f t="shared" si="1201"/>
        <v>402.12385965949352</v>
      </c>
      <c r="DO391" s="77">
        <f t="shared" si="1202"/>
        <v>66.366144807084382</v>
      </c>
      <c r="DP391" s="77">
        <f t="shared" si="1202"/>
        <v>66.366144807084382</v>
      </c>
      <c r="DQ391" s="77">
        <f t="shared" si="1202"/>
        <v>66.366144807084382</v>
      </c>
      <c r="DR391" s="77">
        <f t="shared" si="1203"/>
        <v>402.12385965949352</v>
      </c>
      <c r="DS391" s="77">
        <f t="shared" si="1203"/>
        <v>402.12385965949352</v>
      </c>
      <c r="FA391" s="77">
        <f t="shared" si="1113"/>
        <v>-151600.69509162905</v>
      </c>
      <c r="FB391" s="77">
        <f t="shared" si="1114"/>
        <v>-121559.54492427241</v>
      </c>
      <c r="FC391" s="77">
        <f>IF(ABS(-$BV391*($BS391-CA391)/$BS391*$BX391)&gt;$BA391,$BA391*SIGN(-($BS391-CA391)),-$BV391*($BS391-CA391)/$BS391*$BX391)*DO391</f>
        <v>3677.5089082185855</v>
      </c>
      <c r="FD391" s="77">
        <f t="shared" si="1101"/>
        <v>23891.812130550377</v>
      </c>
      <c r="FE391" s="77">
        <f t="shared" si="1080"/>
        <v>23891.812130550377</v>
      </c>
      <c r="FF391" s="77">
        <f t="shared" si="1204"/>
        <v>151600.69509162905</v>
      </c>
      <c r="FG391" s="77">
        <f t="shared" si="1204"/>
        <v>151600.69509162905</v>
      </c>
      <c r="GO391" s="77">
        <f t="shared" si="1038"/>
        <v>50028229.380237587</v>
      </c>
      <c r="GP391" s="77">
        <f t="shared" si="1039"/>
        <v>30389886.231068105</v>
      </c>
      <c r="GQ391" s="77">
        <f t="shared" si="1040"/>
        <v>-551626.33623278781</v>
      </c>
      <c r="GR391" s="77">
        <f t="shared" si="1041"/>
        <v>0</v>
      </c>
      <c r="GS391" s="77">
        <f t="shared" si="1193"/>
        <v>3583771.8195825564</v>
      </c>
      <c r="GT391" s="77">
        <f t="shared" si="1139"/>
        <v>37900173.772907265</v>
      </c>
      <c r="GU391" s="77">
        <f t="shared" si="1140"/>
        <v>50028229.380237587</v>
      </c>
      <c r="IC391" s="82">
        <v>413</v>
      </c>
    </row>
    <row r="392" spans="1:237" s="77" customFormat="1">
      <c r="A392" s="77">
        <v>392</v>
      </c>
      <c r="B392" s="68"/>
      <c r="C392" s="136" t="s">
        <v>422</v>
      </c>
      <c r="D392" s="136" t="s">
        <v>304</v>
      </c>
      <c r="E392" s="137">
        <v>1</v>
      </c>
      <c r="F392" s="125">
        <f t="shared" si="1199"/>
        <v>6.1929309152214319E-2</v>
      </c>
      <c r="G392" s="136">
        <v>4.8235294117647065E-3</v>
      </c>
      <c r="H392" s="136">
        <v>1.0470588235294117E-2</v>
      </c>
      <c r="I392" s="136">
        <f>49.4/AU392</f>
        <v>1.8501872659176029E-2</v>
      </c>
      <c r="J392" s="136">
        <v>2.4300000000000002</v>
      </c>
      <c r="K392" s="125">
        <f t="shared" si="1089"/>
        <v>7.8571428571428568</v>
      </c>
      <c r="L392" s="125">
        <f t="shared" si="1090"/>
        <v>5.3498902633715838E-2</v>
      </c>
      <c r="M392" s="125">
        <f t="shared" si="1091"/>
        <v>7.0618551476504907E-2</v>
      </c>
      <c r="N392" s="125">
        <f t="shared" si="1092"/>
        <v>0.17432131069536</v>
      </c>
      <c r="O392" s="125">
        <f t="shared" si="1093"/>
        <v>7.0618551476504907E-2</v>
      </c>
      <c r="P392" s="136">
        <v>0.316</v>
      </c>
      <c r="Q392" s="136" t="s">
        <v>3</v>
      </c>
      <c r="R392" s="138">
        <v>0</v>
      </c>
      <c r="S392" s="75">
        <f t="shared" si="1163"/>
        <v>0.41423718200587428</v>
      </c>
      <c r="T392" s="59">
        <f t="shared" si="1142"/>
        <v>0.6854196660107793</v>
      </c>
      <c r="U392" s="59">
        <f t="shared" si="1143"/>
        <v>0.54885140527604315</v>
      </c>
      <c r="V392" s="59">
        <f t="shared" si="1144"/>
        <v>0.85110494466563724</v>
      </c>
      <c r="W392" s="59">
        <f t="shared" si="1145"/>
        <v>1.2417282241391834</v>
      </c>
      <c r="X392" s="59">
        <f t="shared" si="1146"/>
        <v>1.5507019504442676</v>
      </c>
      <c r="Y392" s="127">
        <v>426700</v>
      </c>
      <c r="Z392" s="57">
        <f t="shared" si="1147"/>
        <v>661684.52225456899</v>
      </c>
      <c r="AA392" s="57">
        <f t="shared" si="1148"/>
        <v>529845.43324018957</v>
      </c>
      <c r="AB392" s="57">
        <f t="shared" si="1194"/>
        <v>492528.53327287477</v>
      </c>
      <c r="AC392" s="57">
        <f t="shared" si="1149"/>
        <v>0.17</v>
      </c>
      <c r="AD392" s="57">
        <f t="shared" si="1150"/>
        <v>2.2000000000000002</v>
      </c>
      <c r="AE392" s="57">
        <f t="shared" si="1151"/>
        <v>1378022.8</v>
      </c>
      <c r="AF392" s="57">
        <f t="shared" si="1152"/>
        <v>196396.01125619802</v>
      </c>
      <c r="AG392" s="57">
        <f t="shared" si="1058"/>
        <v>333449.42198399157</v>
      </c>
      <c r="AH392" s="57">
        <f t="shared" si="1195"/>
        <v>1126577370.2561495</v>
      </c>
      <c r="AI392" s="68">
        <f t="shared" si="1196"/>
        <v>188473813.58242598</v>
      </c>
      <c r="AJ392" s="68">
        <v>1750000</v>
      </c>
      <c r="AK392" s="68">
        <v>44.741</v>
      </c>
      <c r="AL392" s="61">
        <f t="shared" si="1153"/>
        <v>3.7156752322623503</v>
      </c>
      <c r="AM392" s="56">
        <f t="shared" si="1154"/>
        <v>0.98226052631578942</v>
      </c>
      <c r="AN392" s="56">
        <f t="shared" si="1155"/>
        <v>0.78226052631578946</v>
      </c>
      <c r="AO392" s="68">
        <v>1100</v>
      </c>
      <c r="AP392" s="121">
        <v>220</v>
      </c>
      <c r="AQ392" s="56">
        <f t="shared" si="1156"/>
        <v>157.70376811279164</v>
      </c>
      <c r="AR392" s="56">
        <f t="shared" si="1197"/>
        <v>660</v>
      </c>
      <c r="AS392" s="56">
        <f t="shared" si="1157"/>
        <v>942.29623188720836</v>
      </c>
      <c r="AT392" s="68">
        <v>140</v>
      </c>
      <c r="AU392" s="68">
        <f>2550+120</f>
        <v>2670</v>
      </c>
      <c r="AV392" s="56">
        <f t="shared" si="1158"/>
        <v>154000</v>
      </c>
      <c r="AW392" s="68">
        <v>0</v>
      </c>
      <c r="AX392" s="77">
        <f t="shared" si="1159"/>
        <v>154000</v>
      </c>
      <c r="AY392" s="68">
        <f t="shared" si="1200"/>
        <v>154000</v>
      </c>
      <c r="AZ392" s="77">
        <f t="shared" si="1141"/>
        <v>440</v>
      </c>
      <c r="BA392" s="68">
        <v>440</v>
      </c>
      <c r="BB392" s="68">
        <v>354</v>
      </c>
      <c r="BC392" s="68">
        <v>440</v>
      </c>
      <c r="BD392" s="68">
        <f>(PI()*8*8*10)/(4*660*140)</f>
        <v>5.4399872789433644E-3</v>
      </c>
      <c r="BE392" s="68">
        <f>(2*PI()*8*8)/(4*100*140)</f>
        <v>7.1807832082052417E-3</v>
      </c>
      <c r="BF392" s="68">
        <f>(PI()*12*12*6)/(4*220*140)</f>
        <v>2.2031948479720627E-2</v>
      </c>
      <c r="BG392" s="68">
        <f>(2*PI()*8*8)/(4*100*140)</f>
        <v>7.1807832082052417E-3</v>
      </c>
      <c r="BH392" s="121">
        <v>100</v>
      </c>
      <c r="BI392" s="121">
        <f>PI()*8*8/4</f>
        <v>50.26548245743669</v>
      </c>
      <c r="BJ392" s="121">
        <v>2</v>
      </c>
      <c r="BK392" s="56">
        <f t="shared" si="1059"/>
        <v>100.53096491487338</v>
      </c>
      <c r="BL392" s="57">
        <f t="shared" si="1018"/>
        <v>502.65482457436684</v>
      </c>
      <c r="BM392" s="62">
        <f>PI()*12*12/4</f>
        <v>113.09733552923255</v>
      </c>
      <c r="BN392" s="62">
        <v>6</v>
      </c>
      <c r="BO392" s="56">
        <f t="shared" si="1198"/>
        <v>678.58401317539528</v>
      </c>
      <c r="BP392" s="57">
        <f t="shared" si="1160"/>
        <v>363166.47988882742</v>
      </c>
      <c r="BQ392" s="77">
        <f t="shared" si="1161"/>
        <v>3.4924596548080444E-10</v>
      </c>
      <c r="BR392" s="57">
        <f t="shared" si="1022"/>
        <v>969654501.30316925</v>
      </c>
      <c r="BS392" s="56">
        <v>315.40753622558327</v>
      </c>
      <c r="BT392" s="57">
        <f t="shared" si="1170"/>
        <v>373.30545565232518</v>
      </c>
      <c r="BU392" s="56"/>
      <c r="BV392" s="56">
        <v>3.3E-3</v>
      </c>
      <c r="BW392" s="56">
        <v>30000</v>
      </c>
      <c r="BX392" s="56">
        <v>200000</v>
      </c>
      <c r="BY392" s="68">
        <v>20</v>
      </c>
      <c r="BZ392" s="68">
        <f>BY392+100</f>
        <v>120</v>
      </c>
      <c r="CA392" s="68">
        <f>BY392+100*2</f>
        <v>220</v>
      </c>
      <c r="CB392" s="68">
        <f>CA392+90</f>
        <v>310</v>
      </c>
      <c r="CC392" s="68">
        <f>CB392+120*1</f>
        <v>430</v>
      </c>
      <c r="CD392" s="68">
        <f>CB392+120*2</f>
        <v>550</v>
      </c>
      <c r="CE392" s="68">
        <f>CB392+120*3</f>
        <v>670</v>
      </c>
      <c r="CF392" s="68">
        <f>CB392+120*4</f>
        <v>790</v>
      </c>
      <c r="CG392" s="68">
        <f>CF392+90</f>
        <v>880</v>
      </c>
      <c r="CH392" s="68">
        <f>CG392+100</f>
        <v>980</v>
      </c>
      <c r="CI392" s="68">
        <f>CG392+100*2</f>
        <v>1080</v>
      </c>
      <c r="CJ392" s="68"/>
      <c r="CK392" s="68"/>
      <c r="CL392" s="68"/>
      <c r="CM392" s="68"/>
      <c r="CN392" s="68"/>
      <c r="CO392" s="68"/>
      <c r="CP392" s="68"/>
      <c r="CQ392" s="68"/>
      <c r="CR392" s="68"/>
      <c r="CS392" s="68"/>
      <c r="CT392" s="68"/>
      <c r="CU392" s="68"/>
      <c r="CV392" s="68"/>
      <c r="CW392" s="68"/>
      <c r="CX392" s="68"/>
      <c r="CY392" s="68"/>
      <c r="CZ392" s="68"/>
      <c r="DA392" s="68"/>
      <c r="DB392" s="68"/>
      <c r="DC392" s="68"/>
      <c r="DD392" s="68"/>
      <c r="DE392" s="68"/>
      <c r="DF392" s="68"/>
      <c r="DG392" s="68"/>
      <c r="DH392" s="68"/>
      <c r="DI392" s="68"/>
      <c r="DJ392" s="68"/>
      <c r="DK392" s="68"/>
      <c r="DL392" s="68"/>
      <c r="DM392" s="68">
        <f>PI()*12*12/4*2</f>
        <v>226.1946710584651</v>
      </c>
      <c r="DN392" s="68">
        <f>PI()*12*12/4*2</f>
        <v>226.1946710584651</v>
      </c>
      <c r="DO392" s="68">
        <f>PI()*12*12/4*2</f>
        <v>226.1946710584651</v>
      </c>
      <c r="DP392" s="68">
        <f>PI()*8*8/4*2</f>
        <v>100.53096491487338</v>
      </c>
      <c r="DQ392" s="68">
        <f>PI()*8*8/4*2</f>
        <v>100.53096491487338</v>
      </c>
      <c r="DR392" s="68">
        <f>PI()*8*8/4*2</f>
        <v>100.53096491487338</v>
      </c>
      <c r="DS392" s="68">
        <f>PI()*8*8/4*2</f>
        <v>100.53096491487338</v>
      </c>
      <c r="DT392" s="68">
        <f>PI()*8*8/4*2</f>
        <v>100.53096491487338</v>
      </c>
      <c r="DU392" s="68">
        <f>PI()*12*12/4*2</f>
        <v>226.1946710584651</v>
      </c>
      <c r="DV392" s="68">
        <f>PI()*12*12/4*2</f>
        <v>226.1946710584651</v>
      </c>
      <c r="DW392" s="68">
        <f>PI()*12*12/4*2</f>
        <v>226.1946710584651</v>
      </c>
      <c r="DX392" s="68"/>
      <c r="DY392" s="68"/>
      <c r="DZ392" s="68"/>
      <c r="EA392" s="68"/>
      <c r="EB392" s="68"/>
      <c r="EC392" s="68"/>
      <c r="ED392" s="68"/>
      <c r="EE392" s="68"/>
      <c r="EF392" s="68"/>
      <c r="EG392" s="68"/>
      <c r="EH392" s="68"/>
      <c r="EI392" s="68"/>
      <c r="EJ392" s="68"/>
      <c r="EK392" s="68"/>
      <c r="EL392" s="68"/>
      <c r="EM392" s="68"/>
      <c r="EN392" s="68"/>
      <c r="EO392" s="68"/>
      <c r="EP392" s="68"/>
      <c r="EQ392" s="68"/>
      <c r="ER392" s="68"/>
      <c r="ES392" s="68"/>
      <c r="ET392" s="68"/>
      <c r="EU392" s="68"/>
      <c r="EV392" s="68"/>
      <c r="EW392" s="68"/>
      <c r="EX392" s="68"/>
      <c r="EY392" s="68"/>
      <c r="EZ392" s="68"/>
      <c r="FA392" s="77">
        <f t="shared" si="1113"/>
        <v>-80072.913554696643</v>
      </c>
      <c r="FB392" s="77">
        <f t="shared" si="1114"/>
        <v>-80072.913554696643</v>
      </c>
      <c r="FC392" s="77">
        <f t="shared" ref="FC392:FC402" si="1205">IF(ABS(-$BV392*($BS392-CA392)/$BS392*$BX392)&gt;$BB392,$BB392*SIGN(-($BS392-CA392)),-$BV392*($BS392-CA392)/$BS392*$BX392)*DO392</f>
        <v>-45158.230873793596</v>
      </c>
      <c r="FD392" s="77">
        <f t="shared" si="1101"/>
        <v>-1137.5517373801738</v>
      </c>
      <c r="FE392" s="77">
        <f t="shared" si="1080"/>
        <v>24106.145723175796</v>
      </c>
      <c r="FF392" s="77">
        <f t="shared" ref="FF392:FH397" si="1206">IF(ABS(-$BV392*($BS392-CD392)/$BS392*$BX392)&gt;$BA392,$BA392*SIGN(-($BS392-CD392)),-$BV392*($BS392-CD392)/$BS392*$BX392)*DR392</f>
        <v>44233.62456254429</v>
      </c>
      <c r="FG392" s="77">
        <f t="shared" si="1206"/>
        <v>44233.62456254429</v>
      </c>
      <c r="FH392" s="77">
        <f t="shared" si="1206"/>
        <v>44233.62456254429</v>
      </c>
      <c r="FI392" s="77">
        <f>IF(ABS(-$BV392*($BS392-CG392)/$BS392*$BX392)&gt;$BB392,$BB392*SIGN(-($BS392-CG392)),-$BV392*($BS392-CG392)/$BS392*$BX392)*DU392</f>
        <v>80072.913554696643</v>
      </c>
      <c r="FJ392" s="77">
        <f>IF(ABS(-$BV392*($BS392-CH392)/$BS392*$BX392)&gt;$BB392,$BB392*SIGN(-($BS392-CH392)),-$BV392*($BS392-CH392)/$BS392*$BX392)*DV392</f>
        <v>80072.913554696643</v>
      </c>
      <c r="FK392" s="77">
        <f>IF(ABS(-$BV392*($BS392-CI392)/$BS392*$BX392)&gt;$BB392,$BB392*SIGN(-($BS392-CI392)),-$BV392*($BS392-CI392)/$BS392*$BX392)*DW392</f>
        <v>80072.913554696643</v>
      </c>
      <c r="FL392" s="68"/>
      <c r="FM392" s="68"/>
      <c r="FN392" s="68"/>
      <c r="FO392" s="68"/>
      <c r="FP392" s="68"/>
      <c r="FQ392" s="68"/>
      <c r="FR392" s="68"/>
      <c r="FS392" s="68"/>
      <c r="FT392" s="68"/>
      <c r="FU392" s="68"/>
      <c r="FV392" s="68"/>
      <c r="FW392" s="68"/>
      <c r="FX392" s="68"/>
      <c r="FY392" s="68"/>
      <c r="FZ392" s="68"/>
      <c r="GA392" s="68"/>
      <c r="GB392" s="68"/>
      <c r="GC392" s="68"/>
      <c r="GD392" s="68"/>
      <c r="GE392" s="68"/>
      <c r="GF392" s="68"/>
      <c r="GG392" s="68"/>
      <c r="GH392" s="68"/>
      <c r="GI392" s="68"/>
      <c r="GJ392" s="68"/>
      <c r="GK392" s="68"/>
      <c r="GL392" s="68"/>
      <c r="GM392" s="68"/>
      <c r="GN392" s="68"/>
      <c r="GO392" s="77">
        <f t="shared" si="1038"/>
        <v>42438644.183989219</v>
      </c>
      <c r="GP392" s="77">
        <f t="shared" si="1039"/>
        <v>34431352.828519553</v>
      </c>
      <c r="GQ392" s="77">
        <f t="shared" si="1040"/>
        <v>14902216.188351886</v>
      </c>
      <c r="GR392" s="77">
        <f t="shared" si="1041"/>
        <v>273012.41697124171</v>
      </c>
      <c r="GS392" s="77">
        <f t="shared" si="1193"/>
        <v>-2892737.4867810956</v>
      </c>
      <c r="GT392" s="77">
        <f t="shared" si="1139"/>
        <v>0</v>
      </c>
      <c r="GU392" s="77">
        <f t="shared" si="1140"/>
        <v>5308034.9475053148</v>
      </c>
      <c r="GV392" s="77">
        <f t="shared" ref="GV392:GV402" si="1207">FH392*(CF392-0.5*$AO392)</f>
        <v>10616069.89501063</v>
      </c>
      <c r="GW392" s="77">
        <f t="shared" ref="GW392:GW402" si="1208">FI392*(CG392-0.5*$AO392)</f>
        <v>26424061.47304989</v>
      </c>
      <c r="GX392" s="77">
        <f t="shared" ref="GX392:GX402" si="1209">FJ392*(CH392-0.5*$AO392)</f>
        <v>34431352.828519553</v>
      </c>
      <c r="GY392" s="77">
        <f t="shared" ref="GY392:GY402" si="1210">FK392*(CI392-0.5*$AO392)</f>
        <v>42438644.183989219</v>
      </c>
      <c r="GZ392" s="68"/>
      <c r="HA392" s="68"/>
      <c r="HB392" s="68"/>
      <c r="HC392" s="68"/>
      <c r="HD392" s="68"/>
      <c r="HE392" s="68"/>
      <c r="HF392" s="68"/>
      <c r="HG392" s="68"/>
      <c r="HH392" s="68"/>
      <c r="HI392" s="68"/>
      <c r="HJ392" s="68"/>
      <c r="HK392" s="68"/>
      <c r="HL392" s="68"/>
      <c r="HM392" s="68"/>
      <c r="HN392" s="68"/>
      <c r="HO392" s="68"/>
      <c r="HP392" s="68"/>
      <c r="HQ392" s="68"/>
      <c r="HR392" s="68"/>
      <c r="HS392" s="68"/>
      <c r="HT392" s="68"/>
      <c r="HU392" s="68"/>
      <c r="HV392" s="68"/>
      <c r="HW392" s="68"/>
      <c r="HX392" s="68"/>
      <c r="HY392" s="68"/>
      <c r="IC392" s="82">
        <v>414</v>
      </c>
    </row>
    <row r="393" spans="1:237" s="77" customFormat="1">
      <c r="A393" s="77">
        <v>393</v>
      </c>
      <c r="B393" s="139"/>
      <c r="C393" s="140" t="s">
        <v>422</v>
      </c>
      <c r="D393" s="140" t="s">
        <v>305</v>
      </c>
      <c r="E393" s="141">
        <v>1</v>
      </c>
      <c r="F393" s="141">
        <f t="shared" si="1199"/>
        <v>7.716853451191083E-2</v>
      </c>
      <c r="G393" s="140">
        <v>7.2156862745098036E-3</v>
      </c>
      <c r="H393" s="140">
        <v>1.6470588235294119E-2</v>
      </c>
      <c r="I393" s="140">
        <f>58.5/AU393</f>
        <v>2.1910112359550562E-2</v>
      </c>
      <c r="J393" s="140">
        <v>2.4300000000000002</v>
      </c>
      <c r="K393" s="141">
        <f t="shared" si="1089"/>
        <v>7.8571428571428568</v>
      </c>
      <c r="L393" s="141">
        <f t="shared" si="1090"/>
        <v>5.3498902633715838E-2</v>
      </c>
      <c r="M393" s="141">
        <f t="shared" si="1091"/>
        <v>7.0618551476504907E-2</v>
      </c>
      <c r="N393" s="141">
        <f t="shared" si="1092"/>
        <v>0.4819688780878067</v>
      </c>
      <c r="O393" s="141">
        <f t="shared" si="1093"/>
        <v>7.0618551476504907E-2</v>
      </c>
      <c r="P393" s="140">
        <v>0.316</v>
      </c>
      <c r="Q393" s="140" t="s">
        <v>3</v>
      </c>
      <c r="R393" s="142">
        <v>0</v>
      </c>
      <c r="S393" s="75">
        <f t="shared" si="1163"/>
        <v>0.51617039998247805</v>
      </c>
      <c r="T393" s="59">
        <f t="shared" si="1142"/>
        <v>0.90207077686459103</v>
      </c>
      <c r="U393" s="59">
        <f t="shared" si="1143"/>
        <v>0.70649496503589482</v>
      </c>
      <c r="V393" s="59">
        <f t="shared" si="1144"/>
        <v>0.87921155428819719</v>
      </c>
      <c r="W393" s="59">
        <f t="shared" si="1145"/>
        <v>0.97465916958772603</v>
      </c>
      <c r="X393" s="59">
        <f t="shared" si="1146"/>
        <v>1.2444696675842937</v>
      </c>
      <c r="Y393" s="143">
        <v>531700</v>
      </c>
      <c r="Z393" s="57">
        <f t="shared" si="1147"/>
        <v>661684.52225456899</v>
      </c>
      <c r="AA393" s="144">
        <f t="shared" si="1148"/>
        <v>518226.28046979394</v>
      </c>
      <c r="AB393" s="144">
        <f t="shared" si="1194"/>
        <v>592601.88876355009</v>
      </c>
      <c r="AC393" s="144">
        <f t="shared" si="1149"/>
        <v>0.17</v>
      </c>
      <c r="AD393" s="144">
        <f t="shared" si="1150"/>
        <v>2.2000000000000002</v>
      </c>
      <c r="AE393" s="144">
        <f t="shared" si="1151"/>
        <v>1378022.8</v>
      </c>
      <c r="AF393" s="57">
        <f t="shared" si="1152"/>
        <v>193409.93993227134</v>
      </c>
      <c r="AG393" s="57">
        <f t="shared" si="1058"/>
        <v>324816.34053752257</v>
      </c>
      <c r="AH393" s="144">
        <f t="shared" si="1195"/>
        <v>1093555138.6936235</v>
      </c>
      <c r="AI393" s="139">
        <f t="shared" si="1196"/>
        <v>488691904.30505508</v>
      </c>
      <c r="AJ393" s="139">
        <v>1750000</v>
      </c>
      <c r="AK393" s="139">
        <v>44.741</v>
      </c>
      <c r="AL393" s="145">
        <f t="shared" si="1153"/>
        <v>3.7156752322623503</v>
      </c>
      <c r="AM393" s="144">
        <f t="shared" si="1154"/>
        <v>0.98226052631578942</v>
      </c>
      <c r="AN393" s="144">
        <f t="shared" si="1155"/>
        <v>0.78226052631578946</v>
      </c>
      <c r="AO393" s="139">
        <v>1100</v>
      </c>
      <c r="AP393" s="146">
        <v>220</v>
      </c>
      <c r="AQ393" s="144">
        <f t="shared" si="1156"/>
        <v>182.10003207444771</v>
      </c>
      <c r="AR393" s="144">
        <f t="shared" si="1197"/>
        <v>660</v>
      </c>
      <c r="AS393" s="144">
        <f t="shared" si="1157"/>
        <v>917.89996792555235</v>
      </c>
      <c r="AT393" s="139">
        <v>140</v>
      </c>
      <c r="AU393" s="139">
        <f>2550+120</f>
        <v>2670</v>
      </c>
      <c r="AV393" s="144">
        <f t="shared" si="1158"/>
        <v>154000</v>
      </c>
      <c r="AW393" s="139">
        <v>0</v>
      </c>
      <c r="AX393" s="77">
        <f t="shared" si="1159"/>
        <v>154000</v>
      </c>
      <c r="AY393" s="139">
        <f t="shared" si="1200"/>
        <v>154000</v>
      </c>
      <c r="AZ393" s="77">
        <f t="shared" si="1141"/>
        <v>440</v>
      </c>
      <c r="BA393" s="139">
        <v>440</v>
      </c>
      <c r="BB393" s="139">
        <v>1044</v>
      </c>
      <c r="BC393" s="139">
        <v>440</v>
      </c>
      <c r="BD393" s="139">
        <f>(PI()*8*8*10)/(4*660*140)</f>
        <v>5.4399872789433644E-3</v>
      </c>
      <c r="BE393" s="139">
        <f>(2*PI()*8*8)/(4*100*140)</f>
        <v>7.1807832082052417E-3</v>
      </c>
      <c r="BF393" s="139">
        <f>(PI()*9*9*10)/(4*220*140)</f>
        <v>2.0654951699738085E-2</v>
      </c>
      <c r="BG393" s="139">
        <f>(2*PI()*8*8)/(4*100*140)</f>
        <v>7.1807832082052417E-3</v>
      </c>
      <c r="BH393" s="146">
        <v>100</v>
      </c>
      <c r="BI393" s="146">
        <f>PI()*8*8/4</f>
        <v>50.26548245743669</v>
      </c>
      <c r="BJ393" s="146">
        <v>2</v>
      </c>
      <c r="BK393" s="144">
        <f t="shared" si="1059"/>
        <v>100.53096491487338</v>
      </c>
      <c r="BL393" s="57">
        <f t="shared" si="1018"/>
        <v>502.65482457436684</v>
      </c>
      <c r="BM393" s="147">
        <f>PI()*9*9/4</f>
        <v>63.617251235193308</v>
      </c>
      <c r="BN393" s="147">
        <v>10</v>
      </c>
      <c r="BO393" s="144">
        <f t="shared" si="1198"/>
        <v>636.17251235193305</v>
      </c>
      <c r="BP393" s="144">
        <f t="shared" si="1160"/>
        <v>467476.78341503447</v>
      </c>
      <c r="BQ393" s="139">
        <f t="shared" si="1161"/>
        <v>4.6566128730773926E-10</v>
      </c>
      <c r="BR393" s="144">
        <f t="shared" si="1022"/>
        <v>1248163011.718142</v>
      </c>
      <c r="BS393" s="144">
        <v>364.20006414889542</v>
      </c>
      <c r="BT393" s="57">
        <f t="shared" si="1170"/>
        <v>373.30545565232518</v>
      </c>
      <c r="BU393" s="144" t="e">
        <f>IF(BS393/AS393&gt;#REF!,1,0)</f>
        <v>#REF!</v>
      </c>
      <c r="BV393" s="144">
        <v>3.3E-3</v>
      </c>
      <c r="BW393" s="144">
        <v>30000</v>
      </c>
      <c r="BX393" s="144">
        <v>200000</v>
      </c>
      <c r="BY393" s="139">
        <v>20</v>
      </c>
      <c r="BZ393" s="139">
        <f>20+50*1</f>
        <v>70</v>
      </c>
      <c r="CA393" s="139">
        <f>20+50*2</f>
        <v>120</v>
      </c>
      <c r="CB393" s="139">
        <f>20+50*3</f>
        <v>170</v>
      </c>
      <c r="CC393" s="139">
        <f>20+50*4</f>
        <v>220</v>
      </c>
      <c r="CD393" s="139">
        <f>220+90</f>
        <v>310</v>
      </c>
      <c r="CE393" s="139">
        <f>310+120*1</f>
        <v>430</v>
      </c>
      <c r="CF393" s="139">
        <f>310+120*2</f>
        <v>550</v>
      </c>
      <c r="CG393" s="139">
        <f>310+120*3</f>
        <v>670</v>
      </c>
      <c r="CH393" s="139">
        <f>310+120*4</f>
        <v>790</v>
      </c>
      <c r="CI393" s="139">
        <f>790+90</f>
        <v>880</v>
      </c>
      <c r="CJ393" s="139">
        <f>880+50*1</f>
        <v>930</v>
      </c>
      <c r="CK393" s="139">
        <f>880+50*2</f>
        <v>980</v>
      </c>
      <c r="CL393" s="139">
        <f>880+50*3</f>
        <v>1030</v>
      </c>
      <c r="CM393" s="139">
        <f>880+50*4</f>
        <v>1080</v>
      </c>
      <c r="CN393" s="139"/>
      <c r="CO393" s="139"/>
      <c r="CP393" s="139"/>
      <c r="CQ393" s="139"/>
      <c r="CR393" s="139"/>
      <c r="CS393" s="139"/>
      <c r="CT393" s="139"/>
      <c r="CU393" s="139"/>
      <c r="CV393" s="139"/>
      <c r="CW393" s="139"/>
      <c r="CX393" s="139"/>
      <c r="CY393" s="139"/>
      <c r="CZ393" s="139"/>
      <c r="DA393" s="139"/>
      <c r="DB393" s="139"/>
      <c r="DC393" s="139"/>
      <c r="DD393" s="139"/>
      <c r="DE393" s="139"/>
      <c r="DF393" s="139"/>
      <c r="DG393" s="139"/>
      <c r="DH393" s="139"/>
      <c r="DI393" s="139"/>
      <c r="DJ393" s="139"/>
      <c r="DK393" s="139"/>
      <c r="DL393" s="139"/>
      <c r="DM393" s="139">
        <f t="shared" ref="DM393:DQ395" si="1211">PI()*9*9/4*2</f>
        <v>127.23450247038662</v>
      </c>
      <c r="DN393" s="139">
        <f t="shared" si="1211"/>
        <v>127.23450247038662</v>
      </c>
      <c r="DO393" s="139">
        <f t="shared" si="1211"/>
        <v>127.23450247038662</v>
      </c>
      <c r="DP393" s="139">
        <f t="shared" si="1211"/>
        <v>127.23450247038662</v>
      </c>
      <c r="DQ393" s="139">
        <f t="shared" si="1211"/>
        <v>127.23450247038662</v>
      </c>
      <c r="DR393" s="139">
        <f t="shared" ref="DR393:DV395" si="1212">PI()*8*8/4*2</f>
        <v>100.53096491487338</v>
      </c>
      <c r="DS393" s="139">
        <f t="shared" si="1212"/>
        <v>100.53096491487338</v>
      </c>
      <c r="DT393" s="139">
        <f t="shared" si="1212"/>
        <v>100.53096491487338</v>
      </c>
      <c r="DU393" s="139">
        <f t="shared" si="1212"/>
        <v>100.53096491487338</v>
      </c>
      <c r="DV393" s="139">
        <f t="shared" si="1212"/>
        <v>100.53096491487338</v>
      </c>
      <c r="DW393" s="139">
        <f t="shared" ref="DW393:EA395" si="1213">PI()*9*9/4*2</f>
        <v>127.23450247038662</v>
      </c>
      <c r="DX393" s="139">
        <f t="shared" si="1213"/>
        <v>127.23450247038662</v>
      </c>
      <c r="DY393" s="139">
        <f t="shared" si="1213"/>
        <v>127.23450247038662</v>
      </c>
      <c r="DZ393" s="139">
        <f t="shared" si="1213"/>
        <v>127.23450247038662</v>
      </c>
      <c r="EA393" s="139">
        <f t="shared" si="1213"/>
        <v>127.23450247038662</v>
      </c>
      <c r="EB393" s="139"/>
      <c r="EC393" s="139"/>
      <c r="ED393" s="139"/>
      <c r="EE393" s="139"/>
      <c r="EF393" s="139"/>
      <c r="EG393" s="139"/>
      <c r="EH393" s="139"/>
      <c r="EI393" s="139"/>
      <c r="EJ393" s="139"/>
      <c r="EK393" s="139"/>
      <c r="EL393" s="139"/>
      <c r="EM393" s="139"/>
      <c r="EN393" s="139"/>
      <c r="EO393" s="139"/>
      <c r="EP393" s="139"/>
      <c r="EQ393" s="139"/>
      <c r="ER393" s="139"/>
      <c r="ES393" s="139"/>
      <c r="ET393" s="139"/>
      <c r="EU393" s="139"/>
      <c r="EV393" s="139"/>
      <c r="EW393" s="139"/>
      <c r="EX393" s="139"/>
      <c r="EY393" s="139"/>
      <c r="EZ393" s="139"/>
      <c r="FA393" s="139">
        <f t="shared" si="1113"/>
        <v>-79363.307773264649</v>
      </c>
      <c r="FB393" s="139">
        <f t="shared" si="1114"/>
        <v>-67834.648130288304</v>
      </c>
      <c r="FC393" s="139">
        <f t="shared" si="1205"/>
        <v>-56305.988487311988</v>
      </c>
      <c r="FD393" s="139">
        <f t="shared" ref="FD393:FE395" si="1214">IF(ABS(-$BV393*($BS393-CB393)/$BS393*$BX393)&gt;$BB393,$BB393*SIGN(-($BS393-CB393)),-$BV393*($BS393-CB393)/$BS393*$BX393)*DP393</f>
        <v>-44777.328844335665</v>
      </c>
      <c r="FE393" s="139">
        <f t="shared" si="1214"/>
        <v>-33248.669201359342</v>
      </c>
      <c r="FF393" s="139">
        <f t="shared" si="1206"/>
        <v>-9874.2375063719264</v>
      </c>
      <c r="FG393" s="139">
        <f t="shared" si="1206"/>
        <v>11987.517075864655</v>
      </c>
      <c r="FH393" s="139">
        <f t="shared" si="1206"/>
        <v>33849.271658101236</v>
      </c>
      <c r="FI393" s="139">
        <f t="shared" ref="FI393:FI402" si="1215">IF(ABS(-$BV393*($BS393-CG393)/$BS393*$BX393)&gt;$BA393,$BA393*SIGN(-($BS393-CG393)),-$BV393*($BS393-CG393)/$BS393*$BX393)*DU393</f>
        <v>44233.62456254429</v>
      </c>
      <c r="FJ393" s="139">
        <f t="shared" ref="FJ393:FJ402" si="1216">IF(ABS(-$BV393*($BS393-CH393)/$BS393*$BX393)&gt;$BA393,$BA393*SIGN(-($BS393-CH393)),-$BV393*($BS393-CH393)/$BS393*$BX393)*DV393</f>
        <v>44233.62456254429</v>
      </c>
      <c r="FK393" s="139">
        <f t="shared" ref="FK393:FO395" si="1217">IF(ABS(-$BV393*($BS393-CI393)/$BS393*$BX393)&gt;$BB393,$BB393*SIGN(-($BS393-CI393)),-$BV393*($BS393-CI393)/$BS393*$BX393)*DW393</f>
        <v>118929.63808592811</v>
      </c>
      <c r="FL393" s="139">
        <f t="shared" si="1217"/>
        <v>130458.29772890444</v>
      </c>
      <c r="FM393" s="139">
        <f t="shared" si="1217"/>
        <v>132832.82057908364</v>
      </c>
      <c r="FN393" s="139">
        <f t="shared" si="1217"/>
        <v>132832.82057908364</v>
      </c>
      <c r="FO393" s="139">
        <f t="shared" si="1217"/>
        <v>132832.82057908364</v>
      </c>
      <c r="FP393" s="139"/>
      <c r="FQ393" s="139"/>
      <c r="FR393" s="139"/>
      <c r="FS393" s="139"/>
      <c r="FT393" s="139"/>
      <c r="FU393" s="139"/>
      <c r="FV393" s="139"/>
      <c r="FW393" s="139"/>
      <c r="FX393" s="139"/>
      <c r="FY393" s="139"/>
      <c r="FZ393" s="139"/>
      <c r="GA393" s="139"/>
      <c r="GB393" s="139"/>
      <c r="GC393" s="139"/>
      <c r="GD393" s="139"/>
      <c r="GE393" s="139"/>
      <c r="GF393" s="139"/>
      <c r="GG393" s="139"/>
      <c r="GH393" s="139"/>
      <c r="GI393" s="139"/>
      <c r="GJ393" s="139"/>
      <c r="GK393" s="139"/>
      <c r="GL393" s="139"/>
      <c r="GM393" s="139"/>
      <c r="GN393" s="139"/>
      <c r="GO393" s="139">
        <f t="shared" si="1038"/>
        <v>42062553.119830266</v>
      </c>
      <c r="GP393" s="139">
        <f t="shared" si="1039"/>
        <v>32560631.102538384</v>
      </c>
      <c r="GQ393" s="139">
        <f t="shared" si="1040"/>
        <v>24211575.049544156</v>
      </c>
      <c r="GR393" s="139">
        <f t="shared" si="1041"/>
        <v>17015384.960847553</v>
      </c>
      <c r="GS393" s="139">
        <f t="shared" si="1193"/>
        <v>10972060.836448584</v>
      </c>
      <c r="GT393" s="139">
        <f t="shared" si="1139"/>
        <v>2369817.0015292624</v>
      </c>
      <c r="GU393" s="139">
        <f t="shared" si="1140"/>
        <v>-1438502.0491037585</v>
      </c>
      <c r="GV393" s="139">
        <f t="shared" si="1207"/>
        <v>0</v>
      </c>
      <c r="GW393" s="139">
        <f t="shared" si="1208"/>
        <v>5308034.9475053148</v>
      </c>
      <c r="GX393" s="139">
        <f t="shared" si="1209"/>
        <v>10616069.89501063</v>
      </c>
      <c r="GY393" s="139">
        <f t="shared" si="1210"/>
        <v>39246780.568356276</v>
      </c>
      <c r="GZ393" s="139">
        <f t="shared" ref="GZ393:GZ402" si="1218">FL393*(CJ393-0.5*$AO393)</f>
        <v>49574153.136983685</v>
      </c>
      <c r="HA393" s="139">
        <f t="shared" ref="HA393:HA402" si="1219">FM393*(CK393-0.5*$AO393)</f>
        <v>57118112.849005967</v>
      </c>
      <c r="HB393" s="139">
        <f t="shared" ref="HB393:HB402" si="1220">FN393*(CL393-0.5*$AO393)</f>
        <v>63759753.877960145</v>
      </c>
      <c r="HC393" s="139">
        <f t="shared" ref="HC393:HC402" si="1221">FO393*(CM393-0.5*$AO393)</f>
        <v>70401394.906914324</v>
      </c>
      <c r="HD393" s="139"/>
      <c r="HE393" s="139"/>
      <c r="HF393" s="139"/>
      <c r="HG393" s="139"/>
      <c r="HH393" s="139"/>
      <c r="HI393" s="139"/>
      <c r="HJ393" s="139"/>
      <c r="HK393" s="139"/>
      <c r="HL393" s="139"/>
      <c r="HM393" s="139"/>
      <c r="HN393" s="139"/>
      <c r="HO393" s="139"/>
      <c r="HP393" s="139"/>
      <c r="HQ393" s="139"/>
      <c r="HR393" s="139"/>
      <c r="HS393" s="139"/>
      <c r="HT393" s="139"/>
      <c r="HU393" s="139"/>
      <c r="HV393" s="139"/>
      <c r="HW393" s="139"/>
      <c r="HX393" s="139"/>
      <c r="HY393" s="139"/>
      <c r="IC393" s="82">
        <v>415</v>
      </c>
    </row>
    <row r="394" spans="1:237" s="77" customFormat="1">
      <c r="A394" s="77">
        <v>394</v>
      </c>
      <c r="C394" s="122" t="s">
        <v>422</v>
      </c>
      <c r="D394" s="122" t="s">
        <v>368</v>
      </c>
      <c r="E394" s="125">
        <v>1</v>
      </c>
      <c r="F394" s="125">
        <f t="shared" si="1199"/>
        <v>7.6921804196563359E-2</v>
      </c>
      <c r="G394" s="122">
        <v>8.3137254901960774E-3</v>
      </c>
      <c r="H394" s="122">
        <v>1.8941176470588236E-2</v>
      </c>
      <c r="I394" s="122">
        <f>70.4/AU394</f>
        <v>2.6367041198501875E-2</v>
      </c>
      <c r="J394" s="122">
        <v>2.4300000000000002</v>
      </c>
      <c r="K394" s="125">
        <f t="shared" si="1089"/>
        <v>7.8571428571428568</v>
      </c>
      <c r="L394" s="125">
        <f t="shared" si="1090"/>
        <v>5.3498902633715838E-2</v>
      </c>
      <c r="M394" s="125">
        <f t="shared" si="1091"/>
        <v>7.0618551476504907E-2</v>
      </c>
      <c r="N394" s="125">
        <f t="shared" si="1092"/>
        <v>0.4819688780878067</v>
      </c>
      <c r="O394" s="125">
        <f t="shared" si="1093"/>
        <v>7.0618551476504907E-2</v>
      </c>
      <c r="P394" s="122">
        <v>0.316</v>
      </c>
      <c r="Q394" s="122" t="s">
        <v>3</v>
      </c>
      <c r="R394" s="133">
        <v>0</v>
      </c>
      <c r="S394" s="75">
        <f t="shared" si="1163"/>
        <v>0.51452005264380918</v>
      </c>
      <c r="T394" s="59">
        <f t="shared" si="1142"/>
        <v>0.90207077686459158</v>
      </c>
      <c r="U394" s="59">
        <f t="shared" si="1143"/>
        <v>0.70649496503589504</v>
      </c>
      <c r="V394" s="59">
        <f t="shared" si="1144"/>
        <v>0.88203166682082013</v>
      </c>
      <c r="W394" s="59">
        <f t="shared" si="1145"/>
        <v>0.97778543484866765</v>
      </c>
      <c r="X394" s="59">
        <f t="shared" si="1146"/>
        <v>1.2484613627444698</v>
      </c>
      <c r="Y394" s="127">
        <v>530000</v>
      </c>
      <c r="Z394" s="57">
        <f t="shared" si="1147"/>
        <v>661684.52225456899</v>
      </c>
      <c r="AA394" s="57">
        <f t="shared" si="1148"/>
        <v>518226.28046979383</v>
      </c>
      <c r="AB394" s="57">
        <f t="shared" si="1194"/>
        <v>592601.88876354985</v>
      </c>
      <c r="AC394" s="57">
        <f t="shared" si="1149"/>
        <v>0.17</v>
      </c>
      <c r="AD394" s="57">
        <f t="shared" si="1150"/>
        <v>2.2000000000000002</v>
      </c>
      <c r="AE394" s="57">
        <f t="shared" si="1151"/>
        <v>1378022.8</v>
      </c>
      <c r="AF394" s="57">
        <f t="shared" si="1152"/>
        <v>193409.93993227131</v>
      </c>
      <c r="AG394" s="57">
        <f t="shared" si="1058"/>
        <v>324816.34053752251</v>
      </c>
      <c r="AH394" s="57">
        <f t="shared" si="1195"/>
        <v>1093555138.6936233</v>
      </c>
      <c r="AI394" s="77">
        <f t="shared" si="1196"/>
        <v>488691904.30505478</v>
      </c>
      <c r="AJ394" s="77">
        <v>1750000</v>
      </c>
      <c r="AK394" s="77">
        <v>44.741</v>
      </c>
      <c r="AL394" s="78">
        <f t="shared" si="1153"/>
        <v>3.7156752322623503</v>
      </c>
      <c r="AM394" s="57">
        <f t="shared" si="1154"/>
        <v>0.98226052631578942</v>
      </c>
      <c r="AN394" s="57">
        <f t="shared" si="1155"/>
        <v>0.78226052631578946</v>
      </c>
      <c r="AO394" s="77">
        <v>1100</v>
      </c>
      <c r="AP394" s="79">
        <v>220</v>
      </c>
      <c r="AQ394" s="57">
        <f t="shared" si="1156"/>
        <v>182.10003207444788</v>
      </c>
      <c r="AR394" s="57">
        <f t="shared" si="1197"/>
        <v>660</v>
      </c>
      <c r="AS394" s="57">
        <f t="shared" si="1157"/>
        <v>917.89996792555212</v>
      </c>
      <c r="AT394" s="77">
        <v>140</v>
      </c>
      <c r="AU394" s="77">
        <f>2550+120</f>
        <v>2670</v>
      </c>
      <c r="AV394" s="57">
        <f t="shared" si="1158"/>
        <v>154000</v>
      </c>
      <c r="AW394" s="77">
        <v>0</v>
      </c>
      <c r="AX394" s="77">
        <f t="shared" si="1159"/>
        <v>154000</v>
      </c>
      <c r="AY394" s="77">
        <f t="shared" si="1200"/>
        <v>154000</v>
      </c>
      <c r="AZ394" s="77">
        <f t="shared" si="1141"/>
        <v>440</v>
      </c>
      <c r="BA394" s="77">
        <v>440</v>
      </c>
      <c r="BB394" s="77">
        <v>1044</v>
      </c>
      <c r="BC394" s="77">
        <v>440</v>
      </c>
      <c r="BD394" s="77">
        <f>(PI()*8*8*10)/(4*660*140)</f>
        <v>5.4399872789433644E-3</v>
      </c>
      <c r="BE394" s="77">
        <f>(2*PI()*8*8)/(4*100*140)</f>
        <v>7.1807832082052417E-3</v>
      </c>
      <c r="BF394" s="77">
        <f>(PI()*9*9*10)/(4*220*140)</f>
        <v>2.0654951699738085E-2</v>
      </c>
      <c r="BG394" s="77">
        <f>(2*PI()*8*8)/(4*100*140)</f>
        <v>7.1807832082052417E-3</v>
      </c>
      <c r="BH394" s="79">
        <v>100</v>
      </c>
      <c r="BI394" s="79">
        <f>PI()*8*8/4</f>
        <v>50.26548245743669</v>
      </c>
      <c r="BJ394" s="79">
        <v>2</v>
      </c>
      <c r="BK394" s="57">
        <f t="shared" si="1059"/>
        <v>100.53096491487338</v>
      </c>
      <c r="BL394" s="57">
        <f t="shared" si="1018"/>
        <v>502.65482457436684</v>
      </c>
      <c r="BM394" s="80">
        <f>PI()*9*9/4</f>
        <v>63.617251235193308</v>
      </c>
      <c r="BN394" s="80">
        <v>10</v>
      </c>
      <c r="BO394" s="57">
        <f t="shared" si="1198"/>
        <v>636.17251235193305</v>
      </c>
      <c r="BP394" s="57">
        <f t="shared" si="1160"/>
        <v>467476.78341503465</v>
      </c>
      <c r="BQ394" s="77">
        <f t="shared" si="1161"/>
        <v>-2.6775524020195007E-9</v>
      </c>
      <c r="BR394" s="57">
        <f t="shared" si="1022"/>
        <v>1248163011.7181425</v>
      </c>
      <c r="BS394" s="57">
        <v>364.20006414889576</v>
      </c>
      <c r="BT394" s="57">
        <f t="shared" si="1170"/>
        <v>373.30545565232518</v>
      </c>
      <c r="BU394" s="57" t="e">
        <f>IF(BS394/AS394&gt;#REF!,1,0)</f>
        <v>#REF!</v>
      </c>
      <c r="BV394" s="57">
        <v>3.3E-3</v>
      </c>
      <c r="BW394" s="57">
        <v>30000</v>
      </c>
      <c r="BX394" s="57">
        <v>200000</v>
      </c>
      <c r="BY394" s="77">
        <v>20</v>
      </c>
      <c r="BZ394" s="77">
        <f>20+50*1</f>
        <v>70</v>
      </c>
      <c r="CA394" s="77">
        <f>20+50*2</f>
        <v>120</v>
      </c>
      <c r="CB394" s="77">
        <f>20+50*3</f>
        <v>170</v>
      </c>
      <c r="CC394" s="77">
        <f>20+50*4</f>
        <v>220</v>
      </c>
      <c r="CD394" s="77">
        <f>220+90</f>
        <v>310</v>
      </c>
      <c r="CE394" s="77">
        <f>310+120*1</f>
        <v>430</v>
      </c>
      <c r="CF394" s="77">
        <f>310+120*2</f>
        <v>550</v>
      </c>
      <c r="CG394" s="77">
        <f>310+120*3</f>
        <v>670</v>
      </c>
      <c r="CH394" s="77">
        <f>310+120*4</f>
        <v>790</v>
      </c>
      <c r="CI394" s="77">
        <f>790+90</f>
        <v>880</v>
      </c>
      <c r="CJ394" s="77">
        <f>880+50*1</f>
        <v>930</v>
      </c>
      <c r="CK394" s="77">
        <f>880+50*2</f>
        <v>980</v>
      </c>
      <c r="CL394" s="77">
        <f>880+50*3</f>
        <v>1030</v>
      </c>
      <c r="CM394" s="77">
        <f>880+50*4</f>
        <v>1080</v>
      </c>
      <c r="DM394" s="77">
        <f t="shared" si="1211"/>
        <v>127.23450247038662</v>
      </c>
      <c r="DN394" s="77">
        <f t="shared" si="1211"/>
        <v>127.23450247038662</v>
      </c>
      <c r="DO394" s="77">
        <f t="shared" si="1211"/>
        <v>127.23450247038662</v>
      </c>
      <c r="DP394" s="77">
        <f t="shared" si="1211"/>
        <v>127.23450247038662</v>
      </c>
      <c r="DQ394" s="77">
        <f t="shared" si="1211"/>
        <v>127.23450247038662</v>
      </c>
      <c r="DR394" s="77">
        <f t="shared" si="1212"/>
        <v>100.53096491487338</v>
      </c>
      <c r="DS394" s="77">
        <f t="shared" si="1212"/>
        <v>100.53096491487338</v>
      </c>
      <c r="DT394" s="77">
        <f t="shared" si="1212"/>
        <v>100.53096491487338</v>
      </c>
      <c r="DU394" s="77">
        <f t="shared" si="1212"/>
        <v>100.53096491487338</v>
      </c>
      <c r="DV394" s="77">
        <f t="shared" si="1212"/>
        <v>100.53096491487338</v>
      </c>
      <c r="DW394" s="77">
        <f t="shared" si="1213"/>
        <v>127.23450247038662</v>
      </c>
      <c r="DX394" s="77">
        <f t="shared" si="1213"/>
        <v>127.23450247038662</v>
      </c>
      <c r="DY394" s="77">
        <f t="shared" si="1213"/>
        <v>127.23450247038662</v>
      </c>
      <c r="DZ394" s="77">
        <f t="shared" si="1213"/>
        <v>127.23450247038662</v>
      </c>
      <c r="EA394" s="77">
        <f t="shared" si="1213"/>
        <v>127.23450247038662</v>
      </c>
      <c r="FA394" s="77">
        <f t="shared" si="1113"/>
        <v>-79363.307773264649</v>
      </c>
      <c r="FB394" s="77">
        <f t="shared" si="1114"/>
        <v>-67834.648130288333</v>
      </c>
      <c r="FC394" s="77">
        <f t="shared" si="1205"/>
        <v>-56305.98848731201</v>
      </c>
      <c r="FD394" s="77">
        <f t="shared" si="1214"/>
        <v>-44777.328844335709</v>
      </c>
      <c r="FE394" s="77">
        <f t="shared" si="1214"/>
        <v>-33248.669201359393</v>
      </c>
      <c r="FF394" s="77">
        <f t="shared" si="1206"/>
        <v>-9874.237506371981</v>
      </c>
      <c r="FG394" s="77">
        <f t="shared" si="1206"/>
        <v>11987.517075864582</v>
      </c>
      <c r="FH394" s="77">
        <f t="shared" si="1206"/>
        <v>33849.271658101148</v>
      </c>
      <c r="FI394" s="77">
        <f t="shared" si="1215"/>
        <v>44233.62456254429</v>
      </c>
      <c r="FJ394" s="77">
        <f t="shared" si="1216"/>
        <v>44233.62456254429</v>
      </c>
      <c r="FK394" s="77">
        <f t="shared" si="1217"/>
        <v>118929.6380859279</v>
      </c>
      <c r="FL394" s="77">
        <f t="shared" si="1217"/>
        <v>130458.2977289042</v>
      </c>
      <c r="FM394" s="77">
        <f t="shared" si="1217"/>
        <v>132832.82057908364</v>
      </c>
      <c r="FN394" s="77">
        <f t="shared" si="1217"/>
        <v>132832.82057908364</v>
      </c>
      <c r="FO394" s="77">
        <f t="shared" si="1217"/>
        <v>132832.82057908364</v>
      </c>
      <c r="GO394" s="77">
        <f t="shared" si="1038"/>
        <v>42062553.119830266</v>
      </c>
      <c r="GP394" s="77">
        <f t="shared" si="1039"/>
        <v>32560631.102538399</v>
      </c>
      <c r="GQ394" s="77">
        <f t="shared" si="1040"/>
        <v>24211575.049544163</v>
      </c>
      <c r="GR394" s="77">
        <f t="shared" si="1041"/>
        <v>17015384.960847568</v>
      </c>
      <c r="GS394" s="77">
        <f t="shared" si="1193"/>
        <v>10972060.836448601</v>
      </c>
      <c r="GT394" s="77">
        <f t="shared" si="1139"/>
        <v>2369817.0015292754</v>
      </c>
      <c r="GU394" s="77">
        <f t="shared" si="1140"/>
        <v>-1438502.0491037499</v>
      </c>
      <c r="GV394" s="77">
        <f t="shared" si="1207"/>
        <v>0</v>
      </c>
      <c r="GW394" s="77">
        <f t="shared" si="1208"/>
        <v>5308034.9475053148</v>
      </c>
      <c r="GX394" s="77">
        <f t="shared" si="1209"/>
        <v>10616069.89501063</v>
      </c>
      <c r="GY394" s="77">
        <f t="shared" si="1210"/>
        <v>39246780.568356209</v>
      </c>
      <c r="GZ394" s="77">
        <f t="shared" si="1218"/>
        <v>49574153.136983596</v>
      </c>
      <c r="HA394" s="77">
        <f t="shared" si="1219"/>
        <v>57118112.849005967</v>
      </c>
      <c r="HB394" s="77">
        <f t="shared" si="1220"/>
        <v>63759753.877960145</v>
      </c>
      <c r="HC394" s="77">
        <f t="shared" si="1221"/>
        <v>70401394.906914324</v>
      </c>
      <c r="IC394" s="82">
        <v>416</v>
      </c>
    </row>
    <row r="395" spans="1:237" s="77" customFormat="1">
      <c r="A395" s="77">
        <v>395</v>
      </c>
      <c r="C395" s="122" t="s">
        <v>422</v>
      </c>
      <c r="D395" s="122" t="s">
        <v>370</v>
      </c>
      <c r="E395" s="125">
        <v>1</v>
      </c>
      <c r="F395" s="125">
        <f t="shared" si="1199"/>
        <v>7.6820209360832059E-2</v>
      </c>
      <c r="G395" s="122">
        <v>9.4901960784313719E-3</v>
      </c>
      <c r="H395" s="122">
        <v>1.9176470588235295E-2</v>
      </c>
      <c r="I395" s="122">
        <f>73.6/AU395</f>
        <v>2.7565543071161047E-2</v>
      </c>
      <c r="J395" s="122">
        <v>2.4300000000000002</v>
      </c>
      <c r="K395" s="125">
        <f t="shared" si="1089"/>
        <v>7.8571428571428568</v>
      </c>
      <c r="L395" s="125">
        <f t="shared" si="1090"/>
        <v>5.3498902633715838E-2</v>
      </c>
      <c r="M395" s="125">
        <f t="shared" si="1091"/>
        <v>7.0618551476504907E-2</v>
      </c>
      <c r="N395" s="125">
        <f t="shared" si="1092"/>
        <v>0.4819688780878067</v>
      </c>
      <c r="O395" s="125">
        <f t="shared" si="1093"/>
        <v>0.13701152556529994</v>
      </c>
      <c r="P395" s="122">
        <v>0.316</v>
      </c>
      <c r="Q395" s="122" t="s">
        <v>3</v>
      </c>
      <c r="R395" s="133">
        <v>0</v>
      </c>
      <c r="S395" s="75">
        <f t="shared" si="1163"/>
        <v>0.51384049785729846</v>
      </c>
      <c r="T395" s="59">
        <f t="shared" si="1142"/>
        <v>0.90210119771415775</v>
      </c>
      <c r="U395" s="59">
        <f t="shared" si="1143"/>
        <v>0.70650979761400978</v>
      </c>
      <c r="V395" s="59">
        <f t="shared" si="1144"/>
        <v>0.88321669734063546</v>
      </c>
      <c r="W395" s="59">
        <f t="shared" si="1145"/>
        <v>0.97906609544320089</v>
      </c>
      <c r="X395" s="59">
        <f t="shared" si="1146"/>
        <v>1.2501124546657265</v>
      </c>
      <c r="Y395" s="127">
        <v>529300</v>
      </c>
      <c r="Z395" s="57">
        <f t="shared" si="1147"/>
        <v>661684.52225456899</v>
      </c>
      <c r="AA395" s="57">
        <f t="shared" si="1148"/>
        <v>518219.68431808625</v>
      </c>
      <c r="AB395" s="57">
        <f t="shared" si="1194"/>
        <v>592587.97733517084</v>
      </c>
      <c r="AC395" s="57">
        <f t="shared" si="1149"/>
        <v>0.17</v>
      </c>
      <c r="AD395" s="57">
        <f t="shared" si="1150"/>
        <v>2.2000000000000002</v>
      </c>
      <c r="AE395" s="57">
        <f t="shared" si="1151"/>
        <v>1378022.8</v>
      </c>
      <c r="AF395" s="57">
        <f t="shared" si="1152"/>
        <v>193408.24475019981</v>
      </c>
      <c r="AG395" s="57">
        <f t="shared" si="1058"/>
        <v>324811.43956788641</v>
      </c>
      <c r="AH395" s="57">
        <f t="shared" si="1195"/>
        <v>1093536392.090199</v>
      </c>
      <c r="AI395" s="77">
        <f t="shared" si="1196"/>
        <v>488673507.39470726</v>
      </c>
      <c r="AJ395" s="77">
        <v>1750000</v>
      </c>
      <c r="AK395" s="77">
        <v>44.741</v>
      </c>
      <c r="AL395" s="78">
        <f t="shared" si="1153"/>
        <v>3.7156752322623503</v>
      </c>
      <c r="AM395" s="57">
        <f t="shared" si="1154"/>
        <v>0.98226052631578942</v>
      </c>
      <c r="AN395" s="57">
        <f t="shared" si="1155"/>
        <v>0.78226052631578946</v>
      </c>
      <c r="AO395" s="77">
        <v>1100</v>
      </c>
      <c r="AP395" s="79">
        <v>220</v>
      </c>
      <c r="AQ395" s="57">
        <f t="shared" si="1156"/>
        <v>182.11388174674073</v>
      </c>
      <c r="AR395" s="57">
        <f t="shared" si="1197"/>
        <v>660</v>
      </c>
      <c r="AS395" s="57">
        <f t="shared" si="1157"/>
        <v>917.88611825325927</v>
      </c>
      <c r="AT395" s="77">
        <v>140</v>
      </c>
      <c r="AU395" s="77">
        <f>2550+120</f>
        <v>2670</v>
      </c>
      <c r="AV395" s="57">
        <f t="shared" si="1158"/>
        <v>154000</v>
      </c>
      <c r="AW395" s="77">
        <v>0</v>
      </c>
      <c r="AX395" s="77">
        <f t="shared" si="1159"/>
        <v>154000</v>
      </c>
      <c r="AY395" s="77">
        <f t="shared" si="1200"/>
        <v>154000</v>
      </c>
      <c r="AZ395" s="77">
        <f t="shared" si="1141"/>
        <v>440</v>
      </c>
      <c r="BA395" s="77">
        <v>440</v>
      </c>
      <c r="BB395" s="77">
        <v>1044</v>
      </c>
      <c r="BC395" s="77">
        <v>1115</v>
      </c>
      <c r="BD395" s="77">
        <f>(PI()*8*8*10)/(4*660*140)</f>
        <v>5.4399872789433644E-3</v>
      </c>
      <c r="BE395" s="77">
        <f>(2*PI()*8*8)/(4*100*140)</f>
        <v>7.1807832082052417E-3</v>
      </c>
      <c r="BF395" s="77">
        <f>(PI()*9*9*10)/(4*220*140)</f>
        <v>2.0654951699738085E-2</v>
      </c>
      <c r="BG395" s="77">
        <f>(2*PI()*7*7)/(4*100*140)</f>
        <v>5.4977871437821377E-3</v>
      </c>
      <c r="BH395" s="79">
        <v>100</v>
      </c>
      <c r="BI395" s="79">
        <f>PI()*8*8/4</f>
        <v>50.26548245743669</v>
      </c>
      <c r="BJ395" s="79">
        <v>2</v>
      </c>
      <c r="BK395" s="57">
        <f t="shared" si="1059"/>
        <v>100.53096491487338</v>
      </c>
      <c r="BL395" s="57">
        <f t="shared" si="1018"/>
        <v>502.65482457436684</v>
      </c>
      <c r="BM395" s="80">
        <f>PI()*9*9/4</f>
        <v>63.617251235193308</v>
      </c>
      <c r="BN395" s="80">
        <v>10</v>
      </c>
      <c r="BO395" s="57">
        <f t="shared" si="1198"/>
        <v>636.17251235193305</v>
      </c>
      <c r="BP395" s="57">
        <f t="shared" si="1160"/>
        <v>467486.59790239832</v>
      </c>
      <c r="BQ395" s="77">
        <f t="shared" si="1161"/>
        <v>-230.55565788265085</v>
      </c>
      <c r="BR395" s="57">
        <f t="shared" si="1022"/>
        <v>1248189216.3994036</v>
      </c>
      <c r="BS395" s="57">
        <v>364.22776349348146</v>
      </c>
      <c r="BT395" s="57">
        <f t="shared" si="1170"/>
        <v>373.30545565232518</v>
      </c>
      <c r="BU395" s="57" t="e">
        <f>IF(BS395/AS395&gt;#REF!,1,0)</f>
        <v>#REF!</v>
      </c>
      <c r="BV395" s="57">
        <v>3.3E-3</v>
      </c>
      <c r="BW395" s="57">
        <v>30000</v>
      </c>
      <c r="BX395" s="57">
        <v>200000</v>
      </c>
      <c r="BY395" s="77">
        <v>20</v>
      </c>
      <c r="BZ395" s="77">
        <f>20+50*1</f>
        <v>70</v>
      </c>
      <c r="CA395" s="77">
        <f>20+50*2</f>
        <v>120</v>
      </c>
      <c r="CB395" s="77">
        <f>20+50*3</f>
        <v>170</v>
      </c>
      <c r="CC395" s="77">
        <f>20+50*4</f>
        <v>220</v>
      </c>
      <c r="CD395" s="77">
        <f>220+90</f>
        <v>310</v>
      </c>
      <c r="CE395" s="77">
        <f>310+120*1</f>
        <v>430</v>
      </c>
      <c r="CF395" s="77">
        <f>310+120*2</f>
        <v>550</v>
      </c>
      <c r="CG395" s="77">
        <f>310+120*3</f>
        <v>670</v>
      </c>
      <c r="CH395" s="77">
        <f>310+120*4</f>
        <v>790</v>
      </c>
      <c r="CI395" s="77">
        <f>790+90</f>
        <v>880</v>
      </c>
      <c r="CJ395" s="77">
        <f>880+50*1</f>
        <v>930</v>
      </c>
      <c r="CK395" s="77">
        <f>880+50*2</f>
        <v>980</v>
      </c>
      <c r="CL395" s="77">
        <f>880+50*3</f>
        <v>1030</v>
      </c>
      <c r="CM395" s="77">
        <f>880+50*4</f>
        <v>1080</v>
      </c>
      <c r="DM395" s="77">
        <f t="shared" si="1211"/>
        <v>127.23450247038662</v>
      </c>
      <c r="DN395" s="77">
        <f t="shared" si="1211"/>
        <v>127.23450247038662</v>
      </c>
      <c r="DO395" s="77">
        <f t="shared" si="1211"/>
        <v>127.23450247038662</v>
      </c>
      <c r="DP395" s="77">
        <f t="shared" si="1211"/>
        <v>127.23450247038662</v>
      </c>
      <c r="DQ395" s="77">
        <f t="shared" si="1211"/>
        <v>127.23450247038662</v>
      </c>
      <c r="DR395" s="77">
        <f t="shared" si="1212"/>
        <v>100.53096491487338</v>
      </c>
      <c r="DS395" s="77">
        <f t="shared" si="1212"/>
        <v>100.53096491487338</v>
      </c>
      <c r="DT395" s="77">
        <f t="shared" si="1212"/>
        <v>100.53096491487338</v>
      </c>
      <c r="DU395" s="77">
        <f t="shared" si="1212"/>
        <v>100.53096491487338</v>
      </c>
      <c r="DV395" s="77">
        <f t="shared" si="1212"/>
        <v>100.53096491487338</v>
      </c>
      <c r="DW395" s="77">
        <f t="shared" si="1213"/>
        <v>127.23450247038662</v>
      </c>
      <c r="DX395" s="77">
        <f t="shared" si="1213"/>
        <v>127.23450247038662</v>
      </c>
      <c r="DY395" s="77">
        <f t="shared" si="1213"/>
        <v>127.23450247038662</v>
      </c>
      <c r="DZ395" s="77">
        <f t="shared" si="1213"/>
        <v>127.23450247038662</v>
      </c>
      <c r="EA395" s="77">
        <f t="shared" si="1213"/>
        <v>127.23450247038662</v>
      </c>
      <c r="FA395" s="77">
        <f t="shared" si="1113"/>
        <v>-79363.658472852185</v>
      </c>
      <c r="FB395" s="77">
        <f t="shared" si="1114"/>
        <v>-67835.875578844702</v>
      </c>
      <c r="FC395" s="77">
        <f t="shared" si="1205"/>
        <v>-56308.092684837211</v>
      </c>
      <c r="FD395" s="77">
        <f t="shared" si="1214"/>
        <v>-44780.309790829728</v>
      </c>
      <c r="FE395" s="77">
        <f t="shared" si="1214"/>
        <v>-33252.526896822252</v>
      </c>
      <c r="FF395" s="77">
        <f t="shared" si="1206"/>
        <v>-9878.5324939131096</v>
      </c>
      <c r="FG395" s="77">
        <f t="shared" si="1206"/>
        <v>11981.559512501077</v>
      </c>
      <c r="FH395" s="77">
        <f t="shared" si="1206"/>
        <v>33841.651518915271</v>
      </c>
      <c r="FI395" s="77">
        <f t="shared" si="1215"/>
        <v>44233.62456254429</v>
      </c>
      <c r="FJ395" s="77">
        <f t="shared" si="1216"/>
        <v>44233.62456254429</v>
      </c>
      <c r="FK395" s="77">
        <f t="shared" si="1217"/>
        <v>118914.20730407651</v>
      </c>
      <c r="FL395" s="77">
        <f t="shared" si="1217"/>
        <v>130441.99019808401</v>
      </c>
      <c r="FM395" s="77">
        <f t="shared" si="1217"/>
        <v>132832.82057908364</v>
      </c>
      <c r="FN395" s="77">
        <f t="shared" si="1217"/>
        <v>132832.82057908364</v>
      </c>
      <c r="FO395" s="77">
        <f t="shared" si="1217"/>
        <v>132832.82057908364</v>
      </c>
      <c r="GO395" s="77">
        <f t="shared" si="1038"/>
        <v>42062738.990611658</v>
      </c>
      <c r="GP395" s="77">
        <f t="shared" si="1039"/>
        <v>32561220.277845457</v>
      </c>
      <c r="GQ395" s="77">
        <f t="shared" si="1040"/>
        <v>24212479.854480002</v>
      </c>
      <c r="GR395" s="77">
        <f t="shared" si="1041"/>
        <v>17016517.720515296</v>
      </c>
      <c r="GS395" s="77">
        <f t="shared" si="1193"/>
        <v>10973333.875951342</v>
      </c>
      <c r="GT395" s="77">
        <f t="shared" si="1139"/>
        <v>2370847.7985391463</v>
      </c>
      <c r="GU395" s="77">
        <f t="shared" si="1140"/>
        <v>-1437787.1415001291</v>
      </c>
      <c r="GV395" s="77">
        <f t="shared" si="1207"/>
        <v>0</v>
      </c>
      <c r="GW395" s="77">
        <f t="shared" si="1208"/>
        <v>5308034.9475053148</v>
      </c>
      <c r="GX395" s="77">
        <f t="shared" si="1209"/>
        <v>10616069.89501063</v>
      </c>
      <c r="GY395" s="77">
        <f t="shared" si="1210"/>
        <v>39241688.410345249</v>
      </c>
      <c r="GZ395" s="77">
        <f t="shared" si="1218"/>
        <v>49567956.275271922</v>
      </c>
      <c r="HA395" s="77">
        <f t="shared" si="1219"/>
        <v>57118112.849005967</v>
      </c>
      <c r="HB395" s="77">
        <f t="shared" si="1220"/>
        <v>63759753.877960145</v>
      </c>
      <c r="HC395" s="77">
        <f t="shared" si="1221"/>
        <v>70401394.906914324</v>
      </c>
      <c r="IC395" s="82">
        <v>417</v>
      </c>
    </row>
    <row r="396" spans="1:237" s="77" customFormat="1">
      <c r="A396" s="77">
        <v>396</v>
      </c>
      <c r="C396" s="122" t="s">
        <v>423</v>
      </c>
      <c r="D396" s="122" t="s">
        <v>424</v>
      </c>
      <c r="E396" s="59">
        <v>1</v>
      </c>
      <c r="F396" s="125">
        <f t="shared" si="1199"/>
        <v>5.1232323232323233E-2</v>
      </c>
      <c r="G396" s="122">
        <v>2.8999999999999998E-3</v>
      </c>
      <c r="H396" s="122">
        <v>1.41E-2</v>
      </c>
      <c r="I396" s="132">
        <f>(4+2.8)/2/100</f>
        <v>3.4000000000000002E-2</v>
      </c>
      <c r="J396" s="122">
        <f t="shared" ref="J396:J415" si="1222">AU396/AO396</f>
        <v>1.7142857142857142</v>
      </c>
      <c r="K396" s="125">
        <f t="shared" ref="K396:K426" si="1223">AO396/AT396</f>
        <v>21.875</v>
      </c>
      <c r="L396" s="125">
        <f t="shared" ref="L396:L426" si="1224">BD396*BA396/AK396</f>
        <v>2.9090909090909091E-2</v>
      </c>
      <c r="M396" s="125">
        <f t="shared" ref="M396:M426" si="1225">BE396*BA396/AK396</f>
        <v>2.9090909090909091E-2</v>
      </c>
      <c r="N396" s="125">
        <f t="shared" ref="N396:N426" si="1226">BF396*BB396/AK396</f>
        <v>6.6181818181818189E-2</v>
      </c>
      <c r="O396" s="125">
        <f t="shared" ref="O396:O426" si="1227">BG396*BC396/AK396</f>
        <v>6.9090909090909092E-2</v>
      </c>
      <c r="P396" s="122">
        <v>0.11</v>
      </c>
      <c r="Q396" s="122" t="s">
        <v>28</v>
      </c>
      <c r="R396" s="134">
        <f t="shared" ref="R396:R426" si="1228">AW396/AY396</f>
        <v>0.55555555555555558</v>
      </c>
      <c r="S396" s="75">
        <f t="shared" si="1163"/>
        <v>0.37994907804595152</v>
      </c>
      <c r="T396" s="59">
        <f t="shared" si="1142"/>
        <v>0.99084977897068005</v>
      </c>
      <c r="U396" s="59">
        <f t="shared" si="1143"/>
        <v>1.1100353285468125</v>
      </c>
      <c r="V396" s="59">
        <f t="shared" si="1144"/>
        <v>0.78432434035500409</v>
      </c>
      <c r="W396" s="59">
        <f t="shared" si="1145"/>
        <v>0.79156735662774247</v>
      </c>
      <c r="X396" s="59">
        <f t="shared" si="1146"/>
        <v>0.70657601626228561</v>
      </c>
      <c r="Y396" s="127">
        <v>634000</v>
      </c>
      <c r="Z396" s="57">
        <f t="shared" si="1147"/>
        <v>447969.19431028905</v>
      </c>
      <c r="AA396" s="57">
        <f t="shared" si="1148"/>
        <v>501853.7041019887</v>
      </c>
      <c r="AB396" s="57">
        <f t="shared" si="1194"/>
        <v>614939.10019665607</v>
      </c>
      <c r="AC396" s="57">
        <f t="shared" si="1149"/>
        <v>0.21571428571428575</v>
      </c>
      <c r="AD396" s="57">
        <f t="shared" si="1150"/>
        <v>1.7142857142857142</v>
      </c>
      <c r="AE396" s="57">
        <f t="shared" si="1151"/>
        <v>1361250</v>
      </c>
      <c r="AF396" s="57">
        <f t="shared" si="1152"/>
        <v>220422.91041883253</v>
      </c>
      <c r="AG396" s="57">
        <f t="shared" si="1058"/>
        <v>281430.7936831562</v>
      </c>
      <c r="AH396" s="57">
        <f t="shared" si="1195"/>
        <v>1502888067.4171054</v>
      </c>
      <c r="AI396" s="77">
        <f t="shared" si="1196"/>
        <v>341929233.17286289</v>
      </c>
      <c r="AJ396" s="77">
        <v>1500000</v>
      </c>
      <c r="AK396" s="77">
        <v>55</v>
      </c>
      <c r="AL396" s="78">
        <f t="shared" si="1153"/>
        <v>4.1624506647866344</v>
      </c>
      <c r="AM396" s="57">
        <f t="shared" si="1154"/>
        <v>0.95526315789473681</v>
      </c>
      <c r="AN396" s="57">
        <f t="shared" si="1155"/>
        <v>0.75526315789473686</v>
      </c>
      <c r="AO396" s="77">
        <v>1750</v>
      </c>
      <c r="AP396" s="79">
        <v>250</v>
      </c>
      <c r="AQ396" s="57">
        <f t="shared" si="1156"/>
        <v>194.75340441146997</v>
      </c>
      <c r="AR396" s="57">
        <f t="shared" si="1197"/>
        <v>1250</v>
      </c>
      <c r="AS396" s="57">
        <f t="shared" si="1157"/>
        <v>1555.24659558853</v>
      </c>
      <c r="AT396" s="77">
        <v>80</v>
      </c>
      <c r="AU396" s="77">
        <v>3000</v>
      </c>
      <c r="AV396" s="57">
        <f t="shared" si="1158"/>
        <v>100000</v>
      </c>
      <c r="AW396" s="77">
        <f>2*250*250</f>
        <v>125000</v>
      </c>
      <c r="AX396" s="77">
        <f t="shared" si="1159"/>
        <v>140000</v>
      </c>
      <c r="AY396" s="77">
        <f>80*1250+AW396</f>
        <v>225000</v>
      </c>
      <c r="AZ396" s="77">
        <f t="shared" si="1141"/>
        <v>400</v>
      </c>
      <c r="BA396" s="77">
        <v>400</v>
      </c>
      <c r="BB396" s="77">
        <v>400</v>
      </c>
      <c r="BC396" s="77">
        <v>400</v>
      </c>
      <c r="BD396" s="77">
        <v>4.0000000000000001E-3</v>
      </c>
      <c r="BE396" s="77">
        <v>4.0000000000000001E-3</v>
      </c>
      <c r="BF396" s="77">
        <v>9.1000000000000004E-3</v>
      </c>
      <c r="BG396" s="77">
        <v>9.4999999999999998E-3</v>
      </c>
      <c r="BH396" s="79">
        <v>100</v>
      </c>
      <c r="BI396" s="79">
        <f>PI()*6*6/4</f>
        <v>28.274333882308138</v>
      </c>
      <c r="BJ396" s="79">
        <v>2</v>
      </c>
      <c r="BK396" s="57">
        <f t="shared" si="1059"/>
        <v>56.548667764616276</v>
      </c>
      <c r="BL396" s="57">
        <f t="shared" si="1018"/>
        <v>400</v>
      </c>
      <c r="BM396" s="80">
        <f t="shared" ref="BM396:BM402" si="1229">PI()*10*10/4</f>
        <v>78.539816339744831</v>
      </c>
      <c r="BN396" s="80">
        <v>8</v>
      </c>
      <c r="BO396" s="57">
        <f t="shared" si="1198"/>
        <v>628.31853071795865</v>
      </c>
      <c r="BP396" s="57">
        <f t="shared" si="1160"/>
        <v>497261.63178507256</v>
      </c>
      <c r="BQ396" s="77">
        <f t="shared" si="1161"/>
        <v>0</v>
      </c>
      <c r="BR396" s="57">
        <f t="shared" si="1022"/>
        <v>1491784895.3552177</v>
      </c>
      <c r="BS396" s="57">
        <v>389.50680882293995</v>
      </c>
      <c r="BT396" s="57">
        <f t="shared" si="1170"/>
        <v>594.55649848872338</v>
      </c>
      <c r="BU396" s="57"/>
      <c r="BV396" s="57">
        <v>3.3E-3</v>
      </c>
      <c r="BW396" s="57">
        <v>30000</v>
      </c>
      <c r="BX396" s="57">
        <v>200000</v>
      </c>
      <c r="BY396" s="77">
        <f>25</f>
        <v>25</v>
      </c>
      <c r="BZ396" s="77">
        <f>BY396+100</f>
        <v>125</v>
      </c>
      <c r="CA396" s="77">
        <f>BY396+100*2</f>
        <v>225</v>
      </c>
      <c r="CB396" s="77">
        <f>250+25</f>
        <v>275</v>
      </c>
      <c r="CC396" s="77">
        <f>CB396+100*1</f>
        <v>375</v>
      </c>
      <c r="CD396" s="77">
        <f>CB396+100*2</f>
        <v>475</v>
      </c>
      <c r="CE396" s="77">
        <f>CB396+100*3</f>
        <v>575</v>
      </c>
      <c r="CF396" s="77">
        <f>CB396+100*4</f>
        <v>675</v>
      </c>
      <c r="CG396" s="77">
        <f>CB396+100*5</f>
        <v>775</v>
      </c>
      <c r="CH396" s="77">
        <f>CB396+100*6</f>
        <v>875</v>
      </c>
      <c r="CI396" s="77">
        <f>CB396+100*7</f>
        <v>975</v>
      </c>
      <c r="CJ396" s="77">
        <f>CB396+100*8</f>
        <v>1075</v>
      </c>
      <c r="CK396" s="77">
        <f>CB396+100*9</f>
        <v>1175</v>
      </c>
      <c r="CL396" s="77">
        <f>CB396+100*10</f>
        <v>1275</v>
      </c>
      <c r="CM396" s="77">
        <f>CB396+100*11</f>
        <v>1375</v>
      </c>
      <c r="CN396" s="77">
        <f>CB396+100*12</f>
        <v>1475</v>
      </c>
      <c r="CO396" s="77">
        <f>CN396+25+25</f>
        <v>1525</v>
      </c>
      <c r="CP396" s="77">
        <f>CO396+100*1</f>
        <v>1625</v>
      </c>
      <c r="CQ396" s="77">
        <f>CO396+100*2</f>
        <v>1725</v>
      </c>
      <c r="DM396" s="77">
        <f>PI()*10*10/4*3</f>
        <v>235.61944901923448</v>
      </c>
      <c r="DN396" s="77">
        <f t="shared" ref="DN396:DN402" si="1230">PI()*10*10/4*2</f>
        <v>157.07963267948966</v>
      </c>
      <c r="DO396" s="77">
        <f>PI()*10*10/4*3</f>
        <v>235.61944901923448</v>
      </c>
      <c r="DP396" s="77">
        <f t="shared" ref="DP396:EB397" si="1231">PI()*6*6/4</f>
        <v>28.274333882308138</v>
      </c>
      <c r="DQ396" s="77">
        <f t="shared" si="1231"/>
        <v>28.274333882308138</v>
      </c>
      <c r="DR396" s="77">
        <f t="shared" si="1231"/>
        <v>28.274333882308138</v>
      </c>
      <c r="DS396" s="77">
        <f t="shared" si="1231"/>
        <v>28.274333882308138</v>
      </c>
      <c r="DT396" s="77">
        <f t="shared" si="1231"/>
        <v>28.274333882308138</v>
      </c>
      <c r="DU396" s="77">
        <f t="shared" si="1231"/>
        <v>28.274333882308138</v>
      </c>
      <c r="DV396" s="77">
        <f t="shared" si="1231"/>
        <v>28.274333882308138</v>
      </c>
      <c r="DW396" s="77">
        <f t="shared" si="1231"/>
        <v>28.274333882308138</v>
      </c>
      <c r="DX396" s="77">
        <f t="shared" si="1231"/>
        <v>28.274333882308138</v>
      </c>
      <c r="DY396" s="77">
        <f t="shared" si="1231"/>
        <v>28.274333882308138</v>
      </c>
      <c r="DZ396" s="77">
        <f t="shared" si="1231"/>
        <v>28.274333882308138</v>
      </c>
      <c r="EA396" s="77">
        <f t="shared" si="1231"/>
        <v>28.274333882308138</v>
      </c>
      <c r="EB396" s="77">
        <f t="shared" si="1231"/>
        <v>28.274333882308138</v>
      </c>
      <c r="EC396" s="77">
        <f>PI()*10*10/4*3</f>
        <v>235.61944901923448</v>
      </c>
      <c r="ED396" s="77">
        <f>PI()*10*10/4*2</f>
        <v>157.07963267948966</v>
      </c>
      <c r="EE396" s="77">
        <f>PI()*10*10/4*3</f>
        <v>235.61944901923448</v>
      </c>
      <c r="FA396" s="77">
        <f t="shared" si="1113"/>
        <v>-94247.779607693796</v>
      </c>
      <c r="FB396" s="77">
        <f t="shared" si="1114"/>
        <v>-62831.853071795864</v>
      </c>
      <c r="FC396" s="77">
        <f t="shared" si="1205"/>
        <v>-65678.601330380523</v>
      </c>
      <c r="FD396" s="77">
        <f>IF(ABS(-$BV396*($BS396-CB396)/$BS396*$BX396)&gt;$BA396,$BA396*SIGN(-($BS396-CB396)),-$BV396*($BS396-CB396)/$BS396*$BX396)*DP396</f>
        <v>-5485.9592257172817</v>
      </c>
      <c r="FE396" s="77">
        <f>IF(ABS(-$BV396*($BS396-CC396)/$BS396*$BX396)&gt;$BA396,$BA396*SIGN(-($BS396-CC396)),-$BV396*($BS396-CC396)/$BS396*$BX396)*DQ396</f>
        <v>-695.01335786052118</v>
      </c>
      <c r="FF396" s="77">
        <f t="shared" si="1206"/>
        <v>4095.9325099962393</v>
      </c>
      <c r="FG396" s="77">
        <f t="shared" si="1206"/>
        <v>8886.8783778529978</v>
      </c>
      <c r="FH396" s="77">
        <f t="shared" si="1206"/>
        <v>11309.733552923255</v>
      </c>
      <c r="FI396" s="77">
        <f t="shared" si="1215"/>
        <v>11309.733552923255</v>
      </c>
      <c r="FJ396" s="77">
        <f t="shared" si="1216"/>
        <v>11309.733552923255</v>
      </c>
      <c r="FK396" s="77">
        <f t="shared" ref="FK396:FP397" si="1232">IF(ABS(-$BV396*($BS396-CI396)/$BS396*$BX396)&gt;$BA396,$BA396*SIGN(-($BS396-CI396)),-$BV396*($BS396-CI396)/$BS396*$BX396)*DW396</f>
        <v>11309.733552923255</v>
      </c>
      <c r="FL396" s="77">
        <f t="shared" si="1232"/>
        <v>11309.733552923255</v>
      </c>
      <c r="FM396" s="77">
        <f t="shared" si="1232"/>
        <v>11309.733552923255</v>
      </c>
      <c r="FN396" s="77">
        <f t="shared" si="1232"/>
        <v>11309.733552923255</v>
      </c>
      <c r="FO396" s="77">
        <f t="shared" si="1232"/>
        <v>11309.733552923255</v>
      </c>
      <c r="FP396" s="77">
        <f t="shared" si="1232"/>
        <v>11309.733552923255</v>
      </c>
      <c r="FQ396" s="77">
        <f t="shared" ref="FQ396:FS399" si="1233">IF(ABS(-$BV396*($BS396-CO396)/$BS396*$BX396)&gt;$BB396,$BB396*SIGN(-($BS396-CO396)),-$BV396*($BS396-CO396)/$BS396*$BX396)*EC396</f>
        <v>94247.779607693796</v>
      </c>
      <c r="FR396" s="77">
        <f t="shared" si="1233"/>
        <v>62831.853071795864</v>
      </c>
      <c r="FS396" s="77">
        <f t="shared" si="1233"/>
        <v>94247.779607693796</v>
      </c>
      <c r="GO396" s="77">
        <f t="shared" si="1038"/>
        <v>80110612.666539729</v>
      </c>
      <c r="GP396" s="77">
        <f t="shared" si="1039"/>
        <v>47123889.803846896</v>
      </c>
      <c r="GQ396" s="77">
        <f t="shared" si="1040"/>
        <v>42691090.864747338</v>
      </c>
      <c r="GR396" s="77">
        <f t="shared" si="1041"/>
        <v>3291575.535430369</v>
      </c>
      <c r="GS396" s="77">
        <f t="shared" si="1193"/>
        <v>347506.67893026059</v>
      </c>
      <c r="GT396" s="77">
        <f t="shared" si="1139"/>
        <v>-1638373.0039984956</v>
      </c>
      <c r="GU396" s="77">
        <f t="shared" si="1140"/>
        <v>-2666063.5133558991</v>
      </c>
      <c r="GV396" s="77">
        <f t="shared" si="1207"/>
        <v>-2261946.7105846512</v>
      </c>
      <c r="GW396" s="77">
        <f t="shared" si="1208"/>
        <v>-1130973.3552923256</v>
      </c>
      <c r="GX396" s="77">
        <f t="shared" si="1209"/>
        <v>0</v>
      </c>
      <c r="GY396" s="77">
        <f t="shared" si="1210"/>
        <v>1130973.3552923256</v>
      </c>
      <c r="GZ396" s="77">
        <f t="shared" si="1218"/>
        <v>2261946.7105846512</v>
      </c>
      <c r="HA396" s="77">
        <f t="shared" si="1219"/>
        <v>3392920.0658769766</v>
      </c>
      <c r="HB396" s="77">
        <f t="shared" si="1220"/>
        <v>4523893.4211693024</v>
      </c>
      <c r="HC396" s="77">
        <f t="shared" si="1221"/>
        <v>5654866.7764616273</v>
      </c>
      <c r="HD396" s="77">
        <f t="shared" ref="HD396:HG402" si="1234">FP396*(CN396-0.5*$AO396)</f>
        <v>6785840.1317539532</v>
      </c>
      <c r="HE396" s="77">
        <f t="shared" si="1234"/>
        <v>61261056.745000966</v>
      </c>
      <c r="HF396" s="77">
        <f t="shared" si="1234"/>
        <v>47123889.803846896</v>
      </c>
      <c r="HG396" s="77">
        <f t="shared" si="1234"/>
        <v>80110612.666539729</v>
      </c>
      <c r="IC396" s="82">
        <v>418</v>
      </c>
    </row>
    <row r="397" spans="1:237" s="77" customFormat="1">
      <c r="A397" s="77">
        <v>397</v>
      </c>
      <c r="C397" s="122" t="s">
        <v>423</v>
      </c>
      <c r="D397" s="122" t="s">
        <v>425</v>
      </c>
      <c r="E397" s="59">
        <v>1</v>
      </c>
      <c r="F397" s="125">
        <f t="shared" si="1199"/>
        <v>5.1151515151515156E-2</v>
      </c>
      <c r="G397" s="122">
        <v>2.5999999999999999E-3</v>
      </c>
      <c r="H397" s="122">
        <v>1.7100000000000001E-2</v>
      </c>
      <c r="I397" s="122">
        <v>0.02</v>
      </c>
      <c r="J397" s="122">
        <f t="shared" si="1222"/>
        <v>1.7142857142857142</v>
      </c>
      <c r="K397" s="125">
        <f t="shared" si="1223"/>
        <v>21.875</v>
      </c>
      <c r="L397" s="125">
        <f t="shared" si="1224"/>
        <v>2.9090909090909091E-2</v>
      </c>
      <c r="M397" s="125">
        <f t="shared" si="1225"/>
        <v>2.9090909090909091E-2</v>
      </c>
      <c r="N397" s="125">
        <f t="shared" si="1226"/>
        <v>6.6181818181818189E-2</v>
      </c>
      <c r="O397" s="125">
        <f t="shared" si="1227"/>
        <v>2.3272727272727275E-2</v>
      </c>
      <c r="P397" s="122">
        <v>0.11</v>
      </c>
      <c r="Q397" s="122" t="s">
        <v>28</v>
      </c>
      <c r="R397" s="134">
        <f t="shared" si="1228"/>
        <v>0.55555555555555558</v>
      </c>
      <c r="S397" s="75">
        <f t="shared" si="1163"/>
        <v>0.37934978927931756</v>
      </c>
      <c r="T397" s="59">
        <f t="shared" si="1142"/>
        <v>0.99084977897068005</v>
      </c>
      <c r="U397" s="59">
        <f t="shared" si="1143"/>
        <v>1.1100353285468125</v>
      </c>
      <c r="V397" s="59">
        <f t="shared" si="1144"/>
        <v>0.78556339934450636</v>
      </c>
      <c r="W397" s="59">
        <f t="shared" si="1145"/>
        <v>0.79281785798102478</v>
      </c>
      <c r="X397" s="59">
        <f t="shared" si="1146"/>
        <v>0.70769225009524339</v>
      </c>
      <c r="Y397" s="127">
        <v>633000</v>
      </c>
      <c r="Z397" s="57">
        <f t="shared" si="1147"/>
        <v>447969.19431028905</v>
      </c>
      <c r="AA397" s="57">
        <f t="shared" si="1148"/>
        <v>501853.7041019887</v>
      </c>
      <c r="AB397" s="57">
        <f t="shared" si="1194"/>
        <v>614939.10019665607</v>
      </c>
      <c r="AC397" s="57">
        <f t="shared" si="1149"/>
        <v>0.21571428571428575</v>
      </c>
      <c r="AD397" s="57">
        <f t="shared" si="1150"/>
        <v>1.7142857142857142</v>
      </c>
      <c r="AE397" s="57">
        <f t="shared" si="1151"/>
        <v>1361250</v>
      </c>
      <c r="AF397" s="57">
        <f t="shared" si="1152"/>
        <v>220422.91041883253</v>
      </c>
      <c r="AG397" s="57">
        <f t="shared" si="1058"/>
        <v>281430.7936831562</v>
      </c>
      <c r="AH397" s="57">
        <f t="shared" si="1195"/>
        <v>1502888067.4171054</v>
      </c>
      <c r="AI397" s="77">
        <f t="shared" si="1196"/>
        <v>341929233.17286289</v>
      </c>
      <c r="AJ397" s="77">
        <v>1500000</v>
      </c>
      <c r="AK397" s="77">
        <v>55</v>
      </c>
      <c r="AL397" s="78">
        <f t="shared" si="1153"/>
        <v>4.1624506647866344</v>
      </c>
      <c r="AM397" s="57">
        <f t="shared" si="1154"/>
        <v>0.95526315789473681</v>
      </c>
      <c r="AN397" s="57">
        <f t="shared" si="1155"/>
        <v>0.75526315789473686</v>
      </c>
      <c r="AO397" s="77">
        <v>1750</v>
      </c>
      <c r="AP397" s="79">
        <v>250</v>
      </c>
      <c r="AQ397" s="57">
        <f t="shared" si="1156"/>
        <v>194.75340441146997</v>
      </c>
      <c r="AR397" s="57">
        <f t="shared" si="1197"/>
        <v>1250</v>
      </c>
      <c r="AS397" s="57">
        <f t="shared" si="1157"/>
        <v>1555.24659558853</v>
      </c>
      <c r="AT397" s="77">
        <v>80</v>
      </c>
      <c r="AU397" s="77">
        <v>3000</v>
      </c>
      <c r="AV397" s="57">
        <f t="shared" si="1158"/>
        <v>100000</v>
      </c>
      <c r="AW397" s="77">
        <f>2*250*250</f>
        <v>125000</v>
      </c>
      <c r="AX397" s="77">
        <f t="shared" si="1159"/>
        <v>140000</v>
      </c>
      <c r="AY397" s="77">
        <f>80*1250+AW397</f>
        <v>225000</v>
      </c>
      <c r="AZ397" s="77">
        <f t="shared" si="1141"/>
        <v>400</v>
      </c>
      <c r="BA397" s="77">
        <v>400</v>
      </c>
      <c r="BB397" s="77">
        <v>400</v>
      </c>
      <c r="BC397" s="77">
        <v>400</v>
      </c>
      <c r="BD397" s="77">
        <v>4.0000000000000001E-3</v>
      </c>
      <c r="BE397" s="77">
        <v>4.0000000000000001E-3</v>
      </c>
      <c r="BF397" s="77">
        <v>9.1000000000000004E-3</v>
      </c>
      <c r="BG397" s="77">
        <v>3.2000000000000002E-3</v>
      </c>
      <c r="BH397" s="79">
        <v>100</v>
      </c>
      <c r="BI397" s="79">
        <f>PI()*6*6/4</f>
        <v>28.274333882308138</v>
      </c>
      <c r="BJ397" s="79">
        <v>2</v>
      </c>
      <c r="BK397" s="57">
        <f t="shared" si="1059"/>
        <v>56.548667764616276</v>
      </c>
      <c r="BL397" s="57">
        <f t="shared" ref="BL397:BL426" si="1235">IF(BF397=0,FALSE,BD397*AR397*AT397)</f>
        <v>400</v>
      </c>
      <c r="BM397" s="80">
        <f t="shared" si="1229"/>
        <v>78.539816339744831</v>
      </c>
      <c r="BN397" s="80">
        <v>8</v>
      </c>
      <c r="BO397" s="57">
        <f t="shared" si="1198"/>
        <v>628.31853071795865</v>
      </c>
      <c r="BP397" s="57">
        <f t="shared" si="1160"/>
        <v>497261.63178507256</v>
      </c>
      <c r="BQ397" s="77">
        <f t="shared" si="1161"/>
        <v>0</v>
      </c>
      <c r="BR397" s="57">
        <f t="shared" si="1022"/>
        <v>1491784895.3552177</v>
      </c>
      <c r="BS397" s="57">
        <v>389.50680882293995</v>
      </c>
      <c r="BT397" s="57">
        <f t="shared" si="1170"/>
        <v>594.55649848872338</v>
      </c>
      <c r="BU397" s="57"/>
      <c r="BV397" s="57">
        <v>3.3E-3</v>
      </c>
      <c r="BW397" s="57">
        <v>30000</v>
      </c>
      <c r="BX397" s="57">
        <v>200000</v>
      </c>
      <c r="BY397" s="77">
        <f>25</f>
        <v>25</v>
      </c>
      <c r="BZ397" s="77">
        <f>BY397+100</f>
        <v>125</v>
      </c>
      <c r="CA397" s="77">
        <f>BY397+100*2</f>
        <v>225</v>
      </c>
      <c r="CB397" s="77">
        <f>250+25</f>
        <v>275</v>
      </c>
      <c r="CC397" s="77">
        <f>CB397+100*1</f>
        <v>375</v>
      </c>
      <c r="CD397" s="77">
        <f>CB397+100*2</f>
        <v>475</v>
      </c>
      <c r="CE397" s="77">
        <f>CB397+100*3</f>
        <v>575</v>
      </c>
      <c r="CF397" s="77">
        <f>CB397+100*4</f>
        <v>675</v>
      </c>
      <c r="CG397" s="77">
        <f>CB397+100*5</f>
        <v>775</v>
      </c>
      <c r="CH397" s="77">
        <f>CB397+100*6</f>
        <v>875</v>
      </c>
      <c r="CI397" s="77">
        <f>CB397+100*7</f>
        <v>975</v>
      </c>
      <c r="CJ397" s="77">
        <f>CB397+100*8</f>
        <v>1075</v>
      </c>
      <c r="CK397" s="77">
        <f>CB397+100*9</f>
        <v>1175</v>
      </c>
      <c r="CL397" s="77">
        <f>CB397+100*10</f>
        <v>1275</v>
      </c>
      <c r="CM397" s="77">
        <f>CB397+100*11</f>
        <v>1375</v>
      </c>
      <c r="CN397" s="77">
        <f>CB397+100*12</f>
        <v>1475</v>
      </c>
      <c r="CO397" s="77">
        <f>CN397+25+25</f>
        <v>1525</v>
      </c>
      <c r="CP397" s="77">
        <f>CO397+100*1</f>
        <v>1625</v>
      </c>
      <c r="CQ397" s="77">
        <f>CO397+100*2</f>
        <v>1725</v>
      </c>
      <c r="DM397" s="77">
        <f>PI()*10*10/4*3</f>
        <v>235.61944901923448</v>
      </c>
      <c r="DN397" s="77">
        <f t="shared" si="1230"/>
        <v>157.07963267948966</v>
      </c>
      <c r="DO397" s="77">
        <f>PI()*10*10/4*3</f>
        <v>235.61944901923448</v>
      </c>
      <c r="DP397" s="77">
        <f t="shared" si="1231"/>
        <v>28.274333882308138</v>
      </c>
      <c r="DQ397" s="77">
        <f t="shared" si="1231"/>
        <v>28.274333882308138</v>
      </c>
      <c r="DR397" s="77">
        <f t="shared" si="1231"/>
        <v>28.274333882308138</v>
      </c>
      <c r="DS397" s="77">
        <f t="shared" si="1231"/>
        <v>28.274333882308138</v>
      </c>
      <c r="DT397" s="77">
        <f t="shared" si="1231"/>
        <v>28.274333882308138</v>
      </c>
      <c r="DU397" s="77">
        <f t="shared" si="1231"/>
        <v>28.274333882308138</v>
      </c>
      <c r="DV397" s="77">
        <f t="shared" si="1231"/>
        <v>28.274333882308138</v>
      </c>
      <c r="DW397" s="77">
        <f t="shared" si="1231"/>
        <v>28.274333882308138</v>
      </c>
      <c r="DX397" s="77">
        <f t="shared" si="1231"/>
        <v>28.274333882308138</v>
      </c>
      <c r="DY397" s="77">
        <f t="shared" si="1231"/>
        <v>28.274333882308138</v>
      </c>
      <c r="DZ397" s="77">
        <f t="shared" si="1231"/>
        <v>28.274333882308138</v>
      </c>
      <c r="EA397" s="77">
        <f t="shared" si="1231"/>
        <v>28.274333882308138</v>
      </c>
      <c r="EB397" s="77">
        <f t="shared" si="1231"/>
        <v>28.274333882308138</v>
      </c>
      <c r="EC397" s="77">
        <f>PI()*10*10/4*3</f>
        <v>235.61944901923448</v>
      </c>
      <c r="ED397" s="77">
        <f>PI()*10*10/4*2</f>
        <v>157.07963267948966</v>
      </c>
      <c r="EE397" s="77">
        <f>PI()*10*10/4*3</f>
        <v>235.61944901923448</v>
      </c>
      <c r="FA397" s="77">
        <f t="shared" si="1113"/>
        <v>-94247.779607693796</v>
      </c>
      <c r="FB397" s="77">
        <f t="shared" si="1114"/>
        <v>-62831.853071795864</v>
      </c>
      <c r="FC397" s="77">
        <f t="shared" si="1205"/>
        <v>-65678.601330380523</v>
      </c>
      <c r="FD397" s="77">
        <f>IF(ABS(-$BV397*($BS397-CB397)/$BS397*$BX397)&gt;$BA397,$BA397*SIGN(-($BS397-CB397)),-$BV397*($BS397-CB397)/$BS397*$BX397)*DP397</f>
        <v>-5485.9592257172817</v>
      </c>
      <c r="FE397" s="77">
        <f>IF(ABS(-$BV397*($BS397-CC397)/$BS397*$BX397)&gt;$BA397,$BA397*SIGN(-($BS397-CC397)),-$BV397*($BS397-CC397)/$BS397*$BX397)*DQ397</f>
        <v>-695.01335786052118</v>
      </c>
      <c r="FF397" s="77">
        <f t="shared" si="1206"/>
        <v>4095.9325099962393</v>
      </c>
      <c r="FG397" s="77">
        <f t="shared" si="1206"/>
        <v>8886.8783778529978</v>
      </c>
      <c r="FH397" s="77">
        <f t="shared" si="1206"/>
        <v>11309.733552923255</v>
      </c>
      <c r="FI397" s="77">
        <f t="shared" si="1215"/>
        <v>11309.733552923255</v>
      </c>
      <c r="FJ397" s="77">
        <f t="shared" si="1216"/>
        <v>11309.733552923255</v>
      </c>
      <c r="FK397" s="77">
        <f t="shared" si="1232"/>
        <v>11309.733552923255</v>
      </c>
      <c r="FL397" s="77">
        <f t="shared" si="1232"/>
        <v>11309.733552923255</v>
      </c>
      <c r="FM397" s="77">
        <f t="shared" si="1232"/>
        <v>11309.733552923255</v>
      </c>
      <c r="FN397" s="77">
        <f t="shared" si="1232"/>
        <v>11309.733552923255</v>
      </c>
      <c r="FO397" s="77">
        <f t="shared" si="1232"/>
        <v>11309.733552923255</v>
      </c>
      <c r="FP397" s="77">
        <f t="shared" si="1232"/>
        <v>11309.733552923255</v>
      </c>
      <c r="FQ397" s="77">
        <f t="shared" si="1233"/>
        <v>94247.779607693796</v>
      </c>
      <c r="FR397" s="77">
        <f t="shared" si="1233"/>
        <v>62831.853071795864</v>
      </c>
      <c r="FS397" s="77">
        <f t="shared" si="1233"/>
        <v>94247.779607693796</v>
      </c>
      <c r="GO397" s="77">
        <f t="shared" si="1038"/>
        <v>80110612.666539729</v>
      </c>
      <c r="GP397" s="77">
        <f t="shared" si="1039"/>
        <v>47123889.803846896</v>
      </c>
      <c r="GQ397" s="77">
        <f t="shared" si="1040"/>
        <v>42691090.864747338</v>
      </c>
      <c r="GR397" s="77">
        <f t="shared" si="1041"/>
        <v>3291575.535430369</v>
      </c>
      <c r="GS397" s="77">
        <f t="shared" si="1193"/>
        <v>347506.67893026059</v>
      </c>
      <c r="GT397" s="77">
        <f t="shared" si="1139"/>
        <v>-1638373.0039984956</v>
      </c>
      <c r="GU397" s="77">
        <f t="shared" si="1140"/>
        <v>-2666063.5133558991</v>
      </c>
      <c r="GV397" s="77">
        <f t="shared" si="1207"/>
        <v>-2261946.7105846512</v>
      </c>
      <c r="GW397" s="77">
        <f t="shared" si="1208"/>
        <v>-1130973.3552923256</v>
      </c>
      <c r="GX397" s="77">
        <f t="shared" si="1209"/>
        <v>0</v>
      </c>
      <c r="GY397" s="77">
        <f t="shared" si="1210"/>
        <v>1130973.3552923256</v>
      </c>
      <c r="GZ397" s="77">
        <f t="shared" si="1218"/>
        <v>2261946.7105846512</v>
      </c>
      <c r="HA397" s="77">
        <f t="shared" si="1219"/>
        <v>3392920.0658769766</v>
      </c>
      <c r="HB397" s="77">
        <f t="shared" si="1220"/>
        <v>4523893.4211693024</v>
      </c>
      <c r="HC397" s="77">
        <f t="shared" si="1221"/>
        <v>5654866.7764616273</v>
      </c>
      <c r="HD397" s="77">
        <f t="shared" si="1234"/>
        <v>6785840.1317539532</v>
      </c>
      <c r="HE397" s="77">
        <f t="shared" si="1234"/>
        <v>61261056.745000966</v>
      </c>
      <c r="HF397" s="77">
        <f t="shared" si="1234"/>
        <v>47123889.803846896</v>
      </c>
      <c r="HG397" s="77">
        <f t="shared" si="1234"/>
        <v>80110612.666539729</v>
      </c>
      <c r="IC397" s="82">
        <v>419</v>
      </c>
    </row>
    <row r="398" spans="1:237" s="77" customFormat="1">
      <c r="A398" s="77">
        <v>398</v>
      </c>
      <c r="C398" s="122" t="s">
        <v>423</v>
      </c>
      <c r="D398" s="122" t="s">
        <v>426</v>
      </c>
      <c r="E398" s="59">
        <v>1</v>
      </c>
      <c r="F398" s="125">
        <f t="shared" si="1199"/>
        <v>4.9188311688311684E-2</v>
      </c>
      <c r="G398" s="122">
        <v>1.9E-3</v>
      </c>
      <c r="H398" s="122">
        <v>1.9099999999999999E-2</v>
      </c>
      <c r="I398" s="122">
        <v>2.3800000000000002E-2</v>
      </c>
      <c r="J398" s="122">
        <f t="shared" si="1222"/>
        <v>1.7142857142857142</v>
      </c>
      <c r="K398" s="125">
        <f t="shared" si="1223"/>
        <v>13.671875</v>
      </c>
      <c r="L398" s="125">
        <f t="shared" si="1224"/>
        <v>1.8181818181818181E-2</v>
      </c>
      <c r="M398" s="125">
        <f t="shared" si="1225"/>
        <v>1.8181818181818181E-2</v>
      </c>
      <c r="N398" s="125">
        <f t="shared" si="1226"/>
        <v>9.3818181818181814E-2</v>
      </c>
      <c r="O398" s="125">
        <f t="shared" si="1227"/>
        <v>0.17963636363636362</v>
      </c>
      <c r="P398" s="122">
        <v>0.11</v>
      </c>
      <c r="Q398" s="122" t="s">
        <v>3</v>
      </c>
      <c r="R398" s="133">
        <f t="shared" si="1228"/>
        <v>0</v>
      </c>
      <c r="S398" s="75">
        <f t="shared" si="1163"/>
        <v>0.36479028272564706</v>
      </c>
      <c r="T398" s="59">
        <f t="shared" si="1142"/>
        <v>0.8300377684827378</v>
      </c>
      <c r="U398" s="59">
        <f t="shared" si="1143"/>
        <v>0.97525052482327534</v>
      </c>
      <c r="V398" s="59">
        <f t="shared" si="1144"/>
        <v>0.93719114922934399</v>
      </c>
      <c r="W398" s="59">
        <f t="shared" si="1145"/>
        <v>1.1290945843855715</v>
      </c>
      <c r="X398" s="59">
        <f t="shared" si="1146"/>
        <v>0.9609747704562086</v>
      </c>
      <c r="Y398" s="127">
        <v>606000</v>
      </c>
      <c r="Z398" s="57">
        <f t="shared" si="1147"/>
        <v>582350.71089646243</v>
      </c>
      <c r="AA398" s="57">
        <f t="shared" si="1148"/>
        <v>684231.31813765632</v>
      </c>
      <c r="AB398" s="57">
        <f t="shared" si="1194"/>
        <v>1741091.5618991924</v>
      </c>
      <c r="AC398" s="57">
        <f t="shared" si="1149"/>
        <v>0.21571428571428575</v>
      </c>
      <c r="AD398" s="57">
        <f t="shared" si="1150"/>
        <v>1.7142857142857142</v>
      </c>
      <c r="AE398" s="57">
        <f t="shared" si="1151"/>
        <v>1355200</v>
      </c>
      <c r="AF398" s="57">
        <f t="shared" si="1152"/>
        <v>393542.77911070484</v>
      </c>
      <c r="AG398" s="57">
        <f t="shared" si="1058"/>
        <v>290688.53902695148</v>
      </c>
      <c r="AH398" s="57">
        <f t="shared" si="1195"/>
        <v>4671806897.0058031</v>
      </c>
      <c r="AI398" s="77">
        <f t="shared" si="1196"/>
        <v>551467788.69177461</v>
      </c>
      <c r="AJ398" s="77">
        <v>1500000</v>
      </c>
      <c r="AK398" s="77">
        <v>55</v>
      </c>
      <c r="AL398" s="78">
        <f t="shared" si="1153"/>
        <v>4.1624506647866344</v>
      </c>
      <c r="AM398" s="57">
        <f t="shared" si="1154"/>
        <v>0.95526315789473681</v>
      </c>
      <c r="AN398" s="57">
        <f t="shared" si="1155"/>
        <v>0.75526315789473686</v>
      </c>
      <c r="AO398" s="77">
        <v>1750</v>
      </c>
      <c r="AP398" s="79">
        <f>25+98*5</f>
        <v>515</v>
      </c>
      <c r="AQ398" s="57">
        <f t="shared" si="1156"/>
        <v>143.59312894789375</v>
      </c>
      <c r="AR398" s="57">
        <f t="shared" si="1197"/>
        <v>720</v>
      </c>
      <c r="AS398" s="57">
        <f t="shared" si="1157"/>
        <v>1606.4068710521062</v>
      </c>
      <c r="AT398" s="77">
        <v>128</v>
      </c>
      <c r="AU398" s="77">
        <v>3000</v>
      </c>
      <c r="AV398" s="57">
        <f t="shared" si="1158"/>
        <v>224000</v>
      </c>
      <c r="AW398" s="77">
        <v>0</v>
      </c>
      <c r="AX398" s="77">
        <f t="shared" si="1159"/>
        <v>224000</v>
      </c>
      <c r="AY398" s="77">
        <f t="shared" ref="AY398:AY403" si="1236">AO398*AT398</f>
        <v>224000</v>
      </c>
      <c r="AZ398" s="77">
        <f t="shared" si="1141"/>
        <v>400</v>
      </c>
      <c r="BA398" s="77">
        <v>400</v>
      </c>
      <c r="BB398" s="77">
        <v>400</v>
      </c>
      <c r="BC398" s="77">
        <v>400</v>
      </c>
      <c r="BD398" s="77">
        <v>2.5000000000000001E-3</v>
      </c>
      <c r="BE398" s="77">
        <v>2.5000000000000001E-3</v>
      </c>
      <c r="BF398" s="77">
        <v>1.29E-2</v>
      </c>
      <c r="BG398" s="77">
        <v>2.47E-2</v>
      </c>
      <c r="BH398" s="79">
        <v>100</v>
      </c>
      <c r="BI398" s="79">
        <f>PI()*6*6/4</f>
        <v>28.274333882308138</v>
      </c>
      <c r="BJ398" s="79">
        <v>2</v>
      </c>
      <c r="BK398" s="57">
        <f t="shared" si="1059"/>
        <v>56.548667764616276</v>
      </c>
      <c r="BL398" s="57">
        <f t="shared" si="1235"/>
        <v>230.4</v>
      </c>
      <c r="BM398" s="80">
        <f t="shared" si="1229"/>
        <v>78.539816339744831</v>
      </c>
      <c r="BN398" s="80">
        <v>12</v>
      </c>
      <c r="BO398" s="57">
        <f t="shared" si="1198"/>
        <v>942.47779607693792</v>
      </c>
      <c r="BP398" s="57">
        <f t="shared" si="1160"/>
        <v>567937.83643298247</v>
      </c>
      <c r="BQ398" s="77">
        <f t="shared" si="1161"/>
        <v>0</v>
      </c>
      <c r="BR398" s="57">
        <f t="shared" si="1022"/>
        <v>1703813509.2989476</v>
      </c>
      <c r="BS398" s="57">
        <v>287.18625789578749</v>
      </c>
      <c r="BT398" s="57">
        <f t="shared" si="1170"/>
        <v>361.39269937223895</v>
      </c>
      <c r="BU398" s="57"/>
      <c r="BV398" s="57">
        <v>3.3E-3</v>
      </c>
      <c r="BW398" s="57">
        <v>30000</v>
      </c>
      <c r="BX398" s="57">
        <v>200000</v>
      </c>
      <c r="BY398" s="77">
        <f>25</f>
        <v>25</v>
      </c>
      <c r="BZ398" s="77">
        <f>BY398+98</f>
        <v>123</v>
      </c>
      <c r="CA398" s="77">
        <f>BY398+98*2</f>
        <v>221</v>
      </c>
      <c r="CB398" s="77">
        <f>BY398+98*3</f>
        <v>319</v>
      </c>
      <c r="CC398" s="77">
        <f>BY398+98*4</f>
        <v>417</v>
      </c>
      <c r="CD398" s="77">
        <f>BY398+98*5</f>
        <v>515</v>
      </c>
      <c r="CE398" s="77">
        <f>CD398+60</f>
        <v>575</v>
      </c>
      <c r="CF398" s="77">
        <f>CE398+100*1</f>
        <v>675</v>
      </c>
      <c r="CG398" s="77">
        <f>CE398+100*2</f>
        <v>775</v>
      </c>
      <c r="CH398" s="77">
        <f>CE398+100*3</f>
        <v>875</v>
      </c>
      <c r="CI398" s="77">
        <f>CE398+100*4</f>
        <v>975</v>
      </c>
      <c r="CJ398" s="77">
        <f>CE398+100*5</f>
        <v>1075</v>
      </c>
      <c r="CK398" s="77">
        <f>CE398+100*6</f>
        <v>1175</v>
      </c>
      <c r="CL398" s="77">
        <f>CK398+60</f>
        <v>1235</v>
      </c>
      <c r="CM398" s="77">
        <f>CL398+98*1</f>
        <v>1333</v>
      </c>
      <c r="CN398" s="77">
        <f>CL398+98*2</f>
        <v>1431</v>
      </c>
      <c r="CO398" s="77">
        <f>CL398+98*3</f>
        <v>1529</v>
      </c>
      <c r="CP398" s="77">
        <f>CL398+98*4</f>
        <v>1627</v>
      </c>
      <c r="CQ398" s="77">
        <f>CL398+98*5</f>
        <v>1725</v>
      </c>
      <c r="DM398" s="77">
        <f>PI()*10*10/4*2</f>
        <v>157.07963267948966</v>
      </c>
      <c r="DN398" s="77">
        <f t="shared" si="1230"/>
        <v>157.07963267948966</v>
      </c>
      <c r="DO398" s="77">
        <f t="shared" ref="DO398:DR399" si="1237">PI()*10*10/4*2</f>
        <v>157.07963267948966</v>
      </c>
      <c r="DP398" s="77">
        <f t="shared" si="1237"/>
        <v>157.07963267948966</v>
      </c>
      <c r="DQ398" s="77">
        <f t="shared" si="1237"/>
        <v>157.07963267948966</v>
      </c>
      <c r="DR398" s="77">
        <f t="shared" si="1237"/>
        <v>157.07963267948966</v>
      </c>
      <c r="DS398" s="77">
        <f t="shared" ref="DS398:DY399" si="1238">PI()*6*6/4</f>
        <v>28.274333882308138</v>
      </c>
      <c r="DT398" s="77">
        <f t="shared" si="1238"/>
        <v>28.274333882308138</v>
      </c>
      <c r="DU398" s="77">
        <f t="shared" si="1238"/>
        <v>28.274333882308138</v>
      </c>
      <c r="DV398" s="77">
        <f t="shared" si="1238"/>
        <v>28.274333882308138</v>
      </c>
      <c r="DW398" s="77">
        <f t="shared" si="1238"/>
        <v>28.274333882308138</v>
      </c>
      <c r="DX398" s="77">
        <f t="shared" si="1238"/>
        <v>28.274333882308138</v>
      </c>
      <c r="DY398" s="77">
        <f t="shared" si="1238"/>
        <v>28.274333882308138</v>
      </c>
      <c r="DZ398" s="77">
        <f t="shared" ref="DZ398:EC399" si="1239">PI()*10*10/4*2</f>
        <v>157.07963267948966</v>
      </c>
      <c r="EA398" s="77">
        <f t="shared" si="1239"/>
        <v>157.07963267948966</v>
      </c>
      <c r="EB398" s="77">
        <f t="shared" si="1239"/>
        <v>157.07963267948966</v>
      </c>
      <c r="EC398" s="77">
        <f t="shared" si="1239"/>
        <v>157.07963267948966</v>
      </c>
      <c r="ED398" s="77">
        <f>PI()*10*10/4*2</f>
        <v>157.07963267948966</v>
      </c>
      <c r="EE398" s="77">
        <f>PI()*10*10/4*2</f>
        <v>157.07963267948966</v>
      </c>
      <c r="FA398" s="77">
        <f t="shared" si="1113"/>
        <v>-62831.853071795864</v>
      </c>
      <c r="FB398" s="77">
        <f t="shared" si="1114"/>
        <v>-59270.277757608703</v>
      </c>
      <c r="FC398" s="77">
        <f t="shared" si="1205"/>
        <v>-23892.851566846606</v>
      </c>
      <c r="FD398" s="77">
        <f t="shared" ref="FD398:FF399" si="1240">IF(ABS(-$BV398*($BS398-CB398)/$BS398*$BX398)&gt;$BB398,$BB398*SIGN(-($BS398-CB398)),-$BV398*($BS398-CB398)/$BS398*$BX398)*DP398</f>
        <v>11484.574623915496</v>
      </c>
      <c r="FE398" s="77">
        <f t="shared" si="1240"/>
        <v>46862.000814677594</v>
      </c>
      <c r="FF398" s="77">
        <f t="shared" si="1240"/>
        <v>62831.853071795864</v>
      </c>
      <c r="FG398" s="77">
        <f t="shared" ref="FG398:FH402" si="1241">IF(ABS(-$BV398*($BS398-CE398)/$BS398*$BX398)&gt;$BA398,$BA398*SIGN(-($BS398-CE398)),-$BV398*($BS398-CE398)/$BS398*$BX398)*DS398</f>
        <v>11309.733552923255</v>
      </c>
      <c r="FH398" s="77">
        <f t="shared" si="1241"/>
        <v>11309.733552923255</v>
      </c>
      <c r="FI398" s="77">
        <f t="shared" si="1215"/>
        <v>11309.733552923255</v>
      </c>
      <c r="FJ398" s="77">
        <f t="shared" si="1216"/>
        <v>11309.733552923255</v>
      </c>
      <c r="FK398" s="77">
        <f t="shared" ref="FK398:FM402" si="1242">IF(ABS(-$BV398*($BS398-CI398)/$BS398*$BX398)&gt;$BA398,$BA398*SIGN(-($BS398-CI398)),-$BV398*($BS398-CI398)/$BS398*$BX398)*DW398</f>
        <v>11309.733552923255</v>
      </c>
      <c r="FL398" s="77">
        <f t="shared" si="1242"/>
        <v>11309.733552923255</v>
      </c>
      <c r="FM398" s="77">
        <f t="shared" si="1242"/>
        <v>11309.733552923255</v>
      </c>
      <c r="FN398" s="77">
        <f t="shared" ref="FN398:FP399" si="1243">IF(ABS(-$BV398*($BS398-CL398)/$BS398*$BX398)&gt;$BB398,$BB398*SIGN(-($BS398-CL398)),-$BV398*($BS398-CL398)/$BS398*$BX398)*DZ398</f>
        <v>62831.853071795864</v>
      </c>
      <c r="FO398" s="77">
        <f t="shared" si="1243"/>
        <v>62831.853071795864</v>
      </c>
      <c r="FP398" s="77">
        <f t="shared" si="1243"/>
        <v>62831.853071795864</v>
      </c>
      <c r="FQ398" s="77">
        <f t="shared" si="1233"/>
        <v>62831.853071795864</v>
      </c>
      <c r="FR398" s="77">
        <f t="shared" si="1233"/>
        <v>62831.853071795864</v>
      </c>
      <c r="FS398" s="77">
        <f t="shared" si="1233"/>
        <v>62831.853071795864</v>
      </c>
      <c r="GO398" s="77">
        <f t="shared" si="1038"/>
        <v>53407075.111026481</v>
      </c>
      <c r="GP398" s="77">
        <f t="shared" si="1039"/>
        <v>44571248.873721741</v>
      </c>
      <c r="GQ398" s="77">
        <f t="shared" si="1040"/>
        <v>15625924.92471768</v>
      </c>
      <c r="GR398" s="77">
        <f t="shared" si="1041"/>
        <v>-6385423.4908970157</v>
      </c>
      <c r="GS398" s="77">
        <f t="shared" si="1193"/>
        <v>-21462796.373122338</v>
      </c>
      <c r="GT398" s="77">
        <f t="shared" si="1139"/>
        <v>-22619467.105846509</v>
      </c>
      <c r="GU398" s="77">
        <f t="shared" si="1140"/>
        <v>-3392920.0658769766</v>
      </c>
      <c r="GV398" s="77">
        <f t="shared" si="1207"/>
        <v>-2261946.7105846512</v>
      </c>
      <c r="GW398" s="77">
        <f t="shared" si="1208"/>
        <v>-1130973.3552923256</v>
      </c>
      <c r="GX398" s="77">
        <f t="shared" si="1209"/>
        <v>0</v>
      </c>
      <c r="GY398" s="77">
        <f t="shared" si="1210"/>
        <v>1130973.3552923256</v>
      </c>
      <c r="GZ398" s="77">
        <f t="shared" si="1218"/>
        <v>2261946.7105846512</v>
      </c>
      <c r="HA398" s="77">
        <f t="shared" si="1219"/>
        <v>3392920.0658769766</v>
      </c>
      <c r="HB398" s="77">
        <f t="shared" si="1220"/>
        <v>22619467.105846509</v>
      </c>
      <c r="HC398" s="77">
        <f t="shared" si="1221"/>
        <v>28776988.706882507</v>
      </c>
      <c r="HD398" s="77">
        <f t="shared" si="1234"/>
        <v>34934510.307918504</v>
      </c>
      <c r="HE398" s="77">
        <f t="shared" si="1234"/>
        <v>41092031.908954494</v>
      </c>
      <c r="HF398" s="77">
        <f t="shared" si="1234"/>
        <v>47249553.509990491</v>
      </c>
      <c r="HG398" s="77">
        <f t="shared" si="1234"/>
        <v>53407075.111026481</v>
      </c>
      <c r="IC398" s="82">
        <v>420</v>
      </c>
    </row>
    <row r="399" spans="1:237" s="77" customFormat="1">
      <c r="A399" s="77">
        <v>399</v>
      </c>
      <c r="C399" s="122" t="s">
        <v>423</v>
      </c>
      <c r="D399" s="122" t="s">
        <v>427</v>
      </c>
      <c r="E399" s="59">
        <v>1</v>
      </c>
      <c r="F399" s="125">
        <f t="shared" si="1199"/>
        <v>4.8538961038961041E-2</v>
      </c>
      <c r="G399" s="122">
        <v>3.0000000000000001E-3</v>
      </c>
      <c r="H399" s="122">
        <v>1.1599999999999999E-2</v>
      </c>
      <c r="I399" s="122">
        <v>1.4999999999999999E-2</v>
      </c>
      <c r="J399" s="122">
        <f t="shared" si="1222"/>
        <v>1.7142857142857142</v>
      </c>
      <c r="K399" s="125">
        <f t="shared" si="1223"/>
        <v>13.671875</v>
      </c>
      <c r="L399" s="125">
        <f t="shared" si="1224"/>
        <v>1.8181818181818181E-2</v>
      </c>
      <c r="M399" s="125">
        <f t="shared" si="1225"/>
        <v>1.8181818181818181E-2</v>
      </c>
      <c r="N399" s="125">
        <f t="shared" si="1226"/>
        <v>9.3818181818181814E-2</v>
      </c>
      <c r="O399" s="125">
        <f t="shared" si="1227"/>
        <v>9.0181818181818182E-2</v>
      </c>
      <c r="P399" s="122">
        <v>0.11</v>
      </c>
      <c r="Q399" s="122" t="s">
        <v>3</v>
      </c>
      <c r="R399" s="133">
        <f t="shared" si="1228"/>
        <v>0</v>
      </c>
      <c r="S399" s="75">
        <f t="shared" si="1163"/>
        <v>0.35997456942233819</v>
      </c>
      <c r="T399" s="59">
        <f t="shared" si="1142"/>
        <v>0.8300377684827378</v>
      </c>
      <c r="U399" s="59">
        <f t="shared" si="1143"/>
        <v>0.97525052482327534</v>
      </c>
      <c r="V399" s="59">
        <f t="shared" si="1144"/>
        <v>0.94972882346652587</v>
      </c>
      <c r="W399" s="59">
        <f t="shared" si="1145"/>
        <v>1.1441995286582882</v>
      </c>
      <c r="X399" s="59">
        <f t="shared" si="1146"/>
        <v>0.97383062022819811</v>
      </c>
      <c r="Y399" s="127">
        <v>598000</v>
      </c>
      <c r="Z399" s="57">
        <f t="shared" si="1147"/>
        <v>582350.71089646243</v>
      </c>
      <c r="AA399" s="57">
        <f t="shared" si="1148"/>
        <v>684231.31813765632</v>
      </c>
      <c r="AB399" s="57">
        <f t="shared" si="1194"/>
        <v>1741091.5618991924</v>
      </c>
      <c r="AC399" s="57">
        <f t="shared" si="1149"/>
        <v>0.21571428571428575</v>
      </c>
      <c r="AD399" s="57">
        <f t="shared" si="1150"/>
        <v>1.7142857142857142</v>
      </c>
      <c r="AE399" s="57">
        <f t="shared" si="1151"/>
        <v>1355200</v>
      </c>
      <c r="AF399" s="57">
        <f t="shared" si="1152"/>
        <v>393542.77911070484</v>
      </c>
      <c r="AG399" s="57">
        <f t="shared" si="1058"/>
        <v>290688.53902695148</v>
      </c>
      <c r="AH399" s="57">
        <f t="shared" si="1195"/>
        <v>4671806897.0058031</v>
      </c>
      <c r="AI399" s="77">
        <f t="shared" si="1196"/>
        <v>551467788.69177461</v>
      </c>
      <c r="AJ399" s="77">
        <v>1500000</v>
      </c>
      <c r="AK399" s="77">
        <v>55</v>
      </c>
      <c r="AL399" s="78">
        <f t="shared" si="1153"/>
        <v>4.1624506647866344</v>
      </c>
      <c r="AM399" s="57">
        <f t="shared" si="1154"/>
        <v>0.95526315789473681</v>
      </c>
      <c r="AN399" s="57">
        <f t="shared" si="1155"/>
        <v>0.75526315789473686</v>
      </c>
      <c r="AO399" s="77">
        <v>1750</v>
      </c>
      <c r="AP399" s="79">
        <f>98*5+25</f>
        <v>515</v>
      </c>
      <c r="AQ399" s="57">
        <f t="shared" si="1156"/>
        <v>143.59312894789375</v>
      </c>
      <c r="AR399" s="57">
        <f t="shared" si="1197"/>
        <v>720</v>
      </c>
      <c r="AS399" s="57">
        <f t="shared" si="1157"/>
        <v>1606.4068710521062</v>
      </c>
      <c r="AT399" s="77">
        <v>128</v>
      </c>
      <c r="AU399" s="77">
        <v>3000</v>
      </c>
      <c r="AV399" s="57">
        <f t="shared" si="1158"/>
        <v>224000</v>
      </c>
      <c r="AW399" s="77">
        <v>0</v>
      </c>
      <c r="AX399" s="77">
        <f t="shared" si="1159"/>
        <v>224000</v>
      </c>
      <c r="AY399" s="77">
        <f t="shared" si="1236"/>
        <v>224000</v>
      </c>
      <c r="AZ399" s="77">
        <f t="shared" si="1141"/>
        <v>400</v>
      </c>
      <c r="BA399" s="77">
        <v>400</v>
      </c>
      <c r="BB399" s="77">
        <v>400</v>
      </c>
      <c r="BC399" s="77">
        <v>400</v>
      </c>
      <c r="BD399" s="77">
        <v>2.5000000000000001E-3</v>
      </c>
      <c r="BE399" s="77">
        <v>2.5000000000000001E-3</v>
      </c>
      <c r="BF399" s="77">
        <v>1.29E-2</v>
      </c>
      <c r="BG399" s="77">
        <v>1.24E-2</v>
      </c>
      <c r="BH399" s="79">
        <v>100</v>
      </c>
      <c r="BI399" s="79">
        <f>PI()*6*6/4</f>
        <v>28.274333882308138</v>
      </c>
      <c r="BJ399" s="79">
        <v>2</v>
      </c>
      <c r="BK399" s="57">
        <f t="shared" si="1059"/>
        <v>56.548667764616276</v>
      </c>
      <c r="BL399" s="57">
        <f t="shared" si="1235"/>
        <v>230.4</v>
      </c>
      <c r="BM399" s="80">
        <f t="shared" si="1229"/>
        <v>78.539816339744831</v>
      </c>
      <c r="BN399" s="80">
        <v>12</v>
      </c>
      <c r="BO399" s="57">
        <f t="shared" si="1198"/>
        <v>942.47779607693792</v>
      </c>
      <c r="BP399" s="57">
        <f t="shared" si="1160"/>
        <v>567937.83643298247</v>
      </c>
      <c r="BQ399" s="77">
        <f t="shared" si="1161"/>
        <v>0</v>
      </c>
      <c r="BR399" s="57">
        <f t="shared" si="1022"/>
        <v>1703813509.2989476</v>
      </c>
      <c r="BS399" s="57">
        <v>287.18625789578749</v>
      </c>
      <c r="BT399" s="57">
        <f t="shared" si="1170"/>
        <v>361.39269937223895</v>
      </c>
      <c r="BU399" s="57"/>
      <c r="BV399" s="57">
        <v>3.3E-3</v>
      </c>
      <c r="BW399" s="57">
        <v>30000</v>
      </c>
      <c r="BX399" s="57">
        <v>200000</v>
      </c>
      <c r="BY399" s="77">
        <f>25</f>
        <v>25</v>
      </c>
      <c r="BZ399" s="77">
        <f>BY399+98</f>
        <v>123</v>
      </c>
      <c r="CA399" s="77">
        <f>BY399+98*2</f>
        <v>221</v>
      </c>
      <c r="CB399" s="77">
        <f>BY399+98*3</f>
        <v>319</v>
      </c>
      <c r="CC399" s="77">
        <f>BY399+98*4</f>
        <v>417</v>
      </c>
      <c r="CD399" s="77">
        <f>BY399+98*5</f>
        <v>515</v>
      </c>
      <c r="CE399" s="77">
        <f>CD399+60</f>
        <v>575</v>
      </c>
      <c r="CF399" s="77">
        <f>CE399+100*1</f>
        <v>675</v>
      </c>
      <c r="CG399" s="77">
        <f>CE399+100*2</f>
        <v>775</v>
      </c>
      <c r="CH399" s="77">
        <f>CE399+100*3</f>
        <v>875</v>
      </c>
      <c r="CI399" s="77">
        <f>CE399+100*4</f>
        <v>975</v>
      </c>
      <c r="CJ399" s="77">
        <f>CE399+100*5</f>
        <v>1075</v>
      </c>
      <c r="CK399" s="77">
        <f>CE399+100*6</f>
        <v>1175</v>
      </c>
      <c r="CL399" s="77">
        <f>CK399+60</f>
        <v>1235</v>
      </c>
      <c r="CM399" s="77">
        <f>CL399+98*1</f>
        <v>1333</v>
      </c>
      <c r="CN399" s="77">
        <f>CL399+98*2</f>
        <v>1431</v>
      </c>
      <c r="CO399" s="77">
        <f>CL399+98*3</f>
        <v>1529</v>
      </c>
      <c r="CP399" s="77">
        <f>CL399+98*4</f>
        <v>1627</v>
      </c>
      <c r="CQ399" s="77">
        <f>CL399+98*5</f>
        <v>1725</v>
      </c>
      <c r="DM399" s="77">
        <f>PI()*10*10/4*2</f>
        <v>157.07963267948966</v>
      </c>
      <c r="DN399" s="77">
        <f t="shared" si="1230"/>
        <v>157.07963267948966</v>
      </c>
      <c r="DO399" s="77">
        <f t="shared" si="1237"/>
        <v>157.07963267948966</v>
      </c>
      <c r="DP399" s="77">
        <f t="shared" si="1237"/>
        <v>157.07963267948966</v>
      </c>
      <c r="DQ399" s="77">
        <f t="shared" si="1237"/>
        <v>157.07963267948966</v>
      </c>
      <c r="DR399" s="77">
        <f t="shared" si="1237"/>
        <v>157.07963267948966</v>
      </c>
      <c r="DS399" s="77">
        <f t="shared" si="1238"/>
        <v>28.274333882308138</v>
      </c>
      <c r="DT399" s="77">
        <f t="shared" si="1238"/>
        <v>28.274333882308138</v>
      </c>
      <c r="DU399" s="77">
        <f t="shared" si="1238"/>
        <v>28.274333882308138</v>
      </c>
      <c r="DV399" s="77">
        <f t="shared" si="1238"/>
        <v>28.274333882308138</v>
      </c>
      <c r="DW399" s="77">
        <f t="shared" si="1238"/>
        <v>28.274333882308138</v>
      </c>
      <c r="DX399" s="77">
        <f t="shared" si="1238"/>
        <v>28.274333882308138</v>
      </c>
      <c r="DY399" s="77">
        <f t="shared" si="1238"/>
        <v>28.274333882308138</v>
      </c>
      <c r="DZ399" s="77">
        <f t="shared" si="1239"/>
        <v>157.07963267948966</v>
      </c>
      <c r="EA399" s="77">
        <f t="shared" si="1239"/>
        <v>157.07963267948966</v>
      </c>
      <c r="EB399" s="77">
        <f t="shared" si="1239"/>
        <v>157.07963267948966</v>
      </c>
      <c r="EC399" s="77">
        <f t="shared" si="1239"/>
        <v>157.07963267948966</v>
      </c>
      <c r="ED399" s="77">
        <f>PI()*10*10/4*2</f>
        <v>157.07963267948966</v>
      </c>
      <c r="EE399" s="77">
        <f>PI()*10*10/4*2</f>
        <v>157.07963267948966</v>
      </c>
      <c r="FA399" s="77">
        <f t="shared" ref="FA399:FA426" si="1244">IF(ABS(-$BV399*($BS399-BY399)/$BS399*$BX399)&gt;$BB399,$BB399*SIGN(-($BS399-BY399)),-$BV399*($BS399-BY399)/$BS399*$BX399)*DM399</f>
        <v>-62831.853071795864</v>
      </c>
      <c r="FB399" s="77">
        <f t="shared" ref="FB399:FB426" si="1245">IF(ABS(-$BV399*($BS399-BZ399)/$BS399*$BX399)&gt;$BB399,$BB399*SIGN(-($BS399-BZ399)),-$BV399*($BS399-BZ399)/$BS399*$BX399)*DN399</f>
        <v>-59270.277757608703</v>
      </c>
      <c r="FC399" s="77">
        <f t="shared" si="1205"/>
        <v>-23892.851566846606</v>
      </c>
      <c r="FD399" s="77">
        <f t="shared" si="1240"/>
        <v>11484.574623915496</v>
      </c>
      <c r="FE399" s="77">
        <f t="shared" si="1240"/>
        <v>46862.000814677594</v>
      </c>
      <c r="FF399" s="77">
        <f t="shared" si="1240"/>
        <v>62831.853071795864</v>
      </c>
      <c r="FG399" s="77">
        <f t="shared" si="1241"/>
        <v>11309.733552923255</v>
      </c>
      <c r="FH399" s="77">
        <f t="shared" si="1241"/>
        <v>11309.733552923255</v>
      </c>
      <c r="FI399" s="77">
        <f t="shared" si="1215"/>
        <v>11309.733552923255</v>
      </c>
      <c r="FJ399" s="77">
        <f t="shared" si="1216"/>
        <v>11309.733552923255</v>
      </c>
      <c r="FK399" s="77">
        <f t="shared" si="1242"/>
        <v>11309.733552923255</v>
      </c>
      <c r="FL399" s="77">
        <f t="shared" si="1242"/>
        <v>11309.733552923255</v>
      </c>
      <c r="FM399" s="77">
        <f t="shared" si="1242"/>
        <v>11309.733552923255</v>
      </c>
      <c r="FN399" s="77">
        <f t="shared" si="1243"/>
        <v>62831.853071795864</v>
      </c>
      <c r="FO399" s="77">
        <f t="shared" si="1243"/>
        <v>62831.853071795864</v>
      </c>
      <c r="FP399" s="77">
        <f t="shared" si="1243"/>
        <v>62831.853071795864</v>
      </c>
      <c r="FQ399" s="77">
        <f t="shared" si="1233"/>
        <v>62831.853071795864</v>
      </c>
      <c r="FR399" s="77">
        <f t="shared" si="1233"/>
        <v>62831.853071795864</v>
      </c>
      <c r="FS399" s="77">
        <f t="shared" si="1233"/>
        <v>62831.853071795864</v>
      </c>
      <c r="GO399" s="77">
        <f t="shared" si="1038"/>
        <v>53407075.111026481</v>
      </c>
      <c r="GP399" s="77">
        <f t="shared" si="1039"/>
        <v>44571248.873721741</v>
      </c>
      <c r="GQ399" s="77">
        <f t="shared" si="1040"/>
        <v>15625924.92471768</v>
      </c>
      <c r="GR399" s="77">
        <f t="shared" si="1041"/>
        <v>-6385423.4908970157</v>
      </c>
      <c r="GS399" s="77">
        <f t="shared" si="1193"/>
        <v>-21462796.373122338</v>
      </c>
      <c r="GT399" s="77">
        <f t="shared" si="1139"/>
        <v>-22619467.105846509</v>
      </c>
      <c r="GU399" s="77">
        <f t="shared" si="1140"/>
        <v>-3392920.0658769766</v>
      </c>
      <c r="GV399" s="77">
        <f t="shared" si="1207"/>
        <v>-2261946.7105846512</v>
      </c>
      <c r="GW399" s="77">
        <f t="shared" si="1208"/>
        <v>-1130973.3552923256</v>
      </c>
      <c r="GX399" s="77">
        <f t="shared" si="1209"/>
        <v>0</v>
      </c>
      <c r="GY399" s="77">
        <f t="shared" si="1210"/>
        <v>1130973.3552923256</v>
      </c>
      <c r="GZ399" s="77">
        <f t="shared" si="1218"/>
        <v>2261946.7105846512</v>
      </c>
      <c r="HA399" s="77">
        <f t="shared" si="1219"/>
        <v>3392920.0658769766</v>
      </c>
      <c r="HB399" s="77">
        <f t="shared" si="1220"/>
        <v>22619467.105846509</v>
      </c>
      <c r="HC399" s="77">
        <f t="shared" si="1221"/>
        <v>28776988.706882507</v>
      </c>
      <c r="HD399" s="77">
        <f t="shared" si="1234"/>
        <v>34934510.307918504</v>
      </c>
      <c r="HE399" s="77">
        <f t="shared" si="1234"/>
        <v>41092031.908954494</v>
      </c>
      <c r="HF399" s="77">
        <f t="shared" si="1234"/>
        <v>47249553.509990491</v>
      </c>
      <c r="HG399" s="77">
        <f t="shared" si="1234"/>
        <v>53407075.111026481</v>
      </c>
      <c r="IC399" s="82">
        <v>421</v>
      </c>
    </row>
    <row r="400" spans="1:237" s="77" customFormat="1">
      <c r="A400" s="77">
        <v>400</v>
      </c>
      <c r="C400" s="122" t="s">
        <v>423</v>
      </c>
      <c r="D400" s="122" t="s">
        <v>428</v>
      </c>
      <c r="E400" s="59">
        <v>1</v>
      </c>
      <c r="F400" s="125">
        <f t="shared" si="1199"/>
        <v>7.7777777777777779E-2</v>
      </c>
      <c r="G400" s="122">
        <v>3.0000000000000001E-3</v>
      </c>
      <c r="H400" s="122">
        <v>7.3000000000000001E-3</v>
      </c>
      <c r="I400" s="122">
        <v>1.5299999999999999E-2</v>
      </c>
      <c r="J400" s="122">
        <f t="shared" si="1222"/>
        <v>1.3714285714285714</v>
      </c>
      <c r="K400" s="125">
        <f t="shared" si="1223"/>
        <v>14.583333333333334</v>
      </c>
      <c r="L400" s="125">
        <f t="shared" si="1224"/>
        <v>6.2666666666666676E-2</v>
      </c>
      <c r="M400" s="125">
        <f t="shared" si="1225"/>
        <v>6.2666666666666676E-2</v>
      </c>
      <c r="N400" s="125">
        <f t="shared" si="1226"/>
        <v>0.34133333333333332</v>
      </c>
      <c r="O400" s="125">
        <f t="shared" si="1227"/>
        <v>0.18133333333333332</v>
      </c>
      <c r="P400" s="122">
        <v>0.1</v>
      </c>
      <c r="Q400" s="122" t="s">
        <v>3</v>
      </c>
      <c r="R400" s="133">
        <f t="shared" si="1228"/>
        <v>0</v>
      </c>
      <c r="S400" s="75">
        <f t="shared" si="1163"/>
        <v>0.42600643361512924</v>
      </c>
      <c r="T400" s="59">
        <f t="shared" si="1142"/>
        <v>0.8319135143488473</v>
      </c>
      <c r="U400" s="59">
        <f t="shared" si="1143"/>
        <v>0.67785998690656724</v>
      </c>
      <c r="V400" s="59">
        <f t="shared" si="1144"/>
        <v>0.94396062408495218</v>
      </c>
      <c r="W400" s="59">
        <f t="shared" si="1145"/>
        <v>1.1346860073835994</v>
      </c>
      <c r="X400" s="59">
        <f t="shared" si="1146"/>
        <v>1.3925598830412493</v>
      </c>
      <c r="Y400" s="127">
        <v>490000</v>
      </c>
      <c r="Z400" s="57">
        <f t="shared" si="1147"/>
        <v>682354.34269021219</v>
      </c>
      <c r="AA400" s="57">
        <f t="shared" si="1148"/>
        <v>555996.14361796365</v>
      </c>
      <c r="AB400" s="57">
        <f t="shared" si="1194"/>
        <v>704823.70123797061</v>
      </c>
      <c r="AC400" s="57">
        <f t="shared" si="1149"/>
        <v>0.25</v>
      </c>
      <c r="AD400" s="57">
        <f t="shared" si="1150"/>
        <v>1.5</v>
      </c>
      <c r="AE400" s="57">
        <f t="shared" si="1151"/>
        <v>630000</v>
      </c>
      <c r="AF400" s="57">
        <f t="shared" si="1152"/>
        <v>295150.97466396051</v>
      </c>
      <c r="AG400" s="57">
        <f t="shared" si="1058"/>
        <v>260845.16895400319</v>
      </c>
      <c r="AH400" s="57">
        <f t="shared" si="1195"/>
        <v>1222429156.1227682</v>
      </c>
      <c r="AI400" s="77">
        <f t="shared" si="1196"/>
        <v>469147726.84836119</v>
      </c>
      <c r="AJ400" s="77">
        <v>600000</v>
      </c>
      <c r="AK400" s="77">
        <v>30</v>
      </c>
      <c r="AL400" s="78">
        <f t="shared" si="1153"/>
        <v>2.9824028793893054</v>
      </c>
      <c r="AM400" s="57">
        <f t="shared" si="1154"/>
        <v>1</v>
      </c>
      <c r="AN400" s="57">
        <f t="shared" si="1155"/>
        <v>0.8</v>
      </c>
      <c r="AO400" s="77">
        <v>1750</v>
      </c>
      <c r="AP400" s="79">
        <f>25+50*4</f>
        <v>225</v>
      </c>
      <c r="AQ400" s="57">
        <f t="shared" si="1156"/>
        <v>128.32820231757012</v>
      </c>
      <c r="AR400" s="57">
        <f t="shared" si="1197"/>
        <v>1300</v>
      </c>
      <c r="AS400" s="57">
        <f t="shared" si="1157"/>
        <v>1621.6717976824298</v>
      </c>
      <c r="AT400" s="77">
        <v>120</v>
      </c>
      <c r="AU400" s="77">
        <v>2400</v>
      </c>
      <c r="AV400" s="57">
        <f t="shared" si="1158"/>
        <v>210000</v>
      </c>
      <c r="AW400" s="77">
        <v>0</v>
      </c>
      <c r="AX400" s="77">
        <f t="shared" si="1159"/>
        <v>210000</v>
      </c>
      <c r="AY400" s="77">
        <f t="shared" si="1236"/>
        <v>210000</v>
      </c>
      <c r="AZ400" s="77">
        <f t="shared" si="1141"/>
        <v>400</v>
      </c>
      <c r="BA400" s="77">
        <v>400</v>
      </c>
      <c r="BB400" s="77">
        <v>400</v>
      </c>
      <c r="BC400" s="77">
        <v>400</v>
      </c>
      <c r="BD400" s="77">
        <v>4.7000000000000002E-3</v>
      </c>
      <c r="BE400" s="77">
        <v>4.7000000000000002E-3</v>
      </c>
      <c r="BF400" s="77">
        <v>2.5600000000000001E-2</v>
      </c>
      <c r="BG400" s="77">
        <v>1.3599999999999999E-2</v>
      </c>
      <c r="BH400" s="79">
        <v>50</v>
      </c>
      <c r="BI400" s="79">
        <f>PI()*4*4/4</f>
        <v>12.566370614359172</v>
      </c>
      <c r="BJ400" s="79">
        <v>2</v>
      </c>
      <c r="BK400" s="57">
        <f t="shared" si="1059"/>
        <v>25.132741228718345</v>
      </c>
      <c r="BL400" s="57">
        <f t="shared" si="1235"/>
        <v>733.2</v>
      </c>
      <c r="BM400" s="80">
        <f t="shared" si="1229"/>
        <v>78.539816339744831</v>
      </c>
      <c r="BN400" s="80">
        <v>10</v>
      </c>
      <c r="BO400" s="57">
        <f t="shared" si="1198"/>
        <v>785.39816339744834</v>
      </c>
      <c r="BP400" s="57">
        <f t="shared" si="1160"/>
        <v>462540.70580162655</v>
      </c>
      <c r="BQ400" s="77">
        <f t="shared" si="1161"/>
        <v>0</v>
      </c>
      <c r="BR400" s="57">
        <f t="shared" si="1022"/>
        <v>1110097693.9239037</v>
      </c>
      <c r="BS400" s="57">
        <v>256.65640463514023</v>
      </c>
      <c r="BT400" s="57">
        <f t="shared" si="1170"/>
        <v>266.2041226747109</v>
      </c>
      <c r="BU400" s="57"/>
      <c r="BV400" s="57">
        <v>3.3E-3</v>
      </c>
      <c r="BW400" s="57">
        <v>30000</v>
      </c>
      <c r="BX400" s="57">
        <v>200000</v>
      </c>
      <c r="BY400" s="77">
        <f>25</f>
        <v>25</v>
      </c>
      <c r="BZ400" s="77">
        <f>BY400+50*1</f>
        <v>75</v>
      </c>
      <c r="CA400" s="77">
        <f>BY400+50*2</f>
        <v>125</v>
      </c>
      <c r="CB400" s="77">
        <f>BY400+50*3</f>
        <v>175</v>
      </c>
      <c r="CC400" s="77">
        <f>BY400+50*4</f>
        <v>225</v>
      </c>
      <c r="CD400" s="77">
        <f>CC400+50</f>
        <v>275</v>
      </c>
      <c r="CE400" s="77">
        <f>CD400+50*1</f>
        <v>325</v>
      </c>
      <c r="CF400" s="77">
        <f>CD400+50*2</f>
        <v>375</v>
      </c>
      <c r="CG400" s="77">
        <f>CD400+50*3</f>
        <v>425</v>
      </c>
      <c r="CH400" s="77">
        <f>CD400+50*4</f>
        <v>475</v>
      </c>
      <c r="CI400" s="77">
        <f>CD400+50*5</f>
        <v>525</v>
      </c>
      <c r="CJ400" s="77">
        <f>CD400+50*6</f>
        <v>575</v>
      </c>
      <c r="CK400" s="77">
        <f>CD400+50*7</f>
        <v>625</v>
      </c>
      <c r="CL400" s="77">
        <f>CD400+50*8</f>
        <v>675</v>
      </c>
      <c r="CM400" s="77">
        <f>CD400+50*9</f>
        <v>725</v>
      </c>
      <c r="CN400" s="77">
        <f>CD400+50*10</f>
        <v>775</v>
      </c>
      <c r="CO400" s="77">
        <f>CD400+50*11</f>
        <v>825</v>
      </c>
      <c r="CP400" s="77">
        <f>CD400+50*12</f>
        <v>875</v>
      </c>
      <c r="CQ400" s="77">
        <f>CD400+50*13</f>
        <v>925</v>
      </c>
      <c r="CR400" s="77">
        <f>CD400+50*14</f>
        <v>975</v>
      </c>
      <c r="CS400" s="77">
        <f>CD400+50*15</f>
        <v>1025</v>
      </c>
      <c r="CT400" s="77">
        <f>CD400+50*16</f>
        <v>1075</v>
      </c>
      <c r="CU400" s="77">
        <f>CD400+50*17</f>
        <v>1125</v>
      </c>
      <c r="CV400" s="77">
        <f>CD400+50*18</f>
        <v>1175</v>
      </c>
      <c r="CW400" s="77">
        <f>CD400+50*19</f>
        <v>1225</v>
      </c>
      <c r="CX400" s="77">
        <f>CD400+50*20</f>
        <v>1275</v>
      </c>
      <c r="CY400" s="77">
        <f>CD400+50*21</f>
        <v>1325</v>
      </c>
      <c r="CZ400" s="77">
        <f>CD400+50*22</f>
        <v>1375</v>
      </c>
      <c r="DA400" s="77">
        <f>CD400+50*23</f>
        <v>1425</v>
      </c>
      <c r="DB400" s="77">
        <f>CD400+50*24</f>
        <v>1475</v>
      </c>
      <c r="DC400" s="77">
        <f>DB400+50</f>
        <v>1525</v>
      </c>
      <c r="DD400" s="77">
        <f>DC400+50*1</f>
        <v>1575</v>
      </c>
      <c r="DE400" s="77">
        <f>DC400+50*2</f>
        <v>1625</v>
      </c>
      <c r="DF400" s="77">
        <f>DC400+50*3</f>
        <v>1675</v>
      </c>
      <c r="DG400" s="77">
        <f>DC400+50*4</f>
        <v>1725</v>
      </c>
      <c r="DM400" s="77">
        <f>PI()*10*10/4*2</f>
        <v>157.07963267948966</v>
      </c>
      <c r="DN400" s="77">
        <f t="shared" si="1230"/>
        <v>157.07963267948966</v>
      </c>
      <c r="DO400" s="77">
        <f>PI()*10*10/4*2</f>
        <v>157.07963267948966</v>
      </c>
      <c r="DP400" s="77">
        <f>PI()*10*10/4*2</f>
        <v>157.07963267948966</v>
      </c>
      <c r="DQ400" s="77">
        <f>PI()*10*10/4*2</f>
        <v>157.07963267948966</v>
      </c>
      <c r="DR400" s="77">
        <f t="shared" ref="DR400:EA401" si="1246">PI()*4*4/4*2</f>
        <v>25.132741228718345</v>
      </c>
      <c r="DS400" s="77">
        <f t="shared" si="1246"/>
        <v>25.132741228718345</v>
      </c>
      <c r="DT400" s="77">
        <f t="shared" si="1246"/>
        <v>25.132741228718345</v>
      </c>
      <c r="DU400" s="77">
        <f t="shared" si="1246"/>
        <v>25.132741228718345</v>
      </c>
      <c r="DV400" s="77">
        <f t="shared" si="1246"/>
        <v>25.132741228718345</v>
      </c>
      <c r="DW400" s="77">
        <f t="shared" si="1246"/>
        <v>25.132741228718345</v>
      </c>
      <c r="DX400" s="77">
        <f t="shared" si="1246"/>
        <v>25.132741228718345</v>
      </c>
      <c r="DY400" s="77">
        <f t="shared" si="1246"/>
        <v>25.132741228718345</v>
      </c>
      <c r="DZ400" s="77">
        <f t="shared" si="1246"/>
        <v>25.132741228718345</v>
      </c>
      <c r="EA400" s="77">
        <f t="shared" si="1246"/>
        <v>25.132741228718345</v>
      </c>
      <c r="EB400" s="77">
        <f t="shared" ref="EB400:EP401" si="1247">PI()*4*4/4*2</f>
        <v>25.132741228718345</v>
      </c>
      <c r="EC400" s="77">
        <f t="shared" si="1247"/>
        <v>25.132741228718345</v>
      </c>
      <c r="ED400" s="77">
        <f t="shared" si="1247"/>
        <v>25.132741228718345</v>
      </c>
      <c r="EE400" s="77">
        <f t="shared" si="1247"/>
        <v>25.132741228718345</v>
      </c>
      <c r="EF400" s="77">
        <f t="shared" si="1247"/>
        <v>25.132741228718345</v>
      </c>
      <c r="EG400" s="77">
        <f t="shared" si="1247"/>
        <v>25.132741228718345</v>
      </c>
      <c r="EH400" s="77">
        <f t="shared" si="1247"/>
        <v>25.132741228718345</v>
      </c>
      <c r="EI400" s="77">
        <f t="shared" si="1247"/>
        <v>25.132741228718345</v>
      </c>
      <c r="EJ400" s="77">
        <f t="shared" si="1247"/>
        <v>25.132741228718345</v>
      </c>
      <c r="EK400" s="77">
        <f t="shared" si="1247"/>
        <v>25.132741228718345</v>
      </c>
      <c r="EL400" s="77">
        <f t="shared" si="1247"/>
        <v>25.132741228718345</v>
      </c>
      <c r="EM400" s="77">
        <f t="shared" si="1247"/>
        <v>25.132741228718345</v>
      </c>
      <c r="EN400" s="77">
        <f t="shared" si="1247"/>
        <v>25.132741228718345</v>
      </c>
      <c r="EO400" s="77">
        <f t="shared" si="1247"/>
        <v>25.132741228718345</v>
      </c>
      <c r="EP400" s="77">
        <f t="shared" si="1247"/>
        <v>25.132741228718345</v>
      </c>
      <c r="EQ400" s="77">
        <f>PI()*10*10/4*2</f>
        <v>157.07963267948966</v>
      </c>
      <c r="ER400" s="77">
        <f>PI()*10*10/4*2</f>
        <v>157.07963267948966</v>
      </c>
      <c r="ES400" s="77">
        <f>PI()*10*10/4*2</f>
        <v>157.07963267948966</v>
      </c>
      <c r="ET400" s="77">
        <f>PI()*10*10/4*2</f>
        <v>157.07963267948966</v>
      </c>
      <c r="EU400" s="77">
        <f>PI()*10*10/4*2</f>
        <v>157.07963267948966</v>
      </c>
      <c r="FA400" s="77">
        <f t="shared" si="1244"/>
        <v>-62831.853071795864</v>
      </c>
      <c r="FB400" s="77">
        <f t="shared" si="1245"/>
        <v>-62831.853071795864</v>
      </c>
      <c r="FC400" s="77">
        <f t="shared" si="1205"/>
        <v>-53180.656871574822</v>
      </c>
      <c r="FD400" s="77">
        <f>IF(ABS(-$BV400*($BS400-CB400)/$BS400*$BX400)&gt;$BB400,$BB400*SIGN(-($BS400-CB400)),-$BV400*($BS400-CB400)/$BS400*$BX400)*DP400</f>
        <v>-32983.896592819481</v>
      </c>
      <c r="FE400" s="77">
        <f>IF(ABS(-$BV400*($BS400-CC400)/$BS400*$BX400)&gt;$BB400,$BB400*SIGN(-($BS400-CC400)),-$BV400*($BS400-CC400)/$BS400*$BX400)*DQ400</f>
        <v>-12787.136314064135</v>
      </c>
      <c r="FF400" s="77">
        <f>IF(ABS(-$BV400*($BS400-CD400)/$BS400*$BX400)&gt;$BA400,$BA400*SIGN(-($BS400-CD400)),-$BV400*($BS400-CD400)/$BS400*$BX400)*DR400</f>
        <v>1185.5398343505931</v>
      </c>
      <c r="FG400" s="77">
        <f t="shared" si="1241"/>
        <v>4417.0214789514466</v>
      </c>
      <c r="FH400" s="77">
        <f t="shared" si="1241"/>
        <v>7648.503123552302</v>
      </c>
      <c r="FI400" s="77">
        <f t="shared" si="1215"/>
        <v>10053.096491487338</v>
      </c>
      <c r="FJ400" s="77">
        <f t="shared" si="1216"/>
        <v>10053.096491487338</v>
      </c>
      <c r="FK400" s="77">
        <f t="shared" si="1242"/>
        <v>10053.096491487338</v>
      </c>
      <c r="FL400" s="77">
        <f t="shared" si="1242"/>
        <v>10053.096491487338</v>
      </c>
      <c r="FM400" s="77">
        <f t="shared" si="1242"/>
        <v>10053.096491487338</v>
      </c>
      <c r="FN400" s="77">
        <f t="shared" ref="FN400:FW401" si="1248">IF(ABS(-$BV400*($BS400-CL400)/$BS400*$BX400)&gt;$BA400,$BA400*SIGN(-($BS400-CL400)),-$BV400*($BS400-CL400)/$BS400*$BX400)*DZ400</f>
        <v>10053.096491487338</v>
      </c>
      <c r="FO400" s="77">
        <f t="shared" si="1248"/>
        <v>10053.096491487338</v>
      </c>
      <c r="FP400" s="77">
        <f t="shared" si="1248"/>
        <v>10053.096491487338</v>
      </c>
      <c r="FQ400" s="77">
        <f t="shared" si="1248"/>
        <v>10053.096491487338</v>
      </c>
      <c r="FR400" s="77">
        <f t="shared" si="1248"/>
        <v>10053.096491487338</v>
      </c>
      <c r="FS400" s="77">
        <f t="shared" si="1248"/>
        <v>10053.096491487338</v>
      </c>
      <c r="FT400" s="77">
        <f t="shared" si="1248"/>
        <v>10053.096491487338</v>
      </c>
      <c r="FU400" s="77">
        <f t="shared" si="1248"/>
        <v>10053.096491487338</v>
      </c>
      <c r="FV400" s="77">
        <f t="shared" si="1248"/>
        <v>10053.096491487338</v>
      </c>
      <c r="FW400" s="77">
        <f t="shared" si="1248"/>
        <v>10053.096491487338</v>
      </c>
      <c r="FX400" s="77">
        <f t="shared" ref="FX400:GD401" si="1249">IF(ABS(-$BV400*($BS400-CV400)/$BS400*$BX400)&gt;$BA400,$BA400*SIGN(-($BS400-CV400)),-$BV400*($BS400-CV400)/$BS400*$BX400)*EJ400</f>
        <v>10053.096491487338</v>
      </c>
      <c r="FY400" s="77">
        <f t="shared" si="1249"/>
        <v>10053.096491487338</v>
      </c>
      <c r="FZ400" s="77">
        <f t="shared" si="1249"/>
        <v>10053.096491487338</v>
      </c>
      <c r="GA400" s="77">
        <f t="shared" si="1249"/>
        <v>10053.096491487338</v>
      </c>
      <c r="GB400" s="77">
        <f t="shared" si="1249"/>
        <v>10053.096491487338</v>
      </c>
      <c r="GC400" s="77">
        <f t="shared" si="1249"/>
        <v>10053.096491487338</v>
      </c>
      <c r="GD400" s="77">
        <f t="shared" si="1249"/>
        <v>10053.096491487338</v>
      </c>
      <c r="GE400" s="77">
        <f>IF(ABS(-$BV400*($BS400-DC400)/$BS400*$BX400)&gt;$BB400,$BB400*SIGN(-($BS400-DC400)),-$BV400*($BS400-DC400)/$BS400*$BX400)*EQ400</f>
        <v>62831.853071795864</v>
      </c>
      <c r="GF400" s="77">
        <f>IF(ABS(-$BV400*($BS400-DD400)/$BS400*$BX400)&gt;$BB400,$BB400*SIGN(-($BS400-DD400)),-$BV400*($BS400-DD400)/$BS400*$BX400)*ER400</f>
        <v>62831.853071795864</v>
      </c>
      <c r="GG400" s="77">
        <f>IF(ABS(-$BV400*($BS400-DE400)/$BS400*$BX400)&gt;$BB400,$BB400*SIGN(-($BS400-DE400)),-$BV400*($BS400-DE400)/$BS400*$BX400)*ES400</f>
        <v>62831.853071795864</v>
      </c>
      <c r="GH400" s="77">
        <f>IF(ABS(-$BV400*($BS400-DF400)/$BS400*$BX400)&gt;$BB400,$BB400*SIGN(-($BS400-DF400)),-$BV400*($BS400-DF400)/$BS400*$BX400)*ET400</f>
        <v>62831.853071795864</v>
      </c>
      <c r="GI400" s="77">
        <f>IF(ABS(-$BV400*($BS400-DG400)/$BS400*$BX400)&gt;$BB400,$BB400*SIGN(-($BS400-DG400)),-$BV400*($BS400-DG400)/$BS400*$BX400)*EU400</f>
        <v>62831.853071795864</v>
      </c>
      <c r="GO400" s="77">
        <f t="shared" si="1038"/>
        <v>53407075.111026481</v>
      </c>
      <c r="GP400" s="77">
        <f t="shared" si="1039"/>
        <v>50265482.457436688</v>
      </c>
      <c r="GQ400" s="77">
        <f t="shared" si="1040"/>
        <v>39885492.653681114</v>
      </c>
      <c r="GR400" s="77">
        <f t="shared" si="1041"/>
        <v>23088727.614973638</v>
      </c>
      <c r="GS400" s="77">
        <f t="shared" si="1193"/>
        <v>8311638.604141688</v>
      </c>
      <c r="GT400" s="77">
        <f t="shared" si="1139"/>
        <v>-711323.90061035589</v>
      </c>
      <c r="GU400" s="77">
        <f t="shared" si="1140"/>
        <v>-2429361.8134232955</v>
      </c>
      <c r="GV400" s="77">
        <f t="shared" si="1207"/>
        <v>-3824251.5617761509</v>
      </c>
      <c r="GW400" s="77">
        <f t="shared" si="1208"/>
        <v>-4523893.4211693024</v>
      </c>
      <c r="GX400" s="77">
        <f t="shared" si="1209"/>
        <v>-4021238.5965949353</v>
      </c>
      <c r="GY400" s="77">
        <f t="shared" si="1210"/>
        <v>-3518583.7720205686</v>
      </c>
      <c r="GZ400" s="77">
        <f t="shared" si="1218"/>
        <v>-3015928.9474462015</v>
      </c>
      <c r="HA400" s="77">
        <f t="shared" si="1219"/>
        <v>-2513274.1228718348</v>
      </c>
      <c r="HB400" s="77">
        <f t="shared" si="1220"/>
        <v>-2010619.2982974676</v>
      </c>
      <c r="HC400" s="77">
        <f t="shared" si="1221"/>
        <v>-1507964.4737231007</v>
      </c>
      <c r="HD400" s="77">
        <f t="shared" si="1234"/>
        <v>-1005309.6491487338</v>
      </c>
      <c r="HE400" s="77">
        <f t="shared" si="1234"/>
        <v>-502654.82457436691</v>
      </c>
      <c r="HF400" s="77">
        <f t="shared" si="1234"/>
        <v>0</v>
      </c>
      <c r="HG400" s="77">
        <f t="shared" si="1234"/>
        <v>502654.82457436691</v>
      </c>
      <c r="HH400" s="77">
        <f t="shared" ref="HH400:HW401" si="1250">FT400*(CR400-0.5*$AO400)</f>
        <v>1005309.6491487338</v>
      </c>
      <c r="HI400" s="77">
        <f t="shared" si="1250"/>
        <v>1507964.4737231007</v>
      </c>
      <c r="HJ400" s="77">
        <f t="shared" si="1250"/>
        <v>2010619.2982974676</v>
      </c>
      <c r="HK400" s="77">
        <f t="shared" si="1250"/>
        <v>2513274.1228718348</v>
      </c>
      <c r="HL400" s="77">
        <f t="shared" si="1250"/>
        <v>3015928.9474462015</v>
      </c>
      <c r="HM400" s="77">
        <f t="shared" si="1250"/>
        <v>3518583.7720205686</v>
      </c>
      <c r="HN400" s="77">
        <f t="shared" si="1250"/>
        <v>4021238.5965949353</v>
      </c>
      <c r="HO400" s="77">
        <f t="shared" si="1250"/>
        <v>4523893.4211693024</v>
      </c>
      <c r="HP400" s="77">
        <f t="shared" si="1250"/>
        <v>5026548.2457436696</v>
      </c>
      <c r="HQ400" s="77">
        <f t="shared" si="1250"/>
        <v>5529203.0703180358</v>
      </c>
      <c r="HR400" s="77">
        <f t="shared" si="1250"/>
        <v>6031857.8948924029</v>
      </c>
      <c r="HS400" s="77">
        <f t="shared" si="1250"/>
        <v>40840704.496667311</v>
      </c>
      <c r="HT400" s="77">
        <f t="shared" si="1250"/>
        <v>43982297.150257103</v>
      </c>
      <c r="HU400" s="77">
        <f t="shared" si="1250"/>
        <v>47123889.803846896</v>
      </c>
      <c r="HV400" s="77">
        <f t="shared" si="1250"/>
        <v>50265482.457436688</v>
      </c>
      <c r="HW400" s="77">
        <f t="shared" si="1250"/>
        <v>53407075.111026481</v>
      </c>
      <c r="IC400" s="82">
        <v>422</v>
      </c>
    </row>
    <row r="401" spans="1:237" s="77" customFormat="1">
      <c r="A401" s="77">
        <v>401</v>
      </c>
      <c r="C401" s="122" t="s">
        <v>423</v>
      </c>
      <c r="D401" s="122" t="s">
        <v>429</v>
      </c>
      <c r="E401" s="59">
        <v>1</v>
      </c>
      <c r="F401" s="125">
        <f t="shared" si="1199"/>
        <v>7.3174603174603184E-2</v>
      </c>
      <c r="G401" s="122">
        <v>4.5999999999999999E-3</v>
      </c>
      <c r="H401" s="122">
        <v>1.4E-2</v>
      </c>
      <c r="I401" s="122">
        <v>1.8100000000000002E-2</v>
      </c>
      <c r="J401" s="122">
        <f t="shared" si="1222"/>
        <v>1.3714285714285714</v>
      </c>
      <c r="K401" s="125">
        <f t="shared" si="1223"/>
        <v>14.583333333333334</v>
      </c>
      <c r="L401" s="125">
        <f t="shared" si="1224"/>
        <v>6.2666666666666676E-2</v>
      </c>
      <c r="M401" s="125">
        <f t="shared" si="1225"/>
        <v>6.2666666666666676E-2</v>
      </c>
      <c r="N401" s="125">
        <f t="shared" si="1226"/>
        <v>0.36000000000000004</v>
      </c>
      <c r="O401" s="125">
        <f t="shared" si="1227"/>
        <v>0.19466666666666665</v>
      </c>
      <c r="P401" s="122">
        <v>0.1</v>
      </c>
      <c r="Q401" s="122" t="s">
        <v>3</v>
      </c>
      <c r="R401" s="133">
        <f t="shared" si="1228"/>
        <v>0</v>
      </c>
      <c r="S401" s="75">
        <f t="shared" si="1163"/>
        <v>0.40079380795219299</v>
      </c>
      <c r="T401" s="59">
        <f t="shared" si="1142"/>
        <v>0.72395657842969907</v>
      </c>
      <c r="U401" s="59">
        <f t="shared" si="1143"/>
        <v>0.59248416094084078</v>
      </c>
      <c r="V401" s="59">
        <f t="shared" si="1144"/>
        <v>0.87697210454045404</v>
      </c>
      <c r="W401" s="59">
        <f t="shared" si="1145"/>
        <v>1.2113600879802127</v>
      </c>
      <c r="X401" s="59">
        <f t="shared" si="1146"/>
        <v>1.4801612639700914</v>
      </c>
      <c r="Y401" s="127">
        <v>461000</v>
      </c>
      <c r="Z401" s="57">
        <f t="shared" si="1147"/>
        <v>682354.34269021219</v>
      </c>
      <c r="AA401" s="57">
        <f t="shared" si="1148"/>
        <v>558437.00055887806</v>
      </c>
      <c r="AB401" s="57">
        <f t="shared" si="1194"/>
        <v>412398.27562366665</v>
      </c>
      <c r="AC401" s="57">
        <f t="shared" si="1149"/>
        <v>0.25</v>
      </c>
      <c r="AD401" s="57">
        <f t="shared" si="1150"/>
        <v>1.5</v>
      </c>
      <c r="AE401" s="57">
        <f t="shared" si="1151"/>
        <v>630000</v>
      </c>
      <c r="AF401" s="57">
        <f t="shared" si="1152"/>
        <v>296300.36969510635</v>
      </c>
      <c r="AG401" s="57">
        <f t="shared" si="1058"/>
        <v>262136.63086377169</v>
      </c>
      <c r="AH401" s="57">
        <f t="shared" si="1195"/>
        <v>705240361.53676331</v>
      </c>
      <c r="AI401" s="77">
        <f t="shared" si="1196"/>
        <v>284515499.96003664</v>
      </c>
      <c r="AJ401" s="77">
        <v>600000</v>
      </c>
      <c r="AK401" s="77">
        <v>30</v>
      </c>
      <c r="AL401" s="78">
        <f t="shared" si="1153"/>
        <v>2.9824028793893054</v>
      </c>
      <c r="AM401" s="57">
        <f t="shared" si="1154"/>
        <v>1</v>
      </c>
      <c r="AN401" s="57">
        <f t="shared" si="1155"/>
        <v>0.8</v>
      </c>
      <c r="AO401" s="77">
        <v>1750</v>
      </c>
      <c r="AP401" s="79">
        <f>50*2+25</f>
        <v>125</v>
      </c>
      <c r="AQ401" s="57">
        <f t="shared" si="1156"/>
        <v>120.29919658497043</v>
      </c>
      <c r="AR401" s="57">
        <f t="shared" si="1197"/>
        <v>1500</v>
      </c>
      <c r="AS401" s="57">
        <f t="shared" si="1157"/>
        <v>1629.7008034150297</v>
      </c>
      <c r="AT401" s="77">
        <v>120</v>
      </c>
      <c r="AU401" s="77">
        <v>2400</v>
      </c>
      <c r="AV401" s="57">
        <f t="shared" si="1158"/>
        <v>210000</v>
      </c>
      <c r="AW401" s="77">
        <v>0</v>
      </c>
      <c r="AX401" s="77">
        <f t="shared" si="1159"/>
        <v>210000</v>
      </c>
      <c r="AY401" s="77">
        <f t="shared" si="1236"/>
        <v>210000</v>
      </c>
      <c r="AZ401" s="77">
        <f t="shared" si="1141"/>
        <v>400</v>
      </c>
      <c r="BA401" s="77">
        <v>400</v>
      </c>
      <c r="BB401" s="77">
        <v>400</v>
      </c>
      <c r="BC401" s="77">
        <v>400</v>
      </c>
      <c r="BD401" s="77">
        <v>4.7000000000000002E-3</v>
      </c>
      <c r="BE401" s="77">
        <v>4.7000000000000002E-3</v>
      </c>
      <c r="BF401" s="77">
        <v>2.7E-2</v>
      </c>
      <c r="BG401" s="77">
        <v>1.46E-2</v>
      </c>
      <c r="BH401" s="79">
        <v>50</v>
      </c>
      <c r="BI401" s="79">
        <f>PI()*4*4/4</f>
        <v>12.566370614359172</v>
      </c>
      <c r="BJ401" s="79">
        <v>2</v>
      </c>
      <c r="BK401" s="57">
        <f t="shared" si="1059"/>
        <v>25.132741228718345</v>
      </c>
      <c r="BL401" s="57">
        <f t="shared" si="1235"/>
        <v>846.00000000000011</v>
      </c>
      <c r="BM401" s="80">
        <f t="shared" si="1229"/>
        <v>78.539816339744831</v>
      </c>
      <c r="BN401" s="80">
        <v>6</v>
      </c>
      <c r="BO401" s="57">
        <f t="shared" si="1198"/>
        <v>471.23889803846896</v>
      </c>
      <c r="BP401" s="57">
        <f t="shared" si="1160"/>
        <v>404284.14019314933</v>
      </c>
      <c r="BQ401" s="77">
        <f t="shared" si="1161"/>
        <v>0</v>
      </c>
      <c r="BR401" s="57">
        <f t="shared" si="1022"/>
        <v>970281936.46355844</v>
      </c>
      <c r="BS401" s="57">
        <v>240.59839316994086</v>
      </c>
      <c r="BT401" s="57">
        <f t="shared" si="1170"/>
        <v>257.38226914697503</v>
      </c>
      <c r="BU401" s="57"/>
      <c r="BV401" s="57">
        <v>3.3E-3</v>
      </c>
      <c r="BW401" s="57">
        <v>30000</v>
      </c>
      <c r="BX401" s="57">
        <v>200000</v>
      </c>
      <c r="BY401" s="77">
        <f>25</f>
        <v>25</v>
      </c>
      <c r="BZ401" s="77">
        <f>BY401+50*1</f>
        <v>75</v>
      </c>
      <c r="CA401" s="77">
        <f>BY401+50*2</f>
        <v>125</v>
      </c>
      <c r="CB401" s="77">
        <f>CA401+50</f>
        <v>175</v>
      </c>
      <c r="CC401" s="77">
        <f>CB401+50*1</f>
        <v>225</v>
      </c>
      <c r="CD401" s="77">
        <f>CB401+50*2</f>
        <v>275</v>
      </c>
      <c r="CE401" s="77">
        <f>CB401+50*3</f>
        <v>325</v>
      </c>
      <c r="CF401" s="77">
        <f>CB401+50*4</f>
        <v>375</v>
      </c>
      <c r="CG401" s="77">
        <f>CB401+50*5</f>
        <v>425</v>
      </c>
      <c r="CH401" s="77">
        <f>CB401+50*6</f>
        <v>475</v>
      </c>
      <c r="CI401" s="77">
        <f>CB401+50*7</f>
        <v>525</v>
      </c>
      <c r="CJ401" s="77">
        <f>CB401+50*8</f>
        <v>575</v>
      </c>
      <c r="CK401" s="77">
        <f>CB401+50*9</f>
        <v>625</v>
      </c>
      <c r="CL401" s="77">
        <f>CB401+50*10</f>
        <v>675</v>
      </c>
      <c r="CM401" s="77">
        <f>CB401+50*11</f>
        <v>725</v>
      </c>
      <c r="CN401" s="77">
        <f>CB401+50*12</f>
        <v>775</v>
      </c>
      <c r="CO401" s="77">
        <f>CB401+50*13</f>
        <v>825</v>
      </c>
      <c r="CP401" s="77">
        <f>CB401+50*14</f>
        <v>875</v>
      </c>
      <c r="CQ401" s="77">
        <f>CB401+50*15</f>
        <v>925</v>
      </c>
      <c r="CR401" s="77">
        <f>CB401+50*16</f>
        <v>975</v>
      </c>
      <c r="CS401" s="77">
        <f>CB401+50*17</f>
        <v>1025</v>
      </c>
      <c r="CT401" s="77">
        <f>CB401+50*18</f>
        <v>1075</v>
      </c>
      <c r="CU401" s="77">
        <f>CB401+50*19</f>
        <v>1125</v>
      </c>
      <c r="CV401" s="77">
        <f>CB401+50*20</f>
        <v>1175</v>
      </c>
      <c r="CW401" s="77">
        <f>CB401+50*21</f>
        <v>1225</v>
      </c>
      <c r="CX401" s="77">
        <f>CB401+50*22</f>
        <v>1275</v>
      </c>
      <c r="CY401" s="77">
        <f>CB401+50*23</f>
        <v>1325</v>
      </c>
      <c r="CZ401" s="77">
        <f>CB401+50*24</f>
        <v>1375</v>
      </c>
      <c r="DA401" s="77">
        <f>CB401+50*25</f>
        <v>1425</v>
      </c>
      <c r="DB401" s="77">
        <f>CB401+50*26</f>
        <v>1475</v>
      </c>
      <c r="DC401" s="77">
        <f>CB401+50*27</f>
        <v>1525</v>
      </c>
      <c r="DD401" s="77">
        <f>CB401+50*28</f>
        <v>1575</v>
      </c>
      <c r="DE401" s="77">
        <f>DD401+50</f>
        <v>1625</v>
      </c>
      <c r="DF401" s="77">
        <f>DE401+50*1</f>
        <v>1675</v>
      </c>
      <c r="DG401" s="77">
        <f>DE401+50*2</f>
        <v>1725</v>
      </c>
      <c r="DM401" s="77">
        <f>PI()*10*10/4*2</f>
        <v>157.07963267948966</v>
      </c>
      <c r="DN401" s="77">
        <f t="shared" si="1230"/>
        <v>157.07963267948966</v>
      </c>
      <c r="DO401" s="77">
        <f>PI()*10*10/4*2</f>
        <v>157.07963267948966</v>
      </c>
      <c r="DP401" s="77">
        <f>PI()*4*4/4*2</f>
        <v>25.132741228718345</v>
      </c>
      <c r="DQ401" s="77">
        <f>PI()*4*4/4*2</f>
        <v>25.132741228718345</v>
      </c>
      <c r="DR401" s="77">
        <f t="shared" si="1246"/>
        <v>25.132741228718345</v>
      </c>
      <c r="DS401" s="77">
        <f t="shared" si="1246"/>
        <v>25.132741228718345</v>
      </c>
      <c r="DT401" s="77">
        <f t="shared" si="1246"/>
        <v>25.132741228718345</v>
      </c>
      <c r="DU401" s="77">
        <f t="shared" si="1246"/>
        <v>25.132741228718345</v>
      </c>
      <c r="DV401" s="77">
        <f t="shared" si="1246"/>
        <v>25.132741228718345</v>
      </c>
      <c r="DW401" s="77">
        <f t="shared" si="1246"/>
        <v>25.132741228718345</v>
      </c>
      <c r="DX401" s="77">
        <f t="shared" si="1246"/>
        <v>25.132741228718345</v>
      </c>
      <c r="DY401" s="77">
        <f t="shared" si="1246"/>
        <v>25.132741228718345</v>
      </c>
      <c r="DZ401" s="77">
        <f t="shared" si="1246"/>
        <v>25.132741228718345</v>
      </c>
      <c r="EA401" s="77">
        <f t="shared" si="1246"/>
        <v>25.132741228718345</v>
      </c>
      <c r="EB401" s="77">
        <f t="shared" si="1247"/>
        <v>25.132741228718345</v>
      </c>
      <c r="EC401" s="77">
        <f t="shared" si="1247"/>
        <v>25.132741228718345</v>
      </c>
      <c r="ED401" s="77">
        <f t="shared" si="1247"/>
        <v>25.132741228718345</v>
      </c>
      <c r="EE401" s="77">
        <f t="shared" si="1247"/>
        <v>25.132741228718345</v>
      </c>
      <c r="EF401" s="77">
        <f t="shared" si="1247"/>
        <v>25.132741228718345</v>
      </c>
      <c r="EG401" s="77">
        <f t="shared" si="1247"/>
        <v>25.132741228718345</v>
      </c>
      <c r="EH401" s="77">
        <f t="shared" si="1247"/>
        <v>25.132741228718345</v>
      </c>
      <c r="EI401" s="77">
        <f t="shared" si="1247"/>
        <v>25.132741228718345</v>
      </c>
      <c r="EJ401" s="77">
        <f t="shared" si="1247"/>
        <v>25.132741228718345</v>
      </c>
      <c r="EK401" s="77">
        <f t="shared" si="1247"/>
        <v>25.132741228718345</v>
      </c>
      <c r="EL401" s="77">
        <f t="shared" si="1247"/>
        <v>25.132741228718345</v>
      </c>
      <c r="EM401" s="77">
        <f t="shared" si="1247"/>
        <v>25.132741228718345</v>
      </c>
      <c r="EN401" s="77">
        <f t="shared" si="1247"/>
        <v>25.132741228718345</v>
      </c>
      <c r="EO401" s="77">
        <f t="shared" si="1247"/>
        <v>25.132741228718345</v>
      </c>
      <c r="EP401" s="77">
        <f t="shared" si="1247"/>
        <v>25.132741228718345</v>
      </c>
      <c r="EQ401" s="77">
        <f>PI()*4*4/4*2</f>
        <v>25.132741228718345</v>
      </c>
      <c r="ER401" s="77">
        <f>PI()*4*4/4*2</f>
        <v>25.132741228718345</v>
      </c>
      <c r="ES401" s="77">
        <f>PI()*10*10/4*2</f>
        <v>157.07963267948966</v>
      </c>
      <c r="ET401" s="77">
        <f>PI()*10*10/4*2</f>
        <v>157.07963267948966</v>
      </c>
      <c r="EU401" s="77">
        <f>PI()*10*10/4*2</f>
        <v>157.07963267948966</v>
      </c>
      <c r="FA401" s="77">
        <f t="shared" si="1244"/>
        <v>-62831.853071795864</v>
      </c>
      <c r="FB401" s="77">
        <f t="shared" si="1245"/>
        <v>-62831.853071795864</v>
      </c>
      <c r="FC401" s="77">
        <f t="shared" si="1205"/>
        <v>-49810.727797619402</v>
      </c>
      <c r="FD401" s="77">
        <f>IF(ABS(-$BV401*($BS401-CB401)/$BS401*$BX401)&gt;$BA401,$BA401*SIGN(-($BS401-CB401)),-$BV401*($BS401-CB401)/$BS401*$BX401)*DP401</f>
        <v>-4522.5593422851016</v>
      </c>
      <c r="FE401" s="77">
        <f>IF(ABS(-$BV401*($BS401-CC401)/$BS401*$BX401)&gt;$BA401,$BA401*SIGN(-($BS401-CC401)),-$BV401*($BS401-CC401)/$BS401*$BX401)*DQ401</f>
        <v>-1075.4022369511001</v>
      </c>
      <c r="FF401" s="77">
        <f>IF(ABS(-$BV401*($BS401-CD401)/$BS401*$BX401)&gt;$BA401,$BA401*SIGN(-($BS401-CD401)),-$BV401*($BS401-CD401)/$BS401*$BX401)*DR401</f>
        <v>2371.7548683829013</v>
      </c>
      <c r="FG401" s="77">
        <f t="shared" si="1241"/>
        <v>5818.911973716903</v>
      </c>
      <c r="FH401" s="77">
        <f t="shared" si="1241"/>
        <v>9266.0690790509052</v>
      </c>
      <c r="FI401" s="77">
        <f t="shared" si="1215"/>
        <v>10053.096491487338</v>
      </c>
      <c r="FJ401" s="77">
        <f t="shared" si="1216"/>
        <v>10053.096491487338</v>
      </c>
      <c r="FK401" s="77">
        <f t="shared" si="1242"/>
        <v>10053.096491487338</v>
      </c>
      <c r="FL401" s="77">
        <f t="shared" si="1242"/>
        <v>10053.096491487338</v>
      </c>
      <c r="FM401" s="77">
        <f t="shared" si="1242"/>
        <v>10053.096491487338</v>
      </c>
      <c r="FN401" s="77">
        <f t="shared" si="1248"/>
        <v>10053.096491487338</v>
      </c>
      <c r="FO401" s="77">
        <f t="shared" si="1248"/>
        <v>10053.096491487338</v>
      </c>
      <c r="FP401" s="77">
        <f t="shared" si="1248"/>
        <v>10053.096491487338</v>
      </c>
      <c r="FQ401" s="77">
        <f t="shared" si="1248"/>
        <v>10053.096491487338</v>
      </c>
      <c r="FR401" s="77">
        <f t="shared" si="1248"/>
        <v>10053.096491487338</v>
      </c>
      <c r="FS401" s="77">
        <f t="shared" si="1248"/>
        <v>10053.096491487338</v>
      </c>
      <c r="FT401" s="77">
        <f t="shared" si="1248"/>
        <v>10053.096491487338</v>
      </c>
      <c r="FU401" s="77">
        <f t="shared" si="1248"/>
        <v>10053.096491487338</v>
      </c>
      <c r="FV401" s="77">
        <f t="shared" si="1248"/>
        <v>10053.096491487338</v>
      </c>
      <c r="FW401" s="77">
        <f t="shared" si="1248"/>
        <v>10053.096491487338</v>
      </c>
      <c r="FX401" s="77">
        <f t="shared" si="1249"/>
        <v>10053.096491487338</v>
      </c>
      <c r="FY401" s="77">
        <f t="shared" si="1249"/>
        <v>10053.096491487338</v>
      </c>
      <c r="FZ401" s="77">
        <f t="shared" si="1249"/>
        <v>10053.096491487338</v>
      </c>
      <c r="GA401" s="77">
        <f t="shared" si="1249"/>
        <v>10053.096491487338</v>
      </c>
      <c r="GB401" s="77">
        <f t="shared" si="1249"/>
        <v>10053.096491487338</v>
      </c>
      <c r="GC401" s="77">
        <f t="shared" si="1249"/>
        <v>10053.096491487338</v>
      </c>
      <c r="GD401" s="77">
        <f t="shared" si="1249"/>
        <v>10053.096491487338</v>
      </c>
      <c r="GE401" s="77">
        <f>IF(ABS(-$BV401*($BS401-DC401)/$BS401*$BX401)&gt;$BA401,$BA401*SIGN(-($BS401-DC401)),-$BV401*($BS401-DC401)/$BS401*$BX401)*EQ401</f>
        <v>10053.096491487338</v>
      </c>
      <c r="GF401" s="77">
        <f>IF(ABS(-$BV401*($BS401-DD401)/$BS401*$BX401)&gt;$BA401,$BA401*SIGN(-($BS401-DD401)),-$BV401*($BS401-DD401)/$BS401*$BX401)*ER401</f>
        <v>10053.096491487338</v>
      </c>
      <c r="GG401" s="77">
        <f>IF(ABS(-$BV401*($BS401-DE401)/$BS401*$BX401)&gt;$BB401,$BB401*SIGN(-($BS401-DE401)),-$BV401*($BS401-DE401)/$BS401*$BX401)*ES401</f>
        <v>62831.853071795864</v>
      </c>
      <c r="GH401" s="77">
        <f>IF(ABS(-$BV401*($BS401-DF401)/$BS401*$BX401)&gt;$BB401,$BB401*SIGN(-($BS401-DF401)),-$BV401*($BS401-DF401)/$BS401*$BX401)*ET401</f>
        <v>62831.853071795864</v>
      </c>
      <c r="GI401" s="77">
        <f>IF(ABS(-$BV401*($BS401-DG401)/$BS401*$BX401)&gt;$BB401,$BB401*SIGN(-($BS401-DG401)),-$BV401*($BS401-DG401)/$BS401*$BX401)*EU401</f>
        <v>62831.853071795864</v>
      </c>
      <c r="GO401" s="77">
        <f t="shared" si="1038"/>
        <v>53407075.111026481</v>
      </c>
      <c r="GP401" s="77">
        <f t="shared" si="1039"/>
        <v>50265482.457436688</v>
      </c>
      <c r="GQ401" s="77">
        <f t="shared" si="1040"/>
        <v>37358045.848214552</v>
      </c>
      <c r="GR401" s="77">
        <f t="shared" si="1041"/>
        <v>3165791.5395995709</v>
      </c>
      <c r="GS401" s="77">
        <f t="shared" si="1193"/>
        <v>699011.45401821507</v>
      </c>
      <c r="GT401" s="77">
        <f t="shared" si="1139"/>
        <v>-1423052.9210297407</v>
      </c>
      <c r="GU401" s="77">
        <f t="shared" si="1140"/>
        <v>-3200401.5855442965</v>
      </c>
      <c r="GV401" s="77">
        <f t="shared" si="1207"/>
        <v>-4633034.539525453</v>
      </c>
      <c r="GW401" s="77">
        <f t="shared" si="1208"/>
        <v>-4523893.4211693024</v>
      </c>
      <c r="GX401" s="77">
        <f t="shared" si="1209"/>
        <v>-4021238.5965949353</v>
      </c>
      <c r="GY401" s="77">
        <f t="shared" si="1210"/>
        <v>-3518583.7720205686</v>
      </c>
      <c r="GZ401" s="77">
        <f t="shared" si="1218"/>
        <v>-3015928.9474462015</v>
      </c>
      <c r="HA401" s="77">
        <f t="shared" si="1219"/>
        <v>-2513274.1228718348</v>
      </c>
      <c r="HB401" s="77">
        <f t="shared" si="1220"/>
        <v>-2010619.2982974676</v>
      </c>
      <c r="HC401" s="77">
        <f t="shared" si="1221"/>
        <v>-1507964.4737231007</v>
      </c>
      <c r="HD401" s="77">
        <f t="shared" si="1234"/>
        <v>-1005309.6491487338</v>
      </c>
      <c r="HE401" s="77">
        <f t="shared" si="1234"/>
        <v>-502654.82457436691</v>
      </c>
      <c r="HF401" s="77">
        <f t="shared" si="1234"/>
        <v>0</v>
      </c>
      <c r="HG401" s="77">
        <f t="shared" si="1234"/>
        <v>502654.82457436691</v>
      </c>
      <c r="HH401" s="77">
        <f t="shared" si="1250"/>
        <v>1005309.6491487338</v>
      </c>
      <c r="HI401" s="77">
        <f t="shared" si="1250"/>
        <v>1507964.4737231007</v>
      </c>
      <c r="HJ401" s="77">
        <f t="shared" si="1250"/>
        <v>2010619.2982974676</v>
      </c>
      <c r="HK401" s="77">
        <f t="shared" si="1250"/>
        <v>2513274.1228718348</v>
      </c>
      <c r="HL401" s="77">
        <f t="shared" si="1250"/>
        <v>3015928.9474462015</v>
      </c>
      <c r="HM401" s="77">
        <f t="shared" si="1250"/>
        <v>3518583.7720205686</v>
      </c>
      <c r="HN401" s="77">
        <f t="shared" si="1250"/>
        <v>4021238.5965949353</v>
      </c>
      <c r="HO401" s="77">
        <f t="shared" si="1250"/>
        <v>4523893.4211693024</v>
      </c>
      <c r="HP401" s="77">
        <f t="shared" si="1250"/>
        <v>5026548.2457436696</v>
      </c>
      <c r="HQ401" s="77">
        <f t="shared" si="1250"/>
        <v>5529203.0703180358</v>
      </c>
      <c r="HR401" s="77">
        <f t="shared" si="1250"/>
        <v>6031857.8948924029</v>
      </c>
      <c r="HS401" s="77">
        <f t="shared" si="1250"/>
        <v>6534512.7194667701</v>
      </c>
      <c r="HT401" s="77">
        <f t="shared" si="1250"/>
        <v>7037167.5440411372</v>
      </c>
      <c r="HU401" s="77">
        <f t="shared" si="1250"/>
        <v>47123889.803846896</v>
      </c>
      <c r="HV401" s="77">
        <f t="shared" si="1250"/>
        <v>50265482.457436688</v>
      </c>
      <c r="HW401" s="77">
        <f t="shared" si="1250"/>
        <v>53407075.111026481</v>
      </c>
      <c r="IC401" s="82">
        <v>423</v>
      </c>
    </row>
    <row r="402" spans="1:237" s="77" customFormat="1">
      <c r="A402" s="77">
        <v>402</v>
      </c>
      <c r="C402" s="122" t="s">
        <v>423</v>
      </c>
      <c r="D402" s="122" t="s">
        <v>430</v>
      </c>
      <c r="E402" s="59">
        <v>1</v>
      </c>
      <c r="F402" s="125">
        <f t="shared" si="1199"/>
        <v>9.6984126984126978E-2</v>
      </c>
      <c r="G402" s="122">
        <v>3.5999999999999999E-3</v>
      </c>
      <c r="H402" s="122">
        <v>6.8999999999999999E-3</v>
      </c>
      <c r="I402" s="122">
        <v>1.4999999999999999E-2</v>
      </c>
      <c r="J402" s="122">
        <f t="shared" si="1222"/>
        <v>1.3714285714285714</v>
      </c>
      <c r="K402" s="125">
        <f t="shared" si="1223"/>
        <v>14.583333333333334</v>
      </c>
      <c r="L402" s="125">
        <f t="shared" si="1224"/>
        <v>6.2666666666666676E-2</v>
      </c>
      <c r="M402" s="125">
        <f t="shared" si="1225"/>
        <v>6.2666666666666676E-2</v>
      </c>
      <c r="N402" s="125">
        <f t="shared" si="1226"/>
        <v>0.184</v>
      </c>
      <c r="O402" s="125">
        <f t="shared" si="1227"/>
        <v>0.34800000000000003</v>
      </c>
      <c r="P402" s="122">
        <v>0.2</v>
      </c>
      <c r="Q402" s="122" t="s">
        <v>3</v>
      </c>
      <c r="R402" s="133">
        <f t="shared" si="1228"/>
        <v>0</v>
      </c>
      <c r="S402" s="75">
        <f t="shared" si="1163"/>
        <v>0.53120394069151822</v>
      </c>
      <c r="T402" s="59">
        <f t="shared" si="1142"/>
        <v>0.93808131333538947</v>
      </c>
      <c r="U402" s="59">
        <f t="shared" si="1143"/>
        <v>0.81886980351478633</v>
      </c>
      <c r="V402" s="59">
        <f t="shared" si="1144"/>
        <v>0.91449978154860101</v>
      </c>
      <c r="W402" s="59">
        <f t="shared" si="1145"/>
        <v>0.97486195338126569</v>
      </c>
      <c r="X402" s="59">
        <f t="shared" si="1146"/>
        <v>1.1167828849266974</v>
      </c>
      <c r="Y402" s="127">
        <v>611000</v>
      </c>
      <c r="Z402" s="57">
        <f t="shared" si="1147"/>
        <v>682354.34269021219</v>
      </c>
      <c r="AA402" s="57">
        <f t="shared" si="1148"/>
        <v>595640.65351595334</v>
      </c>
      <c r="AB402" s="57">
        <f t="shared" si="1194"/>
        <v>1024735.6331417867</v>
      </c>
      <c r="AC402" s="57">
        <f t="shared" si="1149"/>
        <v>0.25</v>
      </c>
      <c r="AD402" s="57">
        <f t="shared" si="1150"/>
        <v>1.5</v>
      </c>
      <c r="AE402" s="57">
        <f t="shared" si="1151"/>
        <v>1260000</v>
      </c>
      <c r="AF402" s="57">
        <f t="shared" si="1152"/>
        <v>347152.91745575273</v>
      </c>
      <c r="AG402" s="57">
        <f t="shared" si="1058"/>
        <v>248487.73606020067</v>
      </c>
      <c r="AH402" s="57">
        <f t="shared" si="1195"/>
        <v>2038489014.9333427</v>
      </c>
      <c r="AI402" s="77">
        <f t="shared" si="1196"/>
        <v>420876504.6069451</v>
      </c>
      <c r="AJ402" s="77">
        <v>1200000</v>
      </c>
      <c r="AK402" s="77">
        <v>30</v>
      </c>
      <c r="AL402" s="78">
        <f t="shared" si="1153"/>
        <v>2.9824028793893054</v>
      </c>
      <c r="AM402" s="57">
        <f t="shared" si="1154"/>
        <v>1</v>
      </c>
      <c r="AN402" s="57">
        <f t="shared" si="1155"/>
        <v>0.8</v>
      </c>
      <c r="AO402" s="77">
        <v>1750</v>
      </c>
      <c r="AP402" s="79">
        <f>100*4+25</f>
        <v>425</v>
      </c>
      <c r="AQ402" s="57">
        <f t="shared" si="1156"/>
        <v>205.15423860565832</v>
      </c>
      <c r="AR402" s="57">
        <f t="shared" si="1197"/>
        <v>900</v>
      </c>
      <c r="AS402" s="57">
        <f t="shared" si="1157"/>
        <v>1544.8457613943417</v>
      </c>
      <c r="AT402" s="77">
        <v>120</v>
      </c>
      <c r="AU402" s="77">
        <v>2400</v>
      </c>
      <c r="AV402" s="57">
        <f t="shared" si="1158"/>
        <v>210000</v>
      </c>
      <c r="AW402" s="77">
        <v>0</v>
      </c>
      <c r="AX402" s="77">
        <f t="shared" si="1159"/>
        <v>210000</v>
      </c>
      <c r="AY402" s="77">
        <f t="shared" si="1236"/>
        <v>210000</v>
      </c>
      <c r="AZ402" s="77">
        <f t="shared" si="1141"/>
        <v>400</v>
      </c>
      <c r="BA402" s="77">
        <v>400</v>
      </c>
      <c r="BB402" s="77">
        <v>400</v>
      </c>
      <c r="BC402" s="77">
        <v>400</v>
      </c>
      <c r="BD402" s="77">
        <v>4.7000000000000002E-3</v>
      </c>
      <c r="BE402" s="77">
        <v>4.7000000000000002E-3</v>
      </c>
      <c r="BF402" s="77">
        <v>1.38E-2</v>
      </c>
      <c r="BG402" s="77">
        <v>2.6100000000000002E-2</v>
      </c>
      <c r="BH402" s="79">
        <v>50</v>
      </c>
      <c r="BI402" s="79">
        <f>PI()*4*4/4</f>
        <v>12.566370614359172</v>
      </c>
      <c r="BJ402" s="79">
        <v>2</v>
      </c>
      <c r="BK402" s="57">
        <f t="shared" si="1059"/>
        <v>25.132741228718345</v>
      </c>
      <c r="BL402" s="57">
        <f t="shared" si="1235"/>
        <v>507.6</v>
      </c>
      <c r="BM402" s="80">
        <f t="shared" si="1229"/>
        <v>78.539816339744831</v>
      </c>
      <c r="BN402" s="80">
        <v>10</v>
      </c>
      <c r="BO402" s="57">
        <f t="shared" si="1198"/>
        <v>785.39816339744834</v>
      </c>
      <c r="BP402" s="57">
        <f t="shared" si="1160"/>
        <v>558759.3665261952</v>
      </c>
      <c r="BQ402" s="77">
        <f t="shared" si="1161"/>
        <v>3.14321368932724E-9</v>
      </c>
      <c r="BR402" s="57">
        <f t="shared" ref="BR402:BR426" si="1251">-AM402*AT402*BS402*AK402*(BS402/2-0.5*AO402)+SUM(GO402:IB402)</f>
        <v>1341022479.6628685</v>
      </c>
      <c r="BS402" s="57">
        <v>410.30847721131664</v>
      </c>
      <c r="BT402" s="57">
        <f t="shared" si="1170"/>
        <v>530.20278196748791</v>
      </c>
      <c r="BU402" s="57"/>
      <c r="BV402" s="57">
        <v>3.3E-3</v>
      </c>
      <c r="BW402" s="57">
        <v>30000</v>
      </c>
      <c r="BX402" s="57">
        <v>200000</v>
      </c>
      <c r="BY402" s="77">
        <f>25</f>
        <v>25</v>
      </c>
      <c r="BZ402" s="77">
        <f>BY402+100*1</f>
        <v>125</v>
      </c>
      <c r="CA402" s="77">
        <f>BY402+100*2</f>
        <v>225</v>
      </c>
      <c r="CB402" s="77">
        <f>BY402+100*3</f>
        <v>325</v>
      </c>
      <c r="CC402" s="77">
        <f>BY402+100*4</f>
        <v>425</v>
      </c>
      <c r="CD402" s="77">
        <f>CC402+50</f>
        <v>475</v>
      </c>
      <c r="CE402" s="77">
        <f>CD402+50*1</f>
        <v>525</v>
      </c>
      <c r="CF402" s="77">
        <f>CD402+50*2</f>
        <v>575</v>
      </c>
      <c r="CG402" s="77">
        <f>CD402+50*3</f>
        <v>625</v>
      </c>
      <c r="CH402" s="77">
        <f>CD402+50*4</f>
        <v>675</v>
      </c>
      <c r="CI402" s="77">
        <f>CD402+50*5</f>
        <v>725</v>
      </c>
      <c r="CJ402" s="77">
        <f>CD402+50*6</f>
        <v>775</v>
      </c>
      <c r="CK402" s="77">
        <f>CD402+50*7</f>
        <v>825</v>
      </c>
      <c r="CL402" s="77">
        <f>CD402+50*8</f>
        <v>875</v>
      </c>
      <c r="CM402" s="77">
        <f>CD402+50*9</f>
        <v>925</v>
      </c>
      <c r="CN402" s="77">
        <f>CD402+50*10</f>
        <v>975</v>
      </c>
      <c r="CO402" s="77">
        <f>CD402+50*11</f>
        <v>1025</v>
      </c>
      <c r="CP402" s="77">
        <f>CD402+50*12</f>
        <v>1075</v>
      </c>
      <c r="CQ402" s="77">
        <f>CD402+50*13</f>
        <v>1125</v>
      </c>
      <c r="CR402" s="77">
        <f>CD402+50*14</f>
        <v>1175</v>
      </c>
      <c r="CS402" s="77">
        <f>CD402+50*15</f>
        <v>1225</v>
      </c>
      <c r="CT402" s="77">
        <f>CD402+50*16</f>
        <v>1275</v>
      </c>
      <c r="CU402" s="77">
        <f>CT402+50</f>
        <v>1325</v>
      </c>
      <c r="CV402" s="77">
        <f>CU402+100*1</f>
        <v>1425</v>
      </c>
      <c r="CW402" s="77">
        <f>CU402+100*2</f>
        <v>1525</v>
      </c>
      <c r="CX402" s="77">
        <f>CU402+100*3</f>
        <v>1625</v>
      </c>
      <c r="CY402" s="77">
        <f>CU402+100*4</f>
        <v>1725</v>
      </c>
      <c r="DM402" s="77">
        <f>PI()*10*10/4*2</f>
        <v>157.07963267948966</v>
      </c>
      <c r="DN402" s="77">
        <f t="shared" si="1230"/>
        <v>157.07963267948966</v>
      </c>
      <c r="DO402" s="77">
        <f>PI()*10*10/4*2</f>
        <v>157.07963267948966</v>
      </c>
      <c r="DP402" s="77">
        <f>PI()*10*10/4*2</f>
        <v>157.07963267948966</v>
      </c>
      <c r="DQ402" s="77">
        <f>PI()*10*10/4*2</f>
        <v>157.07963267948966</v>
      </c>
      <c r="DR402" s="77">
        <f t="shared" ref="DR402:EH402" si="1252">PI()*4*4/4*2</f>
        <v>25.132741228718345</v>
      </c>
      <c r="DS402" s="77">
        <f t="shared" si="1252"/>
        <v>25.132741228718345</v>
      </c>
      <c r="DT402" s="77">
        <f t="shared" si="1252"/>
        <v>25.132741228718345</v>
      </c>
      <c r="DU402" s="77">
        <f t="shared" si="1252"/>
        <v>25.132741228718345</v>
      </c>
      <c r="DV402" s="77">
        <f t="shared" si="1252"/>
        <v>25.132741228718345</v>
      </c>
      <c r="DW402" s="77">
        <f t="shared" si="1252"/>
        <v>25.132741228718345</v>
      </c>
      <c r="DX402" s="77">
        <f t="shared" si="1252"/>
        <v>25.132741228718345</v>
      </c>
      <c r="DY402" s="77">
        <f t="shared" si="1252"/>
        <v>25.132741228718345</v>
      </c>
      <c r="DZ402" s="77">
        <f t="shared" si="1252"/>
        <v>25.132741228718345</v>
      </c>
      <c r="EA402" s="77">
        <f t="shared" si="1252"/>
        <v>25.132741228718345</v>
      </c>
      <c r="EB402" s="77">
        <f t="shared" si="1252"/>
        <v>25.132741228718345</v>
      </c>
      <c r="EC402" s="77">
        <f t="shared" si="1252"/>
        <v>25.132741228718345</v>
      </c>
      <c r="ED402" s="77">
        <f t="shared" si="1252"/>
        <v>25.132741228718345</v>
      </c>
      <c r="EE402" s="77">
        <f t="shared" si="1252"/>
        <v>25.132741228718345</v>
      </c>
      <c r="EF402" s="77">
        <f t="shared" si="1252"/>
        <v>25.132741228718345</v>
      </c>
      <c r="EG402" s="77">
        <f t="shared" si="1252"/>
        <v>25.132741228718345</v>
      </c>
      <c r="EH402" s="77">
        <f t="shared" si="1252"/>
        <v>25.132741228718345</v>
      </c>
      <c r="EI402" s="77">
        <f>PI()*10*10/4*2</f>
        <v>157.07963267948966</v>
      </c>
      <c r="EJ402" s="77">
        <f>PI()*10*10/4*2</f>
        <v>157.07963267948966</v>
      </c>
      <c r="EK402" s="77">
        <f>PI()*10*10/4*2</f>
        <v>157.07963267948966</v>
      </c>
      <c r="EL402" s="77">
        <f>PI()*10*10/4*2</f>
        <v>157.07963267948966</v>
      </c>
      <c r="EM402" s="77">
        <f>PI()*10*10/4*2</f>
        <v>157.07963267948966</v>
      </c>
      <c r="FA402" s="77">
        <f t="shared" si="1244"/>
        <v>-62831.853071795864</v>
      </c>
      <c r="FB402" s="77">
        <f t="shared" si="1245"/>
        <v>-62831.853071795864</v>
      </c>
      <c r="FC402" s="77">
        <f t="shared" si="1205"/>
        <v>-46821.85438181975</v>
      </c>
      <c r="FD402" s="77">
        <f>IF(ABS(-$BV402*($BS402-CB402)/$BS402*$BX402)&gt;$BB402,$BB402*SIGN(-($BS402-CB402)),-$BV402*($BS402-CB402)/$BS402*$BX402)*DP402</f>
        <v>-21554.875187755992</v>
      </c>
      <c r="FE402" s="77">
        <f>IF(ABS(-$BV402*($BS402-CC402)/$BS402*$BX402)&gt;$BB402,$BB402*SIGN(-($BS402-CC402)),-$BV402*($BS402-CC402)/$BS402*$BX402)*DQ402</f>
        <v>3712.1040063077585</v>
      </c>
      <c r="FF402" s="77">
        <f>IF(ABS(-$BV402*($BS402-CD402)/$BS402*$BX402)&gt;$BA402,$BA402*SIGN(-($BS402-CD402)),-$BV402*($BS402-CD402)/$BS402*$BX402)*DR402</f>
        <v>2615.294976534341</v>
      </c>
      <c r="FG402" s="77">
        <f t="shared" si="1241"/>
        <v>4636.6533120594413</v>
      </c>
      <c r="FH402" s="77">
        <f t="shared" si="1241"/>
        <v>6658.0116475845416</v>
      </c>
      <c r="FI402" s="77">
        <f t="shared" si="1215"/>
        <v>8679.3699831096419</v>
      </c>
      <c r="FJ402" s="77">
        <f t="shared" si="1216"/>
        <v>10053.096491487338</v>
      </c>
      <c r="FK402" s="77">
        <f t="shared" si="1242"/>
        <v>10053.096491487338</v>
      </c>
      <c r="FL402" s="77">
        <f t="shared" si="1242"/>
        <v>10053.096491487338</v>
      </c>
      <c r="FM402" s="77">
        <f t="shared" si="1242"/>
        <v>10053.096491487338</v>
      </c>
      <c r="FN402" s="77">
        <f t="shared" ref="FN402:FV402" si="1253">IF(ABS(-$BV402*($BS402-CL402)/$BS402*$BX402)&gt;$BA402,$BA402*SIGN(-($BS402-CL402)),-$BV402*($BS402-CL402)/$BS402*$BX402)*DZ402</f>
        <v>10053.096491487338</v>
      </c>
      <c r="FO402" s="77">
        <f t="shared" si="1253"/>
        <v>10053.096491487338</v>
      </c>
      <c r="FP402" s="77">
        <f t="shared" si="1253"/>
        <v>10053.096491487338</v>
      </c>
      <c r="FQ402" s="77">
        <f t="shared" si="1253"/>
        <v>10053.096491487338</v>
      </c>
      <c r="FR402" s="77">
        <f t="shared" si="1253"/>
        <v>10053.096491487338</v>
      </c>
      <c r="FS402" s="77">
        <f t="shared" si="1253"/>
        <v>10053.096491487338</v>
      </c>
      <c r="FT402" s="77">
        <f t="shared" si="1253"/>
        <v>10053.096491487338</v>
      </c>
      <c r="FU402" s="77">
        <f t="shared" si="1253"/>
        <v>10053.096491487338</v>
      </c>
      <c r="FV402" s="77">
        <f t="shared" si="1253"/>
        <v>10053.096491487338</v>
      </c>
      <c r="FW402" s="77">
        <f>IF(ABS(-$BV402*($BS402-CU402)/$BS402*$BX402)&gt;$BB402,$BB402*SIGN(-($BS402-CU402)),-$BV402*($BS402-CU402)/$BS402*$BX402)*EI402</f>
        <v>62831.853071795864</v>
      </c>
      <c r="FX402" s="77">
        <f>IF(ABS(-$BV402*($BS402-CV402)/$BS402*$BX402)&gt;$BB402,$BB402*SIGN(-($BS402-CV402)),-$BV402*($BS402-CV402)/$BS402*$BX402)*EJ402</f>
        <v>62831.853071795864</v>
      </c>
      <c r="FY402" s="77">
        <f>IF(ABS(-$BV402*($BS402-CW402)/$BS402*$BX402)&gt;$BB402,$BB402*SIGN(-($BS402-CW402)),-$BV402*($BS402-CW402)/$BS402*$BX402)*EK402</f>
        <v>62831.853071795864</v>
      </c>
      <c r="FZ402" s="77">
        <f>IF(ABS(-$BV402*($BS402-CX402)/$BS402*$BX402)&gt;$BB402,$BB402*SIGN(-($BS402-CX402)),-$BV402*($BS402-CX402)/$BS402*$BX402)*EL402</f>
        <v>62831.853071795864</v>
      </c>
      <c r="GA402" s="77">
        <f>IF(ABS(-$BV402*($BS402-CY402)/$BS402*$BX402)&gt;$BB402,$BB402*SIGN(-($BS402-CY402)),-$BV402*($BS402-CY402)/$BS402*$BX402)*EM402</f>
        <v>62831.853071795864</v>
      </c>
      <c r="GO402" s="77">
        <f t="shared" si="1038"/>
        <v>53407075.111026481</v>
      </c>
      <c r="GP402" s="77">
        <f t="shared" si="1039"/>
        <v>47123889.803846896</v>
      </c>
      <c r="GQ402" s="77">
        <f t="shared" si="1040"/>
        <v>30434205.348182838</v>
      </c>
      <c r="GR402" s="77">
        <f t="shared" si="1041"/>
        <v>11855181.353265796</v>
      </c>
      <c r="GS402" s="77">
        <f t="shared" si="1193"/>
        <v>-1670446.8028384913</v>
      </c>
      <c r="GT402" s="77">
        <f t="shared" si="1139"/>
        <v>-1046117.9906137364</v>
      </c>
      <c r="GU402" s="77">
        <f t="shared" si="1140"/>
        <v>-1622828.6592208045</v>
      </c>
      <c r="GV402" s="77">
        <f t="shared" si="1207"/>
        <v>-1997403.4942753625</v>
      </c>
      <c r="GW402" s="77">
        <f t="shared" si="1208"/>
        <v>-2169842.4957774105</v>
      </c>
      <c r="GX402" s="77">
        <f t="shared" si="1209"/>
        <v>-2010619.2982974676</v>
      </c>
      <c r="GY402" s="77">
        <f t="shared" si="1210"/>
        <v>-1507964.4737231007</v>
      </c>
      <c r="GZ402" s="77">
        <f t="shared" si="1218"/>
        <v>-1005309.6491487338</v>
      </c>
      <c r="HA402" s="77">
        <f t="shared" si="1219"/>
        <v>-502654.82457436691</v>
      </c>
      <c r="HB402" s="77">
        <f t="shared" si="1220"/>
        <v>0</v>
      </c>
      <c r="HC402" s="77">
        <f t="shared" si="1221"/>
        <v>502654.82457436691</v>
      </c>
      <c r="HD402" s="77">
        <f t="shared" si="1234"/>
        <v>1005309.6491487338</v>
      </c>
      <c r="HE402" s="77">
        <f t="shared" si="1234"/>
        <v>1507964.4737231007</v>
      </c>
      <c r="HF402" s="77">
        <f t="shared" si="1234"/>
        <v>2010619.2982974676</v>
      </c>
      <c r="HG402" s="77">
        <f t="shared" si="1234"/>
        <v>2513274.1228718348</v>
      </c>
      <c r="HH402" s="77">
        <f t="shared" ref="HH402:HO402" si="1254">FT402*(CR402-0.5*$AO402)</f>
        <v>3015928.9474462015</v>
      </c>
      <c r="HI402" s="77">
        <f t="shared" si="1254"/>
        <v>3518583.7720205686</v>
      </c>
      <c r="HJ402" s="77">
        <f t="shared" si="1254"/>
        <v>4021238.5965949353</v>
      </c>
      <c r="HK402" s="77">
        <f t="shared" si="1254"/>
        <v>28274333.88230814</v>
      </c>
      <c r="HL402" s="77">
        <f t="shared" si="1254"/>
        <v>34557519.189487725</v>
      </c>
      <c r="HM402" s="77">
        <f t="shared" si="1254"/>
        <v>40840704.496667311</v>
      </c>
      <c r="HN402" s="77">
        <f t="shared" si="1254"/>
        <v>47123889.803846896</v>
      </c>
      <c r="HO402" s="77">
        <f t="shared" si="1254"/>
        <v>53407075.111026481</v>
      </c>
      <c r="IC402" s="82">
        <v>424</v>
      </c>
    </row>
    <row r="403" spans="1:237" s="77" customFormat="1">
      <c r="A403" s="77">
        <v>403</v>
      </c>
      <c r="C403" s="122" t="s">
        <v>431</v>
      </c>
      <c r="D403" s="122" t="s">
        <v>432</v>
      </c>
      <c r="E403" s="125">
        <v>1</v>
      </c>
      <c r="F403" s="125">
        <f t="shared" si="1199"/>
        <v>6.4814814814814811E-2</v>
      </c>
      <c r="G403" s="122">
        <v>5.0000000000000001E-3</v>
      </c>
      <c r="H403" s="122">
        <v>1.4999999999999999E-2</v>
      </c>
      <c r="I403" s="122">
        <v>0.02</v>
      </c>
      <c r="J403" s="122">
        <f t="shared" si="1222"/>
        <v>2.2000000000000002</v>
      </c>
      <c r="K403" s="125">
        <f t="shared" si="1223"/>
        <v>8.3333333333333339</v>
      </c>
      <c r="L403" s="125">
        <f t="shared" si="1224"/>
        <v>0.108</v>
      </c>
      <c r="M403" s="125">
        <f t="shared" si="1225"/>
        <v>6.3E-2</v>
      </c>
      <c r="N403" s="125">
        <f t="shared" si="1226"/>
        <v>0.41666666666666669</v>
      </c>
      <c r="O403" s="125">
        <f t="shared" si="1227"/>
        <v>3.5185185185185187E-2</v>
      </c>
      <c r="P403" s="132">
        <v>0.09</v>
      </c>
      <c r="Q403" s="122" t="s">
        <v>3</v>
      </c>
      <c r="R403" s="133">
        <f t="shared" si="1228"/>
        <v>0</v>
      </c>
      <c r="S403" s="75">
        <f t="shared" si="1163"/>
        <v>0.33678765702728169</v>
      </c>
      <c r="T403" s="59">
        <f t="shared" si="1142"/>
        <v>0.72634034420163762</v>
      </c>
      <c r="U403" s="59">
        <f t="shared" si="1143"/>
        <v>0.56942097808883585</v>
      </c>
      <c r="V403" s="59">
        <f t="shared" si="1144"/>
        <v>0.84090330105787336</v>
      </c>
      <c r="W403" s="59">
        <f t="shared" si="1145"/>
        <v>1.1577262749767239</v>
      </c>
      <c r="X403" s="59">
        <f t="shared" si="1146"/>
        <v>1.4767690924915016</v>
      </c>
      <c r="Y403" s="127">
        <v>210000</v>
      </c>
      <c r="Z403" s="57">
        <f t="shared" si="1147"/>
        <v>310121.50942321535</v>
      </c>
      <c r="AA403" s="57">
        <f t="shared" si="1148"/>
        <v>243122.51774511201</v>
      </c>
      <c r="AB403" s="57">
        <f t="shared" si="1194"/>
        <v>259157.03291994074</v>
      </c>
      <c r="AC403" s="57">
        <f t="shared" si="1149"/>
        <v>0.17</v>
      </c>
      <c r="AD403" s="57">
        <f t="shared" si="1150"/>
        <v>2.2000000000000002</v>
      </c>
      <c r="AE403" s="57">
        <f t="shared" si="1151"/>
        <v>291600</v>
      </c>
      <c r="AF403" s="57">
        <f t="shared" si="1152"/>
        <v>89237.778941154582</v>
      </c>
      <c r="AG403" s="57">
        <f t="shared" si="1058"/>
        <v>153884.73880395744</v>
      </c>
      <c r="AH403" s="57">
        <f t="shared" si="1195"/>
        <v>404397303.24699044</v>
      </c>
      <c r="AI403" s="77">
        <f t="shared" si="1196"/>
        <v>165748169.17687923</v>
      </c>
      <c r="AJ403" s="77">
        <v>300000</v>
      </c>
      <c r="AK403" s="77">
        <v>27</v>
      </c>
      <c r="AL403" s="78">
        <f t="shared" si="1153"/>
        <v>2.8144898718581284</v>
      </c>
      <c r="AM403" s="57">
        <f t="shared" si="1154"/>
        <v>1</v>
      </c>
      <c r="AN403" s="57">
        <f t="shared" si="1155"/>
        <v>0.8</v>
      </c>
      <c r="AO403" s="77">
        <v>1000</v>
      </c>
      <c r="AP403" s="79">
        <v>150</v>
      </c>
      <c r="AQ403" s="57">
        <f t="shared" si="1156"/>
        <v>92.906783442406535</v>
      </c>
      <c r="AR403" s="57">
        <f t="shared" si="1197"/>
        <v>700</v>
      </c>
      <c r="AS403" s="57">
        <f t="shared" si="1157"/>
        <v>907.09321655759345</v>
      </c>
      <c r="AT403" s="77">
        <v>120</v>
      </c>
      <c r="AU403" s="77">
        <f>2000+200</f>
        <v>2200</v>
      </c>
      <c r="AV403" s="57">
        <f t="shared" si="1158"/>
        <v>120000</v>
      </c>
      <c r="AW403" s="77">
        <v>0</v>
      </c>
      <c r="AX403" s="77">
        <f t="shared" si="1159"/>
        <v>120000</v>
      </c>
      <c r="AY403" s="77">
        <f t="shared" si="1236"/>
        <v>120000</v>
      </c>
      <c r="AZ403" s="77">
        <f t="shared" si="1141"/>
        <v>486</v>
      </c>
      <c r="BA403" s="77">
        <v>486</v>
      </c>
      <c r="BB403" s="77">
        <v>450</v>
      </c>
      <c r="BC403" s="77">
        <v>380</v>
      </c>
      <c r="BD403" s="77">
        <v>6.0000000000000001E-3</v>
      </c>
      <c r="BE403" s="77">
        <v>3.5000000000000001E-3</v>
      </c>
      <c r="BF403" s="77">
        <v>2.5000000000000001E-2</v>
      </c>
      <c r="BG403" s="77">
        <v>2.5000000000000001E-3</v>
      </c>
      <c r="BH403" s="79">
        <v>360</v>
      </c>
      <c r="BI403" s="79">
        <f>PI()*10*10/4</f>
        <v>78.539816339744831</v>
      </c>
      <c r="BJ403" s="79">
        <v>2</v>
      </c>
      <c r="BK403" s="57">
        <f t="shared" si="1059"/>
        <v>157.07963267948966</v>
      </c>
      <c r="BL403" s="57">
        <f t="shared" si="1235"/>
        <v>504</v>
      </c>
      <c r="BM403" s="80">
        <f>PI()*12*12/4</f>
        <v>113.09733552923255</v>
      </c>
      <c r="BN403" s="80">
        <v>4</v>
      </c>
      <c r="BO403" s="57">
        <f t="shared" si="1198"/>
        <v>452.38934211693021</v>
      </c>
      <c r="BP403" s="57">
        <f t="shared" si="1160"/>
        <v>176589.69322215341</v>
      </c>
      <c r="BQ403" s="77">
        <f t="shared" si="1161"/>
        <v>-4.3073669075965881E-9</v>
      </c>
      <c r="BR403" s="57">
        <f t="shared" si="1251"/>
        <v>388497325.08873749</v>
      </c>
      <c r="BS403" s="57">
        <v>185.81356688481307</v>
      </c>
      <c r="BT403" s="57">
        <f t="shared" si="1170"/>
        <v>145.76470588235293</v>
      </c>
      <c r="BU403" s="57"/>
      <c r="BV403" s="57">
        <v>3.3E-3</v>
      </c>
      <c r="BW403" s="57">
        <v>30000</v>
      </c>
      <c r="BX403" s="57">
        <v>200000</v>
      </c>
      <c r="BY403" s="77">
        <f>20</f>
        <v>20</v>
      </c>
      <c r="BZ403" s="77">
        <f>BY403+130</f>
        <v>150</v>
      </c>
      <c r="CA403" s="77">
        <f>BZ403+175*1</f>
        <v>325</v>
      </c>
      <c r="CB403" s="77">
        <f>BZ403+175*2</f>
        <v>500</v>
      </c>
      <c r="CC403" s="77">
        <f>BZ403+175*3</f>
        <v>675</v>
      </c>
      <c r="CD403" s="77">
        <f>BZ403+175*4</f>
        <v>850</v>
      </c>
      <c r="CE403" s="77">
        <f>CD403+130</f>
        <v>980</v>
      </c>
      <c r="DM403" s="77">
        <f>PI()*12*12/4*2</f>
        <v>226.1946710584651</v>
      </c>
      <c r="DN403" s="77">
        <f>PI()*12*12/4*2</f>
        <v>226.1946710584651</v>
      </c>
      <c r="DO403" s="77">
        <f>PI()*10*10/4*2</f>
        <v>157.07963267948966</v>
      </c>
      <c r="DP403" s="77">
        <f>PI()*10*10/4*2</f>
        <v>157.07963267948966</v>
      </c>
      <c r="DQ403" s="77">
        <f>PI()*10*10/4*2</f>
        <v>157.07963267948966</v>
      </c>
      <c r="DR403" s="77">
        <f>PI()*12*12/4*2</f>
        <v>226.1946710584651</v>
      </c>
      <c r="DS403" s="77">
        <f>PI()*12*12/4*2</f>
        <v>226.1946710584651</v>
      </c>
      <c r="FA403" s="77">
        <f t="shared" si="1244"/>
        <v>-101787.60197630929</v>
      </c>
      <c r="FB403" s="77">
        <f t="shared" si="1245"/>
        <v>-28773.749716215163</v>
      </c>
      <c r="FC403" s="77">
        <f>IF(ABS(-$BV403*($BS403-CA403)/$BS403*$BX403)&gt;$BA403,$BA403*SIGN(-($BS403-CA403)),-$BV403*($BS403-CA403)/$BS403*$BX403)*DO403</f>
        <v>76340.701482231976</v>
      </c>
      <c r="FD403" s="77">
        <f>IF(ABS(-$BV403*($BS403-CB403)/$BS403*$BX403)&gt;$BA403,$BA403*SIGN(-($BS403-CB403)),-$BV403*($BS403-CB403)/$BS403*$BX403)*DP403</f>
        <v>76340.701482231976</v>
      </c>
      <c r="FE403" s="77">
        <f>IF(ABS(-$BV403*($BS403-CC403)/$BS403*$BX403)&gt;$BA403,$BA403*SIGN(-($BS403-CC403)),-$BV403*($BS403-CC403)/$BS403*$BX403)*DQ403</f>
        <v>76340.701482231976</v>
      </c>
      <c r="FF403" s="77">
        <f>IF(ABS(-$BV403*($BS403-CD403)/$BS403*$BX403)&gt;$BB403,$BB403*SIGN(-($BS403-CD403)),-$BV403*($BS403-CD403)/$BS403*$BX403)*DR403</f>
        <v>101787.60197630929</v>
      </c>
      <c r="FG403" s="77">
        <f>IF(ABS(-$BV403*($BS403-CE403)/$BS403*$BX403)&gt;$BB403,$BB403*SIGN(-($BS403-CE403)),-$BV403*($BS403-CE403)/$BS403*$BX403)*DS403</f>
        <v>101787.60197630929</v>
      </c>
      <c r="GO403" s="77">
        <f t="shared" si="1038"/>
        <v>48858048.948628463</v>
      </c>
      <c r="GP403" s="77">
        <f t="shared" si="1039"/>
        <v>10070812.400675308</v>
      </c>
      <c r="GQ403" s="77">
        <f t="shared" si="1040"/>
        <v>-13359622.759390596</v>
      </c>
      <c r="GR403" s="77">
        <f t="shared" si="1041"/>
        <v>0</v>
      </c>
      <c r="GS403" s="77">
        <f t="shared" si="1193"/>
        <v>13359622.759390596</v>
      </c>
      <c r="GT403" s="77">
        <f t="shared" si="1139"/>
        <v>35625660.691708252</v>
      </c>
      <c r="GU403" s="77">
        <f t="shared" si="1140"/>
        <v>48858048.948628463</v>
      </c>
      <c r="IC403" s="82">
        <v>425</v>
      </c>
    </row>
    <row r="404" spans="1:237" s="77" customFormat="1">
      <c r="A404" s="77">
        <v>404</v>
      </c>
      <c r="C404" s="122" t="s">
        <v>433</v>
      </c>
      <c r="D404" s="122" t="s">
        <v>434</v>
      </c>
      <c r="E404" s="125">
        <v>3</v>
      </c>
      <c r="F404" s="125">
        <f t="shared" si="1199"/>
        <v>6.7460317460317457E-2</v>
      </c>
      <c r="G404" s="122">
        <v>3.3043478260869562E-3</v>
      </c>
      <c r="H404" s="122">
        <v>7.5187969924812026E-3</v>
      </c>
      <c r="I404" s="122">
        <f>1/133</f>
        <v>7.5187969924812026E-3</v>
      </c>
      <c r="J404" s="122">
        <f t="shared" si="1222"/>
        <v>1</v>
      </c>
      <c r="K404" s="125">
        <f t="shared" si="1223"/>
        <v>25</v>
      </c>
      <c r="L404" s="125">
        <f t="shared" si="1224"/>
        <v>2.9207291700646926E-2</v>
      </c>
      <c r="M404" s="125">
        <f t="shared" si="1225"/>
        <v>2.7459846898044121E-2</v>
      </c>
      <c r="N404" s="125">
        <f t="shared" si="1226"/>
        <v>0.50377183529564329</v>
      </c>
      <c r="O404" s="125">
        <f t="shared" si="1227"/>
        <v>4.1555458380817367E-2</v>
      </c>
      <c r="P404" s="122">
        <v>0</v>
      </c>
      <c r="Q404" s="122" t="s">
        <v>28</v>
      </c>
      <c r="R404" s="133">
        <f t="shared" si="1228"/>
        <v>0.21428571428571427</v>
      </c>
      <c r="S404" s="75">
        <f t="shared" si="1163"/>
        <v>0.35053409200798707</v>
      </c>
      <c r="T404" s="59">
        <f t="shared" si="1142"/>
        <v>1.1219052220693551</v>
      </c>
      <c r="U404" s="59">
        <f t="shared" si="1143"/>
        <v>0.92030386940882491</v>
      </c>
      <c r="V404" s="59">
        <f t="shared" si="1144"/>
        <v>0.9205086694667276</v>
      </c>
      <c r="W404" s="59">
        <f t="shared" si="1145"/>
        <v>0.82048701740495389</v>
      </c>
      <c r="X404" s="59">
        <f t="shared" si="1146"/>
        <v>1.0002225352567888</v>
      </c>
      <c r="Y404" s="127">
        <v>510000</v>
      </c>
      <c r="Z404" s="57">
        <f t="shared" si="1147"/>
        <v>510113.49298096233</v>
      </c>
      <c r="AA404" s="57">
        <f t="shared" si="1148"/>
        <v>418448.37887652649</v>
      </c>
      <c r="AB404" s="57">
        <f t="shared" si="1194"/>
        <v>768841.62705488049</v>
      </c>
      <c r="AC404" s="57">
        <f t="shared" si="1149"/>
        <v>0.25</v>
      </c>
      <c r="AD404" s="57">
        <f t="shared" si="1150"/>
        <v>1.5</v>
      </c>
      <c r="AE404" s="57">
        <f t="shared" si="1151"/>
        <v>0</v>
      </c>
      <c r="AF404" s="57">
        <f t="shared" si="1152"/>
        <v>274058.78188185702</v>
      </c>
      <c r="AG404" s="57">
        <f t="shared" si="1058"/>
        <v>144389.59699466947</v>
      </c>
      <c r="AH404" s="57">
        <f t="shared" si="1195"/>
        <v>955539070.71642697</v>
      </c>
      <c r="AI404" s="77">
        <f t="shared" si="1196"/>
        <v>966564996.92077446</v>
      </c>
      <c r="AJ404" s="77">
        <v>0</v>
      </c>
      <c r="AK404" s="77">
        <f>(25.7+28.3)/2</f>
        <v>27</v>
      </c>
      <c r="AL404" s="78">
        <f t="shared" si="1153"/>
        <v>2.8144898718581284</v>
      </c>
      <c r="AM404" s="57">
        <f t="shared" si="1154"/>
        <v>1</v>
      </c>
      <c r="AN404" s="57">
        <f t="shared" si="1155"/>
        <v>0.8</v>
      </c>
      <c r="AO404" s="77">
        <v>2500</v>
      </c>
      <c r="AP404" s="79">
        <v>150</v>
      </c>
      <c r="AQ404" s="57">
        <f t="shared" si="1156"/>
        <v>65.644269835982684</v>
      </c>
      <c r="AR404" s="57">
        <f t="shared" si="1197"/>
        <v>2200</v>
      </c>
      <c r="AS404" s="57">
        <f t="shared" si="1157"/>
        <v>2434.3557301640171</v>
      </c>
      <c r="AT404" s="77">
        <v>100</v>
      </c>
      <c r="AU404" s="77">
        <f>2300+200</f>
        <v>2500</v>
      </c>
      <c r="AV404" s="57">
        <f t="shared" si="1158"/>
        <v>220000</v>
      </c>
      <c r="AW404" s="77">
        <f>2*150*200</f>
        <v>60000</v>
      </c>
      <c r="AX404" s="77">
        <f t="shared" si="1159"/>
        <v>250000</v>
      </c>
      <c r="AY404" s="77">
        <f>2200*100+AW404</f>
        <v>280000</v>
      </c>
      <c r="AZ404" s="77">
        <f t="shared" si="1141"/>
        <v>472</v>
      </c>
      <c r="BA404" s="77">
        <v>472</v>
      </c>
      <c r="BB404" s="77">
        <v>451</v>
      </c>
      <c r="BC404" s="77">
        <v>400</v>
      </c>
      <c r="BD404" s="77">
        <f>(PI()*6*6*13)/(4*2200*100)</f>
        <v>1.6707560930454808E-3</v>
      </c>
      <c r="BE404" s="77">
        <f>(PI()*6*6)/(4*180*100)</f>
        <v>1.5707963267948967E-3</v>
      </c>
      <c r="BF404" s="77">
        <f>(PI()*12*12*8)/(4*200*150)</f>
        <v>3.0159289474462014E-2</v>
      </c>
      <c r="BG404" s="77">
        <f>(2*PI()*5*5)/(4*70*200)</f>
        <v>2.8049934407051724E-3</v>
      </c>
      <c r="BH404" s="79">
        <v>180</v>
      </c>
      <c r="BI404" s="79">
        <f>PI()*6*6/4</f>
        <v>28.274333882308138</v>
      </c>
      <c r="BJ404" s="79">
        <v>1</v>
      </c>
      <c r="BK404" s="57">
        <f t="shared" si="1059"/>
        <v>28.274333882308138</v>
      </c>
      <c r="BL404" s="57">
        <f t="shared" si="1235"/>
        <v>367.5663404700058</v>
      </c>
      <c r="BM404" s="80">
        <f>PI()*12*12/4</f>
        <v>113.09733552923255</v>
      </c>
      <c r="BN404" s="80">
        <v>8</v>
      </c>
      <c r="BO404" s="57">
        <f t="shared" si="1198"/>
        <v>904.77868423386042</v>
      </c>
      <c r="BP404" s="57">
        <f t="shared" si="1160"/>
        <v>469459.42142803106</v>
      </c>
      <c r="BQ404" s="77">
        <f t="shared" si="1161"/>
        <v>9.3132257461547852E-10</v>
      </c>
      <c r="BR404" s="57">
        <f t="shared" si="1251"/>
        <v>1173648553.5700777</v>
      </c>
      <c r="BS404" s="57">
        <v>131.28853967196537</v>
      </c>
      <c r="BT404" s="57">
        <f t="shared" si="1170"/>
        <v>12.026531876736968</v>
      </c>
      <c r="BU404" s="57"/>
      <c r="BV404" s="57">
        <v>3.3E-3</v>
      </c>
      <c r="BW404" s="57">
        <v>30000</v>
      </c>
      <c r="BX404" s="57">
        <v>200000</v>
      </c>
      <c r="BY404" s="77">
        <v>20</v>
      </c>
      <c r="BZ404" s="77">
        <f>BY404+55</f>
        <v>75</v>
      </c>
      <c r="CA404" s="77">
        <f>BY404+55*2</f>
        <v>130</v>
      </c>
      <c r="CB404" s="77">
        <f>150+20</f>
        <v>170</v>
      </c>
      <c r="CC404" s="77">
        <f>CB404+180*1</f>
        <v>350</v>
      </c>
      <c r="CD404" s="77">
        <f>CB404+180*2</f>
        <v>530</v>
      </c>
      <c r="CE404" s="77">
        <f>CB404+180*3</f>
        <v>710</v>
      </c>
      <c r="CF404" s="77">
        <f>CB404+180*4</f>
        <v>890</v>
      </c>
      <c r="CG404" s="77">
        <f>CB404+180*5</f>
        <v>1070</v>
      </c>
      <c r="CH404" s="77">
        <f>CB404+180*6</f>
        <v>1250</v>
      </c>
      <c r="CI404" s="77">
        <f>CB404+180*7</f>
        <v>1430</v>
      </c>
      <c r="CJ404" s="77">
        <f>CB404+180*8</f>
        <v>1610</v>
      </c>
      <c r="CK404" s="77">
        <f>CB404+180*9</f>
        <v>1790</v>
      </c>
      <c r="CL404" s="77">
        <f>CB404+180*10</f>
        <v>1970</v>
      </c>
      <c r="CM404" s="77">
        <f>CB404+180*11</f>
        <v>2150</v>
      </c>
      <c r="CN404" s="77">
        <f>CB404+180*12</f>
        <v>2330</v>
      </c>
      <c r="CO404" s="77">
        <f>CN404+20+20</f>
        <v>2370</v>
      </c>
      <c r="CP404" s="77">
        <f>CO404+55*1</f>
        <v>2425</v>
      </c>
      <c r="CQ404" s="77">
        <f>CO404+55*2</f>
        <v>2480</v>
      </c>
      <c r="DM404" s="77">
        <f>PI()*12*12/4*3</f>
        <v>339.29200658769764</v>
      </c>
      <c r="DN404" s="77">
        <f>PI()*12*12/4*2</f>
        <v>226.1946710584651</v>
      </c>
      <c r="DO404" s="77">
        <f>PI()*12*12/4*3</f>
        <v>339.29200658769764</v>
      </c>
      <c r="DP404" s="77">
        <f t="shared" ref="DP404:EB404" si="1255">PI()*6*6/4</f>
        <v>28.274333882308138</v>
      </c>
      <c r="DQ404" s="77">
        <f t="shared" si="1255"/>
        <v>28.274333882308138</v>
      </c>
      <c r="DR404" s="77">
        <f t="shared" si="1255"/>
        <v>28.274333882308138</v>
      </c>
      <c r="DS404" s="77">
        <f t="shared" si="1255"/>
        <v>28.274333882308138</v>
      </c>
      <c r="DT404" s="77">
        <f t="shared" si="1255"/>
        <v>28.274333882308138</v>
      </c>
      <c r="DU404" s="77">
        <f t="shared" si="1255"/>
        <v>28.274333882308138</v>
      </c>
      <c r="DV404" s="77">
        <f t="shared" si="1255"/>
        <v>28.274333882308138</v>
      </c>
      <c r="DW404" s="77">
        <f t="shared" si="1255"/>
        <v>28.274333882308138</v>
      </c>
      <c r="DX404" s="77">
        <f t="shared" si="1255"/>
        <v>28.274333882308138</v>
      </c>
      <c r="DY404" s="77">
        <f t="shared" si="1255"/>
        <v>28.274333882308138</v>
      </c>
      <c r="DZ404" s="77">
        <f t="shared" si="1255"/>
        <v>28.274333882308138</v>
      </c>
      <c r="EA404" s="77">
        <f t="shared" si="1255"/>
        <v>28.274333882308138</v>
      </c>
      <c r="EB404" s="77">
        <f t="shared" si="1255"/>
        <v>28.274333882308138</v>
      </c>
      <c r="EC404" s="77">
        <f>PI()*12*12/4*3</f>
        <v>339.29200658769764</v>
      </c>
      <c r="ED404" s="77">
        <f>PI()*12*12/4*2</f>
        <v>226.1946710584651</v>
      </c>
      <c r="EE404" s="77">
        <f>PI()*12*12/4*3</f>
        <v>339.29200658769764</v>
      </c>
      <c r="FA404" s="77">
        <f t="shared" si="1244"/>
        <v>-153020.69497105165</v>
      </c>
      <c r="FB404" s="77">
        <f t="shared" si="1245"/>
        <v>-64005.820410530585</v>
      </c>
      <c r="FC404" s="77">
        <f>IF(ABS(-$BV404*($BS404-CA404)/$BS404*$BX404)&gt;$BB404,$BB404*SIGN(-($BS404-CA404)),-$BV404*($BS404-CA404)/$BS404*$BX404)*DO404</f>
        <v>-2197.8018789338653</v>
      </c>
      <c r="FD404" s="77">
        <f t="shared" ref="FD404:FP404" si="1256">IF(ABS(-$BV404*($BS404-CB404)/$BS404*$BX404)&gt;$BA404,$BA404*SIGN(-($BS404-CB404)),-$BV404*($BS404-CB404)/$BS404*$BX404)*DP404</f>
        <v>5502.3606759592703</v>
      </c>
      <c r="FE404" s="77">
        <f t="shared" si="1256"/>
        <v>13345.48559244944</v>
      </c>
      <c r="FF404" s="77">
        <f t="shared" si="1256"/>
        <v>13345.48559244944</v>
      </c>
      <c r="FG404" s="77">
        <f t="shared" si="1256"/>
        <v>13345.48559244944</v>
      </c>
      <c r="FH404" s="77">
        <f t="shared" si="1256"/>
        <v>13345.48559244944</v>
      </c>
      <c r="FI404" s="77">
        <f t="shared" si="1256"/>
        <v>13345.48559244944</v>
      </c>
      <c r="FJ404" s="77">
        <f t="shared" si="1256"/>
        <v>13345.48559244944</v>
      </c>
      <c r="FK404" s="77">
        <f t="shared" si="1256"/>
        <v>13345.48559244944</v>
      </c>
      <c r="FL404" s="77">
        <f t="shared" si="1256"/>
        <v>13345.48559244944</v>
      </c>
      <c r="FM404" s="77">
        <f t="shared" si="1256"/>
        <v>13345.48559244944</v>
      </c>
      <c r="FN404" s="77">
        <f t="shared" si="1256"/>
        <v>13345.48559244944</v>
      </c>
      <c r="FO404" s="77">
        <f t="shared" si="1256"/>
        <v>13345.48559244944</v>
      </c>
      <c r="FP404" s="77">
        <f t="shared" si="1256"/>
        <v>13345.48559244944</v>
      </c>
      <c r="FQ404" s="77">
        <f>IF(ABS(-$BV404*($BS404-CO404)/$BS404*$BX404)&gt;$BB404,$BB404*SIGN(-($BS404-CO404)),-$BV404*($BS404-CO404)/$BS404*$BX404)*EC404</f>
        <v>153020.69497105165</v>
      </c>
      <c r="FR404" s="77">
        <f>IF(ABS(-$BV404*($BS404-CP404)/$BS404*$BX404)&gt;$BB404,$BB404*SIGN(-($BS404-CP404)),-$BV404*($BS404-CP404)/$BS404*$BX404)*ED404</f>
        <v>102013.79664736777</v>
      </c>
      <c r="FS404" s="77">
        <f>IF(ABS(-$BV404*($BS404-CQ404)/$BS404*$BX404)&gt;$BB404,$BB404*SIGN(-($BS404-CQ404)),-$BV404*($BS404-CQ404)/$BS404*$BX404)*EE404</f>
        <v>153020.69497105165</v>
      </c>
      <c r="GO404" s="77">
        <f t="shared" si="1038"/>
        <v>188215454.81439352</v>
      </c>
      <c r="GP404" s="77">
        <f t="shared" si="1039"/>
        <v>75206838.982373431</v>
      </c>
      <c r="GQ404" s="77">
        <f t="shared" si="1040"/>
        <v>2461538.1044059293</v>
      </c>
      <c r="GR404" s="77">
        <f t="shared" si="1041"/>
        <v>-5942549.5300360117</v>
      </c>
      <c r="GS404" s="77">
        <f t="shared" si="1193"/>
        <v>-12010937.033204496</v>
      </c>
      <c r="GT404" s="77">
        <f t="shared" si="1139"/>
        <v>-9608749.6265635975</v>
      </c>
      <c r="GU404" s="77">
        <f t="shared" si="1140"/>
        <v>-7206562.2199226981</v>
      </c>
      <c r="GV404" s="77">
        <f t="shared" ref="GV404:HG404" si="1257">FH404*(CF404-0.5*$AO404)</f>
        <v>-4804374.8132817987</v>
      </c>
      <c r="GW404" s="77">
        <f t="shared" si="1257"/>
        <v>-2402187.4066408994</v>
      </c>
      <c r="GX404" s="77">
        <f t="shared" si="1257"/>
        <v>0</v>
      </c>
      <c r="GY404" s="77">
        <f t="shared" si="1257"/>
        <v>2402187.4066408994</v>
      </c>
      <c r="GZ404" s="77">
        <f t="shared" si="1257"/>
        <v>4804374.8132817987</v>
      </c>
      <c r="HA404" s="77">
        <f t="shared" si="1257"/>
        <v>7206562.2199226981</v>
      </c>
      <c r="HB404" s="77">
        <f t="shared" si="1257"/>
        <v>9608749.6265635975</v>
      </c>
      <c r="HC404" s="77">
        <f t="shared" si="1257"/>
        <v>12010937.033204496</v>
      </c>
      <c r="HD404" s="77">
        <f t="shared" si="1257"/>
        <v>14413124.439845396</v>
      </c>
      <c r="HE404" s="77">
        <f t="shared" si="1257"/>
        <v>171383178.36757785</v>
      </c>
      <c r="HF404" s="77">
        <f t="shared" si="1257"/>
        <v>119866211.06065713</v>
      </c>
      <c r="HG404" s="77">
        <f t="shared" si="1257"/>
        <v>188215454.81439352</v>
      </c>
      <c r="IC404" s="82">
        <v>426</v>
      </c>
    </row>
    <row r="405" spans="1:237" s="77" customFormat="1">
      <c r="A405" s="77">
        <v>405</v>
      </c>
      <c r="C405" s="122" t="s">
        <v>433</v>
      </c>
      <c r="D405" s="122" t="s">
        <v>435</v>
      </c>
      <c r="E405" s="125">
        <v>3</v>
      </c>
      <c r="F405" s="125">
        <f t="shared" si="1199"/>
        <v>8.2668600435097897E-2</v>
      </c>
      <c r="G405" s="122">
        <v>2.7304347826086956E-3</v>
      </c>
      <c r="H405" s="122">
        <v>7.5187969924812026E-3</v>
      </c>
      <c r="I405" s="122">
        <f>1/133</f>
        <v>7.5187969924812026E-3</v>
      </c>
      <c r="J405" s="122">
        <f t="shared" si="1222"/>
        <v>1.4970059880239521</v>
      </c>
      <c r="K405" s="125">
        <f t="shared" si="1223"/>
        <v>16.7</v>
      </c>
      <c r="L405" s="125">
        <f t="shared" si="1224"/>
        <v>3.7109448988389138E-2</v>
      </c>
      <c r="M405" s="125">
        <f t="shared" si="1225"/>
        <v>3.5305517440342438E-2</v>
      </c>
      <c r="N405" s="125">
        <f t="shared" si="1226"/>
        <v>0.76056462146907178</v>
      </c>
      <c r="O405" s="125">
        <f t="shared" si="1227"/>
        <v>4.1555458380817367E-2</v>
      </c>
      <c r="P405" s="122">
        <v>0</v>
      </c>
      <c r="Q405" s="122" t="s">
        <v>28</v>
      </c>
      <c r="R405" s="133">
        <f t="shared" si="1228"/>
        <v>0.30456852791878175</v>
      </c>
      <c r="S405" s="75">
        <f t="shared" si="1163"/>
        <v>0.37883511908989542</v>
      </c>
      <c r="T405" s="59">
        <f t="shared" si="1142"/>
        <v>1.305939006677455</v>
      </c>
      <c r="U405" s="59">
        <f t="shared" si="1143"/>
        <v>1.0416501332524879</v>
      </c>
      <c r="V405" s="59">
        <f t="shared" si="1144"/>
        <v>0.95983791123678142</v>
      </c>
      <c r="W405" s="59">
        <f t="shared" si="1145"/>
        <v>0.73497912714835167</v>
      </c>
      <c r="X405" s="59">
        <f t="shared" si="1146"/>
        <v>0.92145902025639548</v>
      </c>
      <c r="Y405" s="127">
        <v>342000</v>
      </c>
      <c r="Z405" s="57">
        <f t="shared" si="1147"/>
        <v>315138.98492768727</v>
      </c>
      <c r="AA405" s="57">
        <f t="shared" si="1148"/>
        <v>251362.86148473629</v>
      </c>
      <c r="AB405" s="57">
        <f t="shared" si="1194"/>
        <v>484059.4743033367</v>
      </c>
      <c r="AC405" s="57">
        <f t="shared" si="1149"/>
        <v>0.25</v>
      </c>
      <c r="AD405" s="57">
        <f t="shared" si="1150"/>
        <v>1.5</v>
      </c>
      <c r="AE405" s="57">
        <f t="shared" si="1151"/>
        <v>0</v>
      </c>
      <c r="AF405" s="57">
        <f t="shared" si="1152"/>
        <v>156616.96042396809</v>
      </c>
      <c r="AG405" s="57">
        <f t="shared" si="1058"/>
        <v>94745.901060768199</v>
      </c>
      <c r="AH405" s="57">
        <f t="shared" si="1195"/>
        <v>479550076.78260863</v>
      </c>
      <c r="AI405" s="77">
        <f t="shared" si="1196"/>
        <v>730598608.97573304</v>
      </c>
      <c r="AJ405" s="77">
        <v>0</v>
      </c>
      <c r="AK405" s="77">
        <f>(17.6+24.4)/2</f>
        <v>21</v>
      </c>
      <c r="AL405" s="78">
        <f t="shared" si="1153"/>
        <v>2.451151935475548</v>
      </c>
      <c r="AM405" s="57">
        <f t="shared" si="1154"/>
        <v>1</v>
      </c>
      <c r="AN405" s="57">
        <f t="shared" si="1155"/>
        <v>0.8</v>
      </c>
      <c r="AO405" s="77">
        <v>1670</v>
      </c>
      <c r="AP405" s="79">
        <v>150</v>
      </c>
      <c r="AQ405" s="57">
        <f t="shared" si="1156"/>
        <v>72.618803864734389</v>
      </c>
      <c r="AR405" s="57">
        <f t="shared" si="1197"/>
        <v>1370</v>
      </c>
      <c r="AS405" s="57">
        <f t="shared" si="1157"/>
        <v>1597.3811961352656</v>
      </c>
      <c r="AT405" s="77">
        <v>100</v>
      </c>
      <c r="AU405" s="77">
        <f>2300+200</f>
        <v>2500</v>
      </c>
      <c r="AV405" s="57">
        <f t="shared" si="1158"/>
        <v>137000</v>
      </c>
      <c r="AW405" s="77">
        <f>2*150*200</f>
        <v>60000</v>
      </c>
      <c r="AX405" s="77">
        <f t="shared" si="1159"/>
        <v>167000</v>
      </c>
      <c r="AY405" s="77">
        <f>1370*100+AW405</f>
        <v>197000</v>
      </c>
      <c r="AZ405" s="77">
        <f t="shared" si="1141"/>
        <v>472</v>
      </c>
      <c r="BA405" s="77">
        <v>472</v>
      </c>
      <c r="BB405" s="77">
        <v>465</v>
      </c>
      <c r="BC405" s="77">
        <v>400</v>
      </c>
      <c r="BD405" s="77">
        <f>(PI()*6*6*8)/(4*1370*100)</f>
        <v>1.6510559931274826E-3</v>
      </c>
      <c r="BE405" s="77">
        <f>(PI()*6*6)/(4*180*100)</f>
        <v>1.5707963267948967E-3</v>
      </c>
      <c r="BF405" s="77">
        <f>(PI()*16*16*4+PI()*12*12*2)/(4*200*150)</f>
        <v>3.4348079679248404E-2</v>
      </c>
      <c r="BG405" s="77">
        <f>(2*PI()*5*5)/(4*90*200)</f>
        <v>2.1816615649929119E-3</v>
      </c>
      <c r="BH405" s="79">
        <v>180</v>
      </c>
      <c r="BI405" s="79">
        <f>PI()*6*6/4</f>
        <v>28.274333882308138</v>
      </c>
      <c r="BJ405" s="79">
        <v>1</v>
      </c>
      <c r="BK405" s="57">
        <f t="shared" si="1059"/>
        <v>28.274333882308138</v>
      </c>
      <c r="BL405" s="57">
        <f t="shared" si="1235"/>
        <v>226.1946710584651</v>
      </c>
      <c r="BM405" s="80">
        <f>PI()*16*16/4*2+PI()*12*12/4</f>
        <v>515.22119518872603</v>
      </c>
      <c r="BN405" s="80">
        <v>2</v>
      </c>
      <c r="BO405" s="57">
        <f t="shared" si="1198"/>
        <v>1030.4423903774521</v>
      </c>
      <c r="BP405" s="57">
        <f t="shared" si="1160"/>
        <v>328264.56564297923</v>
      </c>
      <c r="BQ405" s="77">
        <f t="shared" si="1161"/>
        <v>0</v>
      </c>
      <c r="BR405" s="57">
        <f t="shared" si="1251"/>
        <v>820661414.1074481</v>
      </c>
      <c r="BS405" s="57">
        <v>145.23760772946878</v>
      </c>
      <c r="BT405" s="57">
        <f t="shared" si="1170"/>
        <v>14.552725093485936</v>
      </c>
      <c r="BU405" s="57"/>
      <c r="BV405" s="57">
        <v>3.3E-3</v>
      </c>
      <c r="BW405" s="57">
        <v>30000</v>
      </c>
      <c r="BX405" s="57">
        <v>200000</v>
      </c>
      <c r="BY405" s="77">
        <v>20</v>
      </c>
      <c r="BZ405" s="77">
        <f>20+110</f>
        <v>130</v>
      </c>
      <c r="CA405" s="77">
        <f>150+55</f>
        <v>205</v>
      </c>
      <c r="CB405" s="77">
        <f>CA405+180*1</f>
        <v>385</v>
      </c>
      <c r="CC405" s="77">
        <f>CA405+180*2</f>
        <v>565</v>
      </c>
      <c r="CD405" s="77">
        <f>CA405+180*3</f>
        <v>745</v>
      </c>
      <c r="CE405" s="77">
        <f>CA405+180*4</f>
        <v>925</v>
      </c>
      <c r="CF405" s="77">
        <f>CA405+180*5</f>
        <v>1105</v>
      </c>
      <c r="CG405" s="77">
        <f>CA405+180*6</f>
        <v>1285</v>
      </c>
      <c r="CH405" s="77">
        <f>CA405+180*7</f>
        <v>1465</v>
      </c>
      <c r="CI405" s="77">
        <f>CH405+55+20</f>
        <v>1540</v>
      </c>
      <c r="CJ405" s="77">
        <f>CI405+110</f>
        <v>1650</v>
      </c>
      <c r="DM405" s="77">
        <f>PI()*16*16/4*2+PI()*12*12/4</f>
        <v>515.22119518872603</v>
      </c>
      <c r="DN405" s="77">
        <f>PI()*16*16/4*2+PI()*12*12/4</f>
        <v>515.22119518872603</v>
      </c>
      <c r="DO405" s="77">
        <f t="shared" ref="DO405:DV405" si="1258">PI()*6*6/4</f>
        <v>28.274333882308138</v>
      </c>
      <c r="DP405" s="77">
        <f t="shared" si="1258"/>
        <v>28.274333882308138</v>
      </c>
      <c r="DQ405" s="77">
        <f t="shared" si="1258"/>
        <v>28.274333882308138</v>
      </c>
      <c r="DR405" s="77">
        <f t="shared" si="1258"/>
        <v>28.274333882308138</v>
      </c>
      <c r="DS405" s="77">
        <f t="shared" si="1258"/>
        <v>28.274333882308138</v>
      </c>
      <c r="DT405" s="77">
        <f t="shared" si="1258"/>
        <v>28.274333882308138</v>
      </c>
      <c r="DU405" s="77">
        <f t="shared" si="1258"/>
        <v>28.274333882308138</v>
      </c>
      <c r="DV405" s="77">
        <f t="shared" si="1258"/>
        <v>28.274333882308138</v>
      </c>
      <c r="DW405" s="77">
        <f>PI()*16*16/4*2+PI()*12*12/4</f>
        <v>515.22119518872603</v>
      </c>
      <c r="DX405" s="77">
        <f>PI()*16*16/4*2+PI()*12*12/4</f>
        <v>515.22119518872603</v>
      </c>
      <c r="FA405" s="77">
        <f t="shared" si="1244"/>
        <v>-239577.85576275759</v>
      </c>
      <c r="FB405" s="77">
        <f t="shared" si="1245"/>
        <v>-35675.934550914739</v>
      </c>
      <c r="FC405" s="77">
        <f t="shared" ref="FC405:FJ405" si="1259">IF(ABS(-$BV405*($BS405-CA405)/$BS405*$BX405)&gt;$BA405,$BA405*SIGN(-($BS405-CA405)),-$BV405*($BS405-CA405)/$BS405*$BX405)*DO405</f>
        <v>7678.6558728958616</v>
      </c>
      <c r="FD405" s="77">
        <f t="shared" si="1259"/>
        <v>13345.48559244944</v>
      </c>
      <c r="FE405" s="77">
        <f t="shared" si="1259"/>
        <v>13345.48559244944</v>
      </c>
      <c r="FF405" s="77">
        <f t="shared" si="1259"/>
        <v>13345.48559244944</v>
      </c>
      <c r="FG405" s="77">
        <f t="shared" si="1259"/>
        <v>13345.48559244944</v>
      </c>
      <c r="FH405" s="77">
        <f t="shared" si="1259"/>
        <v>13345.48559244944</v>
      </c>
      <c r="FI405" s="77">
        <f t="shared" si="1259"/>
        <v>13345.48559244944</v>
      </c>
      <c r="FJ405" s="77">
        <f t="shared" si="1259"/>
        <v>13345.48559244944</v>
      </c>
      <c r="FK405" s="77">
        <f>IF(ABS(-$BV405*($BS405-CI405)/$BS405*$BX405)&gt;$BB405,$BB405*SIGN(-($BS405-CI405)),-$BV405*($BS405-CI405)/$BS405*$BX405)*DW405</f>
        <v>239577.85576275759</v>
      </c>
      <c r="FL405" s="77">
        <f>IF(ABS(-$BV405*($BS405-CJ405)/$BS405*$BX405)&gt;$BB405,$BB405*SIGN(-($BS405-CJ405)),-$BV405*($BS405-CJ405)/$BS405*$BX405)*DX405</f>
        <v>239577.85576275759</v>
      </c>
      <c r="GO405" s="77">
        <f t="shared" si="1038"/>
        <v>195255952.44664744</v>
      </c>
      <c r="GP405" s="77">
        <f t="shared" si="1039"/>
        <v>25151533.858394891</v>
      </c>
      <c r="GQ405" s="77">
        <f t="shared" si="1040"/>
        <v>-4837553.1999243926</v>
      </c>
      <c r="GR405" s="77">
        <f t="shared" si="1041"/>
        <v>-6005468.516602248</v>
      </c>
      <c r="GS405" s="77">
        <f t="shared" si="1193"/>
        <v>-3603281.1099613491</v>
      </c>
      <c r="GT405" s="77">
        <f t="shared" si="1139"/>
        <v>-1201093.7033204497</v>
      </c>
      <c r="GU405" s="77">
        <f t="shared" si="1140"/>
        <v>1201093.7033204497</v>
      </c>
      <c r="GV405" s="77">
        <f t="shared" ref="GV405:GZ406" si="1260">FH405*(CF405-0.5*$AO405)</f>
        <v>3603281.1099613491</v>
      </c>
      <c r="GW405" s="77">
        <f t="shared" si="1260"/>
        <v>6005468.516602248</v>
      </c>
      <c r="GX405" s="77">
        <f t="shared" si="1260"/>
        <v>8407655.9232431483</v>
      </c>
      <c r="GY405" s="77">
        <f t="shared" si="1260"/>
        <v>168902388.31274411</v>
      </c>
      <c r="GZ405" s="77">
        <f t="shared" si="1260"/>
        <v>195255952.44664744</v>
      </c>
      <c r="IC405" s="82">
        <v>427</v>
      </c>
    </row>
    <row r="406" spans="1:237" s="77" customFormat="1">
      <c r="A406" s="77">
        <v>406</v>
      </c>
      <c r="C406" s="122" t="s">
        <v>433</v>
      </c>
      <c r="D406" s="122" t="s">
        <v>436</v>
      </c>
      <c r="E406" s="125">
        <v>3</v>
      </c>
      <c r="F406" s="125">
        <f t="shared" si="1199"/>
        <v>6.6707242848447965E-2</v>
      </c>
      <c r="G406" s="122">
        <v>3.4521739130434783E-3</v>
      </c>
      <c r="H406" s="122">
        <v>0.01</v>
      </c>
      <c r="I406" s="122">
        <f>1/100</f>
        <v>0.01</v>
      </c>
      <c r="J406" s="122">
        <f t="shared" si="1222"/>
        <v>2</v>
      </c>
      <c r="K406" s="125">
        <f t="shared" si="1223"/>
        <v>12.5</v>
      </c>
      <c r="L406" s="125">
        <f t="shared" si="1224"/>
        <v>3.1806519783394896E-2</v>
      </c>
      <c r="M406" s="125">
        <f t="shared" si="1225"/>
        <v>2.7977957216875141E-2</v>
      </c>
      <c r="N406" s="125">
        <f t="shared" si="1226"/>
        <v>0.63868776231924118</v>
      </c>
      <c r="O406" s="125">
        <f t="shared" si="1227"/>
        <v>3.2930740603666596E-2</v>
      </c>
      <c r="P406" s="122">
        <v>0</v>
      </c>
      <c r="Q406" s="122" t="s">
        <v>28</v>
      </c>
      <c r="R406" s="133">
        <f t="shared" si="1228"/>
        <v>0.38709677419354838</v>
      </c>
      <c r="S406" s="75">
        <f t="shared" si="1163"/>
        <v>0.3433965500463102</v>
      </c>
      <c r="T406" s="59">
        <f t="shared" si="1142"/>
        <v>1.5601833546126214</v>
      </c>
      <c r="U406" s="59">
        <f t="shared" si="1143"/>
        <v>1.2246181747245388</v>
      </c>
      <c r="V406" s="59">
        <f t="shared" si="1144"/>
        <v>0.90312485723607483</v>
      </c>
      <c r="W406" s="59">
        <f t="shared" si="1145"/>
        <v>0.5788581544380802</v>
      </c>
      <c r="X406" s="59">
        <f t="shared" si="1146"/>
        <v>0.73747464791564155</v>
      </c>
      <c r="Y406" s="127">
        <v>274000</v>
      </c>
      <c r="Z406" s="57">
        <f t="shared" si="1147"/>
        <v>202068.05352888579</v>
      </c>
      <c r="AA406" s="57">
        <f t="shared" si="1148"/>
        <v>158607.13431603397</v>
      </c>
      <c r="AB406" s="57">
        <f t="shared" si="1194"/>
        <v>405203.28357203875</v>
      </c>
      <c r="AC406" s="57">
        <f t="shared" si="1149"/>
        <v>0.17</v>
      </c>
      <c r="AD406" s="57">
        <f t="shared" si="1150"/>
        <v>2</v>
      </c>
      <c r="AE406" s="57">
        <f t="shared" si="1151"/>
        <v>0</v>
      </c>
      <c r="AF406" s="57">
        <f t="shared" si="1152"/>
        <v>88190.966882999754</v>
      </c>
      <c r="AG406" s="57">
        <f t="shared" si="1058"/>
        <v>70416.167433034236</v>
      </c>
      <c r="AH406" s="57">
        <f t="shared" si="1195"/>
        <v>442095841.67586762</v>
      </c>
      <c r="AI406" s="77">
        <f t="shared" si="1196"/>
        <v>570912367.25422919</v>
      </c>
      <c r="AJ406" s="77">
        <v>0</v>
      </c>
      <c r="AK406" s="77">
        <f>26.5</f>
        <v>26.5</v>
      </c>
      <c r="AL406" s="78">
        <f t="shared" si="1153"/>
        <v>2.7857032478621702</v>
      </c>
      <c r="AM406" s="57">
        <f t="shared" si="1154"/>
        <v>1</v>
      </c>
      <c r="AN406" s="57">
        <f t="shared" si="1155"/>
        <v>0.8</v>
      </c>
      <c r="AO406" s="77">
        <v>1250</v>
      </c>
      <c r="AP406" s="79">
        <v>150</v>
      </c>
      <c r="AQ406" s="57">
        <f t="shared" si="1156"/>
        <v>62.809203331150705</v>
      </c>
      <c r="AR406" s="57">
        <f t="shared" si="1197"/>
        <v>950</v>
      </c>
      <c r="AS406" s="57">
        <f t="shared" si="1157"/>
        <v>1187.1907966688493</v>
      </c>
      <c r="AT406" s="77">
        <v>100</v>
      </c>
      <c r="AU406" s="77">
        <f>2300+200</f>
        <v>2500</v>
      </c>
      <c r="AV406" s="57">
        <f t="shared" si="1158"/>
        <v>95000</v>
      </c>
      <c r="AW406" s="77">
        <f>2*150*200</f>
        <v>60000</v>
      </c>
      <c r="AX406" s="77">
        <f t="shared" si="1159"/>
        <v>125000</v>
      </c>
      <c r="AY406" s="77">
        <f>950*100+AW406</f>
        <v>155000</v>
      </c>
      <c r="AZ406" s="77">
        <f t="shared" si="1141"/>
        <v>472</v>
      </c>
      <c r="BA406" s="77">
        <v>472</v>
      </c>
      <c r="BB406" s="77">
        <f>(443+465)/2</f>
        <v>454</v>
      </c>
      <c r="BC406" s="77">
        <v>400</v>
      </c>
      <c r="BD406" s="77">
        <f>(PI()*6*6*6)/(4*950*100)</f>
        <v>1.7857474030931455E-3</v>
      </c>
      <c r="BE406" s="77">
        <f>(PI()*6*6)/(4*180*100)</f>
        <v>1.5707963267948967E-3</v>
      </c>
      <c r="BF406" s="77">
        <f>(PI()*16*16*4+PI()*10*10*4)/(4*200*150)</f>
        <v>3.7280232822598881E-2</v>
      </c>
      <c r="BG406" s="77">
        <f>(2*PI()*5*5)/(4*90*200)</f>
        <v>2.1816615649929119E-3</v>
      </c>
      <c r="BH406" s="79">
        <v>180</v>
      </c>
      <c r="BI406" s="79">
        <f>PI()*6*6/4</f>
        <v>28.274333882308138</v>
      </c>
      <c r="BJ406" s="79">
        <v>1</v>
      </c>
      <c r="BK406" s="57">
        <f t="shared" si="1059"/>
        <v>28.274333882308138</v>
      </c>
      <c r="BL406" s="57">
        <f t="shared" si="1235"/>
        <v>169.64600329384882</v>
      </c>
      <c r="BM406" s="80">
        <f>PI()*16*16/4+PI()*10*10/4</f>
        <v>279.60174616949161</v>
      </c>
      <c r="BN406" s="80">
        <v>4</v>
      </c>
      <c r="BO406" s="57">
        <f t="shared" si="1198"/>
        <v>1118.4069846779664</v>
      </c>
      <c r="BP406" s="57">
        <f t="shared" si="1160"/>
        <v>247456.21088268451</v>
      </c>
      <c r="BQ406" s="77">
        <f t="shared" si="1161"/>
        <v>3.4924596548080444E-9</v>
      </c>
      <c r="BR406" s="57">
        <f t="shared" si="1251"/>
        <v>618640527.20671129</v>
      </c>
      <c r="BS406" s="57">
        <v>125.61840666230141</v>
      </c>
      <c r="BT406" s="57">
        <f t="shared" si="1170"/>
        <v>13.042458685892951</v>
      </c>
      <c r="BU406" s="57"/>
      <c r="BV406" s="57">
        <v>3.3E-3</v>
      </c>
      <c r="BW406" s="57">
        <v>30000</v>
      </c>
      <c r="BX406" s="57">
        <v>200000</v>
      </c>
      <c r="BY406" s="77">
        <v>20</v>
      </c>
      <c r="BZ406" s="77">
        <f>20+55</f>
        <v>75</v>
      </c>
      <c r="CA406" s="77">
        <f>20+55*2</f>
        <v>130</v>
      </c>
      <c r="CB406" s="77">
        <f>150+25</f>
        <v>175</v>
      </c>
      <c r="CC406" s="77">
        <f>CB406+180*1</f>
        <v>355</v>
      </c>
      <c r="CD406" s="77">
        <f>CB406+180*2</f>
        <v>535</v>
      </c>
      <c r="CE406" s="77">
        <f>CB406+180*3</f>
        <v>715</v>
      </c>
      <c r="CF406" s="77">
        <f>CB406+180*4</f>
        <v>895</v>
      </c>
      <c r="CG406" s="77">
        <f>CB406+180*5</f>
        <v>1075</v>
      </c>
      <c r="CH406" s="77">
        <f>CG406+25+20</f>
        <v>1120</v>
      </c>
      <c r="CI406" s="77">
        <f>CH406+55</f>
        <v>1175</v>
      </c>
      <c r="CJ406" s="77">
        <f>CH406+55*2</f>
        <v>1230</v>
      </c>
      <c r="DM406" s="77">
        <f>PI()*16*16/4*2+PI()*10*10/4</f>
        <v>480.66367599923836</v>
      </c>
      <c r="DN406" s="77">
        <f>PI()*10*10/4*2</f>
        <v>157.07963267948966</v>
      </c>
      <c r="DO406" s="77">
        <f>PI()*16*16/4*2+PI()*10*10/4</f>
        <v>480.66367599923836</v>
      </c>
      <c r="DP406" s="77">
        <f t="shared" ref="DP406:DU406" si="1261">PI()*6*6/4</f>
        <v>28.274333882308138</v>
      </c>
      <c r="DQ406" s="77">
        <f t="shared" si="1261"/>
        <v>28.274333882308138</v>
      </c>
      <c r="DR406" s="77">
        <f t="shared" si="1261"/>
        <v>28.274333882308138</v>
      </c>
      <c r="DS406" s="77">
        <f t="shared" si="1261"/>
        <v>28.274333882308138</v>
      </c>
      <c r="DT406" s="77">
        <f t="shared" si="1261"/>
        <v>28.274333882308138</v>
      </c>
      <c r="DU406" s="77">
        <f t="shared" si="1261"/>
        <v>28.274333882308138</v>
      </c>
      <c r="DV406" s="77">
        <f>PI()*16*16/4*2+PI()*10*10/4</f>
        <v>480.66367599923836</v>
      </c>
      <c r="DW406" s="77">
        <f>PI()*10*10/4*2</f>
        <v>157.07963267948966</v>
      </c>
      <c r="DX406" s="77">
        <f>PI()*16*16/4*2+PI()*10*10/4</f>
        <v>480.66367599923836</v>
      </c>
      <c r="FA406" s="77">
        <f t="shared" si="1244"/>
        <v>-218221.30890365422</v>
      </c>
      <c r="FB406" s="77">
        <f t="shared" si="1245"/>
        <v>-41775.244712574364</v>
      </c>
      <c r="FC406" s="77">
        <f>IF(ABS(-$BV406*($BS406-CA406)/$BS406*$BX406)&gt;$BB406,$BB406*SIGN(-($BS406-CA406)),-$BV406*($BS406-CA406)/$BS406*$BX406)*DO406</f>
        <v>11065.321228136954</v>
      </c>
      <c r="FD406" s="77">
        <f t="shared" ref="FD406:FI406" si="1262">IF(ABS(-$BV406*($BS406-CB406)/$BS406*$BX406)&gt;$BA406,$BA406*SIGN(-($BS406-CB406)),-$BV406*($BS406-CB406)/$BS406*$BX406)*DP406</f>
        <v>7335.8110371499306</v>
      </c>
      <c r="FE406" s="77">
        <f t="shared" si="1262"/>
        <v>13345.48559244944</v>
      </c>
      <c r="FF406" s="77">
        <f t="shared" si="1262"/>
        <v>13345.48559244944</v>
      </c>
      <c r="FG406" s="77">
        <f t="shared" si="1262"/>
        <v>13345.48559244944</v>
      </c>
      <c r="FH406" s="77">
        <f t="shared" si="1262"/>
        <v>13345.48559244944</v>
      </c>
      <c r="FI406" s="77">
        <f t="shared" si="1262"/>
        <v>13345.48559244944</v>
      </c>
      <c r="FJ406" s="77">
        <f>IF(ABS(-$BV406*($BS406-CH406)/$BS406*$BX406)&gt;$BB406,$BB406*SIGN(-($BS406-CH406)),-$BV406*($BS406-CH406)/$BS406*$BX406)*DV406</f>
        <v>218221.30890365422</v>
      </c>
      <c r="FK406" s="77">
        <f>IF(ABS(-$BV406*($BS406-CI406)/$BS406*$BX406)&gt;$BB406,$BB406*SIGN(-($BS406-CI406)),-$BV406*($BS406-CI406)/$BS406*$BX406)*DW406</f>
        <v>71314.153236488302</v>
      </c>
      <c r="FL406" s="77">
        <f>IF(ABS(-$BV406*($BS406-CJ406)/$BS406*$BX406)&gt;$BB406,$BB406*SIGN(-($BS406-CJ406)),-$BV406*($BS406-CJ406)/$BS406*$BX406)*DX406</f>
        <v>218221.30890365422</v>
      </c>
      <c r="GO406" s="77">
        <f t="shared" ref="GO406:GO426" si="1263">FA406*(BY406-0.5*$AO406)</f>
        <v>132023891.88671081</v>
      </c>
      <c r="GP406" s="77">
        <f t="shared" ref="GP406:GP426" si="1264">FB406*(BZ406-0.5*$AO406)</f>
        <v>22976384.591915902</v>
      </c>
      <c r="GQ406" s="77">
        <f t="shared" ref="GQ406:GQ426" si="1265">FC406*(CA406-0.5*$AO406)</f>
        <v>-5477334.0079277921</v>
      </c>
      <c r="GR406" s="77">
        <f t="shared" ref="GR406:GR426" si="1266">FD406*(CB406-0.5*$AO406)</f>
        <v>-3301114.9667174686</v>
      </c>
      <c r="GS406" s="77">
        <f t="shared" si="1193"/>
        <v>-3603281.1099613491</v>
      </c>
      <c r="GT406" s="77">
        <f t="shared" si="1139"/>
        <v>-1201093.7033204497</v>
      </c>
      <c r="GU406" s="77">
        <f t="shared" si="1140"/>
        <v>1201093.7033204497</v>
      </c>
      <c r="GV406" s="77">
        <f t="shared" si="1260"/>
        <v>3603281.1099613491</v>
      </c>
      <c r="GW406" s="77">
        <f t="shared" si="1260"/>
        <v>6005468.516602248</v>
      </c>
      <c r="GX406" s="77">
        <f t="shared" si="1260"/>
        <v>108019547.90730885</v>
      </c>
      <c r="GY406" s="77">
        <f t="shared" si="1260"/>
        <v>39222784.280068569</v>
      </c>
      <c r="GZ406" s="77">
        <f t="shared" si="1260"/>
        <v>132023891.88671081</v>
      </c>
      <c r="IC406" s="82">
        <v>428</v>
      </c>
    </row>
    <row r="407" spans="1:237" s="77" customFormat="1">
      <c r="A407" s="77">
        <v>407</v>
      </c>
      <c r="C407" s="122" t="s">
        <v>437</v>
      </c>
      <c r="D407" s="122" t="s">
        <v>438</v>
      </c>
      <c r="E407" s="125">
        <v>4</v>
      </c>
      <c r="F407" s="125">
        <f t="shared" si="1199"/>
        <v>4.1666666666666664E-2</v>
      </c>
      <c r="G407" s="122"/>
      <c r="H407" s="122">
        <v>1.6E-2</v>
      </c>
      <c r="I407" s="122">
        <v>1.6E-2</v>
      </c>
      <c r="J407" s="122">
        <f t="shared" si="1222"/>
        <v>0.81874999999999998</v>
      </c>
      <c r="K407" s="125">
        <f t="shared" si="1223"/>
        <v>20</v>
      </c>
      <c r="L407" s="125">
        <f t="shared" si="1224"/>
        <v>0.08</v>
      </c>
      <c r="M407" s="125">
        <f t="shared" si="1225"/>
        <v>0.08</v>
      </c>
      <c r="N407" s="125">
        <f t="shared" si="1226"/>
        <v>0.13832757446099336</v>
      </c>
      <c r="O407" s="125">
        <f t="shared" si="1227"/>
        <v>8.0424771931898717E-2</v>
      </c>
      <c r="P407" s="122">
        <v>0</v>
      </c>
      <c r="Q407" s="122" t="s">
        <v>3</v>
      </c>
      <c r="R407" s="133">
        <f t="shared" si="1228"/>
        <v>0</v>
      </c>
      <c r="S407" s="75">
        <f t="shared" si="1163"/>
        <v>0.27950849718747373</v>
      </c>
      <c r="T407" s="59">
        <f t="shared" si="1142"/>
        <v>0.38640519620486535</v>
      </c>
      <c r="U407" s="59">
        <f t="shared" si="1143"/>
        <v>0.31296945065173459</v>
      </c>
      <c r="V407" s="59">
        <f t="shared" si="1144"/>
        <v>0.88082973186654834</v>
      </c>
      <c r="W407" s="59">
        <f t="shared" si="1145"/>
        <v>2.2795493966378952</v>
      </c>
      <c r="X407" s="59">
        <f t="shared" si="1146"/>
        <v>2.8144271909999166</v>
      </c>
      <c r="Y407" s="127">
        <v>375000</v>
      </c>
      <c r="Z407" s="57">
        <f t="shared" si="1147"/>
        <v>1055410.1966249687</v>
      </c>
      <c r="AA407" s="57">
        <f t="shared" si="1148"/>
        <v>854831.02373921068</v>
      </c>
      <c r="AB407" s="57">
        <f t="shared" si="1194"/>
        <v>1623442.6940767099</v>
      </c>
      <c r="AC407" s="57">
        <f t="shared" si="1149"/>
        <v>0.25</v>
      </c>
      <c r="AD407" s="57">
        <f t="shared" si="1150"/>
        <v>1.5</v>
      </c>
      <c r="AE407" s="57">
        <f t="shared" si="1151"/>
        <v>0</v>
      </c>
      <c r="AF407" s="57">
        <f t="shared" si="1152"/>
        <v>291041.19912158174</v>
      </c>
      <c r="AG407" s="57">
        <f t="shared" si="1058"/>
        <v>563789.82461762894</v>
      </c>
      <c r="AH407" s="57">
        <f t="shared" si="1195"/>
        <v>2314685100.121769</v>
      </c>
      <c r="AI407" s="77">
        <f t="shared" si="1196"/>
        <v>343702311.4288435</v>
      </c>
      <c r="AJ407" s="77">
        <v>0</v>
      </c>
      <c r="AK407" s="77">
        <v>45</v>
      </c>
      <c r="AL407" s="78">
        <f t="shared" si="1153"/>
        <v>3.7274901324702161</v>
      </c>
      <c r="AM407" s="57">
        <f t="shared" si="1154"/>
        <v>0.981578947368421</v>
      </c>
      <c r="AN407" s="57">
        <f t="shared" si="1155"/>
        <v>0.78157894736842104</v>
      </c>
      <c r="AO407" s="77">
        <v>2000</v>
      </c>
      <c r="AP407" s="79">
        <f>260+30</f>
        <v>290</v>
      </c>
      <c r="AQ407" s="57">
        <f t="shared" si="1156"/>
        <v>48.008252347082447</v>
      </c>
      <c r="AR407" s="57">
        <f t="shared" si="1197"/>
        <v>1420</v>
      </c>
      <c r="AS407" s="57">
        <f t="shared" si="1157"/>
        <v>1951.9917476529176</v>
      </c>
      <c r="AT407" s="77">
        <v>100</v>
      </c>
      <c r="AU407" s="77">
        <f>1500+275/2</f>
        <v>1637.5</v>
      </c>
      <c r="AV407" s="57">
        <f t="shared" si="1158"/>
        <v>200000</v>
      </c>
      <c r="AW407" s="77">
        <v>0</v>
      </c>
      <c r="AX407" s="77">
        <f t="shared" si="1159"/>
        <v>200000</v>
      </c>
      <c r="AY407" s="77">
        <f t="shared" ref="AY407:AY412" si="1267">AO407*AT407</f>
        <v>200000</v>
      </c>
      <c r="AZ407" s="77">
        <f t="shared" si="1141"/>
        <v>450</v>
      </c>
      <c r="BA407" s="77">
        <v>450</v>
      </c>
      <c r="BB407" s="77">
        <v>450</v>
      </c>
      <c r="BC407" s="77">
        <v>450</v>
      </c>
      <c r="BD407" s="77">
        <v>8.0000000000000002E-3</v>
      </c>
      <c r="BE407" s="77">
        <v>8.0000000000000002E-3</v>
      </c>
      <c r="BF407" s="77">
        <f>(PI()*11.3*11.3*4)/(4*290*100)</f>
        <v>1.3832757446099336E-2</v>
      </c>
      <c r="BG407" s="77">
        <f>(2*PI()*6.4*6.4)/(4*80*100)</f>
        <v>8.0424771931898714E-3</v>
      </c>
      <c r="BH407" s="79">
        <v>250</v>
      </c>
      <c r="BI407" s="79">
        <f>PI()*11.3*11.3/4</f>
        <v>100.28749148422018</v>
      </c>
      <c r="BJ407" s="79">
        <v>2</v>
      </c>
      <c r="BK407" s="57">
        <f t="shared" si="1059"/>
        <v>200.57498296844037</v>
      </c>
      <c r="BL407" s="57">
        <f t="shared" si="1235"/>
        <v>1136</v>
      </c>
      <c r="BM407" s="80">
        <f>PI()*11.3*11.3/4</f>
        <v>100.28749148422018</v>
      </c>
      <c r="BN407" s="80">
        <v>4</v>
      </c>
      <c r="BO407" s="57">
        <f t="shared" si="1198"/>
        <v>401.14996593688073</v>
      </c>
      <c r="BP407" s="57">
        <f t="shared" si="1160"/>
        <v>330311.14944995561</v>
      </c>
      <c r="BQ407" s="77">
        <f t="shared" si="1161"/>
        <v>1.6880221664905548E-9</v>
      </c>
      <c r="BR407" s="57">
        <f t="shared" si="1251"/>
        <v>540884507.22430229</v>
      </c>
      <c r="BS407" s="57">
        <v>96.016504694164894</v>
      </c>
      <c r="BT407" s="57">
        <f t="shared" si="1170"/>
        <v>37.462514417531715</v>
      </c>
      <c r="BU407" s="57"/>
      <c r="BV407" s="57">
        <v>3.3E-3</v>
      </c>
      <c r="BW407" s="57">
        <v>30000</v>
      </c>
      <c r="BX407" s="57">
        <v>200000</v>
      </c>
      <c r="BY407" s="77">
        <v>30</v>
      </c>
      <c r="BZ407" s="77">
        <f>BY407+260</f>
        <v>290</v>
      </c>
      <c r="CA407" s="77">
        <f>BZ407+284*1</f>
        <v>574</v>
      </c>
      <c r="CB407" s="77">
        <f>BZ407+284*2</f>
        <v>858</v>
      </c>
      <c r="CC407" s="77">
        <f>BZ407+284*3</f>
        <v>1142</v>
      </c>
      <c r="CD407" s="77">
        <f>BZ407+284*4</f>
        <v>1426</v>
      </c>
      <c r="CE407" s="77">
        <f>BZ407+284*5</f>
        <v>1710</v>
      </c>
      <c r="CF407" s="77">
        <f>CE407+260</f>
        <v>1970</v>
      </c>
      <c r="DM407" s="77">
        <f>PI()*10*10/4*2</f>
        <v>157.07963267948966</v>
      </c>
      <c r="DN407" s="77">
        <f>PI()*10*10/4*2</f>
        <v>157.07963267948966</v>
      </c>
      <c r="DO407" s="77">
        <f t="shared" ref="DO407:DT407" si="1268">PI()*10*10/4*2</f>
        <v>157.07963267948966</v>
      </c>
      <c r="DP407" s="77">
        <f t="shared" si="1268"/>
        <v>157.07963267948966</v>
      </c>
      <c r="DQ407" s="77">
        <f t="shared" si="1268"/>
        <v>157.07963267948966</v>
      </c>
      <c r="DR407" s="77">
        <f t="shared" si="1268"/>
        <v>157.07963267948966</v>
      </c>
      <c r="DS407" s="77">
        <f t="shared" si="1268"/>
        <v>157.07963267948966</v>
      </c>
      <c r="DT407" s="77">
        <f t="shared" si="1268"/>
        <v>157.07963267948966</v>
      </c>
      <c r="FA407" s="77">
        <f t="shared" si="1244"/>
        <v>-70685.83470577035</v>
      </c>
      <c r="FB407" s="77">
        <f t="shared" si="1245"/>
        <v>70685.83470577035</v>
      </c>
      <c r="FC407" s="77">
        <f>IF(ABS(-$BV407*($BS407-CA407)/$BS407*$BX407)&gt;$BA407,$BA407*SIGN(-($BS407-CA407)),-$BV407*($BS407-CA407)/$BS407*$BX407)*DO407</f>
        <v>70685.83470577035</v>
      </c>
      <c r="FD407" s="77">
        <f>IF(ABS(-$BV407*($BS407-CB407)/$BS407*$BX407)&gt;$BA407,$BA407*SIGN(-($BS407-CB407)),-$BV407*($BS407-CB407)/$BS407*$BX407)*DP407</f>
        <v>70685.83470577035</v>
      </c>
      <c r="FE407" s="77">
        <f>IF(ABS(-$BV407*($BS407-CC407)/$BS407*$BX407)&gt;$BA407,$BA407*SIGN(-($BS407-CC407)),-$BV407*($BS407-CC407)/$BS407*$BX407)*DQ407</f>
        <v>70685.83470577035</v>
      </c>
      <c r="FF407" s="77">
        <f>IF(ABS(-$BV407*($BS407-CD407)/$BS407*$BX407)&gt;$BA407,$BA407*SIGN(-($BS407-CD407)),-$BV407*($BS407-CD407)/$BS407*$BX407)*DR407</f>
        <v>70685.83470577035</v>
      </c>
      <c r="FG407" s="77">
        <f>IF(ABS(-$BV407*($BS407-CE407)/$BS407*$BX407)&gt;$BB407,$BB407*SIGN(-($BS407-CE407)),-$BV407*($BS407-CE407)/$BS407*$BX407)*DS407</f>
        <v>70685.83470577035</v>
      </c>
      <c r="FH407" s="77">
        <f>IF(ABS(-$BV407*($BS407-CF407)/$BS407*$BX407)&gt;$BB407,$BB407*SIGN(-($BS407-CF407)),-$BV407*($BS407-CF407)/$BS407*$BX407)*DT407</f>
        <v>70685.83470577035</v>
      </c>
      <c r="GO407" s="77">
        <f t="shared" si="1263"/>
        <v>68565259.664597243</v>
      </c>
      <c r="GP407" s="77">
        <f t="shared" si="1264"/>
        <v>-50186942.64109695</v>
      </c>
      <c r="GQ407" s="77">
        <f t="shared" si="1265"/>
        <v>-30112165.584658168</v>
      </c>
      <c r="GR407" s="77">
        <f t="shared" si="1266"/>
        <v>-10037388.528219391</v>
      </c>
      <c r="GS407" s="77">
        <f t="shared" si="1193"/>
        <v>10037388.528219391</v>
      </c>
      <c r="GT407" s="77">
        <f t="shared" si="1139"/>
        <v>30112165.584658168</v>
      </c>
      <c r="GU407" s="77">
        <f t="shared" si="1140"/>
        <v>50186942.64109695</v>
      </c>
      <c r="GV407" s="77">
        <f>FH407*(CF407-0.5*$AO407)</f>
        <v>68565259.664597243</v>
      </c>
      <c r="IC407" s="82">
        <v>429</v>
      </c>
    </row>
    <row r="408" spans="1:237" s="77" customFormat="1">
      <c r="A408" s="77">
        <v>408</v>
      </c>
      <c r="C408" s="122" t="s">
        <v>437</v>
      </c>
      <c r="D408" s="122" t="s">
        <v>439</v>
      </c>
      <c r="E408" s="125">
        <v>4</v>
      </c>
      <c r="F408" s="125">
        <f t="shared" si="1199"/>
        <v>3.3259259259259259E-2</v>
      </c>
      <c r="G408" s="122"/>
      <c r="H408" s="122">
        <v>1.83E-2</v>
      </c>
      <c r="I408" s="122">
        <v>1.83E-2</v>
      </c>
      <c r="J408" s="122">
        <f t="shared" si="1222"/>
        <v>1.0916666666666666</v>
      </c>
      <c r="K408" s="125">
        <f t="shared" si="1223"/>
        <v>15</v>
      </c>
      <c r="L408" s="125">
        <f t="shared" si="1224"/>
        <v>0.08</v>
      </c>
      <c r="M408" s="125">
        <f t="shared" si="1225"/>
        <v>0.08</v>
      </c>
      <c r="N408" s="125">
        <f t="shared" si="1226"/>
        <v>0.12438758633701727</v>
      </c>
      <c r="O408" s="125">
        <f t="shared" si="1227"/>
        <v>8.0424771931898717E-2</v>
      </c>
      <c r="P408" s="122">
        <v>0</v>
      </c>
      <c r="Q408" s="122" t="s">
        <v>3</v>
      </c>
      <c r="R408" s="133">
        <f t="shared" si="1228"/>
        <v>0</v>
      </c>
      <c r="S408" s="75">
        <f t="shared" si="1163"/>
        <v>0.223109893754979</v>
      </c>
      <c r="T408" s="59">
        <f t="shared" si="1142"/>
        <v>0.28840186164191295</v>
      </c>
      <c r="U408" s="59">
        <f t="shared" si="1143"/>
        <v>0.23381169668550245</v>
      </c>
      <c r="V408" s="59">
        <f t="shared" si="1144"/>
        <v>0.82438947251246208</v>
      </c>
      <c r="W408" s="59">
        <f t="shared" si="1145"/>
        <v>2.8584748649647929</v>
      </c>
      <c r="X408" s="59">
        <f t="shared" si="1146"/>
        <v>3.5258692537582466</v>
      </c>
      <c r="Y408" s="127">
        <v>224500</v>
      </c>
      <c r="Z408" s="57">
        <f t="shared" si="1147"/>
        <v>791557.64746872638</v>
      </c>
      <c r="AA408" s="57">
        <f t="shared" si="1148"/>
        <v>641727.60718459601</v>
      </c>
      <c r="AB408" s="57">
        <f t="shared" si="1194"/>
        <v>1292226.4286137591</v>
      </c>
      <c r="AC408" s="57">
        <f t="shared" si="1149"/>
        <v>0.25</v>
      </c>
      <c r="AD408" s="57">
        <f t="shared" si="1150"/>
        <v>1.5</v>
      </c>
      <c r="AE408" s="57">
        <f t="shared" si="1151"/>
        <v>0</v>
      </c>
      <c r="AF408" s="57">
        <f t="shared" si="1152"/>
        <v>218486.65656454599</v>
      </c>
      <c r="AG408" s="57">
        <f t="shared" si="1058"/>
        <v>423240.95062005002</v>
      </c>
      <c r="AH408" s="57">
        <f t="shared" si="1195"/>
        <v>1857745815.5873625</v>
      </c>
      <c r="AI408" s="77">
        <f t="shared" si="1196"/>
        <v>258274961.26766798</v>
      </c>
      <c r="AJ408" s="77">
        <v>0</v>
      </c>
      <c r="AK408" s="77">
        <v>45</v>
      </c>
      <c r="AL408" s="78">
        <f t="shared" si="1153"/>
        <v>3.7274901324702161</v>
      </c>
      <c r="AM408" s="57">
        <f t="shared" si="1154"/>
        <v>0.981578947368421</v>
      </c>
      <c r="AN408" s="57">
        <f t="shared" si="1155"/>
        <v>0.78157894736842104</v>
      </c>
      <c r="AO408" s="77">
        <v>1500</v>
      </c>
      <c r="AP408" s="79">
        <f>285+37.5</f>
        <v>322.5</v>
      </c>
      <c r="AQ408" s="57">
        <f t="shared" si="1156"/>
        <v>34.626190816001014</v>
      </c>
      <c r="AR408" s="57">
        <f t="shared" si="1197"/>
        <v>855</v>
      </c>
      <c r="AS408" s="57">
        <f t="shared" si="1157"/>
        <v>1465.3738091839989</v>
      </c>
      <c r="AT408" s="77">
        <v>100</v>
      </c>
      <c r="AU408" s="77">
        <f>1500+275/2</f>
        <v>1637.5</v>
      </c>
      <c r="AV408" s="57">
        <f t="shared" si="1158"/>
        <v>150000</v>
      </c>
      <c r="AW408" s="77">
        <v>0</v>
      </c>
      <c r="AX408" s="77">
        <f t="shared" si="1159"/>
        <v>150000</v>
      </c>
      <c r="AY408" s="77">
        <f t="shared" si="1267"/>
        <v>150000</v>
      </c>
      <c r="AZ408" s="77">
        <f t="shared" ref="AZ408:AZ426" si="1269">BA408</f>
        <v>450</v>
      </c>
      <c r="BA408" s="77">
        <v>450</v>
      </c>
      <c r="BB408" s="77">
        <v>450</v>
      </c>
      <c r="BC408" s="77">
        <v>450</v>
      </c>
      <c r="BD408" s="77">
        <v>8.0000000000000002E-3</v>
      </c>
      <c r="BE408" s="77">
        <v>8.0000000000000002E-3</v>
      </c>
      <c r="BF408" s="77">
        <f>(PI()*11.3*11.3*4)/(4*322.5*100)</f>
        <v>1.2438758633701728E-2</v>
      </c>
      <c r="BG408" s="77">
        <f>(2*PI()*6.4*6.4)/(4*80*100)</f>
        <v>8.0424771931898714E-3</v>
      </c>
      <c r="BH408" s="79">
        <v>250</v>
      </c>
      <c r="BI408" s="79">
        <f>PI()*11.3*11.3/4</f>
        <v>100.28749148422018</v>
      </c>
      <c r="BJ408" s="79">
        <v>2</v>
      </c>
      <c r="BK408" s="57">
        <f t="shared" si="1059"/>
        <v>200.57498296844037</v>
      </c>
      <c r="BL408" s="57">
        <f t="shared" si="1235"/>
        <v>684</v>
      </c>
      <c r="BM408" s="80">
        <f>PI()*11.3*11.3/4</f>
        <v>100.28749148422018</v>
      </c>
      <c r="BN408" s="80">
        <v>4</v>
      </c>
      <c r="BO408" s="57">
        <f t="shared" si="1198"/>
        <v>401.14996593688073</v>
      </c>
      <c r="BP408" s="57">
        <f t="shared" si="1160"/>
        <v>185075.43657904773</v>
      </c>
      <c r="BQ408" s="77">
        <f t="shared" si="1161"/>
        <v>1.3387762010097504E-9</v>
      </c>
      <c r="BR408" s="57">
        <f t="shared" si="1251"/>
        <v>303061027.39819068</v>
      </c>
      <c r="BS408" s="57">
        <v>69.252381632002027</v>
      </c>
      <c r="BT408" s="57">
        <f t="shared" si="1170"/>
        <v>41.660899653979236</v>
      </c>
      <c r="BU408" s="57"/>
      <c r="BV408" s="57">
        <v>3.3E-3</v>
      </c>
      <c r="BW408" s="57">
        <v>30000</v>
      </c>
      <c r="BX408" s="57">
        <v>200000</v>
      </c>
      <c r="BY408" s="77">
        <v>37.5</v>
      </c>
      <c r="BZ408" s="77">
        <f>BY408+285*1</f>
        <v>322.5</v>
      </c>
      <c r="CA408" s="77">
        <f>BY408+285*2</f>
        <v>607.5</v>
      </c>
      <c r="CB408" s="77">
        <f>BY408+285*3</f>
        <v>892.5</v>
      </c>
      <c r="CC408" s="77">
        <f>BY408+285*4</f>
        <v>1177.5</v>
      </c>
      <c r="CD408" s="77">
        <f>BY408+285*5</f>
        <v>1462.5</v>
      </c>
      <c r="DM408" s="77">
        <f>PI()*10*10/4*2</f>
        <v>157.07963267948966</v>
      </c>
      <c r="DN408" s="77">
        <f>PI()*10*10/4*2</f>
        <v>157.07963267948966</v>
      </c>
      <c r="DO408" s="77">
        <f t="shared" ref="DO408:DR410" si="1270">PI()*10*10/4*2</f>
        <v>157.07963267948966</v>
      </c>
      <c r="DP408" s="77">
        <f t="shared" si="1270"/>
        <v>157.07963267948966</v>
      </c>
      <c r="DQ408" s="77">
        <f t="shared" si="1270"/>
        <v>157.07963267948966</v>
      </c>
      <c r="DR408" s="77">
        <f t="shared" si="1270"/>
        <v>157.07963267948966</v>
      </c>
      <c r="FA408" s="77">
        <f t="shared" si="1244"/>
        <v>-47534.114135915217</v>
      </c>
      <c r="FB408" s="77">
        <f t="shared" si="1245"/>
        <v>70685.83470577035</v>
      </c>
      <c r="FC408" s="77">
        <f t="shared" ref="FC408:FD410" si="1271">IF(ABS(-$BV408*($BS408-CA408)/$BS408*$BX408)&gt;$BA408,$BA408*SIGN(-($BS408-CA408)),-$BV408*($BS408-CA408)/$BS408*$BX408)*DO408</f>
        <v>70685.83470577035</v>
      </c>
      <c r="FD408" s="77">
        <f t="shared" si="1271"/>
        <v>70685.83470577035</v>
      </c>
      <c r="FE408" s="77">
        <f>IF(ABS(-$BV408*($BS408-CC408)/$BS408*$BX408)&gt;$BB408,$BB408*SIGN(-($BS408-CC408)),-$BV408*($BS408-CC408)/$BS408*$BX408)*DQ408</f>
        <v>70685.83470577035</v>
      </c>
      <c r="FF408" s="77">
        <f>IF(ABS(-$BV408*($BS408-CD408)/$BS408*$BX408)&gt;$BB408,$BB408*SIGN(-($BS408-CD408)),-$BV408*($BS408-CD408)/$BS408*$BX408)*DR408</f>
        <v>70685.83470577035</v>
      </c>
      <c r="GO408" s="77">
        <f t="shared" si="1263"/>
        <v>33868056.321839593</v>
      </c>
      <c r="GP408" s="77">
        <f t="shared" si="1264"/>
        <v>-30218194.336716823</v>
      </c>
      <c r="GQ408" s="77">
        <f t="shared" si="1265"/>
        <v>-10072731.445572276</v>
      </c>
      <c r="GR408" s="77">
        <f t="shared" si="1266"/>
        <v>10072731.445572276</v>
      </c>
      <c r="GS408" s="77">
        <f t="shared" si="1193"/>
        <v>30218194.336716823</v>
      </c>
      <c r="GT408" s="77">
        <f t="shared" ref="GT408:GT426" si="1272">FF408*(CD408-0.5*$AO408)</f>
        <v>50363657.227861375</v>
      </c>
      <c r="IC408" s="82">
        <v>430</v>
      </c>
    </row>
    <row r="409" spans="1:237" s="77" customFormat="1">
      <c r="A409" s="77">
        <v>409</v>
      </c>
      <c r="C409" s="122" t="s">
        <v>481</v>
      </c>
      <c r="D409" s="122" t="s">
        <v>400</v>
      </c>
      <c r="E409" s="125">
        <v>4</v>
      </c>
      <c r="F409" s="125">
        <f t="shared" si="1199"/>
        <v>6.0757575757575753E-2</v>
      </c>
      <c r="G409" s="122"/>
      <c r="H409" s="122">
        <v>8.0000000000000002E-3</v>
      </c>
      <c r="I409" s="122">
        <f>24/AU409</f>
        <v>2.0689655172413793E-2</v>
      </c>
      <c r="J409" s="122">
        <f t="shared" si="1222"/>
        <v>0.57999999999999996</v>
      </c>
      <c r="K409" s="125">
        <f t="shared" si="1223"/>
        <v>20</v>
      </c>
      <c r="L409" s="125">
        <f t="shared" si="1224"/>
        <v>8.2181811203458272E-2</v>
      </c>
      <c r="M409" s="125">
        <f t="shared" si="1225"/>
        <v>0.11669817190891076</v>
      </c>
      <c r="N409" s="125">
        <f t="shared" si="1226"/>
        <v>0.22441956136328992</v>
      </c>
      <c r="O409" s="125">
        <f t="shared" si="1227"/>
        <v>9.0173229135765226E-2</v>
      </c>
      <c r="P409" s="122">
        <v>0</v>
      </c>
      <c r="Q409" s="122" t="s">
        <v>3</v>
      </c>
      <c r="R409" s="133">
        <f t="shared" si="1228"/>
        <v>0</v>
      </c>
      <c r="S409" s="75">
        <f t="shared" si="1163"/>
        <v>0.34902570019117413</v>
      </c>
      <c r="T409" s="59">
        <f t="shared" si="1142"/>
        <v>0.58405154082949207</v>
      </c>
      <c r="U409" s="59">
        <f t="shared" si="1143"/>
        <v>0.46277632192111018</v>
      </c>
      <c r="V409" s="59">
        <f t="shared" si="1144"/>
        <v>1.2203400840862995</v>
      </c>
      <c r="W409" s="59">
        <f t="shared" si="1145"/>
        <v>2.0894390285369786</v>
      </c>
      <c r="X409" s="59">
        <f t="shared" si="1146"/>
        <v>2.6369976731314524</v>
      </c>
      <c r="Y409" s="127">
        <f>(383+419)/2*1000</f>
        <v>401000</v>
      </c>
      <c r="Z409" s="57">
        <f t="shared" si="1147"/>
        <v>1057436.0669257124</v>
      </c>
      <c r="AA409" s="57">
        <f t="shared" si="1148"/>
        <v>837865.05044332845</v>
      </c>
      <c r="AB409" s="57">
        <f t="shared" si="1194"/>
        <v>1641686.9381173267</v>
      </c>
      <c r="AC409" s="57">
        <f t="shared" si="1149"/>
        <v>0.25</v>
      </c>
      <c r="AD409" s="57">
        <f t="shared" si="1150"/>
        <v>1.5</v>
      </c>
      <c r="AE409" s="57">
        <f t="shared" si="1151"/>
        <v>0</v>
      </c>
      <c r="AF409" s="57">
        <f t="shared" si="1152"/>
        <v>242815.90645073907</v>
      </c>
      <c r="AG409" s="57">
        <f t="shared" si="1058"/>
        <v>595049.14399258932</v>
      </c>
      <c r="AH409" s="57">
        <f t="shared" si="1195"/>
        <v>1545649385.5247679</v>
      </c>
      <c r="AI409" s="77">
        <f t="shared" si="1196"/>
        <v>358707462.69133121</v>
      </c>
      <c r="AJ409" s="77">
        <v>0</v>
      </c>
      <c r="AK409" s="77">
        <v>33</v>
      </c>
      <c r="AL409" s="78">
        <f t="shared" si="1153"/>
        <v>3.1429124750995512</v>
      </c>
      <c r="AM409" s="57">
        <f t="shared" si="1154"/>
        <v>1</v>
      </c>
      <c r="AN409" s="57">
        <f t="shared" si="1155"/>
        <v>0.8</v>
      </c>
      <c r="AO409" s="77">
        <v>2000</v>
      </c>
      <c r="AP409" s="79">
        <v>260</v>
      </c>
      <c r="AQ409" s="57">
        <f t="shared" si="1156"/>
        <v>68.543839714722822</v>
      </c>
      <c r="AR409" s="57">
        <f t="shared" si="1197"/>
        <v>1480</v>
      </c>
      <c r="AS409" s="57">
        <f t="shared" si="1157"/>
        <v>1931.4561602852773</v>
      </c>
      <c r="AT409" s="77">
        <v>100</v>
      </c>
      <c r="AU409" s="77">
        <f>1000+160</f>
        <v>1160</v>
      </c>
      <c r="AV409" s="57">
        <f t="shared" si="1158"/>
        <v>200000</v>
      </c>
      <c r="AW409" s="77">
        <v>0</v>
      </c>
      <c r="AX409" s="77">
        <f t="shared" si="1159"/>
        <v>200000</v>
      </c>
      <c r="AY409" s="77">
        <f t="shared" si="1267"/>
        <v>200000</v>
      </c>
      <c r="AZ409" s="77">
        <f t="shared" si="1269"/>
        <v>480</v>
      </c>
      <c r="BA409" s="77">
        <v>480</v>
      </c>
      <c r="BB409" s="77">
        <v>480</v>
      </c>
      <c r="BC409" s="77">
        <v>370</v>
      </c>
      <c r="BD409" s="77">
        <f>(PI()*11.3*11.3*8)/(4*1420*100)</f>
        <v>5.6499995202377567E-3</v>
      </c>
      <c r="BE409" s="77">
        <f>(2*PI()*11.3*11.3)/(4*250*100)</f>
        <v>8.0229993187376138E-3</v>
      </c>
      <c r="BF409" s="77">
        <f>(PI()*11.3*11.3*4)/(4*260*100)</f>
        <v>1.5428844843726182E-2</v>
      </c>
      <c r="BG409" s="77">
        <f>(2*PI()*6.4*6.4)/(4*80*100)</f>
        <v>8.0424771931898714E-3</v>
      </c>
      <c r="BH409" s="79">
        <v>250</v>
      </c>
      <c r="BI409" s="79">
        <f>PI()*11.3*11.3/4</f>
        <v>100.28749148422018</v>
      </c>
      <c r="BJ409" s="79">
        <v>2</v>
      </c>
      <c r="BK409" s="57">
        <f t="shared" si="1059"/>
        <v>200.57498296844037</v>
      </c>
      <c r="BL409" s="57">
        <f t="shared" si="1235"/>
        <v>836.19992899518797</v>
      </c>
      <c r="BM409" s="80">
        <f>PI()*11.3*11.3/4</f>
        <v>100.28749148422018</v>
      </c>
      <c r="BN409" s="80">
        <v>4</v>
      </c>
      <c r="BO409" s="57">
        <f t="shared" si="1198"/>
        <v>401.14996593688073</v>
      </c>
      <c r="BP409" s="57">
        <f t="shared" si="1160"/>
        <v>489356.37371860608</v>
      </c>
      <c r="BQ409" s="77">
        <f t="shared" si="1161"/>
        <v>-2.4033943191170692E-7</v>
      </c>
      <c r="BR409" s="57">
        <f t="shared" si="1251"/>
        <v>567653393.51358306</v>
      </c>
      <c r="BS409" s="57">
        <v>137.08767942944564</v>
      </c>
      <c r="BT409" s="57">
        <f t="shared" si="1170"/>
        <v>30.871186045468331</v>
      </c>
      <c r="BU409" s="57"/>
      <c r="BV409" s="57">
        <v>3.3E-3</v>
      </c>
      <c r="BW409" s="57">
        <v>30000</v>
      </c>
      <c r="BX409" s="57">
        <v>200000</v>
      </c>
      <c r="BY409" s="77">
        <v>30</v>
      </c>
      <c r="BZ409" s="77">
        <f>BY409+260</f>
        <v>290</v>
      </c>
      <c r="CA409" s="77">
        <f>BZ409+284*1</f>
        <v>574</v>
      </c>
      <c r="CB409" s="77">
        <f>BZ409+284*2</f>
        <v>858</v>
      </c>
      <c r="CC409" s="77">
        <f>BZ409+284*3</f>
        <v>1142</v>
      </c>
      <c r="CD409" s="77">
        <f>BZ409+284*4</f>
        <v>1426</v>
      </c>
      <c r="CE409" s="77">
        <f>BZ409+284*5</f>
        <v>1710</v>
      </c>
      <c r="CF409" s="77">
        <f>CE409+260</f>
        <v>1970</v>
      </c>
      <c r="DM409" s="77">
        <f>PI()*10*10/4*2</f>
        <v>157.07963267948966</v>
      </c>
      <c r="DN409" s="77">
        <f>PI()*10*10/4*2</f>
        <v>157.07963267948966</v>
      </c>
      <c r="DO409" s="77">
        <f t="shared" si="1270"/>
        <v>157.07963267948966</v>
      </c>
      <c r="DP409" s="77">
        <f t="shared" si="1270"/>
        <v>157.07963267948966</v>
      </c>
      <c r="DQ409" s="77">
        <f t="shared" si="1270"/>
        <v>157.07963267948966</v>
      </c>
      <c r="DR409" s="77">
        <f t="shared" si="1270"/>
        <v>157.07963267948966</v>
      </c>
      <c r="DS409" s="77">
        <f>PI()*10*10/4*2</f>
        <v>157.07963267948966</v>
      </c>
      <c r="DT409" s="77">
        <f>PI()*10*10/4*2</f>
        <v>157.07963267948966</v>
      </c>
      <c r="FA409" s="77">
        <f t="shared" si="1244"/>
        <v>-75398.223686155034</v>
      </c>
      <c r="FB409" s="77">
        <f t="shared" si="1245"/>
        <v>75398.223686155034</v>
      </c>
      <c r="FC409" s="77">
        <f t="shared" si="1271"/>
        <v>75398.223686155034</v>
      </c>
      <c r="FD409" s="77">
        <f t="shared" si="1271"/>
        <v>75398.223686155034</v>
      </c>
      <c r="FE409" s="77">
        <f t="shared" ref="FE409:FE424" si="1273">IF(ABS(-$BV409*($BS409-CC409)/$BS409*$BX409)&gt;$BA409,$BA409*SIGN(-($BS409-CC409)),-$BV409*($BS409-CC409)/$BS409*$BX409)*DQ409</f>
        <v>75398.223686155034</v>
      </c>
      <c r="FF409" s="77">
        <f t="shared" ref="FF409:FF424" si="1274">IF(ABS(-$BV409*($BS409-CD409)/$BS409*$BX409)&gt;$BA409,$BA409*SIGN(-($BS409-CD409)),-$BV409*($BS409-CD409)/$BS409*$BX409)*DR409</f>
        <v>75398.223686155034</v>
      </c>
      <c r="FG409" s="77">
        <f>IF(ABS(-$BV409*($BS409-CE409)/$BS409*$BX409)&gt;$BB409,$BB409*SIGN(-($BS409-CE409)),-$BV409*($BS409-CE409)/$BS409*$BX409)*DS409</f>
        <v>75398.223686155034</v>
      </c>
      <c r="FH409" s="77">
        <f>IF(ABS(-$BV409*($BS409-CF409)/$BS409*$BX409)&gt;$BB409,$BB409*SIGN(-($BS409-CF409)),-$BV409*($BS409-CF409)/$BS409*$BX409)*DT409</f>
        <v>75398.223686155034</v>
      </c>
      <c r="GO409" s="77">
        <f t="shared" si="1263"/>
        <v>73136276.975570381</v>
      </c>
      <c r="GP409" s="77">
        <f t="shared" si="1264"/>
        <v>-53532738.817170076</v>
      </c>
      <c r="GQ409" s="77">
        <f t="shared" si="1265"/>
        <v>-32119643.290302046</v>
      </c>
      <c r="GR409" s="77">
        <f t="shared" si="1266"/>
        <v>-10706547.763434015</v>
      </c>
      <c r="GS409" s="77">
        <f t="shared" si="1193"/>
        <v>10706547.763434015</v>
      </c>
      <c r="GT409" s="77">
        <f t="shared" si="1272"/>
        <v>32119643.290302046</v>
      </c>
      <c r="GU409" s="77">
        <f t="shared" ref="GU409:GU426" si="1275">FG409*(CE409-0.5*$AO409)</f>
        <v>53532738.817170076</v>
      </c>
      <c r="GV409" s="77">
        <f t="shared" ref="GV409:GV426" si="1276">FH409*(CF409-0.5*$AO409)</f>
        <v>73136276.975570381</v>
      </c>
      <c r="IC409" s="82">
        <v>431</v>
      </c>
    </row>
    <row r="410" spans="1:237" s="77" customFormat="1">
      <c r="A410" s="77">
        <v>410</v>
      </c>
      <c r="C410" s="122" t="s">
        <v>481</v>
      </c>
      <c r="D410" s="122" t="s">
        <v>440</v>
      </c>
      <c r="E410" s="125">
        <v>4</v>
      </c>
      <c r="F410" s="125">
        <f t="shared" si="1199"/>
        <v>0.10009259259259259</v>
      </c>
      <c r="G410" s="122"/>
      <c r="H410" s="122">
        <v>2.2800000000000001E-2</v>
      </c>
      <c r="I410" s="122">
        <f>22/AU410</f>
        <v>1.896551724137931E-2</v>
      </c>
      <c r="J410" s="122">
        <f t="shared" si="1222"/>
        <v>0.57999999999999996</v>
      </c>
      <c r="K410" s="125">
        <f t="shared" si="1223"/>
        <v>20</v>
      </c>
      <c r="L410" s="125">
        <f t="shared" si="1224"/>
        <v>0.18111885587273627</v>
      </c>
      <c r="M410" s="125">
        <f t="shared" si="1225"/>
        <v>0.20375871285682831</v>
      </c>
      <c r="N410" s="125">
        <f t="shared" si="1226"/>
        <v>0.40751742571365662</v>
      </c>
      <c r="O410" s="125">
        <f t="shared" si="1227"/>
        <v>0.11021172449926861</v>
      </c>
      <c r="P410" s="122">
        <v>0</v>
      </c>
      <c r="Q410" s="122" t="s">
        <v>3</v>
      </c>
      <c r="R410" s="133">
        <f t="shared" si="1228"/>
        <v>0</v>
      </c>
      <c r="S410" s="75">
        <f t="shared" si="1163"/>
        <v>0.52009636749498789</v>
      </c>
      <c r="T410" s="59">
        <f t="shared" si="1142"/>
        <v>0.66108679897772626</v>
      </c>
      <c r="U410" s="59">
        <f t="shared" si="1143"/>
        <v>0.50479741252855814</v>
      </c>
      <c r="V410" s="59">
        <f t="shared" si="1144"/>
        <v>1.2702633089136128</v>
      </c>
      <c r="W410" s="59">
        <f t="shared" si="1145"/>
        <v>1.9214773474192628</v>
      </c>
      <c r="X410" s="59">
        <f t="shared" si="1146"/>
        <v>2.5163823692177694</v>
      </c>
      <c r="Y410" s="127">
        <f>(586+495)/2*1000</f>
        <v>540500</v>
      </c>
      <c r="Z410" s="57">
        <f t="shared" si="1147"/>
        <v>1360104.6705622044</v>
      </c>
      <c r="AA410" s="57">
        <f t="shared" si="1148"/>
        <v>1038558.5062801115</v>
      </c>
      <c r="AB410" s="57">
        <f t="shared" si="1194"/>
        <v>1021594.2999286582</v>
      </c>
      <c r="AC410" s="57">
        <f t="shared" si="1149"/>
        <v>0.25</v>
      </c>
      <c r="AD410" s="57">
        <f t="shared" si="1150"/>
        <v>1.5</v>
      </c>
      <c r="AE410" s="57">
        <f t="shared" si="1151"/>
        <v>0</v>
      </c>
      <c r="AF410" s="57">
        <f t="shared" si="1152"/>
        <v>211544.83673592936</v>
      </c>
      <c r="AG410" s="57">
        <f t="shared" si="1058"/>
        <v>827013.66954418214</v>
      </c>
      <c r="AH410" s="57">
        <f t="shared" si="1195"/>
        <v>846516394.36548936</v>
      </c>
      <c r="AI410" s="77">
        <f t="shared" si="1196"/>
        <v>338532993.551754</v>
      </c>
      <c r="AJ410" s="77">
        <v>0</v>
      </c>
      <c r="AK410" s="77">
        <v>27</v>
      </c>
      <c r="AL410" s="78">
        <f t="shared" si="1153"/>
        <v>2.8144898718581284</v>
      </c>
      <c r="AM410" s="57">
        <f t="shared" si="1154"/>
        <v>1</v>
      </c>
      <c r="AN410" s="57">
        <f t="shared" si="1155"/>
        <v>0.8</v>
      </c>
      <c r="AO410" s="77">
        <v>2000</v>
      </c>
      <c r="AP410" s="79">
        <v>175</v>
      </c>
      <c r="AQ410" s="57">
        <f t="shared" si="1156"/>
        <v>120.93091139578966</v>
      </c>
      <c r="AR410" s="57">
        <f t="shared" si="1197"/>
        <v>1650</v>
      </c>
      <c r="AS410" s="57">
        <f t="shared" si="1157"/>
        <v>1879.0690886042103</v>
      </c>
      <c r="AT410" s="77">
        <v>100</v>
      </c>
      <c r="AU410" s="77">
        <f>1000+160</f>
        <v>1160</v>
      </c>
      <c r="AV410" s="57">
        <f t="shared" si="1158"/>
        <v>200000</v>
      </c>
      <c r="AW410" s="77">
        <v>0</v>
      </c>
      <c r="AX410" s="77">
        <f t="shared" si="1159"/>
        <v>200000</v>
      </c>
      <c r="AY410" s="77">
        <f t="shared" si="1267"/>
        <v>200000</v>
      </c>
      <c r="AZ410" s="77">
        <f t="shared" si="1269"/>
        <v>480</v>
      </c>
      <c r="BA410" s="77">
        <v>480</v>
      </c>
      <c r="BB410" s="77">
        <v>480</v>
      </c>
      <c r="BC410" s="77">
        <v>370</v>
      </c>
      <c r="BD410" s="77">
        <f>(PI()*11.3*11.3*16)/(4*175*9*100)</f>
        <v>1.0187935642841416E-2</v>
      </c>
      <c r="BE410" s="77">
        <f>(2*PI()*11.3*11.3)/(4*175*100)</f>
        <v>1.1461427598196593E-2</v>
      </c>
      <c r="BF410" s="77">
        <f>(PI()*11.3*11.3*4)/(4*175*100)</f>
        <v>2.2922855196393185E-2</v>
      </c>
      <c r="BG410" s="77">
        <f>(2*PI()*6.4*6.4)/(4*80*100)</f>
        <v>8.0424771931898714E-3</v>
      </c>
      <c r="BH410" s="79">
        <v>175</v>
      </c>
      <c r="BI410" s="79">
        <f>PI()*11.3*11.3/4</f>
        <v>100.28749148422018</v>
      </c>
      <c r="BJ410" s="79">
        <v>2</v>
      </c>
      <c r="BK410" s="57">
        <f t="shared" si="1059"/>
        <v>200.57498296844037</v>
      </c>
      <c r="BL410" s="57">
        <f t="shared" si="1235"/>
        <v>1681.0093810688336</v>
      </c>
      <c r="BM410" s="80">
        <f>PI()*11.3*11.3/4</f>
        <v>100.28749148422018</v>
      </c>
      <c r="BN410" s="80">
        <v>4</v>
      </c>
      <c r="BO410" s="57">
        <f t="shared" si="1198"/>
        <v>401.14996593688073</v>
      </c>
      <c r="BP410" s="57">
        <f t="shared" si="1160"/>
        <v>686577.31846780772</v>
      </c>
      <c r="BQ410" s="77">
        <f t="shared" si="1161"/>
        <v>0</v>
      </c>
      <c r="BR410" s="57">
        <f t="shared" si="1251"/>
        <v>796429689.42265689</v>
      </c>
      <c r="BS410" s="57">
        <v>241.86182279157933</v>
      </c>
      <c r="BT410" s="57">
        <f t="shared" si="1170"/>
        <v>43.504038910608223</v>
      </c>
      <c r="BU410" s="57"/>
      <c r="BV410" s="57">
        <v>3.3E-3</v>
      </c>
      <c r="BW410" s="57">
        <v>30000</v>
      </c>
      <c r="BX410" s="57">
        <v>200000</v>
      </c>
      <c r="BY410" s="77">
        <v>37.5</v>
      </c>
      <c r="BZ410" s="77">
        <f>BY410+175*1</f>
        <v>212.5</v>
      </c>
      <c r="CA410" s="77">
        <f>BY410+175*2</f>
        <v>387.5</v>
      </c>
      <c r="CB410" s="77">
        <f>BY410+175*3</f>
        <v>562.5</v>
      </c>
      <c r="CC410" s="77">
        <f>BY410+175*4</f>
        <v>737.5</v>
      </c>
      <c r="CD410" s="77">
        <f>BY410+175*5</f>
        <v>912.5</v>
      </c>
      <c r="CE410" s="77">
        <f>BY410+175*6</f>
        <v>1087.5</v>
      </c>
      <c r="CF410" s="77">
        <f>BY410+175*7</f>
        <v>1262.5</v>
      </c>
      <c r="CG410" s="77">
        <f>BY410+175*8</f>
        <v>1437.5</v>
      </c>
      <c r="CH410" s="77">
        <f>BY410+175*9</f>
        <v>1612.5</v>
      </c>
      <c r="CI410" s="77">
        <f>BY410+175*10</f>
        <v>1787.5</v>
      </c>
      <c r="CJ410" s="77">
        <f>BY410+175*11</f>
        <v>1962.5</v>
      </c>
      <c r="DM410" s="77">
        <f>PI()*10*10/4*2</f>
        <v>157.07963267948966</v>
      </c>
      <c r="DN410" s="77">
        <f>PI()*10*10/4*2</f>
        <v>157.07963267948966</v>
      </c>
      <c r="DO410" s="77">
        <f t="shared" si="1270"/>
        <v>157.07963267948966</v>
      </c>
      <c r="DP410" s="77">
        <f t="shared" si="1270"/>
        <v>157.07963267948966</v>
      </c>
      <c r="DQ410" s="77">
        <f t="shared" si="1270"/>
        <v>157.07963267948966</v>
      </c>
      <c r="DR410" s="77">
        <f t="shared" si="1270"/>
        <v>157.07963267948966</v>
      </c>
      <c r="DS410" s="77">
        <f>PI()*10*10/4*2</f>
        <v>157.07963267948966</v>
      </c>
      <c r="DT410" s="77">
        <f>PI()*10*10/4*2</f>
        <v>157.07963267948966</v>
      </c>
      <c r="DU410" s="77">
        <f>PI()*10*10/4*2</f>
        <v>157.07963267948966</v>
      </c>
      <c r="DV410" s="77">
        <f>PI()*10*10/4*2</f>
        <v>157.07963267948966</v>
      </c>
      <c r="DW410" s="77">
        <f>PI()*10*10/4*2</f>
        <v>157.07963267948966</v>
      </c>
      <c r="DX410" s="77">
        <f>PI()*10*10/4*2</f>
        <v>157.07963267948966</v>
      </c>
      <c r="FA410" s="77">
        <f t="shared" si="1244"/>
        <v>-75398.223686155034</v>
      </c>
      <c r="FB410" s="77">
        <f t="shared" si="1245"/>
        <v>-12585.761690459743</v>
      </c>
      <c r="FC410" s="77">
        <f t="shared" si="1271"/>
        <v>62426.893738484265</v>
      </c>
      <c r="FD410" s="77">
        <f t="shared" si="1271"/>
        <v>75398.223686155034</v>
      </c>
      <c r="FE410" s="77">
        <f t="shared" si="1273"/>
        <v>75398.223686155034</v>
      </c>
      <c r="FF410" s="77">
        <f t="shared" si="1274"/>
        <v>75398.223686155034</v>
      </c>
      <c r="FG410" s="77">
        <f t="shared" ref="FG410:FJ415" si="1277">IF(ABS(-$BV410*($BS410-CE410)/$BS410*$BX410)&gt;$BA410,$BA410*SIGN(-($BS410-CE410)),-$BV410*($BS410-CE410)/$BS410*$BX410)*DS410</f>
        <v>75398.223686155034</v>
      </c>
      <c r="FH410" s="77">
        <f t="shared" si="1277"/>
        <v>75398.223686155034</v>
      </c>
      <c r="FI410" s="77">
        <f t="shared" si="1277"/>
        <v>75398.223686155034</v>
      </c>
      <c r="FJ410" s="77">
        <f t="shared" si="1277"/>
        <v>75398.223686155034</v>
      </c>
      <c r="FK410" s="77">
        <f>IF(ABS(-$BV410*($BS410-CI410)/$BS410*$BX410)&gt;$BB410,$BB410*SIGN(-($BS410-CI410)),-$BV410*($BS410-CI410)/$BS410*$BX410)*DW410</f>
        <v>75398.223686155034</v>
      </c>
      <c r="FL410" s="77">
        <f>IF(ABS(-$BV410*($BS410-CJ410)/$BS410*$BX410)&gt;$BB410,$BB410*SIGN(-($BS410-CJ410)),-$BV410*($BS410-CJ410)/$BS410*$BX410)*DX410</f>
        <v>75398.223686155034</v>
      </c>
      <c r="GO410" s="77">
        <f t="shared" si="1263"/>
        <v>72570790.297924221</v>
      </c>
      <c r="GP410" s="77">
        <f t="shared" si="1264"/>
        <v>9911287.3312370479</v>
      </c>
      <c r="GQ410" s="77">
        <f t="shared" si="1265"/>
        <v>-38236472.41482161</v>
      </c>
      <c r="GR410" s="77">
        <f t="shared" si="1266"/>
        <v>-32986722.862692825</v>
      </c>
      <c r="GS410" s="77">
        <f t="shared" si="1193"/>
        <v>-19792033.717615698</v>
      </c>
      <c r="GT410" s="77">
        <f t="shared" si="1272"/>
        <v>-6597344.5725385658</v>
      </c>
      <c r="GU410" s="77">
        <f t="shared" si="1275"/>
        <v>6597344.5725385658</v>
      </c>
      <c r="GV410" s="77">
        <f t="shared" si="1276"/>
        <v>19792033.717615698</v>
      </c>
      <c r="GW410" s="77">
        <f t="shared" ref="GW410:GZ415" si="1278">FI410*(CG410-0.5*$AO410)</f>
        <v>32986722.862692825</v>
      </c>
      <c r="GX410" s="77">
        <f t="shared" si="1278"/>
        <v>46181412.007769957</v>
      </c>
      <c r="GY410" s="77">
        <f t="shared" si="1278"/>
        <v>59376101.152847089</v>
      </c>
      <c r="GZ410" s="77">
        <f t="shared" si="1278"/>
        <v>72570790.297924221</v>
      </c>
      <c r="IC410" s="82">
        <v>432</v>
      </c>
    </row>
    <row r="411" spans="1:237" s="77" customFormat="1">
      <c r="A411" s="77">
        <v>411</v>
      </c>
      <c r="C411" s="122" t="s">
        <v>441</v>
      </c>
      <c r="D411" s="122" t="s">
        <v>442</v>
      </c>
      <c r="E411" s="135">
        <v>1</v>
      </c>
      <c r="F411" s="125">
        <f t="shared" si="1199"/>
        <v>5.3004625647680222E-2</v>
      </c>
      <c r="G411" s="122"/>
      <c r="H411" s="122"/>
      <c r="I411" s="122">
        <f>(3.02+2.69)/2/100</f>
        <v>2.8549999999999999E-2</v>
      </c>
      <c r="J411" s="122">
        <f t="shared" si="1222"/>
        <v>1.0333333333333332</v>
      </c>
      <c r="K411" s="125">
        <f t="shared" si="1223"/>
        <v>12</v>
      </c>
      <c r="L411" s="125">
        <f t="shared" si="1224"/>
        <v>3.60999020838055E-2</v>
      </c>
      <c r="M411" s="125">
        <f t="shared" si="1225"/>
        <v>4.8133202778407339E-2</v>
      </c>
      <c r="N411" s="125">
        <f t="shared" si="1226"/>
        <v>0.41541596349121046</v>
      </c>
      <c r="O411" s="125">
        <f t="shared" si="1227"/>
        <v>0.18180819813223448</v>
      </c>
      <c r="P411" s="122">
        <f>AJ411/AY411/AK411</f>
        <v>7.4542985659045477E-2</v>
      </c>
      <c r="Q411" s="122" t="s">
        <v>3</v>
      </c>
      <c r="R411" s="133">
        <f t="shared" si="1228"/>
        <v>0</v>
      </c>
      <c r="S411" s="75">
        <f t="shared" si="1163"/>
        <v>0.3606652225324038</v>
      </c>
      <c r="T411" s="59">
        <f t="shared" si="1142"/>
        <v>1.1189116198456208</v>
      </c>
      <c r="U411" s="59">
        <f t="shared" si="1143"/>
        <v>0.97707986114326073</v>
      </c>
      <c r="V411" s="59">
        <f t="shared" si="1144"/>
        <v>1.5645569158903894</v>
      </c>
      <c r="W411" s="59">
        <f t="shared" si="1145"/>
        <v>1.3982846260067041</v>
      </c>
      <c r="X411" s="59">
        <f t="shared" si="1146"/>
        <v>1.6012579709295551</v>
      </c>
      <c r="Y411" s="127">
        <f>(160+150)/2*6.895*1000</f>
        <v>1068725</v>
      </c>
      <c r="Z411" s="57">
        <f t="shared" si="1147"/>
        <v>1711304.4249816888</v>
      </c>
      <c r="AA411" s="77">
        <f t="shared" si="1148"/>
        <v>1494381.7369290148</v>
      </c>
      <c r="AB411" s="77">
        <f t="shared" si="1194"/>
        <v>3198211.8144296394</v>
      </c>
      <c r="AC411" s="57">
        <f t="shared" si="1149"/>
        <v>0.25</v>
      </c>
      <c r="AD411" s="57">
        <f t="shared" si="1150"/>
        <v>1.5</v>
      </c>
      <c r="AE411" s="57">
        <f t="shared" si="1151"/>
        <v>1503000</v>
      </c>
      <c r="AF411" s="57">
        <f t="shared" si="1152"/>
        <v>767654.68210703263</v>
      </c>
      <c r="AG411" s="57">
        <f t="shared" si="1058"/>
        <v>726727.05482198216</v>
      </c>
      <c r="AH411" s="77">
        <f t="shared" si="1195"/>
        <v>5625349448.8897142</v>
      </c>
      <c r="AI411" s="77">
        <f t="shared" si="1196"/>
        <v>1929466499.1559792</v>
      </c>
      <c r="AJ411" s="77">
        <v>1503000</v>
      </c>
      <c r="AK411" s="77">
        <v>46.3</v>
      </c>
      <c r="AL411" s="78">
        <f t="shared" si="1153"/>
        <v>3.7863361241440421</v>
      </c>
      <c r="AM411" s="57">
        <f t="shared" si="1154"/>
        <v>0.97815789473684212</v>
      </c>
      <c r="AN411" s="57">
        <f t="shared" si="1155"/>
        <v>0.77815789473684216</v>
      </c>
      <c r="AO411" s="77">
        <f>90*25.4</f>
        <v>2286</v>
      </c>
      <c r="AP411" s="79">
        <f>(3*4+1)*25.4</f>
        <v>330.2</v>
      </c>
      <c r="AQ411" s="57">
        <f t="shared" si="1156"/>
        <v>146.26194820431758</v>
      </c>
      <c r="AR411" s="57">
        <f t="shared" si="1197"/>
        <v>1625.6</v>
      </c>
      <c r="AS411" s="57">
        <f t="shared" si="1157"/>
        <v>2139.7380517956826</v>
      </c>
      <c r="AT411" s="77">
        <f>7.5*25.4</f>
        <v>190.5</v>
      </c>
      <c r="AU411" s="77">
        <f>(84+9)*25.4</f>
        <v>2362.1999999999998</v>
      </c>
      <c r="AV411" s="57">
        <f t="shared" si="1158"/>
        <v>435483</v>
      </c>
      <c r="AW411" s="77">
        <v>0</v>
      </c>
      <c r="AX411" s="77">
        <f t="shared" si="1159"/>
        <v>435483</v>
      </c>
      <c r="AY411" s="77">
        <f t="shared" si="1267"/>
        <v>435483</v>
      </c>
      <c r="AZ411" s="77">
        <f t="shared" si="1269"/>
        <v>454</v>
      </c>
      <c r="BA411" s="77">
        <v>454</v>
      </c>
      <c r="BB411" s="77">
        <v>489</v>
      </c>
      <c r="BC411" s="77">
        <v>439</v>
      </c>
      <c r="BD411" s="77">
        <f>(PI()*0.375*0.375*16)/(4*7.5*64)</f>
        <v>3.6815538909255388E-3</v>
      </c>
      <c r="BE411" s="77">
        <f>(2*PI()*0.375*0.375)/(4*7.5*6)</f>
        <v>4.9087385212340517E-3</v>
      </c>
      <c r="BF411" s="77">
        <f>(PI()*0.625*0.625*10)/(4*6*13)</f>
        <v>3.9332840715016443E-2</v>
      </c>
      <c r="BG411" s="77">
        <f>(3*PI()*0.3125*0.3125)/(4*2*6)</f>
        <v>1.9174759848570515E-2</v>
      </c>
      <c r="BH411" s="79">
        <f>6*25.4</f>
        <v>152.39999999999998</v>
      </c>
      <c r="BI411" s="79">
        <f>PI()*3/8*25.4*3/8*25.4/4</f>
        <v>71.255739248085618</v>
      </c>
      <c r="BJ411" s="79">
        <v>2</v>
      </c>
      <c r="BK411" s="57">
        <f t="shared" si="1059"/>
        <v>142.51147849617124</v>
      </c>
      <c r="BL411" s="57">
        <f t="shared" si="1235"/>
        <v>1140.0918279693699</v>
      </c>
      <c r="BM411" s="80">
        <f>PI()*5/8*25.4*5/8*25.4/4</f>
        <v>197.93260902246001</v>
      </c>
      <c r="BN411" s="80">
        <v>10</v>
      </c>
      <c r="BO411" s="57">
        <f t="shared" si="1198"/>
        <v>1979.3260902246002</v>
      </c>
      <c r="BP411" s="57">
        <f t="shared" si="1160"/>
        <v>1672081.0899349563</v>
      </c>
      <c r="BQ411" s="77">
        <f t="shared" si="1161"/>
        <v>1.0477378964424133E-9</v>
      </c>
      <c r="BR411" s="57">
        <f t="shared" si="1251"/>
        <v>3949789950.6443534</v>
      </c>
      <c r="BS411" s="57">
        <v>292.52389640863515</v>
      </c>
      <c r="BT411" s="57">
        <f t="shared" si="1170"/>
        <v>298.21325315557073</v>
      </c>
      <c r="BU411" s="57"/>
      <c r="BV411" s="57">
        <v>3.3E-3</v>
      </c>
      <c r="BW411" s="57">
        <v>30000</v>
      </c>
      <c r="BX411" s="57">
        <v>200000</v>
      </c>
      <c r="BY411" s="77">
        <f>1*25.4</f>
        <v>25.4</v>
      </c>
      <c r="BZ411" s="77">
        <f>BY411+4*25.4*1</f>
        <v>127</v>
      </c>
      <c r="CA411" s="77">
        <f>BY411+4*25.4*2</f>
        <v>228.6</v>
      </c>
      <c r="CB411" s="77">
        <f>BY411+4*25.4*3</f>
        <v>330.19999999999993</v>
      </c>
      <c r="CC411" s="77">
        <f>CB411+4*25.4</f>
        <v>431.79999999999995</v>
      </c>
      <c r="CD411" s="77">
        <f>CC411+8*25.4*1</f>
        <v>635</v>
      </c>
      <c r="CE411" s="77">
        <f>CC411+8*25.4*2</f>
        <v>838.19999999999993</v>
      </c>
      <c r="CF411" s="77">
        <f>CC411+8*25.4*3</f>
        <v>1041.3999999999999</v>
      </c>
      <c r="CG411" s="77">
        <f>CC411+8*25.4*4</f>
        <v>1244.5999999999999</v>
      </c>
      <c r="CH411" s="77">
        <f>CC411+8*25.4*5</f>
        <v>1447.8</v>
      </c>
      <c r="CI411" s="77">
        <f>CC411+8*25.4*6</f>
        <v>1650.9999999999998</v>
      </c>
      <c r="CJ411" s="77">
        <f>CC411+8*25.4*7</f>
        <v>1854.1999999999998</v>
      </c>
      <c r="CK411" s="77">
        <f>CJ411+4*25.4</f>
        <v>1955.7999999999997</v>
      </c>
      <c r="CL411" s="77">
        <f>CK411+4*25.4</f>
        <v>2057.3999999999996</v>
      </c>
      <c r="CM411" s="77">
        <f>CK411+4*25.4*2</f>
        <v>2158.9999999999995</v>
      </c>
      <c r="CN411" s="77">
        <f>CK411+4*25.4*3</f>
        <v>2260.5999999999995</v>
      </c>
      <c r="DM411" s="77">
        <f>PI()*5/8*25.4*5/8*25.4/4*3</f>
        <v>593.79782706738001</v>
      </c>
      <c r="DN411" s="77">
        <f>PI()*5/8*25.4*5/8*25.4/4*2</f>
        <v>395.86521804492003</v>
      </c>
      <c r="DO411" s="77">
        <f>PI()*5/8*25.4*5/8*25.4/4*2</f>
        <v>395.86521804492003</v>
      </c>
      <c r="DP411" s="77">
        <f>PI()*5/8*25.4*5/8*25.4/4*3</f>
        <v>593.79782706738001</v>
      </c>
      <c r="DQ411" s="77">
        <f t="shared" ref="DQ411:DX412" si="1279">PI()*3/8*25.4*3/8*25.4/4*2</f>
        <v>142.51147849617124</v>
      </c>
      <c r="DR411" s="77">
        <f t="shared" si="1279"/>
        <v>142.51147849617124</v>
      </c>
      <c r="DS411" s="77">
        <f t="shared" si="1279"/>
        <v>142.51147849617124</v>
      </c>
      <c r="DT411" s="77">
        <f t="shared" si="1279"/>
        <v>142.51147849617124</v>
      </c>
      <c r="DU411" s="77">
        <f t="shared" si="1279"/>
        <v>142.51147849617124</v>
      </c>
      <c r="DV411" s="77">
        <f t="shared" si="1279"/>
        <v>142.51147849617124</v>
      </c>
      <c r="DW411" s="77">
        <f t="shared" si="1279"/>
        <v>142.51147849617124</v>
      </c>
      <c r="DX411" s="77">
        <f t="shared" si="1279"/>
        <v>142.51147849617124</v>
      </c>
      <c r="DY411" s="77">
        <f>PI()*5/8*25.4*5/8*25.4/4*3</f>
        <v>593.79782706738001</v>
      </c>
      <c r="DZ411" s="77">
        <f>PI()*5/8*25.4*5/8*25.4/4*2</f>
        <v>395.86521804492003</v>
      </c>
      <c r="EA411" s="77">
        <f>PI()*5/8*25.4*5/8*25.4/4*2</f>
        <v>395.86521804492003</v>
      </c>
      <c r="EB411" s="77">
        <f>PI()*5/8*25.4*5/8*25.4/4*3</f>
        <v>593.79782706738001</v>
      </c>
      <c r="FA411" s="77">
        <f t="shared" si="1244"/>
        <v>-290367.13743594883</v>
      </c>
      <c r="FB411" s="77">
        <f t="shared" si="1245"/>
        <v>-147839.5499910338</v>
      </c>
      <c r="FC411" s="77">
        <f>IF(ABS(-$BV411*($BS411-CA411)/$BS411*$BX411)&gt;$BB411,$BB411*SIGN(-($BS411-CA411)),-$BV411*($BS411-CA411)/$BS411*$BX411)*DO411</f>
        <v>-57094.35485614308</v>
      </c>
      <c r="FD411" s="77">
        <f>IF(ABS(-$BV411*($BS411-CB411)/$BS411*$BX411)&gt;$BB411,$BB411*SIGN(-($BS411-CB411)),-$BV411*($BS411-CB411)/$BS411*$BX411)*DP411</f>
        <v>50476.260418121361</v>
      </c>
      <c r="FE411" s="77">
        <f t="shared" si="1273"/>
        <v>44782.572748909806</v>
      </c>
      <c r="FF411" s="77">
        <f t="shared" si="1274"/>
        <v>64700.211237261741</v>
      </c>
      <c r="FG411" s="77">
        <f t="shared" si="1277"/>
        <v>64700.211237261741</v>
      </c>
      <c r="FH411" s="77">
        <f t="shared" si="1277"/>
        <v>64700.211237261741</v>
      </c>
      <c r="FI411" s="77">
        <f t="shared" si="1277"/>
        <v>64700.211237261741</v>
      </c>
      <c r="FJ411" s="77">
        <f t="shared" si="1277"/>
        <v>64700.211237261741</v>
      </c>
      <c r="FK411" s="77">
        <f>IF(ABS(-$BV411*($BS411-CI411)/$BS411*$BX411)&gt;$BA411,$BA411*SIGN(-($BS411-CI411)),-$BV411*($BS411-CI411)/$BS411*$BX411)*DW411</f>
        <v>64700.211237261741</v>
      </c>
      <c r="FL411" s="77">
        <f>IF(ABS(-$BV411*($BS411-CJ411)/$BS411*$BX411)&gt;$BA411,$BA411*SIGN(-($BS411-CJ411)),-$BV411*($BS411-CJ411)/$BS411*$BX411)*DX411</f>
        <v>64700.211237261741</v>
      </c>
      <c r="FM411" s="77">
        <f t="shared" ref="FM411:FP412" si="1280">IF(ABS(-$BV411*($BS411-CK411)/$BS411*$BX411)&gt;$BB411,$BB411*SIGN(-($BS411-CK411)),-$BV411*($BS411-CK411)/$BS411*$BX411)*DY411</f>
        <v>290367.13743594883</v>
      </c>
      <c r="FN411" s="77">
        <f t="shared" si="1280"/>
        <v>193578.09162396588</v>
      </c>
      <c r="FO411" s="77">
        <f t="shared" si="1280"/>
        <v>193578.09162396588</v>
      </c>
      <c r="FP411" s="77">
        <f t="shared" si="1280"/>
        <v>290367.13743594883</v>
      </c>
      <c r="GO411" s="77">
        <f t="shared" si="1263"/>
        <v>324514312.79841638</v>
      </c>
      <c r="GP411" s="77">
        <f t="shared" si="1264"/>
        <v>150204982.79089034</v>
      </c>
      <c r="GQ411" s="77">
        <f t="shared" si="1265"/>
        <v>52207078.080457233</v>
      </c>
      <c r="GR411" s="77">
        <f t="shared" si="1266"/>
        <v>-41027104.467849046</v>
      </c>
      <c r="GS411" s="77">
        <f t="shared" si="1193"/>
        <v>-31849365.739024658</v>
      </c>
      <c r="GT411" s="77">
        <f t="shared" si="1272"/>
        <v>-32867707.308528963</v>
      </c>
      <c r="GU411" s="77">
        <f t="shared" si="1275"/>
        <v>-19720624.385117382</v>
      </c>
      <c r="GV411" s="77">
        <f t="shared" si="1276"/>
        <v>-6573541.461705802</v>
      </c>
      <c r="GW411" s="77">
        <f t="shared" si="1278"/>
        <v>6573541.4617057871</v>
      </c>
      <c r="GX411" s="77">
        <f t="shared" si="1278"/>
        <v>19720624.385117374</v>
      </c>
      <c r="GY411" s="77">
        <f t="shared" si="1278"/>
        <v>32867707.308528949</v>
      </c>
      <c r="GZ411" s="77">
        <f t="shared" si="1278"/>
        <v>46014790.231940538</v>
      </c>
      <c r="HA411" s="77">
        <f>FM411*(CK411-0.5*$AO411)</f>
        <v>236010409.30793911</v>
      </c>
      <c r="HB411" s="77">
        <f>FN411*(CL411-0.5*$AO411)</f>
        <v>177007806.98095432</v>
      </c>
      <c r="HC411" s="77">
        <f>FO411*(CM411-0.5*$AO411)</f>
        <v>196675341.08994925</v>
      </c>
      <c r="HD411" s="77">
        <f>FP411*(CN411-0.5*$AO411)</f>
        <v>324514312.79841626</v>
      </c>
      <c r="IC411" s="82">
        <v>433</v>
      </c>
    </row>
    <row r="412" spans="1:237" s="77" customFormat="1">
      <c r="A412" s="77">
        <v>412</v>
      </c>
      <c r="C412" s="122" t="s">
        <v>441</v>
      </c>
      <c r="D412" s="122" t="s">
        <v>443</v>
      </c>
      <c r="E412" s="135">
        <v>1</v>
      </c>
      <c r="F412" s="125">
        <f t="shared" si="1199"/>
        <v>3.5293026436278956E-2</v>
      </c>
      <c r="G412" s="122"/>
      <c r="H412" s="122"/>
      <c r="I412" s="122">
        <f>(3.04+2.98)/2/100</f>
        <v>3.0099999999999998E-2</v>
      </c>
      <c r="J412" s="122">
        <f t="shared" si="1222"/>
        <v>1.0333333333333332</v>
      </c>
      <c r="K412" s="125">
        <f t="shared" si="1223"/>
        <v>10</v>
      </c>
      <c r="L412" s="125">
        <f t="shared" si="1224"/>
        <v>2.8659558753089755E-2</v>
      </c>
      <c r="M412" s="125">
        <f t="shared" si="1225"/>
        <v>3.8212745004119669E-2</v>
      </c>
      <c r="N412" s="125">
        <f t="shared" si="1226"/>
        <v>0.47490763233686517</v>
      </c>
      <c r="O412" s="125">
        <f t="shared" si="1227"/>
        <v>0.17320410645107934</v>
      </c>
      <c r="P412" s="122">
        <f>AJ412/AY412/AK412</f>
        <v>7.0952232541055038E-2</v>
      </c>
      <c r="Q412" s="122" t="s">
        <v>3</v>
      </c>
      <c r="R412" s="133">
        <f t="shared" si="1228"/>
        <v>0</v>
      </c>
      <c r="S412" s="75">
        <f t="shared" si="1163"/>
        <v>0.24604074652493968</v>
      </c>
      <c r="T412" s="59">
        <f t="shared" si="1142"/>
        <v>1.430676142280614</v>
      </c>
      <c r="U412" s="59">
        <f t="shared" si="1143"/>
        <v>1.272742476366828</v>
      </c>
      <c r="V412" s="59">
        <f t="shared" si="1144"/>
        <v>2.67125708182592</v>
      </c>
      <c r="W412" s="59">
        <f t="shared" si="1145"/>
        <v>1.8671291167040218</v>
      </c>
      <c r="X412" s="59">
        <f t="shared" si="1146"/>
        <v>2.0988197780994104</v>
      </c>
      <c r="Y412" s="127">
        <f>130*6.895*1000</f>
        <v>896349.99999999988</v>
      </c>
      <c r="Z412" s="57">
        <f t="shared" si="1147"/>
        <v>1881277.1080994061</v>
      </c>
      <c r="AA412" s="77">
        <f t="shared" si="1148"/>
        <v>1673601.1837576497</v>
      </c>
      <c r="AB412" s="77">
        <f t="shared" si="1194"/>
        <v>3982153.6206103396</v>
      </c>
      <c r="AC412" s="57">
        <f t="shared" si="1149"/>
        <v>0.25</v>
      </c>
      <c r="AD412" s="57">
        <f t="shared" si="1150"/>
        <v>1.5</v>
      </c>
      <c r="AE412" s="57">
        <f t="shared" si="1151"/>
        <v>1802000.0000000002</v>
      </c>
      <c r="AF412" s="57">
        <f t="shared" si="1152"/>
        <v>944026.58656260744</v>
      </c>
      <c r="AG412" s="57">
        <f t="shared" si="1058"/>
        <v>729574.59719504218</v>
      </c>
      <c r="AH412" s="77">
        <f t="shared" si="1195"/>
        <v>7071807610.9319887</v>
      </c>
      <c r="AI412" s="77">
        <f t="shared" si="1196"/>
        <v>2334835671.6737552</v>
      </c>
      <c r="AJ412" s="77">
        <v>1802000</v>
      </c>
      <c r="AK412" s="77">
        <v>48.6</v>
      </c>
      <c r="AL412" s="78">
        <f t="shared" si="1153"/>
        <v>3.8886563748968346</v>
      </c>
      <c r="AM412" s="57">
        <f t="shared" si="1154"/>
        <v>0.97210526315789469</v>
      </c>
      <c r="AN412" s="57">
        <f t="shared" si="1155"/>
        <v>0.77210526315789474</v>
      </c>
      <c r="AO412" s="77">
        <f>90*25.4</f>
        <v>2286</v>
      </c>
      <c r="AP412" s="79">
        <f>(3*4+1)*25.4</f>
        <v>330.2</v>
      </c>
      <c r="AQ412" s="57">
        <f t="shared" si="1156"/>
        <v>137.87778976503958</v>
      </c>
      <c r="AR412" s="57">
        <f t="shared" si="1197"/>
        <v>1625.6</v>
      </c>
      <c r="AS412" s="57">
        <f t="shared" si="1157"/>
        <v>2148.1222102349602</v>
      </c>
      <c r="AT412" s="77">
        <f>9*25.4</f>
        <v>228.6</v>
      </c>
      <c r="AU412" s="77">
        <f>(84+9)*25.4</f>
        <v>2362.1999999999998</v>
      </c>
      <c r="AV412" s="57">
        <f t="shared" si="1158"/>
        <v>522579.6</v>
      </c>
      <c r="AW412" s="77">
        <v>0</v>
      </c>
      <c r="AX412" s="77">
        <f t="shared" si="1159"/>
        <v>522579.6</v>
      </c>
      <c r="AY412" s="77">
        <f t="shared" si="1267"/>
        <v>522579.6</v>
      </c>
      <c r="AZ412" s="77">
        <f t="shared" si="1269"/>
        <v>454</v>
      </c>
      <c r="BA412" s="77">
        <v>454</v>
      </c>
      <c r="BB412" s="77">
        <v>489</v>
      </c>
      <c r="BC412" s="77">
        <v>439</v>
      </c>
      <c r="BD412" s="77">
        <f>(PI()*0.375*0.375*16)/(4*9*64)</f>
        <v>3.0679615757712823E-3</v>
      </c>
      <c r="BE412" s="77">
        <f>(2*PI()*0.375*0.375)/(4*9*6)</f>
        <v>4.0906154343617095E-3</v>
      </c>
      <c r="BF412" s="77">
        <f>(PI()*0.625*0.625*12)/(4*6*13)</f>
        <v>4.719940885801973E-2</v>
      </c>
      <c r="BG412" s="77">
        <f>(3*PI()*0.3125*0.3125)/(4*2*6)</f>
        <v>1.9174759848570515E-2</v>
      </c>
      <c r="BH412" s="79">
        <f>6*25.4</f>
        <v>152.39999999999998</v>
      </c>
      <c r="BI412" s="79">
        <f>PI()*3/8*25.4*3/8*25.4/4</f>
        <v>71.255739248085618</v>
      </c>
      <c r="BJ412" s="79">
        <v>2</v>
      </c>
      <c r="BK412" s="57">
        <f t="shared" si="1059"/>
        <v>142.51147849617124</v>
      </c>
      <c r="BL412" s="57">
        <f t="shared" si="1235"/>
        <v>1140.0918279693699</v>
      </c>
      <c r="BM412" s="80">
        <f>PI()*5/8*25.4*5/8*25.4/4</f>
        <v>197.93260902246001</v>
      </c>
      <c r="BN412" s="80">
        <v>12</v>
      </c>
      <c r="BO412" s="57">
        <f t="shared" si="1198"/>
        <v>2375.1913082695201</v>
      </c>
      <c r="BP412" s="57">
        <f t="shared" si="1160"/>
        <v>2394381.2852946632</v>
      </c>
      <c r="BQ412" s="77">
        <f t="shared" si="1161"/>
        <v>0</v>
      </c>
      <c r="BR412" s="57">
        <f t="shared" si="1251"/>
        <v>5656007472.1230526</v>
      </c>
      <c r="BS412" s="57">
        <v>275.75557953007916</v>
      </c>
      <c r="BT412" s="57">
        <f t="shared" si="1170"/>
        <v>287.33173821708618</v>
      </c>
      <c r="BU412" s="57"/>
      <c r="BV412" s="57">
        <v>3.3E-3</v>
      </c>
      <c r="BW412" s="57">
        <v>30000</v>
      </c>
      <c r="BX412" s="57">
        <v>200000</v>
      </c>
      <c r="BY412" s="77">
        <f>1*25.4</f>
        <v>25.4</v>
      </c>
      <c r="BZ412" s="77">
        <f>BY412+4*25.4*1</f>
        <v>127</v>
      </c>
      <c r="CA412" s="77">
        <f>BY412+4*25.4*2</f>
        <v>228.6</v>
      </c>
      <c r="CB412" s="77">
        <f>BY412+4*25.4*3</f>
        <v>330.19999999999993</v>
      </c>
      <c r="CC412" s="77">
        <f>CB412+4*25.4</f>
        <v>431.79999999999995</v>
      </c>
      <c r="CD412" s="77">
        <f>CC412+8*25.4*1</f>
        <v>635</v>
      </c>
      <c r="CE412" s="77">
        <f>CC412+8*25.4*2</f>
        <v>838.19999999999993</v>
      </c>
      <c r="CF412" s="77">
        <f>CC412+8*25.4*3</f>
        <v>1041.3999999999999</v>
      </c>
      <c r="CG412" s="77">
        <f>CC412+8*25.4*4</f>
        <v>1244.5999999999999</v>
      </c>
      <c r="CH412" s="77">
        <f>CC412+8*25.4*5</f>
        <v>1447.8</v>
      </c>
      <c r="CI412" s="77">
        <f>CC412+8*25.4*6</f>
        <v>1650.9999999999998</v>
      </c>
      <c r="CJ412" s="77">
        <f>CC412+8*25.4*7</f>
        <v>1854.1999999999998</v>
      </c>
      <c r="CK412" s="77">
        <f>CJ412+4*25.4</f>
        <v>1955.7999999999997</v>
      </c>
      <c r="CL412" s="77">
        <f>CK412+4*25.4</f>
        <v>2057.3999999999996</v>
      </c>
      <c r="CM412" s="77">
        <f>CK412+4*25.4*2</f>
        <v>2158.9999999999995</v>
      </c>
      <c r="CN412" s="77">
        <f>CK412+4*25.4*3</f>
        <v>2260.5999999999995</v>
      </c>
      <c r="DM412" s="77">
        <f>PI()*5/8*25.4*5/8*25.4/4*3</f>
        <v>593.79782706738001</v>
      </c>
      <c r="DN412" s="77">
        <f>PI()*5/8*25.4*5/8*25.4/4*3</f>
        <v>593.79782706738001</v>
      </c>
      <c r="DO412" s="77">
        <f>PI()*5/8*25.4*5/8*25.4/4*3</f>
        <v>593.79782706738001</v>
      </c>
      <c r="DP412" s="77">
        <f>PI()*5/8*25.4*5/8*25.4/4*3</f>
        <v>593.79782706738001</v>
      </c>
      <c r="DQ412" s="77">
        <f t="shared" si="1279"/>
        <v>142.51147849617124</v>
      </c>
      <c r="DR412" s="77">
        <f t="shared" si="1279"/>
        <v>142.51147849617124</v>
      </c>
      <c r="DS412" s="77">
        <f t="shared" si="1279"/>
        <v>142.51147849617124</v>
      </c>
      <c r="DT412" s="77">
        <f t="shared" si="1279"/>
        <v>142.51147849617124</v>
      </c>
      <c r="DU412" s="77">
        <f t="shared" si="1279"/>
        <v>142.51147849617124</v>
      </c>
      <c r="DV412" s="77">
        <f t="shared" si="1279"/>
        <v>142.51147849617124</v>
      </c>
      <c r="DW412" s="77">
        <f t="shared" si="1279"/>
        <v>142.51147849617124</v>
      </c>
      <c r="DX412" s="77">
        <f t="shared" si="1279"/>
        <v>142.51147849617124</v>
      </c>
      <c r="DY412" s="77">
        <f>PI()*5/8*25.4*5/8*25.4/4*3</f>
        <v>593.79782706738001</v>
      </c>
      <c r="DZ412" s="77">
        <f>PI()*5/8*25.4*5/8*25.4/4*3</f>
        <v>593.79782706738001</v>
      </c>
      <c r="EA412" s="77">
        <f>PI()*5/8*25.4*5/8*25.4/4*3</f>
        <v>593.79782706738001</v>
      </c>
      <c r="EB412" s="77">
        <f>PI()*5/8*25.4*5/8*25.4/4*3</f>
        <v>593.79782706738001</v>
      </c>
      <c r="FA412" s="77">
        <f t="shared" si="1244"/>
        <v>-290367.13743594883</v>
      </c>
      <c r="FB412" s="77">
        <f t="shared" si="1245"/>
        <v>-211412.90568321347</v>
      </c>
      <c r="FC412" s="77">
        <f>IF(ABS(-$BV412*($BS412-CA412)/$BS412*$BX412)&gt;$BB412,$BB412*SIGN(-($BS412-CA412)),-$BV412*($BS412-CA412)/$BS412*$BX412)*DO412</f>
        <v>-67017.97753820759</v>
      </c>
      <c r="FD412" s="77">
        <f>IF(ABS(-$BV412*($BS412-CB412)/$BS412*$BX412)&gt;$BB412,$BB412*SIGN(-($BS412-CB412)),-$BV412*($BS412-CB412)/$BS412*$BX412)*DP412</f>
        <v>77376.9506067982</v>
      </c>
      <c r="FE412" s="77">
        <f t="shared" si="1273"/>
        <v>53225.250900432999</v>
      </c>
      <c r="FF412" s="77">
        <f t="shared" si="1274"/>
        <v>64700.211237261741</v>
      </c>
      <c r="FG412" s="77">
        <f t="shared" si="1277"/>
        <v>64700.211237261741</v>
      </c>
      <c r="FH412" s="77">
        <f t="shared" si="1277"/>
        <v>64700.211237261741</v>
      </c>
      <c r="FI412" s="77">
        <f t="shared" si="1277"/>
        <v>64700.211237261741</v>
      </c>
      <c r="FJ412" s="77">
        <f t="shared" si="1277"/>
        <v>64700.211237261741</v>
      </c>
      <c r="FK412" s="77">
        <f>IF(ABS(-$BV412*($BS412-CI412)/$BS412*$BX412)&gt;$BA412,$BA412*SIGN(-($BS412-CI412)),-$BV412*($BS412-CI412)/$BS412*$BX412)*DW412</f>
        <v>64700.211237261741</v>
      </c>
      <c r="FL412" s="77">
        <f>IF(ABS(-$BV412*($BS412-CJ412)/$BS412*$BX412)&gt;$BA412,$BA412*SIGN(-($BS412-CJ412)),-$BV412*($BS412-CJ412)/$BS412*$BX412)*DX412</f>
        <v>64700.211237261741</v>
      </c>
      <c r="FM412" s="77">
        <f t="shared" si="1280"/>
        <v>290367.13743594883</v>
      </c>
      <c r="FN412" s="77">
        <f t="shared" si="1280"/>
        <v>290367.13743594883</v>
      </c>
      <c r="FO412" s="77">
        <f t="shared" si="1280"/>
        <v>290367.13743594883</v>
      </c>
      <c r="FP412" s="77">
        <f t="shared" si="1280"/>
        <v>290367.13743594883</v>
      </c>
      <c r="GO412" s="77">
        <f t="shared" si="1263"/>
        <v>324514312.79841638</v>
      </c>
      <c r="GP412" s="77">
        <f t="shared" si="1264"/>
        <v>214795512.17414489</v>
      </c>
      <c r="GQ412" s="77">
        <f t="shared" si="1265"/>
        <v>61281238.660937019</v>
      </c>
      <c r="GR412" s="77">
        <f t="shared" si="1266"/>
        <v>-62891985.453205585</v>
      </c>
      <c r="GS412" s="77">
        <f t="shared" si="1193"/>
        <v>-37853798.440387949</v>
      </c>
      <c r="GT412" s="77">
        <f t="shared" si="1272"/>
        <v>-32867707.308528963</v>
      </c>
      <c r="GU412" s="77">
        <f t="shared" si="1275"/>
        <v>-19720624.385117382</v>
      </c>
      <c r="GV412" s="77">
        <f t="shared" si="1276"/>
        <v>-6573541.461705802</v>
      </c>
      <c r="GW412" s="77">
        <f t="shared" si="1278"/>
        <v>6573541.4617057871</v>
      </c>
      <c r="GX412" s="77">
        <f t="shared" si="1278"/>
        <v>19720624.385117374</v>
      </c>
      <c r="GY412" s="77">
        <f t="shared" si="1278"/>
        <v>32867707.308528949</v>
      </c>
      <c r="GZ412" s="77">
        <f t="shared" si="1278"/>
        <v>46014790.231940538</v>
      </c>
      <c r="HA412" s="77">
        <f>FM412*(CK412-0.5*$AO412)</f>
        <v>236010409.30793911</v>
      </c>
      <c r="HB412" s="77">
        <f>FN412*CL412</f>
        <v>597401348.56072104</v>
      </c>
      <c r="HC412" s="77">
        <f>FO412*CM412</f>
        <v>626902649.72421336</v>
      </c>
      <c r="HD412" s="77">
        <f>FP412*CN412</f>
        <v>656403950.8877058</v>
      </c>
      <c r="IC412" s="82">
        <v>434</v>
      </c>
    </row>
    <row r="413" spans="1:237" s="77" customFormat="1">
      <c r="A413" s="77">
        <v>413</v>
      </c>
      <c r="C413" s="122" t="s">
        <v>444</v>
      </c>
      <c r="D413" s="122" t="s">
        <v>445</v>
      </c>
      <c r="E413" s="59">
        <v>1</v>
      </c>
      <c r="F413" s="125">
        <f t="shared" si="1199"/>
        <v>4.9926578560939794E-2</v>
      </c>
      <c r="G413" s="122">
        <v>2.15E-3</v>
      </c>
      <c r="H413" s="122"/>
      <c r="I413" s="122">
        <f>24.9/AU413</f>
        <v>1.1581395348837209E-2</v>
      </c>
      <c r="J413" s="122">
        <f t="shared" si="1222"/>
        <v>1.7916666666666667</v>
      </c>
      <c r="K413" s="125">
        <f t="shared" si="1223"/>
        <v>14.117647058823529</v>
      </c>
      <c r="L413" s="125">
        <f t="shared" si="1224"/>
        <v>4.8383076923076911E-2</v>
      </c>
      <c r="M413" s="125">
        <f t="shared" si="1225"/>
        <v>4.8383076923076911E-2</v>
      </c>
      <c r="N413" s="125">
        <f t="shared" si="1226"/>
        <v>0.1114346153846154</v>
      </c>
      <c r="O413" s="125">
        <f t="shared" si="1227"/>
        <v>6.8615999999999996E-2</v>
      </c>
      <c r="P413" s="122">
        <v>0.24</v>
      </c>
      <c r="Q413" s="122" t="s">
        <v>478</v>
      </c>
      <c r="R413" s="133">
        <f t="shared" si="1228"/>
        <v>0.47577092511013214</v>
      </c>
      <c r="S413" s="75">
        <f t="shared" si="1163"/>
        <v>0.40252094484897311</v>
      </c>
      <c r="T413" s="59">
        <f t="shared" si="1142"/>
        <v>1.3276194867642104</v>
      </c>
      <c r="U413" s="59">
        <f t="shared" si="1143"/>
        <v>1.0968097949929696</v>
      </c>
      <c r="V413" s="59">
        <f t="shared" si="1144"/>
        <v>1.2109351512581672</v>
      </c>
      <c r="W413" s="59">
        <f t="shared" si="1145"/>
        <v>0.91211010634497669</v>
      </c>
      <c r="X413" s="59">
        <f t="shared" si="1146"/>
        <v>1.1040520943432395</v>
      </c>
      <c r="Y413" s="127">
        <v>442000</v>
      </c>
      <c r="Z413" s="57">
        <f t="shared" si="1147"/>
        <v>487991.02569971187</v>
      </c>
      <c r="AA413" s="77">
        <f t="shared" si="1148"/>
        <v>403152.66700447968</v>
      </c>
      <c r="AB413" s="77">
        <f t="shared" si="1194"/>
        <v>413398.57563022379</v>
      </c>
      <c r="AC413" s="57">
        <f t="shared" si="1149"/>
        <v>0.20333333333333334</v>
      </c>
      <c r="AD413" s="57">
        <f t="shared" si="1150"/>
        <v>1.7916666666666667</v>
      </c>
      <c r="AE413" s="57">
        <f t="shared" si="1151"/>
        <v>1770600</v>
      </c>
      <c r="AF413" s="57">
        <f t="shared" si="1152"/>
        <v>190403.08763454625</v>
      </c>
      <c r="AG413" s="57">
        <f t="shared" si="1058"/>
        <v>212749.5793699334</v>
      </c>
      <c r="AH413" s="77">
        <f t="shared" si="1195"/>
        <v>838492133.52538288</v>
      </c>
      <c r="AI413" s="77">
        <f t="shared" si="1196"/>
        <v>50314804.079598345</v>
      </c>
      <c r="AJ413" s="77">
        <f t="shared" ref="AJ413:AJ424" si="1281">P413*AY413*AK413</f>
        <v>2124720</v>
      </c>
      <c r="AK413" s="77">
        <v>65</v>
      </c>
      <c r="AL413" s="78">
        <f t="shared" si="1153"/>
        <v>4.5630157312082078</v>
      </c>
      <c r="AM413" s="57">
        <f t="shared" si="1154"/>
        <v>0.94</v>
      </c>
      <c r="AN413" s="57">
        <f t="shared" si="1155"/>
        <v>0.74</v>
      </c>
      <c r="AO413" s="77">
        <v>1200</v>
      </c>
      <c r="AP413" s="79">
        <v>180</v>
      </c>
      <c r="AQ413" s="57">
        <f t="shared" si="1156"/>
        <v>213.05388838036532</v>
      </c>
      <c r="AR413" s="57">
        <f t="shared" si="1197"/>
        <v>840</v>
      </c>
      <c r="AS413" s="57">
        <f t="shared" si="1157"/>
        <v>986.94611161963462</v>
      </c>
      <c r="AT413" s="77">
        <v>85</v>
      </c>
      <c r="AU413" s="77">
        <f>2000+150</f>
        <v>2150</v>
      </c>
      <c r="AV413" s="57">
        <f t="shared" si="1158"/>
        <v>71400</v>
      </c>
      <c r="AW413" s="77">
        <f>2*180*180</f>
        <v>64800</v>
      </c>
      <c r="AX413" s="77">
        <f t="shared" si="1159"/>
        <v>102000</v>
      </c>
      <c r="AY413" s="77">
        <f>840*85+AW413</f>
        <v>136200</v>
      </c>
      <c r="AZ413" s="77">
        <f t="shared" si="1269"/>
        <v>571.79999999999995</v>
      </c>
      <c r="BA413" s="77">
        <v>571.79999999999995</v>
      </c>
      <c r="BB413" s="77">
        <v>413.9</v>
      </c>
      <c r="BC413" s="77">
        <v>571.79999999999995</v>
      </c>
      <c r="BD413" s="77">
        <v>5.4999999999999997E-3</v>
      </c>
      <c r="BE413" s="77">
        <v>5.4999999999999997E-3</v>
      </c>
      <c r="BF413" s="77">
        <v>1.7500000000000002E-2</v>
      </c>
      <c r="BG413" s="77">
        <v>7.7999999999999996E-3</v>
      </c>
      <c r="BH413" s="79">
        <v>120</v>
      </c>
      <c r="BI413" s="79">
        <f>PI()*6*6/4</f>
        <v>28.274333882308138</v>
      </c>
      <c r="BJ413" s="79">
        <v>2</v>
      </c>
      <c r="BK413" s="57">
        <f t="shared" si="1059"/>
        <v>56.548667764616276</v>
      </c>
      <c r="BL413" s="57">
        <f t="shared" si="1235"/>
        <v>392.7</v>
      </c>
      <c r="BM413" s="80">
        <f>PI()*10*10/4</f>
        <v>78.539816339744831</v>
      </c>
      <c r="BN413" s="80">
        <v>2</v>
      </c>
      <c r="BO413" s="57">
        <f t="shared" si="1198"/>
        <v>157.07963267948966</v>
      </c>
      <c r="BP413" s="57">
        <f t="shared" si="1160"/>
        <v>535233.33685610991</v>
      </c>
      <c r="BQ413" s="77">
        <f t="shared" si="1161"/>
        <v>4.6566128730773926E-10</v>
      </c>
      <c r="BR413" s="57">
        <f t="shared" si="1251"/>
        <v>1150751674.2406363</v>
      </c>
      <c r="BS413" s="57">
        <v>426.10777676073064</v>
      </c>
      <c r="BT413" s="57">
        <f t="shared" si="1170"/>
        <v>680.74363016677808</v>
      </c>
      <c r="BU413" s="57"/>
      <c r="BV413" s="57">
        <v>3.3E-3</v>
      </c>
      <c r="BW413" s="57">
        <v>30000</v>
      </c>
      <c r="BX413" s="57">
        <v>200000</v>
      </c>
      <c r="BY413" s="77">
        <v>30</v>
      </c>
      <c r="BZ413" s="77">
        <f>BY413+120/2*1</f>
        <v>90</v>
      </c>
      <c r="CA413" s="77">
        <f>30+120/2*2</f>
        <v>150</v>
      </c>
      <c r="CB413" s="77">
        <f>180+60</f>
        <v>240</v>
      </c>
      <c r="CC413" s="77">
        <f>CB413+120*1</f>
        <v>360</v>
      </c>
      <c r="CD413" s="77">
        <f>CB413+120*2</f>
        <v>480</v>
      </c>
      <c r="CE413" s="77">
        <f>CB413+120*3</f>
        <v>600</v>
      </c>
      <c r="CF413" s="77">
        <f>CB413+120*4</f>
        <v>720</v>
      </c>
      <c r="CG413" s="77">
        <f>CB413+120*5</f>
        <v>840</v>
      </c>
      <c r="CH413" s="77">
        <f>CB413+120*6</f>
        <v>960</v>
      </c>
      <c r="CI413" s="77">
        <f>180+840+30</f>
        <v>1050</v>
      </c>
      <c r="CJ413" s="77">
        <f>CI413+60</f>
        <v>1110</v>
      </c>
      <c r="CK413" s="77">
        <f>CI413+60*2</f>
        <v>1170</v>
      </c>
      <c r="DM413" s="77">
        <f>PI()*10*10/4*3</f>
        <v>235.61944901923448</v>
      </c>
      <c r="DN413" s="77">
        <f>PI()*10*10/4*2</f>
        <v>157.07963267948966</v>
      </c>
      <c r="DO413" s="77">
        <f>PI()*10*10/4*3</f>
        <v>235.61944901923448</v>
      </c>
      <c r="DP413" s="77">
        <f t="shared" ref="DP413:DV415" si="1282">PI()*6*6/4*2</f>
        <v>56.548667764616276</v>
      </c>
      <c r="DQ413" s="77">
        <f t="shared" si="1282"/>
        <v>56.548667764616276</v>
      </c>
      <c r="DR413" s="77">
        <f t="shared" si="1282"/>
        <v>56.548667764616276</v>
      </c>
      <c r="DS413" s="77">
        <f t="shared" si="1282"/>
        <v>56.548667764616276</v>
      </c>
      <c r="DT413" s="77">
        <f t="shared" si="1282"/>
        <v>56.548667764616276</v>
      </c>
      <c r="DU413" s="77">
        <f t="shared" si="1282"/>
        <v>56.548667764616276</v>
      </c>
      <c r="DV413" s="77">
        <f t="shared" si="1282"/>
        <v>56.548667764616276</v>
      </c>
      <c r="DW413" s="77">
        <f>PI()*10*10/4*3</f>
        <v>235.61944901923448</v>
      </c>
      <c r="DX413" s="77">
        <f>PI()*10*10/4*2</f>
        <v>157.07963267948966</v>
      </c>
      <c r="DY413" s="77">
        <f>PI()*10*10/4*3</f>
        <v>235.61944901923448</v>
      </c>
      <c r="FA413" s="77">
        <f t="shared" si="1244"/>
        <v>-97522.889949061151</v>
      </c>
      <c r="FB413" s="77">
        <f t="shared" si="1245"/>
        <v>-65015.259966040765</v>
      </c>
      <c r="FC413" s="77">
        <f t="shared" ref="FC413:FC426" si="1283">IF(ABS(-$BV413*($BS413-CA413)/$BS413*$BX413)&gt;$BB413,$BB413*SIGN(-($BS413-CA413)),-$BV413*($BS413-CA413)/$BS413*$BX413)*DO413</f>
        <v>-97522.889949061151</v>
      </c>
      <c r="FD413" s="77">
        <f t="shared" ref="FD413:FD424" si="1284">IF(ABS(-$BV413*($BS413-CB413)/$BS413*$BX413)&gt;$BA413,$BA413*SIGN(-($BS413-CB413)),-$BV413*($BS413-CB413)/$BS413*$BX413)*DP413</f>
        <v>-16300.892147199413</v>
      </c>
      <c r="FE413" s="77">
        <f t="shared" si="1273"/>
        <v>-5790.277858475748</v>
      </c>
      <c r="FF413" s="77">
        <f t="shared" si="1274"/>
        <v>4720.3364302479167</v>
      </c>
      <c r="FG413" s="77">
        <f t="shared" si="1277"/>
        <v>15230.950718971582</v>
      </c>
      <c r="FH413" s="77">
        <f t="shared" si="1277"/>
        <v>25741.565007695248</v>
      </c>
      <c r="FI413" s="77">
        <f t="shared" si="1277"/>
        <v>32334.528227807583</v>
      </c>
      <c r="FJ413" s="77">
        <f t="shared" si="1277"/>
        <v>32334.528227807583</v>
      </c>
      <c r="FK413" s="77">
        <f t="shared" ref="FK413:FM415" si="1285">IF(ABS(-$BV413*($BS413-CI413)/$BS413*$BX413)&gt;$BB413,$BB413*SIGN(-($BS413-CI413)),-$BV413*($BS413-CI413)/$BS413*$BX413)*DW413</f>
        <v>97522.889949061151</v>
      </c>
      <c r="FL413" s="77">
        <f t="shared" si="1285"/>
        <v>65015.259966040765</v>
      </c>
      <c r="FM413" s="77">
        <f t="shared" si="1285"/>
        <v>97522.889949061151</v>
      </c>
      <c r="GO413" s="77">
        <f t="shared" si="1263"/>
        <v>55588047.270964853</v>
      </c>
      <c r="GP413" s="77">
        <f t="shared" si="1264"/>
        <v>33157782.582680792</v>
      </c>
      <c r="GQ413" s="77">
        <f t="shared" si="1265"/>
        <v>43885300.477077521</v>
      </c>
      <c r="GR413" s="77">
        <f t="shared" si="1266"/>
        <v>5868321.1729917889</v>
      </c>
      <c r="GS413" s="77">
        <f t="shared" si="1193"/>
        <v>1389666.6860341795</v>
      </c>
      <c r="GT413" s="77">
        <f t="shared" si="1272"/>
        <v>-566440.37162975001</v>
      </c>
      <c r="GU413" s="77">
        <f t="shared" si="1275"/>
        <v>0</v>
      </c>
      <c r="GV413" s="77">
        <f t="shared" si="1276"/>
        <v>3088987.8009234299</v>
      </c>
      <c r="GW413" s="77">
        <f t="shared" si="1278"/>
        <v>7760286.7746738195</v>
      </c>
      <c r="GX413" s="77">
        <f t="shared" si="1278"/>
        <v>11640430.162010729</v>
      </c>
      <c r="GY413" s="77">
        <f t="shared" si="1278"/>
        <v>43885300.477077521</v>
      </c>
      <c r="GZ413" s="77">
        <f t="shared" si="1278"/>
        <v>33157782.582680792</v>
      </c>
      <c r="HA413" s="77">
        <f>FM413*(CK413-0.5*$AO413)</f>
        <v>55588047.270964853</v>
      </c>
      <c r="IC413" s="82">
        <v>435</v>
      </c>
    </row>
    <row r="414" spans="1:237" s="77" customFormat="1">
      <c r="A414" s="77">
        <v>414</v>
      </c>
      <c r="C414" s="122" t="s">
        <v>444</v>
      </c>
      <c r="D414" s="122" t="s">
        <v>446</v>
      </c>
      <c r="E414" s="59">
        <v>1</v>
      </c>
      <c r="F414" s="125">
        <f t="shared" si="1199"/>
        <v>4.2358522534733989E-2</v>
      </c>
      <c r="G414" s="122">
        <v>2.0400000000000001E-3</v>
      </c>
      <c r="H414" s="122"/>
      <c r="I414" s="122">
        <f>27.61/AU414</f>
        <v>1.2841860465116279E-2</v>
      </c>
      <c r="J414" s="122">
        <f t="shared" si="1222"/>
        <v>1.7916666666666667</v>
      </c>
      <c r="K414" s="125">
        <f t="shared" si="1223"/>
        <v>14.117647058823529</v>
      </c>
      <c r="L414" s="125">
        <f t="shared" si="1224"/>
        <v>4.8383076923076911E-2</v>
      </c>
      <c r="M414" s="125">
        <f t="shared" si="1225"/>
        <v>4.8383076923076911E-2</v>
      </c>
      <c r="N414" s="125">
        <f t="shared" si="1226"/>
        <v>0.1114346153846154</v>
      </c>
      <c r="O414" s="125">
        <f t="shared" si="1227"/>
        <v>6.8615999999999996E-2</v>
      </c>
      <c r="P414" s="122">
        <v>0.12</v>
      </c>
      <c r="Q414" s="122" t="s">
        <v>478</v>
      </c>
      <c r="R414" s="133">
        <f t="shared" si="1228"/>
        <v>0.47577092511013214</v>
      </c>
      <c r="S414" s="75">
        <f t="shared" si="1163"/>
        <v>0.34150532651213783</v>
      </c>
      <c r="T414" s="59">
        <f t="shared" si="1142"/>
        <v>1.0040973849028492</v>
      </c>
      <c r="U414" s="59">
        <f t="shared" si="1143"/>
        <v>0.83260735358488747</v>
      </c>
      <c r="V414" s="59">
        <f t="shared" si="1144"/>
        <v>1.0834797772826983</v>
      </c>
      <c r="W414" s="59">
        <f t="shared" si="1145"/>
        <v>1.0790584594416903</v>
      </c>
      <c r="X414" s="59">
        <f t="shared" si="1146"/>
        <v>1.3013094018658984</v>
      </c>
      <c r="Y414" s="127">
        <v>375000</v>
      </c>
      <c r="Z414" s="57">
        <f t="shared" si="1147"/>
        <v>487991.02569971187</v>
      </c>
      <c r="AA414" s="77">
        <f t="shared" si="1148"/>
        <v>404646.9222906339</v>
      </c>
      <c r="AB414" s="77">
        <f t="shared" si="1194"/>
        <v>458015.24678099033</v>
      </c>
      <c r="AC414" s="57">
        <f t="shared" si="1149"/>
        <v>0.20333333333333334</v>
      </c>
      <c r="AD414" s="57">
        <f t="shared" si="1150"/>
        <v>1.7916666666666667</v>
      </c>
      <c r="AE414" s="57">
        <f t="shared" si="1151"/>
        <v>1062360</v>
      </c>
      <c r="AF414" s="57">
        <f t="shared" si="1152"/>
        <v>172478.73162926323</v>
      </c>
      <c r="AG414" s="57">
        <f t="shared" si="1058"/>
        <v>232168.19066137064</v>
      </c>
      <c r="AH414" s="77">
        <f t="shared" si="1195"/>
        <v>922704435.61471415</v>
      </c>
      <c r="AI414" s="77">
        <f t="shared" si="1196"/>
        <v>62028344.964415111</v>
      </c>
      <c r="AJ414" s="77">
        <f t="shared" si="1281"/>
        <v>1062360</v>
      </c>
      <c r="AK414" s="77">
        <v>65</v>
      </c>
      <c r="AL414" s="78">
        <f t="shared" si="1153"/>
        <v>4.5630157312082078</v>
      </c>
      <c r="AM414" s="57">
        <f t="shared" si="1154"/>
        <v>0.94</v>
      </c>
      <c r="AN414" s="57">
        <f t="shared" si="1155"/>
        <v>0.74</v>
      </c>
      <c r="AO414" s="77">
        <v>1200</v>
      </c>
      <c r="AP414" s="79">
        <v>180</v>
      </c>
      <c r="AQ414" s="57">
        <f t="shared" si="1156"/>
        <v>122.97087640029282</v>
      </c>
      <c r="AR414" s="57">
        <f t="shared" si="1197"/>
        <v>840</v>
      </c>
      <c r="AS414" s="57">
        <f t="shared" si="1157"/>
        <v>1077.0291235997072</v>
      </c>
      <c r="AT414" s="77">
        <v>85</v>
      </c>
      <c r="AU414" s="77">
        <f>2000+150</f>
        <v>2150</v>
      </c>
      <c r="AV414" s="57">
        <f t="shared" si="1158"/>
        <v>71400</v>
      </c>
      <c r="AW414" s="77">
        <f>2*180*180</f>
        <v>64800</v>
      </c>
      <c r="AX414" s="77">
        <f t="shared" si="1159"/>
        <v>102000</v>
      </c>
      <c r="AY414" s="77">
        <f>840*85+AW414</f>
        <v>136200</v>
      </c>
      <c r="AZ414" s="77">
        <f t="shared" si="1269"/>
        <v>571.79999999999995</v>
      </c>
      <c r="BA414" s="77">
        <v>571.79999999999995</v>
      </c>
      <c r="BB414" s="77">
        <v>413.9</v>
      </c>
      <c r="BC414" s="77">
        <v>571.79999999999995</v>
      </c>
      <c r="BD414" s="77">
        <v>5.4999999999999997E-3</v>
      </c>
      <c r="BE414" s="77">
        <v>5.4999999999999997E-3</v>
      </c>
      <c r="BF414" s="77">
        <v>1.7500000000000002E-2</v>
      </c>
      <c r="BG414" s="77">
        <v>7.7999999999999996E-3</v>
      </c>
      <c r="BH414" s="79">
        <v>120</v>
      </c>
      <c r="BI414" s="79">
        <f>PI()*6*6/4</f>
        <v>28.274333882308138</v>
      </c>
      <c r="BJ414" s="79">
        <v>2</v>
      </c>
      <c r="BK414" s="57">
        <f t="shared" si="1059"/>
        <v>56.548667764616276</v>
      </c>
      <c r="BL414" s="57">
        <f t="shared" si="1235"/>
        <v>392.7</v>
      </c>
      <c r="BM414" s="80">
        <f>PI()*10*10/4</f>
        <v>78.539816339744831</v>
      </c>
      <c r="BN414" s="80">
        <v>2</v>
      </c>
      <c r="BO414" s="57">
        <f t="shared" si="1198"/>
        <v>157.07963267948966</v>
      </c>
      <c r="BP414" s="57">
        <f t="shared" si="1160"/>
        <v>406304.9164810119</v>
      </c>
      <c r="BQ414" s="77">
        <f t="shared" si="1161"/>
        <v>-2.9103830456733704E-10</v>
      </c>
      <c r="BR414" s="57">
        <f t="shared" si="1251"/>
        <v>873555570.43417561</v>
      </c>
      <c r="BS414" s="57">
        <v>245.94175280058565</v>
      </c>
      <c r="BT414" s="57">
        <f t="shared" si="1170"/>
        <v>423.2636740523381</v>
      </c>
      <c r="BU414" s="57"/>
      <c r="BV414" s="57">
        <v>3.3E-3</v>
      </c>
      <c r="BW414" s="57">
        <v>30000</v>
      </c>
      <c r="BX414" s="57">
        <v>200000</v>
      </c>
      <c r="BY414" s="77">
        <v>30</v>
      </c>
      <c r="BZ414" s="77">
        <f>BY414+120/2*1</f>
        <v>90</v>
      </c>
      <c r="CA414" s="77">
        <f>30+120/2*2</f>
        <v>150</v>
      </c>
      <c r="CB414" s="77">
        <f>180+60</f>
        <v>240</v>
      </c>
      <c r="CC414" s="77">
        <f>CB414+120*1</f>
        <v>360</v>
      </c>
      <c r="CD414" s="77">
        <f>CB414+120*2</f>
        <v>480</v>
      </c>
      <c r="CE414" s="77">
        <f>CB414+120*3</f>
        <v>600</v>
      </c>
      <c r="CF414" s="77">
        <f>CB414+120*4</f>
        <v>720</v>
      </c>
      <c r="CG414" s="77">
        <f>CB414+120*5</f>
        <v>840</v>
      </c>
      <c r="CH414" s="77">
        <f>CB414+120*6</f>
        <v>960</v>
      </c>
      <c r="CI414" s="77">
        <f>180+840+30</f>
        <v>1050</v>
      </c>
      <c r="CJ414" s="77">
        <f>CI414+60</f>
        <v>1110</v>
      </c>
      <c r="CK414" s="77">
        <f>CI414+60*2</f>
        <v>1170</v>
      </c>
      <c r="DM414" s="77">
        <f>PI()*10*10/4*3</f>
        <v>235.61944901923448</v>
      </c>
      <c r="DN414" s="77">
        <f>PI()*10*10/4*2</f>
        <v>157.07963267948966</v>
      </c>
      <c r="DO414" s="77">
        <f>PI()*10*10/4*3</f>
        <v>235.61944901923448</v>
      </c>
      <c r="DP414" s="77">
        <f t="shared" si="1282"/>
        <v>56.548667764616276</v>
      </c>
      <c r="DQ414" s="77">
        <f t="shared" si="1282"/>
        <v>56.548667764616276</v>
      </c>
      <c r="DR414" s="77">
        <f t="shared" si="1282"/>
        <v>56.548667764616276</v>
      </c>
      <c r="DS414" s="77">
        <f t="shared" si="1282"/>
        <v>56.548667764616276</v>
      </c>
      <c r="DT414" s="77">
        <f t="shared" si="1282"/>
        <v>56.548667764616276</v>
      </c>
      <c r="DU414" s="77">
        <f t="shared" si="1282"/>
        <v>56.548667764616276</v>
      </c>
      <c r="DV414" s="77">
        <f t="shared" si="1282"/>
        <v>56.548667764616276</v>
      </c>
      <c r="DW414" s="77">
        <f>PI()*10*10/4*3</f>
        <v>235.61944901923448</v>
      </c>
      <c r="DX414" s="77">
        <f>PI()*10*10/4*2</f>
        <v>157.07963267948966</v>
      </c>
      <c r="DY414" s="77">
        <f>PI()*10*10/4*3</f>
        <v>235.61944901923448</v>
      </c>
      <c r="FA414" s="77">
        <f t="shared" si="1244"/>
        <v>-97522.889949061151</v>
      </c>
      <c r="FB414" s="77">
        <f t="shared" si="1245"/>
        <v>-65015.259966040765</v>
      </c>
      <c r="FC414" s="77">
        <f t="shared" si="1283"/>
        <v>-60663.918044668993</v>
      </c>
      <c r="FD414" s="77">
        <f t="shared" si="1284"/>
        <v>-901.67209436484632</v>
      </c>
      <c r="FE414" s="77">
        <f t="shared" si="1273"/>
        <v>17308.552220776099</v>
      </c>
      <c r="FF414" s="77">
        <f t="shared" si="1274"/>
        <v>32334.528227807583</v>
      </c>
      <c r="FG414" s="77">
        <f t="shared" si="1277"/>
        <v>32334.528227807583</v>
      </c>
      <c r="FH414" s="77">
        <f t="shared" si="1277"/>
        <v>32334.528227807583</v>
      </c>
      <c r="FI414" s="77">
        <f t="shared" si="1277"/>
        <v>32334.528227807583</v>
      </c>
      <c r="FJ414" s="77">
        <f t="shared" si="1277"/>
        <v>32334.528227807583</v>
      </c>
      <c r="FK414" s="77">
        <f t="shared" si="1285"/>
        <v>97522.889949061151</v>
      </c>
      <c r="FL414" s="77">
        <f t="shared" si="1285"/>
        <v>65015.259966040765</v>
      </c>
      <c r="FM414" s="77">
        <f t="shared" si="1285"/>
        <v>97522.889949061151</v>
      </c>
      <c r="GO414" s="77">
        <f t="shared" si="1263"/>
        <v>55588047.270964853</v>
      </c>
      <c r="GP414" s="77">
        <f t="shared" si="1264"/>
        <v>33157782.582680792</v>
      </c>
      <c r="GQ414" s="77">
        <f t="shared" si="1265"/>
        <v>27298763.120101046</v>
      </c>
      <c r="GR414" s="77">
        <f t="shared" si="1266"/>
        <v>324601.95397134469</v>
      </c>
      <c r="GS414" s="77">
        <f t="shared" si="1193"/>
        <v>-4154052.5329862637</v>
      </c>
      <c r="GT414" s="77">
        <f t="shared" si="1272"/>
        <v>-3880143.3873369098</v>
      </c>
      <c r="GU414" s="77">
        <f t="shared" si="1275"/>
        <v>0</v>
      </c>
      <c r="GV414" s="77">
        <f t="shared" si="1276"/>
        <v>3880143.3873369098</v>
      </c>
      <c r="GW414" s="77">
        <f t="shared" si="1278"/>
        <v>7760286.7746738195</v>
      </c>
      <c r="GX414" s="77">
        <f t="shared" si="1278"/>
        <v>11640430.162010729</v>
      </c>
      <c r="GY414" s="77">
        <f t="shared" si="1278"/>
        <v>43885300.477077521</v>
      </c>
      <c r="GZ414" s="77">
        <f t="shared" si="1278"/>
        <v>33157782.582680792</v>
      </c>
      <c r="HA414" s="77">
        <f>FM414*(CK414-0.5*$AO414)</f>
        <v>55588047.270964853</v>
      </c>
      <c r="IC414" s="82">
        <v>436</v>
      </c>
    </row>
    <row r="415" spans="1:237" s="77" customFormat="1">
      <c r="A415" s="77">
        <v>415</v>
      </c>
      <c r="C415" s="122" t="s">
        <v>444</v>
      </c>
      <c r="D415" s="122" t="s">
        <v>447</v>
      </c>
      <c r="E415" s="59">
        <v>1</v>
      </c>
      <c r="F415" s="125">
        <f t="shared" si="1199"/>
        <v>2.6443013667683271E-2</v>
      </c>
      <c r="G415" s="122">
        <v>1.6200000000000001E-3</v>
      </c>
      <c r="H415" s="122"/>
      <c r="I415" s="122">
        <f>30.99/AU415</f>
        <v>1.4413953488372093E-2</v>
      </c>
      <c r="J415" s="122">
        <f t="shared" si="1222"/>
        <v>1.7916666666666667</v>
      </c>
      <c r="K415" s="125">
        <f t="shared" si="1223"/>
        <v>14.117647058823529</v>
      </c>
      <c r="L415" s="125">
        <f t="shared" si="1224"/>
        <v>4.8383076923076911E-2</v>
      </c>
      <c r="M415" s="125">
        <f t="shared" si="1225"/>
        <v>4.8383076923076911E-2</v>
      </c>
      <c r="N415" s="125">
        <f t="shared" si="1226"/>
        <v>0.1114346153846154</v>
      </c>
      <c r="O415" s="125">
        <f t="shared" si="1227"/>
        <v>6.8615999999999996E-2</v>
      </c>
      <c r="P415" s="122">
        <v>0</v>
      </c>
      <c r="Q415" s="122" t="s">
        <v>478</v>
      </c>
      <c r="R415" s="133">
        <f t="shared" si="1228"/>
        <v>0.47577092511013214</v>
      </c>
      <c r="S415" s="75">
        <f t="shared" si="1163"/>
        <v>0.21319039183064389</v>
      </c>
      <c r="T415" s="59">
        <f t="shared" si="1142"/>
        <v>0.49644033921578995</v>
      </c>
      <c r="U415" s="59">
        <f t="shared" si="1143"/>
        <v>0.39394482275094345</v>
      </c>
      <c r="V415" s="59">
        <f t="shared" si="1144"/>
        <v>0.82119409706674107</v>
      </c>
      <c r="W415" s="59">
        <f t="shared" si="1145"/>
        <v>1.6541647247360149</v>
      </c>
      <c r="X415" s="59">
        <f t="shared" si="1146"/>
        <v>2.0845409043131649</v>
      </c>
      <c r="Y415" s="127">
        <v>234100</v>
      </c>
      <c r="Z415" s="57">
        <f t="shared" si="1147"/>
        <v>487991.02569971187</v>
      </c>
      <c r="AA415" s="77">
        <f t="shared" si="1148"/>
        <v>387239.9620607011</v>
      </c>
      <c r="AB415" s="77">
        <f t="shared" si="1194"/>
        <v>495949.28906310262</v>
      </c>
      <c r="AC415" s="57">
        <f t="shared" si="1149"/>
        <v>0.20333333333333334</v>
      </c>
      <c r="AD415" s="57">
        <f t="shared" si="1150"/>
        <v>1.7916666666666667</v>
      </c>
      <c r="AE415" s="57">
        <f t="shared" si="1151"/>
        <v>0</v>
      </c>
      <c r="AF415" s="57">
        <f t="shared" si="1152"/>
        <v>138561.65527479685</v>
      </c>
      <c r="AG415" s="57">
        <f t="shared" si="1058"/>
        <v>248678.30678590425</v>
      </c>
      <c r="AH415" s="77">
        <f t="shared" si="1195"/>
        <v>994303525.05229139</v>
      </c>
      <c r="AI415" s="77">
        <f t="shared" si="1196"/>
        <v>71987446.433379292</v>
      </c>
      <c r="AJ415" s="77">
        <f t="shared" si="1281"/>
        <v>0</v>
      </c>
      <c r="AK415" s="77">
        <v>65</v>
      </c>
      <c r="AL415" s="78">
        <f t="shared" si="1153"/>
        <v>4.5630157312082078</v>
      </c>
      <c r="AM415" s="57">
        <f t="shared" si="1154"/>
        <v>0.94</v>
      </c>
      <c r="AN415" s="57">
        <f t="shared" si="1155"/>
        <v>0.74</v>
      </c>
      <c r="AO415" s="77">
        <v>1200</v>
      </c>
      <c r="AP415" s="79">
        <v>180</v>
      </c>
      <c r="AQ415" s="57">
        <f t="shared" si="1156"/>
        <v>46.380384612933376</v>
      </c>
      <c r="AR415" s="57">
        <f t="shared" si="1197"/>
        <v>840</v>
      </c>
      <c r="AS415" s="57">
        <f t="shared" si="1157"/>
        <v>1153.6196153870667</v>
      </c>
      <c r="AT415" s="77">
        <v>85</v>
      </c>
      <c r="AU415" s="77">
        <f>2000+150</f>
        <v>2150</v>
      </c>
      <c r="AV415" s="57">
        <f t="shared" si="1158"/>
        <v>71400</v>
      </c>
      <c r="AW415" s="77">
        <f>2*180*180</f>
        <v>64800</v>
      </c>
      <c r="AX415" s="77">
        <f t="shared" si="1159"/>
        <v>102000</v>
      </c>
      <c r="AY415" s="77">
        <f>840*85+AW415</f>
        <v>136200</v>
      </c>
      <c r="AZ415" s="77">
        <f t="shared" si="1269"/>
        <v>571.79999999999995</v>
      </c>
      <c r="BA415" s="77">
        <v>571.79999999999995</v>
      </c>
      <c r="BB415" s="77">
        <v>413.9</v>
      </c>
      <c r="BC415" s="77">
        <v>571.79999999999995</v>
      </c>
      <c r="BD415" s="77">
        <v>5.4999999999999997E-3</v>
      </c>
      <c r="BE415" s="77">
        <v>5.4999999999999997E-3</v>
      </c>
      <c r="BF415" s="77">
        <v>1.7500000000000002E-2</v>
      </c>
      <c r="BG415" s="77">
        <v>7.7999999999999996E-3</v>
      </c>
      <c r="BH415" s="79">
        <v>120</v>
      </c>
      <c r="BI415" s="79">
        <f>PI()*6*6/4</f>
        <v>28.274333882308138</v>
      </c>
      <c r="BJ415" s="79">
        <v>2</v>
      </c>
      <c r="BK415" s="57">
        <f t="shared" si="1059"/>
        <v>56.548667764616276</v>
      </c>
      <c r="BL415" s="57">
        <f t="shared" si="1235"/>
        <v>392.7</v>
      </c>
      <c r="BM415" s="80">
        <f>PI()*10*10/4</f>
        <v>78.539816339744831</v>
      </c>
      <c r="BN415" s="80">
        <v>2</v>
      </c>
      <c r="BO415" s="57">
        <f t="shared" si="1198"/>
        <v>157.07963267948966</v>
      </c>
      <c r="BP415" s="57">
        <f t="shared" si="1160"/>
        <v>192241.53812332408</v>
      </c>
      <c r="BQ415" s="77">
        <f t="shared" si="1161"/>
        <v>0</v>
      </c>
      <c r="BR415" s="57">
        <f t="shared" si="1251"/>
        <v>413319306.96514678</v>
      </c>
      <c r="BS415" s="57">
        <v>92.760769225866753</v>
      </c>
      <c r="BT415" s="57">
        <f t="shared" si="1170"/>
        <v>37.043739880678011</v>
      </c>
      <c r="BU415" s="57"/>
      <c r="BV415" s="57">
        <v>3.3E-3</v>
      </c>
      <c r="BW415" s="57">
        <v>30000</v>
      </c>
      <c r="BX415" s="57">
        <v>200000</v>
      </c>
      <c r="BY415" s="77">
        <v>30</v>
      </c>
      <c r="BZ415" s="77">
        <f>BY415+120/2*1</f>
        <v>90</v>
      </c>
      <c r="CA415" s="77">
        <f>30+120/2*2</f>
        <v>150</v>
      </c>
      <c r="CB415" s="77">
        <f>180+60</f>
        <v>240</v>
      </c>
      <c r="CC415" s="77">
        <f>CB415+120*1</f>
        <v>360</v>
      </c>
      <c r="CD415" s="77">
        <f>CB415+120*2</f>
        <v>480</v>
      </c>
      <c r="CE415" s="77">
        <f>CB415+120*3</f>
        <v>600</v>
      </c>
      <c r="CF415" s="77">
        <f>CB415+120*4</f>
        <v>720</v>
      </c>
      <c r="CG415" s="77">
        <f>CB415+120*5</f>
        <v>840</v>
      </c>
      <c r="CH415" s="77">
        <f>CB415+120*6</f>
        <v>960</v>
      </c>
      <c r="CI415" s="77">
        <f>180+840+30</f>
        <v>1050</v>
      </c>
      <c r="CJ415" s="77">
        <f>CI415+60</f>
        <v>1110</v>
      </c>
      <c r="CK415" s="77">
        <f>CI415+60*2</f>
        <v>1170</v>
      </c>
      <c r="DM415" s="77">
        <f>PI()*10*10/4*3</f>
        <v>235.61944901923448</v>
      </c>
      <c r="DN415" s="77">
        <f>PI()*10*10/4*2</f>
        <v>157.07963267948966</v>
      </c>
      <c r="DO415" s="77">
        <f>PI()*10*10/4*3</f>
        <v>235.61944901923448</v>
      </c>
      <c r="DP415" s="77">
        <f t="shared" si="1282"/>
        <v>56.548667764616276</v>
      </c>
      <c r="DQ415" s="77">
        <f t="shared" si="1282"/>
        <v>56.548667764616276</v>
      </c>
      <c r="DR415" s="77">
        <f t="shared" si="1282"/>
        <v>56.548667764616276</v>
      </c>
      <c r="DS415" s="77">
        <f t="shared" si="1282"/>
        <v>56.548667764616276</v>
      </c>
      <c r="DT415" s="77">
        <f t="shared" si="1282"/>
        <v>56.548667764616276</v>
      </c>
      <c r="DU415" s="77">
        <f t="shared" si="1282"/>
        <v>56.548667764616276</v>
      </c>
      <c r="DV415" s="77">
        <f t="shared" si="1282"/>
        <v>56.548667764616276</v>
      </c>
      <c r="DW415" s="77">
        <f>PI()*10*10/4*3</f>
        <v>235.61944901923448</v>
      </c>
      <c r="DX415" s="77">
        <f>PI()*10*10/4*2</f>
        <v>157.07963267948966</v>
      </c>
      <c r="DY415" s="77">
        <f>PI()*10*10/4*3</f>
        <v>235.61944901923448</v>
      </c>
      <c r="FA415" s="77">
        <f t="shared" si="1244"/>
        <v>-97522.889949061151</v>
      </c>
      <c r="FB415" s="77">
        <f t="shared" si="1245"/>
        <v>-3085.5286010510981</v>
      </c>
      <c r="FC415" s="77">
        <f t="shared" si="1283"/>
        <v>95958.736065835416</v>
      </c>
      <c r="FD415" s="77">
        <f t="shared" si="1284"/>
        <v>32334.528227807583</v>
      </c>
      <c r="FE415" s="77">
        <f t="shared" si="1273"/>
        <v>32334.528227807583</v>
      </c>
      <c r="FF415" s="77">
        <f t="shared" si="1274"/>
        <v>32334.528227807583</v>
      </c>
      <c r="FG415" s="77">
        <f t="shared" si="1277"/>
        <v>32334.528227807583</v>
      </c>
      <c r="FH415" s="77">
        <f t="shared" si="1277"/>
        <v>32334.528227807583</v>
      </c>
      <c r="FI415" s="77">
        <f t="shared" si="1277"/>
        <v>32334.528227807583</v>
      </c>
      <c r="FJ415" s="77">
        <f t="shared" si="1277"/>
        <v>32334.528227807583</v>
      </c>
      <c r="FK415" s="77">
        <f t="shared" si="1285"/>
        <v>97522.889949061151</v>
      </c>
      <c r="FL415" s="77">
        <f t="shared" si="1285"/>
        <v>65015.259966040765</v>
      </c>
      <c r="FM415" s="77">
        <f t="shared" si="1285"/>
        <v>97522.889949061151</v>
      </c>
      <c r="GO415" s="77">
        <f t="shared" si="1263"/>
        <v>55588047.270964853</v>
      </c>
      <c r="GP415" s="77">
        <f t="shared" si="1264"/>
        <v>1573619.5865360601</v>
      </c>
      <c r="GQ415" s="77">
        <f t="shared" si="1265"/>
        <v>-43181431.22962594</v>
      </c>
      <c r="GR415" s="77">
        <f t="shared" si="1266"/>
        <v>-11640430.162010729</v>
      </c>
      <c r="GS415" s="77">
        <f t="shared" si="1193"/>
        <v>-7760286.7746738195</v>
      </c>
      <c r="GT415" s="77">
        <f t="shared" si="1272"/>
        <v>-3880143.3873369098</v>
      </c>
      <c r="GU415" s="77">
        <f t="shared" si="1275"/>
        <v>0</v>
      </c>
      <c r="GV415" s="77">
        <f t="shared" si="1276"/>
        <v>3880143.3873369098</v>
      </c>
      <c r="GW415" s="77">
        <f t="shared" si="1278"/>
        <v>7760286.7746738195</v>
      </c>
      <c r="GX415" s="77">
        <f t="shared" si="1278"/>
        <v>11640430.162010729</v>
      </c>
      <c r="GY415" s="77">
        <f t="shared" si="1278"/>
        <v>43885300.477077521</v>
      </c>
      <c r="GZ415" s="77">
        <f t="shared" si="1278"/>
        <v>33157782.582680792</v>
      </c>
      <c r="HA415" s="77">
        <f>FM415*(CK415-0.5*$AO415)</f>
        <v>55588047.270964853</v>
      </c>
      <c r="IC415" s="82">
        <v>437</v>
      </c>
    </row>
    <row r="416" spans="1:237" s="77" customFormat="1">
      <c r="A416" s="77">
        <v>416</v>
      </c>
      <c r="C416" s="122" t="s">
        <v>448</v>
      </c>
      <c r="D416" s="122" t="s">
        <v>449</v>
      </c>
      <c r="E416" s="125">
        <v>1</v>
      </c>
      <c r="F416" s="125">
        <f t="shared" si="1199"/>
        <v>8.0165065620349071E-2</v>
      </c>
      <c r="G416" s="122">
        <v>3.2631578947368424E-3</v>
      </c>
      <c r="H416" s="122">
        <v>8.4210526315789472E-3</v>
      </c>
      <c r="I416" s="122">
        <f>35/AU416</f>
        <v>1.7412935323383085E-2</v>
      </c>
      <c r="J416" s="122">
        <v>2.0099999999999998</v>
      </c>
      <c r="K416" s="125">
        <f t="shared" si="1223"/>
        <v>9.5</v>
      </c>
      <c r="L416" s="125">
        <f t="shared" si="1224"/>
        <v>6.8651568495546003E-2</v>
      </c>
      <c r="M416" s="125">
        <f t="shared" si="1225"/>
        <v>0.102977352743319</v>
      </c>
      <c r="N416" s="125">
        <f t="shared" si="1226"/>
        <v>0.14122608376226606</v>
      </c>
      <c r="O416" s="125">
        <f t="shared" si="1227"/>
        <v>6.8160042668726106E-2</v>
      </c>
      <c r="P416" s="122">
        <v>0.4</v>
      </c>
      <c r="Q416" s="122" t="s">
        <v>3</v>
      </c>
      <c r="R416" s="133">
        <f t="shared" si="1228"/>
        <v>0</v>
      </c>
      <c r="S416" s="75">
        <f t="shared" si="1163"/>
        <v>0.44720324535145189</v>
      </c>
      <c r="T416" s="59">
        <f t="shared" si="1142"/>
        <v>0.69323753703051627</v>
      </c>
      <c r="U416" s="59">
        <f t="shared" si="1143"/>
        <v>0.51489931026008706</v>
      </c>
      <c r="V416" s="59">
        <f t="shared" si="1144"/>
        <v>0.85715637865039351</v>
      </c>
      <c r="W416" s="59">
        <f t="shared" si="1145"/>
        <v>1.236454076508932</v>
      </c>
      <c r="X416" s="59">
        <f t="shared" si="1146"/>
        <v>1.6647067913480498</v>
      </c>
      <c r="Y416" s="127">
        <v>237000</v>
      </c>
      <c r="Z416" s="57">
        <f t="shared" si="1147"/>
        <v>394535.50954948779</v>
      </c>
      <c r="AA416" s="77">
        <f t="shared" si="1148"/>
        <v>293039.61613261688</v>
      </c>
      <c r="AB416" s="77">
        <f t="shared" si="1194"/>
        <v>194623.65343408461</v>
      </c>
      <c r="AC416" s="57">
        <f t="shared" si="1149"/>
        <v>0.17</v>
      </c>
      <c r="AD416" s="57">
        <f t="shared" si="1150"/>
        <v>2.0099999999999998</v>
      </c>
      <c r="AE416" s="57">
        <f t="shared" si="1151"/>
        <v>591280</v>
      </c>
      <c r="AF416" s="57">
        <f t="shared" si="1152"/>
        <v>99890.708373911431</v>
      </c>
      <c r="AG416" s="57">
        <f t="shared" si="1058"/>
        <v>193148.90775870543</v>
      </c>
      <c r="AH416" s="77">
        <f t="shared" si="1195"/>
        <v>362644739.60308361</v>
      </c>
      <c r="AI416" s="77">
        <f t="shared" si="1196"/>
        <v>28548803.799426444</v>
      </c>
      <c r="AJ416" s="77">
        <f t="shared" si="1281"/>
        <v>1182560</v>
      </c>
      <c r="AK416" s="77">
        <v>31.12</v>
      </c>
      <c r="AL416" s="78">
        <f t="shared" si="1153"/>
        <v>3.0431362222158373</v>
      </c>
      <c r="AM416" s="57">
        <f t="shared" si="1154"/>
        <v>1</v>
      </c>
      <c r="AN416" s="57">
        <f t="shared" si="1155"/>
        <v>0.8</v>
      </c>
      <c r="AO416" s="77">
        <v>950</v>
      </c>
      <c r="AP416" s="79">
        <v>175</v>
      </c>
      <c r="AQ416" s="57">
        <f t="shared" si="1156"/>
        <v>196.60808005309664</v>
      </c>
      <c r="AR416" s="57">
        <f t="shared" si="1197"/>
        <v>600</v>
      </c>
      <c r="AS416" s="57">
        <f t="shared" si="1157"/>
        <v>753.39191994690339</v>
      </c>
      <c r="AT416" s="77">
        <v>100</v>
      </c>
      <c r="AU416" s="77">
        <v>2010</v>
      </c>
      <c r="AV416" s="57">
        <f t="shared" si="1158"/>
        <v>95000</v>
      </c>
      <c r="AW416" s="77">
        <v>0</v>
      </c>
      <c r="AX416" s="77">
        <f t="shared" si="1159"/>
        <v>95000</v>
      </c>
      <c r="AY416" s="77">
        <f t="shared" ref="AY416:AY426" si="1286">AO416*AT416</f>
        <v>95000</v>
      </c>
      <c r="AZ416" s="77">
        <f t="shared" si="1269"/>
        <v>386.3</v>
      </c>
      <c r="BA416" s="77">
        <v>386.3</v>
      </c>
      <c r="BB416" s="77">
        <v>386.3</v>
      </c>
      <c r="BC416" s="77">
        <v>375.1</v>
      </c>
      <c r="BD416" s="77">
        <f t="shared" ref="BD416:BD424" si="1287">(PI()*6.5*6.5*5*2)/(4*100*600)</f>
        <v>5.530512067257032E-3</v>
      </c>
      <c r="BE416" s="77">
        <f t="shared" ref="BE416:BE424" si="1288">(2*PI()*6.5*6.5)/(4*80*100)</f>
        <v>8.2957681008855484E-3</v>
      </c>
      <c r="BF416" s="77">
        <f t="shared" ref="BF416:BF424" si="1289">(PI()*6.5*6.5*6)/(4*175*100)</f>
        <v>1.1377053395500181E-2</v>
      </c>
      <c r="BG416" s="77">
        <f>(2*PI()*6*6)/(4*100*100)</f>
        <v>5.6548667764616273E-3</v>
      </c>
      <c r="BH416" s="79">
        <v>80</v>
      </c>
      <c r="BI416" s="79">
        <f t="shared" ref="BI416:BI424" si="1290">PI()*6.5*6.5/4</f>
        <v>33.183072403542191</v>
      </c>
      <c r="BJ416" s="79">
        <v>2</v>
      </c>
      <c r="BK416" s="57">
        <f t="shared" si="1059"/>
        <v>66.366144807084382</v>
      </c>
      <c r="BL416" s="57">
        <f t="shared" si="1235"/>
        <v>331.83072403542189</v>
      </c>
      <c r="BM416" s="80">
        <f t="shared" ref="BM416:BM424" si="1291">PI()*6.5*6.5/4</f>
        <v>33.183072403542191</v>
      </c>
      <c r="BN416" s="80">
        <v>4</v>
      </c>
      <c r="BO416" s="57">
        <f t="shared" si="1198"/>
        <v>132.73228961416876</v>
      </c>
      <c r="BP416" s="57">
        <f t="shared" si="1160"/>
        <v>203146.06174014325</v>
      </c>
      <c r="BQ416" s="77">
        <f t="shared" si="1161"/>
        <v>1.7462298274040222E-10</v>
      </c>
      <c r="BR416" s="57">
        <f t="shared" si="1251"/>
        <v>408323584.09768796</v>
      </c>
      <c r="BS416" s="57">
        <v>393.21616010619329</v>
      </c>
      <c r="BT416" s="57">
        <f t="shared" si="1170"/>
        <v>287.1323623641178</v>
      </c>
      <c r="BU416" s="57"/>
      <c r="BV416" s="57">
        <v>3.3E-3</v>
      </c>
      <c r="BW416" s="57">
        <v>30000</v>
      </c>
      <c r="BX416" s="57">
        <v>200000</v>
      </c>
      <c r="BY416" s="77">
        <v>20</v>
      </c>
      <c r="BZ416" s="77">
        <f t="shared" ref="BZ416:BZ424" si="1292">BY416+155/2*1</f>
        <v>97.5</v>
      </c>
      <c r="CA416" s="77">
        <f t="shared" ref="CA416:CA424" si="1293">BY416+155/2*2</f>
        <v>175</v>
      </c>
      <c r="CB416" s="77">
        <f t="shared" ref="CB416:CB424" si="1294">175+100*1</f>
        <v>275</v>
      </c>
      <c r="CC416" s="77">
        <f t="shared" ref="CC416:CC424" si="1295">175+100*2</f>
        <v>375</v>
      </c>
      <c r="CD416" s="77">
        <f t="shared" ref="CD416:CD424" si="1296">175+100*3</f>
        <v>475</v>
      </c>
      <c r="CE416" s="77">
        <f t="shared" ref="CE416:CE424" si="1297">175+100*4</f>
        <v>575</v>
      </c>
      <c r="CF416" s="77">
        <f t="shared" ref="CF416:CF424" si="1298">175+100*5</f>
        <v>675</v>
      </c>
      <c r="CG416" s="77">
        <f t="shared" ref="CG416:CG424" si="1299">175+100*6</f>
        <v>775</v>
      </c>
      <c r="CH416" s="77">
        <f t="shared" ref="CH416:CH424" si="1300">775+155/2*1</f>
        <v>852.5</v>
      </c>
      <c r="CI416" s="77">
        <f t="shared" ref="CI416:CI424" si="1301">775+155/2*2</f>
        <v>930</v>
      </c>
      <c r="DM416" s="77">
        <f t="shared" ref="DM416:DW424" si="1302">PI()*6.5*6.5/4*2</f>
        <v>66.366144807084382</v>
      </c>
      <c r="DN416" s="77">
        <f t="shared" si="1302"/>
        <v>66.366144807084382</v>
      </c>
      <c r="DO416" s="77">
        <f t="shared" si="1302"/>
        <v>66.366144807084382</v>
      </c>
      <c r="DP416" s="77">
        <f t="shared" si="1302"/>
        <v>66.366144807084382</v>
      </c>
      <c r="DQ416" s="77">
        <f t="shared" si="1302"/>
        <v>66.366144807084382</v>
      </c>
      <c r="DR416" s="77">
        <f t="shared" si="1302"/>
        <v>66.366144807084382</v>
      </c>
      <c r="DS416" s="77">
        <f t="shared" si="1302"/>
        <v>66.366144807084382</v>
      </c>
      <c r="DT416" s="77">
        <f t="shared" si="1302"/>
        <v>66.366144807084382</v>
      </c>
      <c r="DU416" s="77">
        <f t="shared" si="1302"/>
        <v>66.366144807084382</v>
      </c>
      <c r="DV416" s="77">
        <f t="shared" si="1302"/>
        <v>66.366144807084382</v>
      </c>
      <c r="DW416" s="77">
        <f t="shared" si="1302"/>
        <v>66.366144807084382</v>
      </c>
      <c r="FA416" s="77">
        <f t="shared" si="1244"/>
        <v>-25637.241738976696</v>
      </c>
      <c r="FB416" s="77">
        <f t="shared" si="1245"/>
        <v>-25637.241738976696</v>
      </c>
      <c r="FC416" s="77">
        <f t="shared" si="1283"/>
        <v>-24307.823673325136</v>
      </c>
      <c r="FD416" s="77">
        <f t="shared" si="1284"/>
        <v>-13168.491159410532</v>
      </c>
      <c r="FE416" s="77">
        <f t="shared" si="1273"/>
        <v>-2029.1586454959295</v>
      </c>
      <c r="FF416" s="77">
        <f t="shared" si="1274"/>
        <v>9110.1738684186748</v>
      </c>
      <c r="FG416" s="77">
        <f t="shared" ref="FG416:FG426" si="1303">IF(ABS(-$BV416*($BS416-CE416)/$BS416*$BX416)&gt;$BA416,$BA416*SIGN(-($BS416-CE416)),-$BV416*($BS416-CE416)/$BS416*$BX416)*DS416</f>
        <v>20249.506382333275</v>
      </c>
      <c r="FH416" s="77">
        <f t="shared" ref="FH416:FH426" si="1304">IF(ABS(-$BV416*($BS416-CF416)/$BS416*$BX416)&gt;$BA416,$BA416*SIGN(-($BS416-CF416)),-$BV416*($BS416-CF416)/$BS416*$BX416)*DT416</f>
        <v>25637.241738976696</v>
      </c>
      <c r="FI416" s="77">
        <f t="shared" ref="FI416:FI424" si="1305">IF(ABS(-$BV416*($BS416-CG416)/$BS416*$BX416)&gt;$BB416,$BB416*SIGN(-($BS416-CG416)),-$BV416*($BS416-CG416)/$BS416*$BX416)*DU416</f>
        <v>25637.241738976696</v>
      </c>
      <c r="FJ416" s="77">
        <f t="shared" ref="FJ416:FJ424" si="1306">IF(ABS(-$BV416*($BS416-CH416)/$BS416*$BX416)&gt;$BB416,$BB416*SIGN(-($BS416-CH416)),-$BV416*($BS416-CH416)/$BS416*$BX416)*DV416</f>
        <v>25637.241738976696</v>
      </c>
      <c r="FK416" s="77">
        <f t="shared" ref="FK416:FK424" si="1307">IF(ABS(-$BV416*($BS416-CI416)/$BS416*$BX416)&gt;$BB416,$BB416*SIGN(-($BS416-CI416)),-$BV416*($BS416-CI416)/$BS416*$BX416)*DW416</f>
        <v>25637.241738976696</v>
      </c>
      <c r="GO416" s="77">
        <f t="shared" si="1263"/>
        <v>11664944.991234398</v>
      </c>
      <c r="GP416" s="77">
        <f t="shared" si="1264"/>
        <v>9678058.7564637028</v>
      </c>
      <c r="GQ416" s="77">
        <f t="shared" si="1265"/>
        <v>7292347.1019975413</v>
      </c>
      <c r="GR416" s="77">
        <f t="shared" si="1266"/>
        <v>2633698.2318821065</v>
      </c>
      <c r="GS416" s="77">
        <f t="shared" ref="GS416:GS426" si="1308">FE416*(CC416-0.5*$AO416)</f>
        <v>202915.86454959295</v>
      </c>
      <c r="GT416" s="77">
        <f t="shared" si="1272"/>
        <v>0</v>
      </c>
      <c r="GU416" s="77">
        <f t="shared" si="1275"/>
        <v>2024950.6382333275</v>
      </c>
      <c r="GV416" s="77">
        <f t="shared" si="1276"/>
        <v>5127448.3477953393</v>
      </c>
      <c r="GW416" s="77">
        <f t="shared" ref="GW416:GW426" si="1309">FI416*(CG416-0.5*$AO416)</f>
        <v>7691172.521693009</v>
      </c>
      <c r="GX416" s="77">
        <f t="shared" ref="GX416:GX426" si="1310">FJ416*(CH416-0.5*$AO416)</f>
        <v>9678058.7564637028</v>
      </c>
      <c r="GY416" s="77">
        <f t="shared" ref="GY416:GY426" si="1311">FK416*(CI416-0.5*$AO416)</f>
        <v>11664944.991234398</v>
      </c>
      <c r="IC416" s="82">
        <v>438</v>
      </c>
    </row>
    <row r="417" spans="1:237" s="77" customFormat="1">
      <c r="A417" s="77">
        <v>417</v>
      </c>
      <c r="C417" s="122" t="s">
        <v>448</v>
      </c>
      <c r="D417" s="122" t="s">
        <v>450</v>
      </c>
      <c r="E417" s="125">
        <v>1</v>
      </c>
      <c r="F417" s="125">
        <f t="shared" si="1199"/>
        <v>6.934109051549181E-2</v>
      </c>
      <c r="G417" s="122">
        <v>3.1578947368421052E-3</v>
      </c>
      <c r="H417" s="122">
        <v>1.1315789473684211E-2</v>
      </c>
      <c r="I417" s="122">
        <f>21.5/AU417</f>
        <v>1.0696517412935324E-2</v>
      </c>
      <c r="J417" s="122">
        <v>2.0099999999999998</v>
      </c>
      <c r="K417" s="125">
        <f t="shared" si="1223"/>
        <v>9.5</v>
      </c>
      <c r="L417" s="125">
        <f t="shared" si="1224"/>
        <v>6.8651568495546003E-2</v>
      </c>
      <c r="M417" s="125">
        <f t="shared" si="1225"/>
        <v>0.102977352743319</v>
      </c>
      <c r="N417" s="125">
        <f t="shared" si="1226"/>
        <v>0.14122608376226606</v>
      </c>
      <c r="O417" s="125">
        <f t="shared" si="1227"/>
        <v>6.8160042668726106E-2</v>
      </c>
      <c r="P417" s="122">
        <v>0.4</v>
      </c>
      <c r="Q417" s="122" t="s">
        <v>3</v>
      </c>
      <c r="R417" s="133">
        <f t="shared" si="1228"/>
        <v>0</v>
      </c>
      <c r="S417" s="75">
        <f t="shared" si="1163"/>
        <v>0.38682137256138244</v>
      </c>
      <c r="T417" s="59">
        <f t="shared" si="1142"/>
        <v>0.69323753703051627</v>
      </c>
      <c r="U417" s="59">
        <f t="shared" si="1143"/>
        <v>0.51489931026008706</v>
      </c>
      <c r="V417" s="59">
        <f t="shared" si="1144"/>
        <v>0.99095639873240615</v>
      </c>
      <c r="W417" s="59">
        <f t="shared" si="1145"/>
        <v>1.4294615421103263</v>
      </c>
      <c r="X417" s="59">
        <f t="shared" si="1146"/>
        <v>1.9245634612170137</v>
      </c>
      <c r="Y417" s="127">
        <v>205000</v>
      </c>
      <c r="Z417" s="57">
        <f t="shared" si="1147"/>
        <v>394535.50954948779</v>
      </c>
      <c r="AA417" s="77">
        <f t="shared" si="1148"/>
        <v>293039.61613261688</v>
      </c>
      <c r="AB417" s="77">
        <f t="shared" si="1194"/>
        <v>194623.65343408461</v>
      </c>
      <c r="AC417" s="57">
        <f t="shared" si="1149"/>
        <v>0.17</v>
      </c>
      <c r="AD417" s="57">
        <f t="shared" si="1150"/>
        <v>2.0099999999999998</v>
      </c>
      <c r="AE417" s="57">
        <f t="shared" si="1151"/>
        <v>591280</v>
      </c>
      <c r="AF417" s="57">
        <f t="shared" si="1152"/>
        <v>99890.708373911431</v>
      </c>
      <c r="AG417" s="57">
        <f t="shared" si="1058"/>
        <v>193148.90775870543</v>
      </c>
      <c r="AH417" s="77">
        <f t="shared" si="1195"/>
        <v>362644739.60308361</v>
      </c>
      <c r="AI417" s="77">
        <f t="shared" si="1196"/>
        <v>28548803.799426444</v>
      </c>
      <c r="AJ417" s="77">
        <f t="shared" si="1281"/>
        <v>1182560</v>
      </c>
      <c r="AK417" s="77">
        <v>31.12</v>
      </c>
      <c r="AL417" s="78">
        <f t="shared" si="1153"/>
        <v>3.0431362222158373</v>
      </c>
      <c r="AM417" s="57">
        <f t="shared" si="1154"/>
        <v>1</v>
      </c>
      <c r="AN417" s="57">
        <f t="shared" si="1155"/>
        <v>0.8</v>
      </c>
      <c r="AO417" s="77">
        <v>950</v>
      </c>
      <c r="AP417" s="79">
        <v>175</v>
      </c>
      <c r="AQ417" s="57">
        <f t="shared" si="1156"/>
        <v>196.60808005309664</v>
      </c>
      <c r="AR417" s="57">
        <f t="shared" si="1197"/>
        <v>600</v>
      </c>
      <c r="AS417" s="57">
        <f t="shared" si="1157"/>
        <v>753.39191994690339</v>
      </c>
      <c r="AT417" s="77">
        <v>100</v>
      </c>
      <c r="AU417" s="77">
        <v>2010</v>
      </c>
      <c r="AV417" s="57">
        <f t="shared" si="1158"/>
        <v>95000</v>
      </c>
      <c r="AW417" s="77">
        <v>0</v>
      </c>
      <c r="AX417" s="77">
        <f t="shared" si="1159"/>
        <v>95000</v>
      </c>
      <c r="AY417" s="77">
        <f t="shared" si="1286"/>
        <v>95000</v>
      </c>
      <c r="AZ417" s="77">
        <f t="shared" si="1269"/>
        <v>386.3</v>
      </c>
      <c r="BA417" s="77">
        <v>386.3</v>
      </c>
      <c r="BB417" s="77">
        <v>386.3</v>
      </c>
      <c r="BC417" s="77">
        <v>375.1</v>
      </c>
      <c r="BD417" s="77">
        <f t="shared" si="1287"/>
        <v>5.530512067257032E-3</v>
      </c>
      <c r="BE417" s="77">
        <f t="shared" si="1288"/>
        <v>8.2957681008855484E-3</v>
      </c>
      <c r="BF417" s="77">
        <f t="shared" si="1289"/>
        <v>1.1377053395500181E-2</v>
      </c>
      <c r="BG417" s="77">
        <f>(2*PI()*6*6)/(4*100*100)</f>
        <v>5.6548667764616273E-3</v>
      </c>
      <c r="BH417" s="79">
        <v>80</v>
      </c>
      <c r="BI417" s="79">
        <f t="shared" si="1290"/>
        <v>33.183072403542191</v>
      </c>
      <c r="BJ417" s="79">
        <v>2</v>
      </c>
      <c r="BK417" s="57">
        <f t="shared" si="1059"/>
        <v>66.366144807084382</v>
      </c>
      <c r="BL417" s="57">
        <f t="shared" si="1235"/>
        <v>331.83072403542189</v>
      </c>
      <c r="BM417" s="80">
        <f t="shared" si="1291"/>
        <v>33.183072403542191</v>
      </c>
      <c r="BN417" s="80">
        <v>4</v>
      </c>
      <c r="BO417" s="57">
        <f t="shared" si="1198"/>
        <v>132.73228961416876</v>
      </c>
      <c r="BP417" s="57">
        <f t="shared" si="1160"/>
        <v>203146.06174014325</v>
      </c>
      <c r="BQ417" s="77">
        <f t="shared" si="1161"/>
        <v>1.7462298274040222E-10</v>
      </c>
      <c r="BR417" s="57">
        <f t="shared" si="1251"/>
        <v>408323584.09768796</v>
      </c>
      <c r="BS417" s="57">
        <v>393.21616010619329</v>
      </c>
      <c r="BT417" s="57">
        <f t="shared" si="1170"/>
        <v>287.1323623641178</v>
      </c>
      <c r="BU417" s="57"/>
      <c r="BV417" s="57">
        <v>3.3E-3</v>
      </c>
      <c r="BW417" s="57">
        <v>30000</v>
      </c>
      <c r="BX417" s="57">
        <v>200000</v>
      </c>
      <c r="BY417" s="77">
        <v>20</v>
      </c>
      <c r="BZ417" s="77">
        <f t="shared" si="1292"/>
        <v>97.5</v>
      </c>
      <c r="CA417" s="77">
        <f t="shared" si="1293"/>
        <v>175</v>
      </c>
      <c r="CB417" s="77">
        <f t="shared" si="1294"/>
        <v>275</v>
      </c>
      <c r="CC417" s="77">
        <f t="shared" si="1295"/>
        <v>375</v>
      </c>
      <c r="CD417" s="77">
        <f t="shared" si="1296"/>
        <v>475</v>
      </c>
      <c r="CE417" s="77">
        <f t="shared" si="1297"/>
        <v>575</v>
      </c>
      <c r="CF417" s="77">
        <f t="shared" si="1298"/>
        <v>675</v>
      </c>
      <c r="CG417" s="77">
        <f t="shared" si="1299"/>
        <v>775</v>
      </c>
      <c r="CH417" s="77">
        <f t="shared" si="1300"/>
        <v>852.5</v>
      </c>
      <c r="CI417" s="77">
        <f t="shared" si="1301"/>
        <v>930</v>
      </c>
      <c r="DM417" s="77">
        <f t="shared" si="1302"/>
        <v>66.366144807084382</v>
      </c>
      <c r="DN417" s="77">
        <f t="shared" si="1302"/>
        <v>66.366144807084382</v>
      </c>
      <c r="DO417" s="77">
        <f t="shared" si="1302"/>
        <v>66.366144807084382</v>
      </c>
      <c r="DP417" s="77">
        <f t="shared" si="1302"/>
        <v>66.366144807084382</v>
      </c>
      <c r="DQ417" s="77">
        <f t="shared" si="1302"/>
        <v>66.366144807084382</v>
      </c>
      <c r="DR417" s="77">
        <f t="shared" si="1302"/>
        <v>66.366144807084382</v>
      </c>
      <c r="DS417" s="77">
        <f t="shared" si="1302"/>
        <v>66.366144807084382</v>
      </c>
      <c r="DT417" s="77">
        <f t="shared" si="1302"/>
        <v>66.366144807084382</v>
      </c>
      <c r="DU417" s="77">
        <f t="shared" si="1302"/>
        <v>66.366144807084382</v>
      </c>
      <c r="DV417" s="77">
        <f t="shared" si="1302"/>
        <v>66.366144807084382</v>
      </c>
      <c r="DW417" s="77">
        <f t="shared" si="1302"/>
        <v>66.366144807084382</v>
      </c>
      <c r="FA417" s="77">
        <f t="shared" si="1244"/>
        <v>-25637.241738976696</v>
      </c>
      <c r="FB417" s="77">
        <f t="shared" si="1245"/>
        <v>-25637.241738976696</v>
      </c>
      <c r="FC417" s="77">
        <f t="shared" si="1283"/>
        <v>-24307.823673325136</v>
      </c>
      <c r="FD417" s="77">
        <f t="shared" si="1284"/>
        <v>-13168.491159410532</v>
      </c>
      <c r="FE417" s="77">
        <f t="shared" si="1273"/>
        <v>-2029.1586454959295</v>
      </c>
      <c r="FF417" s="77">
        <f t="shared" si="1274"/>
        <v>9110.1738684186748</v>
      </c>
      <c r="FG417" s="77">
        <f t="shared" si="1303"/>
        <v>20249.506382333275</v>
      </c>
      <c r="FH417" s="77">
        <f t="shared" si="1304"/>
        <v>25637.241738976696</v>
      </c>
      <c r="FI417" s="77">
        <f t="shared" si="1305"/>
        <v>25637.241738976696</v>
      </c>
      <c r="FJ417" s="77">
        <f t="shared" si="1306"/>
        <v>25637.241738976696</v>
      </c>
      <c r="FK417" s="77">
        <f t="shared" si="1307"/>
        <v>25637.241738976696</v>
      </c>
      <c r="GO417" s="77">
        <f t="shared" si="1263"/>
        <v>11664944.991234398</v>
      </c>
      <c r="GP417" s="77">
        <f t="shared" si="1264"/>
        <v>9678058.7564637028</v>
      </c>
      <c r="GQ417" s="77">
        <f t="shared" si="1265"/>
        <v>7292347.1019975413</v>
      </c>
      <c r="GR417" s="77">
        <f t="shared" si="1266"/>
        <v>2633698.2318821065</v>
      </c>
      <c r="GS417" s="77">
        <f t="shared" si="1308"/>
        <v>202915.86454959295</v>
      </c>
      <c r="GT417" s="77">
        <f t="shared" si="1272"/>
        <v>0</v>
      </c>
      <c r="GU417" s="77">
        <f t="shared" si="1275"/>
        <v>2024950.6382333275</v>
      </c>
      <c r="GV417" s="77">
        <f t="shared" si="1276"/>
        <v>5127448.3477953393</v>
      </c>
      <c r="GW417" s="77">
        <f t="shared" si="1309"/>
        <v>7691172.521693009</v>
      </c>
      <c r="GX417" s="77">
        <f t="shared" si="1310"/>
        <v>9678058.7564637028</v>
      </c>
      <c r="GY417" s="77">
        <f t="shared" si="1311"/>
        <v>11664944.991234398</v>
      </c>
      <c r="IC417" s="82">
        <v>439</v>
      </c>
    </row>
    <row r="418" spans="1:237" s="139" customFormat="1">
      <c r="A418" s="77">
        <v>418</v>
      </c>
      <c r="B418" s="77"/>
      <c r="C418" s="122" t="s">
        <v>448</v>
      </c>
      <c r="D418" s="122" t="s">
        <v>451</v>
      </c>
      <c r="E418" s="125">
        <v>1</v>
      </c>
      <c r="F418" s="125">
        <f t="shared" si="1199"/>
        <v>7.6882742347774799E-2</v>
      </c>
      <c r="G418" s="122">
        <v>3.2105263157894736E-3</v>
      </c>
      <c r="H418" s="122">
        <v>9.4736842105263164E-3</v>
      </c>
      <c r="I418" s="122">
        <f>29.5/AU418</f>
        <v>1.4676616915422885E-2</v>
      </c>
      <c r="J418" s="122">
        <v>2.0099999999999998</v>
      </c>
      <c r="K418" s="125">
        <f t="shared" si="1223"/>
        <v>9.5</v>
      </c>
      <c r="L418" s="125">
        <f t="shared" si="1224"/>
        <v>6.6514222029308581E-2</v>
      </c>
      <c r="M418" s="125">
        <f t="shared" si="1225"/>
        <v>9.9771333043962879E-2</v>
      </c>
      <c r="N418" s="125">
        <f t="shared" si="1226"/>
        <v>0.13682925674600624</v>
      </c>
      <c r="O418" s="125">
        <f t="shared" si="1227"/>
        <v>6.6037998999089562E-2</v>
      </c>
      <c r="P418" s="122">
        <v>0.4</v>
      </c>
      <c r="Q418" s="122" t="s">
        <v>3</v>
      </c>
      <c r="R418" s="133">
        <f t="shared" si="1228"/>
        <v>0</v>
      </c>
      <c r="S418" s="75">
        <f t="shared" si="1163"/>
        <v>0.43572916932168776</v>
      </c>
      <c r="T418" s="59">
        <f t="shared" si="1142"/>
        <v>0.70590779088789646</v>
      </c>
      <c r="U418" s="59">
        <f t="shared" si="1143"/>
        <v>0.52665811748031721</v>
      </c>
      <c r="V418" s="59">
        <f t="shared" si="1144"/>
        <v>0.88892432183144621</v>
      </c>
      <c r="W418" s="59">
        <f t="shared" si="1145"/>
        <v>1.2592640757135576</v>
      </c>
      <c r="X418" s="59">
        <f t="shared" si="1146"/>
        <v>1.6878583892038237</v>
      </c>
      <c r="Y418" s="127">
        <v>234600</v>
      </c>
      <c r="Z418" s="57">
        <f t="shared" si="1147"/>
        <v>395971.57810721704</v>
      </c>
      <c r="AA418" s="77">
        <f t="shared" si="1148"/>
        <v>295423.35216240061</v>
      </c>
      <c r="AB418" s="77">
        <f t="shared" si="1194"/>
        <v>200479.58823263022</v>
      </c>
      <c r="AC418" s="57">
        <f t="shared" si="1149"/>
        <v>0.17</v>
      </c>
      <c r="AD418" s="57">
        <f t="shared" si="1150"/>
        <v>2.0099999999999998</v>
      </c>
      <c r="AE418" s="57">
        <f t="shared" si="1151"/>
        <v>610280</v>
      </c>
      <c r="AF418" s="57">
        <f t="shared" si="1152"/>
        <v>102229.19089062297</v>
      </c>
      <c r="AG418" s="57">
        <f t="shared" ref="AG418:AG426" si="1312">0.8*AZ418*BK418/BH418*AS418</f>
        <v>193194.16127177764</v>
      </c>
      <c r="AH418" s="77">
        <f t="shared" si="1195"/>
        <v>374397067.1429314</v>
      </c>
      <c r="AI418" s="77">
        <f t="shared" si="1196"/>
        <v>28566905.204655319</v>
      </c>
      <c r="AJ418" s="77">
        <f t="shared" si="1281"/>
        <v>1220560</v>
      </c>
      <c r="AK418" s="77">
        <v>32.119999999999997</v>
      </c>
      <c r="AL418" s="78">
        <f t="shared" si="1153"/>
        <v>3.0965362250883768</v>
      </c>
      <c r="AM418" s="57">
        <f t="shared" si="1154"/>
        <v>1</v>
      </c>
      <c r="AN418" s="57">
        <f t="shared" si="1155"/>
        <v>0.8</v>
      </c>
      <c r="AO418" s="77">
        <v>950</v>
      </c>
      <c r="AP418" s="79">
        <v>175</v>
      </c>
      <c r="AQ418" s="57">
        <f t="shared" si="1156"/>
        <v>196.43156530344874</v>
      </c>
      <c r="AR418" s="57">
        <f t="shared" si="1197"/>
        <v>600</v>
      </c>
      <c r="AS418" s="57">
        <f t="shared" si="1157"/>
        <v>753.56843469655132</v>
      </c>
      <c r="AT418" s="77">
        <v>100</v>
      </c>
      <c r="AU418" s="77">
        <v>2010</v>
      </c>
      <c r="AV418" s="57">
        <f t="shared" si="1158"/>
        <v>95000</v>
      </c>
      <c r="AW418" s="77">
        <v>0</v>
      </c>
      <c r="AX418" s="77">
        <f t="shared" si="1159"/>
        <v>95000</v>
      </c>
      <c r="AY418" s="77">
        <f t="shared" si="1286"/>
        <v>95000</v>
      </c>
      <c r="AZ418" s="77">
        <f t="shared" si="1269"/>
        <v>386.3</v>
      </c>
      <c r="BA418" s="77">
        <v>386.3</v>
      </c>
      <c r="BB418" s="77">
        <v>386.3</v>
      </c>
      <c r="BC418" s="77">
        <v>375.1</v>
      </c>
      <c r="BD418" s="77">
        <f t="shared" si="1287"/>
        <v>5.530512067257032E-3</v>
      </c>
      <c r="BE418" s="77">
        <f t="shared" si="1288"/>
        <v>8.2957681008855484E-3</v>
      </c>
      <c r="BF418" s="77">
        <f t="shared" si="1289"/>
        <v>1.1377053395500181E-2</v>
      </c>
      <c r="BG418" s="77">
        <f>(2*PI()*6*6)/(4*100*100)</f>
        <v>5.6548667764616273E-3</v>
      </c>
      <c r="BH418" s="79">
        <v>80</v>
      </c>
      <c r="BI418" s="79">
        <f t="shared" si="1290"/>
        <v>33.183072403542191</v>
      </c>
      <c r="BJ418" s="79">
        <v>2</v>
      </c>
      <c r="BK418" s="57">
        <f t="shared" ref="BK418:BK426" si="1313">BI418*BJ418</f>
        <v>66.366144807084382</v>
      </c>
      <c r="BL418" s="57">
        <f t="shared" si="1235"/>
        <v>331.83072403542189</v>
      </c>
      <c r="BM418" s="80">
        <f t="shared" si="1291"/>
        <v>33.183072403542191</v>
      </c>
      <c r="BN418" s="80">
        <v>4</v>
      </c>
      <c r="BO418" s="57">
        <f t="shared" si="1198"/>
        <v>132.73228961416876</v>
      </c>
      <c r="BP418" s="57">
        <f t="shared" si="1160"/>
        <v>208541.64590165729</v>
      </c>
      <c r="BQ418" s="77">
        <f t="shared" si="1161"/>
        <v>7.2759576141834259E-11</v>
      </c>
      <c r="BR418" s="57">
        <f t="shared" si="1251"/>
        <v>419168708.26233113</v>
      </c>
      <c r="BS418" s="57">
        <v>392.86313060689747</v>
      </c>
      <c r="BT418" s="57">
        <f t="shared" si="1170"/>
        <v>289.09551081146634</v>
      </c>
      <c r="BU418" s="57"/>
      <c r="BV418" s="57">
        <v>3.3E-3</v>
      </c>
      <c r="BW418" s="57">
        <v>30000</v>
      </c>
      <c r="BX418" s="57">
        <v>200000</v>
      </c>
      <c r="BY418" s="77">
        <v>20</v>
      </c>
      <c r="BZ418" s="77">
        <f t="shared" si="1292"/>
        <v>97.5</v>
      </c>
      <c r="CA418" s="77">
        <f t="shared" si="1293"/>
        <v>175</v>
      </c>
      <c r="CB418" s="77">
        <f t="shared" si="1294"/>
        <v>275</v>
      </c>
      <c r="CC418" s="77">
        <f t="shared" si="1295"/>
        <v>375</v>
      </c>
      <c r="CD418" s="77">
        <f t="shared" si="1296"/>
        <v>475</v>
      </c>
      <c r="CE418" s="77">
        <f t="shared" si="1297"/>
        <v>575</v>
      </c>
      <c r="CF418" s="77">
        <f t="shared" si="1298"/>
        <v>675</v>
      </c>
      <c r="CG418" s="77">
        <f t="shared" si="1299"/>
        <v>775</v>
      </c>
      <c r="CH418" s="77">
        <f t="shared" si="1300"/>
        <v>852.5</v>
      </c>
      <c r="CI418" s="77">
        <f t="shared" si="1301"/>
        <v>930</v>
      </c>
      <c r="CJ418" s="77"/>
      <c r="CK418" s="77"/>
      <c r="CL418" s="77"/>
      <c r="CM418" s="77"/>
      <c r="CN418" s="77"/>
      <c r="CO418" s="77"/>
      <c r="CP418" s="77"/>
      <c r="CQ418" s="77"/>
      <c r="CR418" s="77"/>
      <c r="CS418" s="77"/>
      <c r="CT418" s="77"/>
      <c r="CU418" s="77"/>
      <c r="CV418" s="77"/>
      <c r="CW418" s="77"/>
      <c r="CX418" s="77"/>
      <c r="CY418" s="77"/>
      <c r="CZ418" s="77"/>
      <c r="DA418" s="77"/>
      <c r="DB418" s="77"/>
      <c r="DC418" s="77"/>
      <c r="DD418" s="77"/>
      <c r="DE418" s="77"/>
      <c r="DF418" s="77"/>
      <c r="DG418" s="77"/>
      <c r="DH418" s="77"/>
      <c r="DI418" s="77"/>
      <c r="DJ418" s="77"/>
      <c r="DK418" s="77"/>
      <c r="DL418" s="77"/>
      <c r="DM418" s="77">
        <f t="shared" si="1302"/>
        <v>66.366144807084382</v>
      </c>
      <c r="DN418" s="77">
        <f t="shared" si="1302"/>
        <v>66.366144807084382</v>
      </c>
      <c r="DO418" s="77">
        <f t="shared" si="1302"/>
        <v>66.366144807084382</v>
      </c>
      <c r="DP418" s="77">
        <f t="shared" si="1302"/>
        <v>66.366144807084382</v>
      </c>
      <c r="DQ418" s="77">
        <f t="shared" si="1302"/>
        <v>66.366144807084382</v>
      </c>
      <c r="DR418" s="77">
        <f t="shared" si="1302"/>
        <v>66.366144807084382</v>
      </c>
      <c r="DS418" s="77">
        <f t="shared" si="1302"/>
        <v>66.366144807084382</v>
      </c>
      <c r="DT418" s="77">
        <f t="shared" si="1302"/>
        <v>66.366144807084382</v>
      </c>
      <c r="DU418" s="77">
        <f t="shared" si="1302"/>
        <v>66.366144807084382</v>
      </c>
      <c r="DV418" s="77">
        <f t="shared" si="1302"/>
        <v>66.366144807084382</v>
      </c>
      <c r="DW418" s="77">
        <f t="shared" si="1302"/>
        <v>66.366144807084382</v>
      </c>
      <c r="DX418" s="77"/>
      <c r="DY418" s="77"/>
      <c r="DZ418" s="77"/>
      <c r="EA418" s="77"/>
      <c r="EB418" s="77"/>
      <c r="EC418" s="77"/>
      <c r="ED418" s="77"/>
      <c r="EE418" s="77"/>
      <c r="EF418" s="77"/>
      <c r="EG418" s="77"/>
      <c r="EH418" s="77"/>
      <c r="EI418" s="77"/>
      <c r="EJ418" s="77"/>
      <c r="EK418" s="77"/>
      <c r="EL418" s="77"/>
      <c r="EM418" s="77"/>
      <c r="EN418" s="77"/>
      <c r="EO418" s="77"/>
      <c r="EP418" s="77"/>
      <c r="EQ418" s="77"/>
      <c r="ER418" s="77"/>
      <c r="ES418" s="77"/>
      <c r="ET418" s="77"/>
      <c r="EU418" s="77"/>
      <c r="EV418" s="77"/>
      <c r="EW418" s="77"/>
      <c r="EX418" s="77"/>
      <c r="EY418" s="77"/>
      <c r="EZ418" s="77"/>
      <c r="FA418" s="77">
        <f t="shared" si="1244"/>
        <v>-25637.241738976696</v>
      </c>
      <c r="FB418" s="77">
        <f t="shared" si="1245"/>
        <v>-25637.241738976696</v>
      </c>
      <c r="FC418" s="77">
        <f t="shared" si="1283"/>
        <v>-24290.306382496259</v>
      </c>
      <c r="FD418" s="77">
        <f t="shared" si="1284"/>
        <v>-13140.963988108009</v>
      </c>
      <c r="FE418" s="77">
        <f t="shared" si="1273"/>
        <v>-1991.6215937197624</v>
      </c>
      <c r="FF418" s="77">
        <f t="shared" si="1274"/>
        <v>9157.7208006684868</v>
      </c>
      <c r="FG418" s="77">
        <f t="shared" si="1303"/>
        <v>20307.063195056733</v>
      </c>
      <c r="FH418" s="77">
        <f t="shared" si="1304"/>
        <v>25637.241738976696</v>
      </c>
      <c r="FI418" s="77">
        <f t="shared" si="1305"/>
        <v>25637.241738976696</v>
      </c>
      <c r="FJ418" s="77">
        <f t="shared" si="1306"/>
        <v>25637.241738976696</v>
      </c>
      <c r="FK418" s="77">
        <f t="shared" si="1307"/>
        <v>25637.241738976696</v>
      </c>
      <c r="FL418" s="77"/>
      <c r="FM418" s="77"/>
      <c r="FN418" s="77"/>
      <c r="FO418" s="77"/>
      <c r="FP418" s="77"/>
      <c r="FQ418" s="77"/>
      <c r="FR418" s="77"/>
      <c r="FS418" s="77"/>
      <c r="FT418" s="77"/>
      <c r="FU418" s="77"/>
      <c r="FV418" s="77"/>
      <c r="FW418" s="77"/>
      <c r="FX418" s="77"/>
      <c r="FY418" s="77"/>
      <c r="FZ418" s="77"/>
      <c r="GA418" s="77"/>
      <c r="GB418" s="77"/>
      <c r="GC418" s="77"/>
      <c r="GD418" s="77"/>
      <c r="GE418" s="77"/>
      <c r="GF418" s="77"/>
      <c r="GG418" s="77"/>
      <c r="GH418" s="77"/>
      <c r="GI418" s="77"/>
      <c r="GJ418" s="77"/>
      <c r="GK418" s="77"/>
      <c r="GL418" s="77"/>
      <c r="GM418" s="77"/>
      <c r="GN418" s="77"/>
      <c r="GO418" s="77">
        <f t="shared" si="1263"/>
        <v>11664944.991234398</v>
      </c>
      <c r="GP418" s="77">
        <f t="shared" si="1264"/>
        <v>9678058.7564637028</v>
      </c>
      <c r="GQ418" s="77">
        <f t="shared" si="1265"/>
        <v>7287091.9147488773</v>
      </c>
      <c r="GR418" s="77">
        <f t="shared" si="1266"/>
        <v>2628192.7976216017</v>
      </c>
      <c r="GS418" s="77">
        <f t="shared" si="1308"/>
        <v>199162.15937197625</v>
      </c>
      <c r="GT418" s="77">
        <f t="shared" si="1272"/>
        <v>0</v>
      </c>
      <c r="GU418" s="77">
        <f t="shared" si="1275"/>
        <v>2030706.3195056734</v>
      </c>
      <c r="GV418" s="77">
        <f t="shared" si="1276"/>
        <v>5127448.3477953393</v>
      </c>
      <c r="GW418" s="77">
        <f t="shared" si="1309"/>
        <v>7691172.521693009</v>
      </c>
      <c r="GX418" s="77">
        <f t="shared" si="1310"/>
        <v>9678058.7564637028</v>
      </c>
      <c r="GY418" s="77">
        <f t="shared" si="1311"/>
        <v>11664944.991234398</v>
      </c>
      <c r="GZ418" s="77"/>
      <c r="HA418" s="77"/>
      <c r="HB418" s="77"/>
      <c r="HC418" s="77"/>
      <c r="HD418" s="77"/>
      <c r="HE418" s="77"/>
      <c r="HF418" s="77"/>
      <c r="HG418" s="77"/>
      <c r="HH418" s="77"/>
      <c r="HI418" s="77"/>
      <c r="HJ418" s="77"/>
      <c r="HK418" s="77"/>
      <c r="HL418" s="77"/>
      <c r="HM418" s="77"/>
      <c r="HN418" s="77"/>
      <c r="HO418" s="77"/>
      <c r="HP418" s="77"/>
      <c r="HQ418" s="77"/>
      <c r="HR418" s="77"/>
      <c r="HS418" s="77"/>
      <c r="HT418" s="77"/>
      <c r="HU418" s="77"/>
      <c r="HV418" s="77"/>
      <c r="HW418" s="77"/>
      <c r="HX418" s="77"/>
      <c r="HY418" s="77"/>
      <c r="HZ418" s="77"/>
      <c r="IA418" s="77"/>
      <c r="IB418" s="77"/>
      <c r="IC418" s="82">
        <v>440</v>
      </c>
    </row>
    <row r="419" spans="1:237" s="77" customFormat="1">
      <c r="A419" s="77">
        <v>419</v>
      </c>
      <c r="C419" s="122" t="s">
        <v>448</v>
      </c>
      <c r="D419" s="122" t="s">
        <v>452</v>
      </c>
      <c r="E419" s="125">
        <v>1</v>
      </c>
      <c r="F419" s="125">
        <f t="shared" si="1199"/>
        <v>5.5875991348233602E-2</v>
      </c>
      <c r="G419" s="122">
        <v>3.0000000000000001E-3</v>
      </c>
      <c r="H419" s="122">
        <v>8.6842105263157891E-3</v>
      </c>
      <c r="I419" s="122">
        <f>38.5/AU419</f>
        <v>1.9154228855721392E-2</v>
      </c>
      <c r="J419" s="122">
        <v>2.0099999999999998</v>
      </c>
      <c r="K419" s="125">
        <f t="shared" si="1223"/>
        <v>9.5</v>
      </c>
      <c r="L419" s="125">
        <f t="shared" si="1224"/>
        <v>6.6514222029308581E-2</v>
      </c>
      <c r="M419" s="125">
        <f t="shared" si="1225"/>
        <v>9.9771333043962879E-2</v>
      </c>
      <c r="N419" s="125">
        <f t="shared" si="1226"/>
        <v>0.13682925674600624</v>
      </c>
      <c r="O419" s="125">
        <f t="shared" si="1227"/>
        <v>6.6037998999089562E-2</v>
      </c>
      <c r="P419" s="122">
        <v>0.2</v>
      </c>
      <c r="Q419" s="122" t="s">
        <v>3</v>
      </c>
      <c r="R419" s="133">
        <f t="shared" si="1228"/>
        <v>0</v>
      </c>
      <c r="S419" s="75">
        <f t="shared" si="1163"/>
        <v>0.31667443891452585</v>
      </c>
      <c r="T419" s="59">
        <f t="shared" si="1142"/>
        <v>0.49632261017054147</v>
      </c>
      <c r="U419" s="59">
        <f t="shared" si="1143"/>
        <v>0.40493631894701521</v>
      </c>
      <c r="V419" s="59">
        <f t="shared" si="1144"/>
        <v>0.94042975511071547</v>
      </c>
      <c r="W419" s="59">
        <f t="shared" si="1145"/>
        <v>1.8947953122417176</v>
      </c>
      <c r="X419" s="59">
        <f t="shared" si="1146"/>
        <v>2.3224139478429153</v>
      </c>
      <c r="Y419" s="127">
        <v>170500</v>
      </c>
      <c r="Z419" s="57">
        <f t="shared" si="1147"/>
        <v>395971.57810721704</v>
      </c>
      <c r="AA419" s="77">
        <f t="shared" si="1148"/>
        <v>323062.60073721287</v>
      </c>
      <c r="AB419" s="77">
        <f t="shared" ref="AB419:AB426" si="1314">(AH419+AI419)/AU419</f>
        <v>227487.58199523416</v>
      </c>
      <c r="AC419" s="57">
        <f t="shared" si="1149"/>
        <v>0.17</v>
      </c>
      <c r="AD419" s="57">
        <f t="shared" si="1150"/>
        <v>2.0099999999999998</v>
      </c>
      <c r="AE419" s="57">
        <f t="shared" si="1151"/>
        <v>610280</v>
      </c>
      <c r="AF419" s="57">
        <f t="shared" si="1152"/>
        <v>108928.88936010272</v>
      </c>
      <c r="AG419" s="57">
        <f t="shared" si="1312"/>
        <v>214133.71137711016</v>
      </c>
      <c r="AH419" s="77">
        <f t="shared" ref="AH419:AH426" si="1315">AM419*AK419*AT419*AP419*(AS419-0.5*AP419)</f>
        <v>420307314.56363231</v>
      </c>
      <c r="AI419" s="77">
        <f t="shared" ref="AI419:AI426" si="1316">BB419*BO419*(AS419-AQ419)</f>
        <v>36942725.246788323</v>
      </c>
      <c r="AJ419" s="77">
        <f t="shared" si="1281"/>
        <v>610280</v>
      </c>
      <c r="AK419" s="77">
        <v>32.119999999999997</v>
      </c>
      <c r="AL419" s="78">
        <f t="shared" si="1153"/>
        <v>3.0965362250883768</v>
      </c>
      <c r="AM419" s="57">
        <f t="shared" si="1154"/>
        <v>1</v>
      </c>
      <c r="AN419" s="57">
        <f t="shared" si="1155"/>
        <v>0.8</v>
      </c>
      <c r="AO419" s="77">
        <v>950</v>
      </c>
      <c r="AP419" s="79">
        <v>175</v>
      </c>
      <c r="AQ419" s="57">
        <f t="shared" si="1156"/>
        <v>114.7552667432264</v>
      </c>
      <c r="AR419" s="57">
        <f t="shared" ref="AR419:AR426" si="1317">AO419-2*AP419</f>
        <v>600</v>
      </c>
      <c r="AS419" s="57">
        <f t="shared" si="1157"/>
        <v>835.24473325677354</v>
      </c>
      <c r="AT419" s="77">
        <v>100</v>
      </c>
      <c r="AU419" s="77">
        <v>2010</v>
      </c>
      <c r="AV419" s="57">
        <f t="shared" si="1158"/>
        <v>95000</v>
      </c>
      <c r="AW419" s="77">
        <v>0</v>
      </c>
      <c r="AX419" s="77">
        <f t="shared" si="1159"/>
        <v>95000</v>
      </c>
      <c r="AY419" s="77">
        <f t="shared" si="1286"/>
        <v>95000</v>
      </c>
      <c r="AZ419" s="77">
        <f t="shared" si="1269"/>
        <v>386.3</v>
      </c>
      <c r="BA419" s="77">
        <v>386.3</v>
      </c>
      <c r="BB419" s="77">
        <v>386.3</v>
      </c>
      <c r="BC419" s="77">
        <v>375.1</v>
      </c>
      <c r="BD419" s="77">
        <f t="shared" si="1287"/>
        <v>5.530512067257032E-3</v>
      </c>
      <c r="BE419" s="77">
        <f t="shared" si="1288"/>
        <v>8.2957681008855484E-3</v>
      </c>
      <c r="BF419" s="77">
        <f t="shared" si="1289"/>
        <v>1.1377053395500181E-2</v>
      </c>
      <c r="BG419" s="77">
        <f>(2*PI()*6*6)/(4*100*100)</f>
        <v>5.6548667764616273E-3</v>
      </c>
      <c r="BH419" s="79">
        <v>80</v>
      </c>
      <c r="BI419" s="79">
        <f t="shared" si="1290"/>
        <v>33.183072403542191</v>
      </c>
      <c r="BJ419" s="79">
        <v>2</v>
      </c>
      <c r="BK419" s="57">
        <f t="shared" si="1313"/>
        <v>66.366144807084382</v>
      </c>
      <c r="BL419" s="57">
        <f t="shared" si="1235"/>
        <v>331.83072403542189</v>
      </c>
      <c r="BM419" s="80">
        <f t="shared" si="1291"/>
        <v>33.183072403542191</v>
      </c>
      <c r="BN419" s="80">
        <v>4</v>
      </c>
      <c r="BO419" s="57">
        <f t="shared" ref="BO419:BO426" si="1318">BM419*BN419</f>
        <v>132.73228961416876</v>
      </c>
      <c r="BP419" s="57">
        <f t="shared" si="1160"/>
        <v>160343.27324637698</v>
      </c>
      <c r="BQ419" s="77">
        <f t="shared" si="1161"/>
        <v>0</v>
      </c>
      <c r="BR419" s="57">
        <f t="shared" si="1251"/>
        <v>322289979.2252177</v>
      </c>
      <c r="BS419" s="57">
        <v>229.5105334864528</v>
      </c>
      <c r="BT419" s="57">
        <f t="shared" si="1170"/>
        <v>289.09551081146634</v>
      </c>
      <c r="BU419" s="57"/>
      <c r="BV419" s="57">
        <v>3.3E-3</v>
      </c>
      <c r="BW419" s="57">
        <v>30000</v>
      </c>
      <c r="BX419" s="57">
        <v>200000</v>
      </c>
      <c r="BY419" s="77">
        <v>20</v>
      </c>
      <c r="BZ419" s="77">
        <f t="shared" si="1292"/>
        <v>97.5</v>
      </c>
      <c r="CA419" s="77">
        <f t="shared" si="1293"/>
        <v>175</v>
      </c>
      <c r="CB419" s="77">
        <f t="shared" si="1294"/>
        <v>275</v>
      </c>
      <c r="CC419" s="77">
        <f t="shared" si="1295"/>
        <v>375</v>
      </c>
      <c r="CD419" s="77">
        <f t="shared" si="1296"/>
        <v>475</v>
      </c>
      <c r="CE419" s="77">
        <f t="shared" si="1297"/>
        <v>575</v>
      </c>
      <c r="CF419" s="77">
        <f t="shared" si="1298"/>
        <v>675</v>
      </c>
      <c r="CG419" s="77">
        <f t="shared" si="1299"/>
        <v>775</v>
      </c>
      <c r="CH419" s="77">
        <f t="shared" si="1300"/>
        <v>852.5</v>
      </c>
      <c r="CI419" s="77">
        <f t="shared" si="1301"/>
        <v>930</v>
      </c>
      <c r="DM419" s="77">
        <f t="shared" si="1302"/>
        <v>66.366144807084382</v>
      </c>
      <c r="DN419" s="77">
        <f t="shared" si="1302"/>
        <v>66.366144807084382</v>
      </c>
      <c r="DO419" s="77">
        <f t="shared" si="1302"/>
        <v>66.366144807084382</v>
      </c>
      <c r="DP419" s="77">
        <f t="shared" si="1302"/>
        <v>66.366144807084382</v>
      </c>
      <c r="DQ419" s="77">
        <f t="shared" si="1302"/>
        <v>66.366144807084382</v>
      </c>
      <c r="DR419" s="77">
        <f t="shared" si="1302"/>
        <v>66.366144807084382</v>
      </c>
      <c r="DS419" s="77">
        <f t="shared" si="1302"/>
        <v>66.366144807084382</v>
      </c>
      <c r="DT419" s="77">
        <f t="shared" si="1302"/>
        <v>66.366144807084382</v>
      </c>
      <c r="DU419" s="77">
        <f t="shared" si="1302"/>
        <v>66.366144807084382</v>
      </c>
      <c r="DV419" s="77">
        <f t="shared" si="1302"/>
        <v>66.366144807084382</v>
      </c>
      <c r="DW419" s="77">
        <f t="shared" si="1302"/>
        <v>66.366144807084382</v>
      </c>
      <c r="FA419" s="77">
        <f t="shared" si="1244"/>
        <v>-25637.241738976696</v>
      </c>
      <c r="FB419" s="77">
        <f t="shared" si="1245"/>
        <v>-25193.963134942929</v>
      </c>
      <c r="FC419" s="77">
        <f t="shared" si="1283"/>
        <v>-10403.23324853996</v>
      </c>
      <c r="FD419" s="77">
        <f t="shared" si="1284"/>
        <v>8681.5795081090255</v>
      </c>
      <c r="FE419" s="77">
        <f t="shared" si="1273"/>
        <v>25637.241738976696</v>
      </c>
      <c r="FF419" s="77">
        <f t="shared" si="1274"/>
        <v>25637.241738976696</v>
      </c>
      <c r="FG419" s="77">
        <f t="shared" si="1303"/>
        <v>25637.241738976696</v>
      </c>
      <c r="FH419" s="77">
        <f t="shared" si="1304"/>
        <v>25637.241738976696</v>
      </c>
      <c r="FI419" s="77">
        <f t="shared" si="1305"/>
        <v>25637.241738976696</v>
      </c>
      <c r="FJ419" s="77">
        <f t="shared" si="1306"/>
        <v>25637.241738976696</v>
      </c>
      <c r="FK419" s="77">
        <f t="shared" si="1307"/>
        <v>25637.241738976696</v>
      </c>
      <c r="GO419" s="77">
        <f t="shared" si="1263"/>
        <v>11664944.991234398</v>
      </c>
      <c r="GP419" s="77">
        <f t="shared" si="1264"/>
        <v>9510721.0834409557</v>
      </c>
      <c r="GQ419" s="77">
        <f t="shared" si="1265"/>
        <v>3120969.9745619879</v>
      </c>
      <c r="GR419" s="77">
        <f t="shared" si="1266"/>
        <v>-1736315.901621805</v>
      </c>
      <c r="GS419" s="77">
        <f t="shared" si="1308"/>
        <v>-2563724.1738976697</v>
      </c>
      <c r="GT419" s="77">
        <f t="shared" si="1272"/>
        <v>0</v>
      </c>
      <c r="GU419" s="77">
        <f t="shared" si="1275"/>
        <v>2563724.1738976697</v>
      </c>
      <c r="GV419" s="77">
        <f t="shared" si="1276"/>
        <v>5127448.3477953393</v>
      </c>
      <c r="GW419" s="77">
        <f t="shared" si="1309"/>
        <v>7691172.521693009</v>
      </c>
      <c r="GX419" s="77">
        <f t="shared" si="1310"/>
        <v>9678058.7564637028</v>
      </c>
      <c r="GY419" s="77">
        <f t="shared" si="1311"/>
        <v>11664944.991234398</v>
      </c>
      <c r="IC419" s="82">
        <v>441</v>
      </c>
    </row>
    <row r="420" spans="1:237" s="77" customFormat="1">
      <c r="A420" s="77">
        <v>420</v>
      </c>
      <c r="C420" s="122" t="s">
        <v>448</v>
      </c>
      <c r="D420" s="122" t="s">
        <v>453</v>
      </c>
      <c r="E420" s="125">
        <v>1</v>
      </c>
      <c r="F420" s="125">
        <f t="shared" ref="F420:F426" si="1319">Y420/AY420/AK420</f>
        <v>6.6952874090581385E-2</v>
      </c>
      <c r="G420" s="122">
        <v>2.9473684210526313E-3</v>
      </c>
      <c r="H420" s="122">
        <v>8.6842105263157891E-3</v>
      </c>
      <c r="I420" s="122">
        <f>34.2/AU420</f>
        <v>1.7014925373134329E-2</v>
      </c>
      <c r="J420" s="122">
        <v>2.0099999999999998</v>
      </c>
      <c r="K420" s="125">
        <f t="shared" si="1223"/>
        <v>9.5</v>
      </c>
      <c r="L420" s="125">
        <f t="shared" si="1224"/>
        <v>6.6514222029308581E-2</v>
      </c>
      <c r="M420" s="125">
        <f t="shared" si="1225"/>
        <v>9.9771333043962879E-2</v>
      </c>
      <c r="N420" s="125">
        <f t="shared" si="1226"/>
        <v>0.13682925674600624</v>
      </c>
      <c r="O420" s="125">
        <f t="shared" si="1227"/>
        <v>6.6037998999089562E-2</v>
      </c>
      <c r="P420" s="122">
        <v>0.3</v>
      </c>
      <c r="Q420" s="122" t="s">
        <v>3</v>
      </c>
      <c r="R420" s="133">
        <f t="shared" si="1228"/>
        <v>0</v>
      </c>
      <c r="S420" s="75">
        <f t="shared" si="1163"/>
        <v>0.37945212827118852</v>
      </c>
      <c r="T420" s="59">
        <f t="shared" si="1142"/>
        <v>0.61668549679017359</v>
      </c>
      <c r="U420" s="59">
        <f t="shared" si="1143"/>
        <v>0.48157451079475105</v>
      </c>
      <c r="V420" s="59">
        <f t="shared" si="1144"/>
        <v>0.93338139508374252</v>
      </c>
      <c r="W420" s="59">
        <f t="shared" si="1145"/>
        <v>1.5135452348757348</v>
      </c>
      <c r="X420" s="59">
        <f t="shared" si="1146"/>
        <v>1.9381868727714979</v>
      </c>
      <c r="Y420" s="127">
        <v>204300</v>
      </c>
      <c r="Z420" s="57">
        <f t="shared" si="1147"/>
        <v>395971.57810721704</v>
      </c>
      <c r="AA420" s="77">
        <f t="shared" si="1148"/>
        <v>309217.29148511263</v>
      </c>
      <c r="AB420" s="77">
        <f t="shared" si="1314"/>
        <v>213958.48677001832</v>
      </c>
      <c r="AC420" s="57">
        <f t="shared" si="1149"/>
        <v>0.17</v>
      </c>
      <c r="AD420" s="57">
        <f t="shared" si="1150"/>
        <v>2.0099999999999998</v>
      </c>
      <c r="AE420" s="57">
        <f t="shared" si="1151"/>
        <v>610280</v>
      </c>
      <c r="AF420" s="57">
        <f t="shared" si="1152"/>
        <v>105572.81414138996</v>
      </c>
      <c r="AG420" s="57">
        <f t="shared" si="1312"/>
        <v>203644.47734372268</v>
      </c>
      <c r="AH420" s="77">
        <f t="shared" si="1315"/>
        <v>397309526.7743035</v>
      </c>
      <c r="AI420" s="77">
        <f t="shared" si="1316"/>
        <v>32747031.633433335</v>
      </c>
      <c r="AJ420" s="77">
        <f t="shared" si="1281"/>
        <v>915419.99999999988</v>
      </c>
      <c r="AK420" s="77">
        <v>32.119999999999997</v>
      </c>
      <c r="AL420" s="78">
        <f t="shared" si="1153"/>
        <v>3.0965362250883768</v>
      </c>
      <c r="AM420" s="57">
        <f t="shared" si="1154"/>
        <v>1</v>
      </c>
      <c r="AN420" s="57">
        <f t="shared" si="1155"/>
        <v>0.8</v>
      </c>
      <c r="AO420" s="77">
        <v>950</v>
      </c>
      <c r="AP420" s="79">
        <v>175</v>
      </c>
      <c r="AQ420" s="57">
        <f t="shared" si="1156"/>
        <v>155.66931724905967</v>
      </c>
      <c r="AR420" s="57">
        <f t="shared" si="1317"/>
        <v>600</v>
      </c>
      <c r="AS420" s="57">
        <f t="shared" si="1157"/>
        <v>794.33068275094035</v>
      </c>
      <c r="AT420" s="77">
        <v>100</v>
      </c>
      <c r="AU420" s="77">
        <v>2010</v>
      </c>
      <c r="AV420" s="57">
        <f t="shared" si="1158"/>
        <v>95000</v>
      </c>
      <c r="AW420" s="77">
        <v>0</v>
      </c>
      <c r="AX420" s="77">
        <f t="shared" si="1159"/>
        <v>95000</v>
      </c>
      <c r="AY420" s="77">
        <f t="shared" si="1286"/>
        <v>95000</v>
      </c>
      <c r="AZ420" s="77">
        <f t="shared" si="1269"/>
        <v>386.3</v>
      </c>
      <c r="BA420" s="77">
        <v>386.3</v>
      </c>
      <c r="BB420" s="77">
        <v>386.3</v>
      </c>
      <c r="BC420" s="77">
        <v>375.1</v>
      </c>
      <c r="BD420" s="77">
        <f t="shared" si="1287"/>
        <v>5.530512067257032E-3</v>
      </c>
      <c r="BE420" s="77">
        <f t="shared" si="1288"/>
        <v>8.2957681008855484E-3</v>
      </c>
      <c r="BF420" s="77">
        <f t="shared" si="1289"/>
        <v>1.1377053395500181E-2</v>
      </c>
      <c r="BG420" s="77">
        <f>(2*PI()*6*6)/(4*100*100)</f>
        <v>5.6548667764616273E-3</v>
      </c>
      <c r="BH420" s="79">
        <v>80</v>
      </c>
      <c r="BI420" s="79">
        <f t="shared" si="1290"/>
        <v>33.183072403542191</v>
      </c>
      <c r="BJ420" s="79">
        <v>2</v>
      </c>
      <c r="BK420" s="57">
        <f t="shared" si="1313"/>
        <v>66.366144807084382</v>
      </c>
      <c r="BL420" s="57">
        <f t="shared" si="1235"/>
        <v>331.83072403542189</v>
      </c>
      <c r="BM420" s="80">
        <f t="shared" si="1291"/>
        <v>33.183072403542191</v>
      </c>
      <c r="BN420" s="80">
        <v>4</v>
      </c>
      <c r="BO420" s="57">
        <f t="shared" si="1318"/>
        <v>132.73228961416876</v>
      </c>
      <c r="BP420" s="57">
        <f t="shared" si="1160"/>
        <v>190689.81901560861</v>
      </c>
      <c r="BQ420" s="77">
        <f t="shared" si="1161"/>
        <v>0</v>
      </c>
      <c r="BR420" s="57">
        <f t="shared" si="1251"/>
        <v>383286536.22137332</v>
      </c>
      <c r="BS420" s="57">
        <v>311.33863449811935</v>
      </c>
      <c r="BT420" s="57">
        <f t="shared" si="1170"/>
        <v>289.09551081146634</v>
      </c>
      <c r="BU420" s="57"/>
      <c r="BV420" s="57">
        <v>3.3E-3</v>
      </c>
      <c r="BW420" s="57">
        <v>30000</v>
      </c>
      <c r="BX420" s="57">
        <v>200000</v>
      </c>
      <c r="BY420" s="77">
        <v>20</v>
      </c>
      <c r="BZ420" s="77">
        <f t="shared" si="1292"/>
        <v>97.5</v>
      </c>
      <c r="CA420" s="77">
        <f t="shared" si="1293"/>
        <v>175</v>
      </c>
      <c r="CB420" s="77">
        <f t="shared" si="1294"/>
        <v>275</v>
      </c>
      <c r="CC420" s="77">
        <f t="shared" si="1295"/>
        <v>375</v>
      </c>
      <c r="CD420" s="77">
        <f t="shared" si="1296"/>
        <v>475</v>
      </c>
      <c r="CE420" s="77">
        <f t="shared" si="1297"/>
        <v>575</v>
      </c>
      <c r="CF420" s="77">
        <f t="shared" si="1298"/>
        <v>675</v>
      </c>
      <c r="CG420" s="77">
        <f t="shared" si="1299"/>
        <v>775</v>
      </c>
      <c r="CH420" s="77">
        <f t="shared" si="1300"/>
        <v>852.5</v>
      </c>
      <c r="CI420" s="77">
        <f t="shared" si="1301"/>
        <v>930</v>
      </c>
      <c r="DM420" s="77">
        <f t="shared" si="1302"/>
        <v>66.366144807084382</v>
      </c>
      <c r="DN420" s="77">
        <f t="shared" si="1302"/>
        <v>66.366144807084382</v>
      </c>
      <c r="DO420" s="77">
        <f t="shared" si="1302"/>
        <v>66.366144807084382</v>
      </c>
      <c r="DP420" s="77">
        <f t="shared" si="1302"/>
        <v>66.366144807084382</v>
      </c>
      <c r="DQ420" s="77">
        <f t="shared" si="1302"/>
        <v>66.366144807084382</v>
      </c>
      <c r="DR420" s="77">
        <f t="shared" si="1302"/>
        <v>66.366144807084382</v>
      </c>
      <c r="DS420" s="77">
        <f t="shared" si="1302"/>
        <v>66.366144807084382</v>
      </c>
      <c r="DT420" s="77">
        <f t="shared" si="1302"/>
        <v>66.366144807084382</v>
      </c>
      <c r="DU420" s="77">
        <f t="shared" si="1302"/>
        <v>66.366144807084382</v>
      </c>
      <c r="DV420" s="77">
        <f t="shared" si="1302"/>
        <v>66.366144807084382</v>
      </c>
      <c r="DW420" s="77">
        <f t="shared" si="1302"/>
        <v>66.366144807084382</v>
      </c>
      <c r="FA420" s="77">
        <f t="shared" si="1244"/>
        <v>-25637.241738976696</v>
      </c>
      <c r="FB420" s="77">
        <f t="shared" si="1245"/>
        <v>-25637.241738976696</v>
      </c>
      <c r="FC420" s="77">
        <f t="shared" si="1283"/>
        <v>-19181.22985013483</v>
      </c>
      <c r="FD420" s="77">
        <f t="shared" si="1284"/>
        <v>-5112.4151515400481</v>
      </c>
      <c r="FE420" s="77">
        <f t="shared" si="1273"/>
        <v>8956.3995470547325</v>
      </c>
      <c r="FF420" s="77">
        <f t="shared" si="1274"/>
        <v>23025.214245649509</v>
      </c>
      <c r="FG420" s="77">
        <f t="shared" si="1303"/>
        <v>25637.241738976696</v>
      </c>
      <c r="FH420" s="77">
        <f t="shared" si="1304"/>
        <v>25637.241738976696</v>
      </c>
      <c r="FI420" s="77">
        <f t="shared" si="1305"/>
        <v>25637.241738976696</v>
      </c>
      <c r="FJ420" s="77">
        <f t="shared" si="1306"/>
        <v>25637.241738976696</v>
      </c>
      <c r="FK420" s="77">
        <f t="shared" si="1307"/>
        <v>25637.241738976696</v>
      </c>
      <c r="GO420" s="77">
        <f t="shared" si="1263"/>
        <v>11664944.991234398</v>
      </c>
      <c r="GP420" s="77">
        <f t="shared" si="1264"/>
        <v>9678058.7564637028</v>
      </c>
      <c r="GQ420" s="77">
        <f t="shared" si="1265"/>
        <v>5754368.9550404493</v>
      </c>
      <c r="GR420" s="77">
        <f t="shared" si="1266"/>
        <v>1022483.0303080096</v>
      </c>
      <c r="GS420" s="77">
        <f t="shared" si="1308"/>
        <v>-895639.95470547327</v>
      </c>
      <c r="GT420" s="77">
        <f t="shared" si="1272"/>
        <v>0</v>
      </c>
      <c r="GU420" s="77">
        <f t="shared" si="1275"/>
        <v>2563724.1738976697</v>
      </c>
      <c r="GV420" s="77">
        <f t="shared" si="1276"/>
        <v>5127448.3477953393</v>
      </c>
      <c r="GW420" s="77">
        <f t="shared" si="1309"/>
        <v>7691172.521693009</v>
      </c>
      <c r="GX420" s="77">
        <f t="shared" si="1310"/>
        <v>9678058.7564637028</v>
      </c>
      <c r="GY420" s="77">
        <f t="shared" si="1311"/>
        <v>11664944.991234398</v>
      </c>
      <c r="IC420" s="82">
        <v>442</v>
      </c>
    </row>
    <row r="421" spans="1:237" s="77" customFormat="1">
      <c r="A421" s="77">
        <v>421</v>
      </c>
      <c r="C421" s="122" t="s">
        <v>448</v>
      </c>
      <c r="D421" s="122" t="s">
        <v>454</v>
      </c>
      <c r="E421" s="125">
        <v>1</v>
      </c>
      <c r="F421" s="125">
        <f t="shared" si="1319"/>
        <v>7.3900504686373478E-2</v>
      </c>
      <c r="G421" s="122">
        <v>2.8947368421052633E-3</v>
      </c>
      <c r="H421" s="122">
        <v>1.1578947368421053E-2</v>
      </c>
      <c r="I421" s="122">
        <f>38.4/AU421</f>
        <v>1.9104477611940299E-2</v>
      </c>
      <c r="J421" s="122">
        <v>2.0099999999999998</v>
      </c>
      <c r="K421" s="125">
        <f t="shared" si="1223"/>
        <v>9.5</v>
      </c>
      <c r="L421" s="125">
        <f t="shared" si="1224"/>
        <v>6.6514222029308581E-2</v>
      </c>
      <c r="M421" s="125">
        <f t="shared" si="1225"/>
        <v>9.9771333043962879E-2</v>
      </c>
      <c r="N421" s="125">
        <f t="shared" si="1226"/>
        <v>0.13682925674600624</v>
      </c>
      <c r="O421" s="125">
        <f t="shared" si="1227"/>
        <v>8.2547498748861955E-2</v>
      </c>
      <c r="P421" s="122">
        <v>0.3</v>
      </c>
      <c r="Q421" s="122" t="s">
        <v>3</v>
      </c>
      <c r="R421" s="133">
        <f t="shared" si="1228"/>
        <v>0</v>
      </c>
      <c r="S421" s="75">
        <f t="shared" si="1163"/>
        <v>0.41882748372566325</v>
      </c>
      <c r="T421" s="59">
        <f t="shared" si="1142"/>
        <v>0.61668549679017359</v>
      </c>
      <c r="U421" s="59">
        <f t="shared" si="1143"/>
        <v>0.48157451079475105</v>
      </c>
      <c r="V421" s="59">
        <f t="shared" si="1144"/>
        <v>0.84563112645502703</v>
      </c>
      <c r="W421" s="59">
        <f t="shared" si="1145"/>
        <v>1.3712518469406325</v>
      </c>
      <c r="X421" s="59">
        <f t="shared" si="1146"/>
        <v>1.7559715215397651</v>
      </c>
      <c r="Y421" s="127">
        <v>225500</v>
      </c>
      <c r="Z421" s="57">
        <f t="shared" si="1147"/>
        <v>395971.57810721704</v>
      </c>
      <c r="AA421" s="77">
        <f t="shared" si="1148"/>
        <v>309217.29148511263</v>
      </c>
      <c r="AB421" s="77">
        <f t="shared" si="1314"/>
        <v>213958.48677001832</v>
      </c>
      <c r="AC421" s="57">
        <f t="shared" si="1149"/>
        <v>0.17</v>
      </c>
      <c r="AD421" s="57">
        <f t="shared" si="1150"/>
        <v>2.0099999999999998</v>
      </c>
      <c r="AE421" s="57">
        <f t="shared" si="1151"/>
        <v>610280</v>
      </c>
      <c r="AF421" s="57">
        <f t="shared" si="1152"/>
        <v>105572.81414138996</v>
      </c>
      <c r="AG421" s="57">
        <f t="shared" si="1312"/>
        <v>203644.47734372268</v>
      </c>
      <c r="AH421" s="77">
        <f t="shared" si="1315"/>
        <v>397309526.7743035</v>
      </c>
      <c r="AI421" s="77">
        <f t="shared" si="1316"/>
        <v>32747031.633433335</v>
      </c>
      <c r="AJ421" s="77">
        <f t="shared" si="1281"/>
        <v>915419.99999999988</v>
      </c>
      <c r="AK421" s="77">
        <v>32.119999999999997</v>
      </c>
      <c r="AL421" s="78">
        <f t="shared" si="1153"/>
        <v>3.0965362250883768</v>
      </c>
      <c r="AM421" s="57">
        <f t="shared" si="1154"/>
        <v>1</v>
      </c>
      <c r="AN421" s="57">
        <f t="shared" si="1155"/>
        <v>0.8</v>
      </c>
      <c r="AO421" s="77">
        <v>950</v>
      </c>
      <c r="AP421" s="79">
        <v>175</v>
      </c>
      <c r="AQ421" s="57">
        <f t="shared" si="1156"/>
        <v>155.66931724905967</v>
      </c>
      <c r="AR421" s="57">
        <f t="shared" si="1317"/>
        <v>600</v>
      </c>
      <c r="AS421" s="57">
        <f t="shared" si="1157"/>
        <v>794.33068275094035</v>
      </c>
      <c r="AT421" s="77">
        <v>100</v>
      </c>
      <c r="AU421" s="77">
        <v>2010</v>
      </c>
      <c r="AV421" s="57">
        <f t="shared" si="1158"/>
        <v>95000</v>
      </c>
      <c r="AW421" s="77">
        <v>0</v>
      </c>
      <c r="AX421" s="77">
        <f t="shared" si="1159"/>
        <v>95000</v>
      </c>
      <c r="AY421" s="77">
        <f t="shared" si="1286"/>
        <v>95000</v>
      </c>
      <c r="AZ421" s="77">
        <f t="shared" si="1269"/>
        <v>386.3</v>
      </c>
      <c r="BA421" s="77">
        <v>386.3</v>
      </c>
      <c r="BB421" s="77">
        <v>386.3</v>
      </c>
      <c r="BC421" s="77">
        <v>375.1</v>
      </c>
      <c r="BD421" s="77">
        <f t="shared" si="1287"/>
        <v>5.530512067257032E-3</v>
      </c>
      <c r="BE421" s="77">
        <f t="shared" si="1288"/>
        <v>8.2957681008855484E-3</v>
      </c>
      <c r="BF421" s="77">
        <f t="shared" si="1289"/>
        <v>1.1377053395500181E-2</v>
      </c>
      <c r="BG421" s="77">
        <f>(2*PI()*6*6)/(4*80*100)</f>
        <v>7.0685834705770346E-3</v>
      </c>
      <c r="BH421" s="79">
        <v>80</v>
      </c>
      <c r="BI421" s="79">
        <f t="shared" si="1290"/>
        <v>33.183072403542191</v>
      </c>
      <c r="BJ421" s="79">
        <v>2</v>
      </c>
      <c r="BK421" s="57">
        <f t="shared" si="1313"/>
        <v>66.366144807084382</v>
      </c>
      <c r="BL421" s="57">
        <f t="shared" si="1235"/>
        <v>331.83072403542189</v>
      </c>
      <c r="BM421" s="80">
        <f t="shared" si="1291"/>
        <v>33.183072403542191</v>
      </c>
      <c r="BN421" s="80">
        <v>4</v>
      </c>
      <c r="BO421" s="57">
        <f t="shared" si="1318"/>
        <v>132.73228961416876</v>
      </c>
      <c r="BP421" s="57">
        <f t="shared" si="1160"/>
        <v>190689.81901560861</v>
      </c>
      <c r="BQ421" s="77">
        <f t="shared" si="1161"/>
        <v>0</v>
      </c>
      <c r="BR421" s="57">
        <f t="shared" si="1251"/>
        <v>383286536.22137332</v>
      </c>
      <c r="BS421" s="57">
        <v>311.33863449811935</v>
      </c>
      <c r="BT421" s="57">
        <f t="shared" si="1170"/>
        <v>289.09551081146634</v>
      </c>
      <c r="BU421" s="57"/>
      <c r="BV421" s="57">
        <v>3.3E-3</v>
      </c>
      <c r="BW421" s="57">
        <v>30000</v>
      </c>
      <c r="BX421" s="57">
        <v>200000</v>
      </c>
      <c r="BY421" s="77">
        <v>20</v>
      </c>
      <c r="BZ421" s="77">
        <f t="shared" si="1292"/>
        <v>97.5</v>
      </c>
      <c r="CA421" s="77">
        <f t="shared" si="1293"/>
        <v>175</v>
      </c>
      <c r="CB421" s="77">
        <f t="shared" si="1294"/>
        <v>275</v>
      </c>
      <c r="CC421" s="77">
        <f t="shared" si="1295"/>
        <v>375</v>
      </c>
      <c r="CD421" s="77">
        <f t="shared" si="1296"/>
        <v>475</v>
      </c>
      <c r="CE421" s="77">
        <f t="shared" si="1297"/>
        <v>575</v>
      </c>
      <c r="CF421" s="77">
        <f t="shared" si="1298"/>
        <v>675</v>
      </c>
      <c r="CG421" s="77">
        <f t="shared" si="1299"/>
        <v>775</v>
      </c>
      <c r="CH421" s="77">
        <f t="shared" si="1300"/>
        <v>852.5</v>
      </c>
      <c r="CI421" s="77">
        <f t="shared" si="1301"/>
        <v>930</v>
      </c>
      <c r="DM421" s="77">
        <f t="shared" si="1302"/>
        <v>66.366144807084382</v>
      </c>
      <c r="DN421" s="77">
        <f t="shared" si="1302"/>
        <v>66.366144807084382</v>
      </c>
      <c r="DO421" s="77">
        <f t="shared" si="1302"/>
        <v>66.366144807084382</v>
      </c>
      <c r="DP421" s="77">
        <f t="shared" si="1302"/>
        <v>66.366144807084382</v>
      </c>
      <c r="DQ421" s="77">
        <f t="shared" si="1302"/>
        <v>66.366144807084382</v>
      </c>
      <c r="DR421" s="77">
        <f t="shared" si="1302"/>
        <v>66.366144807084382</v>
      </c>
      <c r="DS421" s="77">
        <f t="shared" si="1302"/>
        <v>66.366144807084382</v>
      </c>
      <c r="DT421" s="77">
        <f t="shared" si="1302"/>
        <v>66.366144807084382</v>
      </c>
      <c r="DU421" s="77">
        <f t="shared" si="1302"/>
        <v>66.366144807084382</v>
      </c>
      <c r="DV421" s="77">
        <f t="shared" si="1302"/>
        <v>66.366144807084382</v>
      </c>
      <c r="DW421" s="77">
        <f t="shared" si="1302"/>
        <v>66.366144807084382</v>
      </c>
      <c r="FA421" s="77">
        <f t="shared" si="1244"/>
        <v>-25637.241738976696</v>
      </c>
      <c r="FB421" s="77">
        <f t="shared" si="1245"/>
        <v>-25637.241738976696</v>
      </c>
      <c r="FC421" s="77">
        <f t="shared" si="1283"/>
        <v>-19181.22985013483</v>
      </c>
      <c r="FD421" s="77">
        <f t="shared" si="1284"/>
        <v>-5112.4151515400481</v>
      </c>
      <c r="FE421" s="77">
        <f t="shared" si="1273"/>
        <v>8956.3995470547325</v>
      </c>
      <c r="FF421" s="77">
        <f t="shared" si="1274"/>
        <v>23025.214245649509</v>
      </c>
      <c r="FG421" s="77">
        <f t="shared" si="1303"/>
        <v>25637.241738976696</v>
      </c>
      <c r="FH421" s="77">
        <f t="shared" si="1304"/>
        <v>25637.241738976696</v>
      </c>
      <c r="FI421" s="77">
        <f t="shared" si="1305"/>
        <v>25637.241738976696</v>
      </c>
      <c r="FJ421" s="77">
        <f t="shared" si="1306"/>
        <v>25637.241738976696</v>
      </c>
      <c r="FK421" s="77">
        <f t="shared" si="1307"/>
        <v>25637.241738976696</v>
      </c>
      <c r="GO421" s="77">
        <f t="shared" si="1263"/>
        <v>11664944.991234398</v>
      </c>
      <c r="GP421" s="77">
        <f t="shared" si="1264"/>
        <v>9678058.7564637028</v>
      </c>
      <c r="GQ421" s="77">
        <f t="shared" si="1265"/>
        <v>5754368.9550404493</v>
      </c>
      <c r="GR421" s="77">
        <f t="shared" si="1266"/>
        <v>1022483.0303080096</v>
      </c>
      <c r="GS421" s="77">
        <f t="shared" si="1308"/>
        <v>-895639.95470547327</v>
      </c>
      <c r="GT421" s="77">
        <f t="shared" si="1272"/>
        <v>0</v>
      </c>
      <c r="GU421" s="77">
        <f t="shared" si="1275"/>
        <v>2563724.1738976697</v>
      </c>
      <c r="GV421" s="77">
        <f t="shared" si="1276"/>
        <v>5127448.3477953393</v>
      </c>
      <c r="GW421" s="77">
        <f t="shared" si="1309"/>
        <v>7691172.521693009</v>
      </c>
      <c r="GX421" s="77">
        <f t="shared" si="1310"/>
        <v>9678058.7564637028</v>
      </c>
      <c r="GY421" s="77">
        <f t="shared" si="1311"/>
        <v>11664944.991234398</v>
      </c>
      <c r="IC421" s="82">
        <v>443</v>
      </c>
    </row>
    <row r="422" spans="1:237" s="77" customFormat="1">
      <c r="A422" s="77">
        <v>422</v>
      </c>
      <c r="C422" s="122" t="s">
        <v>448</v>
      </c>
      <c r="D422" s="122" t="s">
        <v>455</v>
      </c>
      <c r="E422" s="125">
        <v>1</v>
      </c>
      <c r="F422" s="125">
        <f t="shared" si="1319"/>
        <v>6.275807825915973E-2</v>
      </c>
      <c r="G422" s="122">
        <v>2.8421052631578949E-3</v>
      </c>
      <c r="H422" s="122">
        <v>8.6842105263157891E-3</v>
      </c>
      <c r="I422" s="122">
        <f>27.3/AU422</f>
        <v>1.3582089552238807E-2</v>
      </c>
      <c r="J422" s="122">
        <v>2.0099999999999998</v>
      </c>
      <c r="K422" s="125">
        <f t="shared" si="1223"/>
        <v>9.5</v>
      </c>
      <c r="L422" s="125">
        <f t="shared" si="1224"/>
        <v>6.6514222029308581E-2</v>
      </c>
      <c r="M422" s="125">
        <f t="shared" si="1225"/>
        <v>9.9771333043962879E-2</v>
      </c>
      <c r="N422" s="125">
        <f t="shared" si="1226"/>
        <v>0.13682925674600624</v>
      </c>
      <c r="O422" s="125">
        <f t="shared" si="1227"/>
        <v>5.5031665832574635E-2</v>
      </c>
      <c r="P422" s="122">
        <v>0.3</v>
      </c>
      <c r="Q422" s="122" t="s">
        <v>3</v>
      </c>
      <c r="R422" s="133">
        <f t="shared" si="1228"/>
        <v>0</v>
      </c>
      <c r="S422" s="75">
        <f t="shared" si="1163"/>
        <v>0.35567832875150557</v>
      </c>
      <c r="T422" s="59">
        <f t="shared" si="1142"/>
        <v>0.61668549679017359</v>
      </c>
      <c r="U422" s="59">
        <f t="shared" si="1143"/>
        <v>0.48157451079475105</v>
      </c>
      <c r="V422" s="59">
        <f t="shared" si="1144"/>
        <v>0.99576928989873947</v>
      </c>
      <c r="W422" s="59">
        <f t="shared" si="1145"/>
        <v>1.6147117048830946</v>
      </c>
      <c r="X422" s="59">
        <f t="shared" si="1146"/>
        <v>2.0677367002987834</v>
      </c>
      <c r="Y422" s="127">
        <v>191500</v>
      </c>
      <c r="Z422" s="57">
        <f t="shared" si="1147"/>
        <v>395971.57810721704</v>
      </c>
      <c r="AA422" s="77">
        <f t="shared" si="1148"/>
        <v>309217.29148511263</v>
      </c>
      <c r="AB422" s="77">
        <f t="shared" si="1314"/>
        <v>213958.48677001832</v>
      </c>
      <c r="AC422" s="57">
        <f t="shared" si="1149"/>
        <v>0.17</v>
      </c>
      <c r="AD422" s="57">
        <f t="shared" si="1150"/>
        <v>2.0099999999999998</v>
      </c>
      <c r="AE422" s="57">
        <f t="shared" si="1151"/>
        <v>610280</v>
      </c>
      <c r="AF422" s="57">
        <f t="shared" si="1152"/>
        <v>105572.81414138996</v>
      </c>
      <c r="AG422" s="57">
        <f t="shared" si="1312"/>
        <v>203644.47734372268</v>
      </c>
      <c r="AH422" s="77">
        <f t="shared" si="1315"/>
        <v>397309526.7743035</v>
      </c>
      <c r="AI422" s="77">
        <f t="shared" si="1316"/>
        <v>32747031.633433335</v>
      </c>
      <c r="AJ422" s="77">
        <f t="shared" si="1281"/>
        <v>915419.99999999988</v>
      </c>
      <c r="AK422" s="77">
        <v>32.119999999999997</v>
      </c>
      <c r="AL422" s="78">
        <f t="shared" si="1153"/>
        <v>3.0965362250883768</v>
      </c>
      <c r="AM422" s="57">
        <f t="shared" si="1154"/>
        <v>1</v>
      </c>
      <c r="AN422" s="57">
        <f t="shared" si="1155"/>
        <v>0.8</v>
      </c>
      <c r="AO422" s="77">
        <v>950</v>
      </c>
      <c r="AP422" s="79">
        <v>175</v>
      </c>
      <c r="AQ422" s="57">
        <f t="shared" si="1156"/>
        <v>155.66931724905967</v>
      </c>
      <c r="AR422" s="57">
        <f t="shared" si="1317"/>
        <v>600</v>
      </c>
      <c r="AS422" s="57">
        <f t="shared" si="1157"/>
        <v>794.33068275094035</v>
      </c>
      <c r="AT422" s="77">
        <v>100</v>
      </c>
      <c r="AU422" s="77">
        <v>2010</v>
      </c>
      <c r="AV422" s="57">
        <f t="shared" si="1158"/>
        <v>95000</v>
      </c>
      <c r="AW422" s="77">
        <v>0</v>
      </c>
      <c r="AX422" s="77">
        <f t="shared" si="1159"/>
        <v>95000</v>
      </c>
      <c r="AY422" s="77">
        <f t="shared" si="1286"/>
        <v>95000</v>
      </c>
      <c r="AZ422" s="77">
        <f t="shared" si="1269"/>
        <v>386.3</v>
      </c>
      <c r="BA422" s="77">
        <v>386.3</v>
      </c>
      <c r="BB422" s="77">
        <v>386.3</v>
      </c>
      <c r="BC422" s="77">
        <v>375.1</v>
      </c>
      <c r="BD422" s="77">
        <f t="shared" si="1287"/>
        <v>5.530512067257032E-3</v>
      </c>
      <c r="BE422" s="77">
        <f t="shared" si="1288"/>
        <v>8.2957681008855484E-3</v>
      </c>
      <c r="BF422" s="77">
        <f t="shared" si="1289"/>
        <v>1.1377053395500181E-2</v>
      </c>
      <c r="BG422" s="77">
        <f>(2*PI()*6*6)/(4*120*100)</f>
        <v>4.7123889803846897E-3</v>
      </c>
      <c r="BH422" s="79">
        <v>80</v>
      </c>
      <c r="BI422" s="79">
        <f t="shared" si="1290"/>
        <v>33.183072403542191</v>
      </c>
      <c r="BJ422" s="79">
        <v>2</v>
      </c>
      <c r="BK422" s="57">
        <f t="shared" si="1313"/>
        <v>66.366144807084382</v>
      </c>
      <c r="BL422" s="57">
        <f t="shared" si="1235"/>
        <v>331.83072403542189</v>
      </c>
      <c r="BM422" s="80">
        <f t="shared" si="1291"/>
        <v>33.183072403542191</v>
      </c>
      <c r="BN422" s="80">
        <v>4</v>
      </c>
      <c r="BO422" s="57">
        <f t="shared" si="1318"/>
        <v>132.73228961416876</v>
      </c>
      <c r="BP422" s="57">
        <f t="shared" si="1160"/>
        <v>190689.81901560861</v>
      </c>
      <c r="BQ422" s="77">
        <f t="shared" si="1161"/>
        <v>0</v>
      </c>
      <c r="BR422" s="57">
        <f t="shared" si="1251"/>
        <v>383286536.22137332</v>
      </c>
      <c r="BS422" s="57">
        <v>311.33863449811935</v>
      </c>
      <c r="BT422" s="57">
        <f t="shared" si="1170"/>
        <v>289.09551081146634</v>
      </c>
      <c r="BU422" s="57"/>
      <c r="BV422" s="57">
        <v>3.3E-3</v>
      </c>
      <c r="BW422" s="57">
        <v>30000</v>
      </c>
      <c r="BX422" s="57">
        <v>200000</v>
      </c>
      <c r="BY422" s="77">
        <v>20</v>
      </c>
      <c r="BZ422" s="77">
        <f t="shared" si="1292"/>
        <v>97.5</v>
      </c>
      <c r="CA422" s="77">
        <f t="shared" si="1293"/>
        <v>175</v>
      </c>
      <c r="CB422" s="77">
        <f t="shared" si="1294"/>
        <v>275</v>
      </c>
      <c r="CC422" s="77">
        <f t="shared" si="1295"/>
        <v>375</v>
      </c>
      <c r="CD422" s="77">
        <f t="shared" si="1296"/>
        <v>475</v>
      </c>
      <c r="CE422" s="77">
        <f t="shared" si="1297"/>
        <v>575</v>
      </c>
      <c r="CF422" s="77">
        <f t="shared" si="1298"/>
        <v>675</v>
      </c>
      <c r="CG422" s="77">
        <f t="shared" si="1299"/>
        <v>775</v>
      </c>
      <c r="CH422" s="77">
        <f t="shared" si="1300"/>
        <v>852.5</v>
      </c>
      <c r="CI422" s="77">
        <f t="shared" si="1301"/>
        <v>930</v>
      </c>
      <c r="DM422" s="77">
        <f t="shared" si="1302"/>
        <v>66.366144807084382</v>
      </c>
      <c r="DN422" s="77">
        <f t="shared" si="1302"/>
        <v>66.366144807084382</v>
      </c>
      <c r="DO422" s="77">
        <f t="shared" si="1302"/>
        <v>66.366144807084382</v>
      </c>
      <c r="DP422" s="77">
        <f t="shared" si="1302"/>
        <v>66.366144807084382</v>
      </c>
      <c r="DQ422" s="77">
        <f t="shared" si="1302"/>
        <v>66.366144807084382</v>
      </c>
      <c r="DR422" s="77">
        <f t="shared" si="1302"/>
        <v>66.366144807084382</v>
      </c>
      <c r="DS422" s="77">
        <f t="shared" si="1302"/>
        <v>66.366144807084382</v>
      </c>
      <c r="DT422" s="77">
        <f t="shared" si="1302"/>
        <v>66.366144807084382</v>
      </c>
      <c r="DU422" s="77">
        <f t="shared" si="1302"/>
        <v>66.366144807084382</v>
      </c>
      <c r="DV422" s="77">
        <f t="shared" si="1302"/>
        <v>66.366144807084382</v>
      </c>
      <c r="DW422" s="77">
        <f t="shared" si="1302"/>
        <v>66.366144807084382</v>
      </c>
      <c r="FA422" s="77">
        <f t="shared" si="1244"/>
        <v>-25637.241738976696</v>
      </c>
      <c r="FB422" s="77">
        <f t="shared" si="1245"/>
        <v>-25637.241738976696</v>
      </c>
      <c r="FC422" s="77">
        <f t="shared" si="1283"/>
        <v>-19181.22985013483</v>
      </c>
      <c r="FD422" s="77">
        <f t="shared" si="1284"/>
        <v>-5112.4151515400481</v>
      </c>
      <c r="FE422" s="77">
        <f t="shared" si="1273"/>
        <v>8956.3995470547325</v>
      </c>
      <c r="FF422" s="77">
        <f t="shared" si="1274"/>
        <v>23025.214245649509</v>
      </c>
      <c r="FG422" s="77">
        <f t="shared" si="1303"/>
        <v>25637.241738976696</v>
      </c>
      <c r="FH422" s="77">
        <f t="shared" si="1304"/>
        <v>25637.241738976696</v>
      </c>
      <c r="FI422" s="77">
        <f t="shared" si="1305"/>
        <v>25637.241738976696</v>
      </c>
      <c r="FJ422" s="77">
        <f t="shared" si="1306"/>
        <v>25637.241738976696</v>
      </c>
      <c r="FK422" s="77">
        <f t="shared" si="1307"/>
        <v>25637.241738976696</v>
      </c>
      <c r="GO422" s="77">
        <f t="shared" si="1263"/>
        <v>11664944.991234398</v>
      </c>
      <c r="GP422" s="77">
        <f t="shared" si="1264"/>
        <v>9678058.7564637028</v>
      </c>
      <c r="GQ422" s="77">
        <f t="shared" si="1265"/>
        <v>5754368.9550404493</v>
      </c>
      <c r="GR422" s="77">
        <f t="shared" si="1266"/>
        <v>1022483.0303080096</v>
      </c>
      <c r="GS422" s="77">
        <f t="shared" si="1308"/>
        <v>-895639.95470547327</v>
      </c>
      <c r="GT422" s="77">
        <f t="shared" si="1272"/>
        <v>0</v>
      </c>
      <c r="GU422" s="77">
        <f t="shared" si="1275"/>
        <v>2563724.1738976697</v>
      </c>
      <c r="GV422" s="77">
        <f t="shared" si="1276"/>
        <v>5127448.3477953393</v>
      </c>
      <c r="GW422" s="77">
        <f t="shared" si="1309"/>
        <v>7691172.521693009</v>
      </c>
      <c r="GX422" s="77">
        <f t="shared" si="1310"/>
        <v>9678058.7564637028</v>
      </c>
      <c r="GY422" s="77">
        <f t="shared" si="1311"/>
        <v>11664944.991234398</v>
      </c>
      <c r="IC422" s="82">
        <v>444</v>
      </c>
    </row>
    <row r="423" spans="1:237" s="77" customFormat="1">
      <c r="A423" s="77">
        <v>423</v>
      </c>
      <c r="C423" s="122" t="s">
        <v>448</v>
      </c>
      <c r="D423" s="122" t="s">
        <v>456</v>
      </c>
      <c r="E423" s="125">
        <v>1</v>
      </c>
      <c r="F423" s="125">
        <f t="shared" si="1319"/>
        <v>4.0392616229753202E-2</v>
      </c>
      <c r="G423" s="122">
        <v>3.1052631578947368E-3</v>
      </c>
      <c r="H423" s="122">
        <v>7.0526315789473685E-3</v>
      </c>
      <c r="I423" s="122">
        <f>30.4/AU423</f>
        <v>1.5124378109452736E-2</v>
      </c>
      <c r="J423" s="122">
        <v>2.0099999999999998</v>
      </c>
      <c r="K423" s="125">
        <f t="shared" si="1223"/>
        <v>9.5</v>
      </c>
      <c r="L423" s="125">
        <f t="shared" si="1224"/>
        <v>4.0990729308929233E-2</v>
      </c>
      <c r="M423" s="125">
        <f t="shared" si="1225"/>
        <v>6.1486093963393849E-2</v>
      </c>
      <c r="N423" s="125">
        <f t="shared" si="1226"/>
        <v>8.4323786006940141E-2</v>
      </c>
      <c r="O423" s="125">
        <f t="shared" si="1227"/>
        <v>4.0697247272654578E-2</v>
      </c>
      <c r="P423" s="122">
        <v>0.2</v>
      </c>
      <c r="Q423" s="122" t="s">
        <v>3</v>
      </c>
      <c r="R423" s="133">
        <f t="shared" si="1228"/>
        <v>0</v>
      </c>
      <c r="S423" s="75">
        <f t="shared" si="1163"/>
        <v>0.29161119114238465</v>
      </c>
      <c r="T423" s="59">
        <f t="shared" si="1142"/>
        <v>0.62210060785288823</v>
      </c>
      <c r="U423" s="59">
        <f t="shared" si="1143"/>
        <v>0.54709581441658361</v>
      </c>
      <c r="V423" s="59">
        <f t="shared" si="1144"/>
        <v>1.151734757735144</v>
      </c>
      <c r="W423" s="59">
        <f t="shared" si="1145"/>
        <v>1.8513641414211601</v>
      </c>
      <c r="X423" s="59">
        <f t="shared" si="1146"/>
        <v>2.105179252675037</v>
      </c>
      <c r="Y423" s="127">
        <v>200000</v>
      </c>
      <c r="Z423" s="57">
        <f t="shared" si="1147"/>
        <v>421035.85053500737</v>
      </c>
      <c r="AA423" s="77">
        <f t="shared" si="1148"/>
        <v>370272.828284232</v>
      </c>
      <c r="AB423" s="77">
        <f t="shared" si="1314"/>
        <v>346621.10743874585</v>
      </c>
      <c r="AC423" s="57">
        <f t="shared" si="1149"/>
        <v>0.17</v>
      </c>
      <c r="AD423" s="57">
        <f t="shared" si="1150"/>
        <v>2.0099999999999998</v>
      </c>
      <c r="AE423" s="57">
        <f t="shared" si="1151"/>
        <v>990280</v>
      </c>
      <c r="AF423" s="57">
        <f t="shared" si="1152"/>
        <v>155331.36181880205</v>
      </c>
      <c r="AG423" s="57">
        <f t="shared" si="1312"/>
        <v>214941.46646542996</v>
      </c>
      <c r="AH423" s="77">
        <f t="shared" si="1315"/>
        <v>659442598.66976285</v>
      </c>
      <c r="AI423" s="77">
        <f t="shared" si="1316"/>
        <v>37265827.282116242</v>
      </c>
      <c r="AJ423" s="77">
        <f t="shared" si="1281"/>
        <v>990280</v>
      </c>
      <c r="AK423" s="77">
        <v>52.12</v>
      </c>
      <c r="AL423" s="78">
        <f t="shared" si="1153"/>
        <v>4.0411227621904438</v>
      </c>
      <c r="AM423" s="57">
        <f t="shared" si="1154"/>
        <v>0.96284210526315783</v>
      </c>
      <c r="AN423" s="57">
        <f t="shared" si="1155"/>
        <v>0.76284210526315788</v>
      </c>
      <c r="AO423" s="77">
        <v>950</v>
      </c>
      <c r="AP423" s="79">
        <v>175</v>
      </c>
      <c r="AQ423" s="57">
        <f t="shared" si="1156"/>
        <v>111.60455694166561</v>
      </c>
      <c r="AR423" s="57">
        <f t="shared" si="1317"/>
        <v>600</v>
      </c>
      <c r="AS423" s="57">
        <f t="shared" si="1157"/>
        <v>838.39544305833442</v>
      </c>
      <c r="AT423" s="77">
        <v>100</v>
      </c>
      <c r="AU423" s="77">
        <v>2010</v>
      </c>
      <c r="AV423" s="57">
        <f t="shared" si="1158"/>
        <v>95000</v>
      </c>
      <c r="AW423" s="77">
        <v>0</v>
      </c>
      <c r="AX423" s="77">
        <f t="shared" si="1159"/>
        <v>95000</v>
      </c>
      <c r="AY423" s="77">
        <f t="shared" si="1286"/>
        <v>95000</v>
      </c>
      <c r="AZ423" s="77">
        <f t="shared" si="1269"/>
        <v>386.3</v>
      </c>
      <c r="BA423" s="77">
        <v>386.3</v>
      </c>
      <c r="BB423" s="77">
        <v>386.3</v>
      </c>
      <c r="BC423" s="77">
        <v>375.1</v>
      </c>
      <c r="BD423" s="77">
        <f t="shared" si="1287"/>
        <v>5.530512067257032E-3</v>
      </c>
      <c r="BE423" s="77">
        <f t="shared" si="1288"/>
        <v>8.2957681008855484E-3</v>
      </c>
      <c r="BF423" s="77">
        <f t="shared" si="1289"/>
        <v>1.1377053395500181E-2</v>
      </c>
      <c r="BG423" s="77">
        <f>(2*PI()*6*6)/(4*100*100)</f>
        <v>5.6548667764616273E-3</v>
      </c>
      <c r="BH423" s="79">
        <v>80</v>
      </c>
      <c r="BI423" s="79">
        <f t="shared" si="1290"/>
        <v>33.183072403542191</v>
      </c>
      <c r="BJ423" s="79">
        <v>2</v>
      </c>
      <c r="BK423" s="57">
        <f t="shared" si="1313"/>
        <v>66.366144807084382</v>
      </c>
      <c r="BL423" s="57">
        <f t="shared" si="1235"/>
        <v>331.83072403542189</v>
      </c>
      <c r="BM423" s="80">
        <f t="shared" si="1291"/>
        <v>33.183072403542191</v>
      </c>
      <c r="BN423" s="80">
        <v>4</v>
      </c>
      <c r="BO423" s="57">
        <f t="shared" si="1318"/>
        <v>132.73228961416876</v>
      </c>
      <c r="BP423" s="57">
        <f t="shared" si="1160"/>
        <v>230346.95154702882</v>
      </c>
      <c r="BQ423" s="77">
        <f t="shared" si="1161"/>
        <v>-1.4551915228366852E-10</v>
      </c>
      <c r="BR423" s="57">
        <f t="shared" si="1251"/>
        <v>462997372.60952795</v>
      </c>
      <c r="BS423" s="57">
        <v>223.20911388333121</v>
      </c>
      <c r="BT423" s="57">
        <f t="shared" si="1170"/>
        <v>342.28093527513101</v>
      </c>
      <c r="BU423" s="57"/>
      <c r="BV423" s="57">
        <v>3.3E-3</v>
      </c>
      <c r="BW423" s="57">
        <v>30000</v>
      </c>
      <c r="BX423" s="57">
        <v>200000</v>
      </c>
      <c r="BY423" s="77">
        <v>20</v>
      </c>
      <c r="BZ423" s="77">
        <f t="shared" si="1292"/>
        <v>97.5</v>
      </c>
      <c r="CA423" s="77">
        <f t="shared" si="1293"/>
        <v>175</v>
      </c>
      <c r="CB423" s="77">
        <f t="shared" si="1294"/>
        <v>275</v>
      </c>
      <c r="CC423" s="77">
        <f t="shared" si="1295"/>
        <v>375</v>
      </c>
      <c r="CD423" s="77">
        <f t="shared" si="1296"/>
        <v>475</v>
      </c>
      <c r="CE423" s="77">
        <f t="shared" si="1297"/>
        <v>575</v>
      </c>
      <c r="CF423" s="77">
        <f t="shared" si="1298"/>
        <v>675</v>
      </c>
      <c r="CG423" s="77">
        <f t="shared" si="1299"/>
        <v>775</v>
      </c>
      <c r="CH423" s="77">
        <f t="shared" si="1300"/>
        <v>852.5</v>
      </c>
      <c r="CI423" s="77">
        <f t="shared" si="1301"/>
        <v>930</v>
      </c>
      <c r="DM423" s="77">
        <f t="shared" si="1302"/>
        <v>66.366144807084382</v>
      </c>
      <c r="DN423" s="77">
        <f t="shared" si="1302"/>
        <v>66.366144807084382</v>
      </c>
      <c r="DO423" s="77">
        <f t="shared" si="1302"/>
        <v>66.366144807084382</v>
      </c>
      <c r="DP423" s="77">
        <f t="shared" si="1302"/>
        <v>66.366144807084382</v>
      </c>
      <c r="DQ423" s="77">
        <f t="shared" si="1302"/>
        <v>66.366144807084382</v>
      </c>
      <c r="DR423" s="77">
        <f t="shared" si="1302"/>
        <v>66.366144807084382</v>
      </c>
      <c r="DS423" s="77">
        <f t="shared" si="1302"/>
        <v>66.366144807084382</v>
      </c>
      <c r="DT423" s="77">
        <f t="shared" si="1302"/>
        <v>66.366144807084382</v>
      </c>
      <c r="DU423" s="77">
        <f t="shared" si="1302"/>
        <v>66.366144807084382</v>
      </c>
      <c r="DV423" s="77">
        <f t="shared" si="1302"/>
        <v>66.366144807084382</v>
      </c>
      <c r="DW423" s="77">
        <f t="shared" si="1302"/>
        <v>66.366144807084382</v>
      </c>
      <c r="FA423" s="77">
        <f t="shared" si="1244"/>
        <v>-25637.241738976696</v>
      </c>
      <c r="FB423" s="77">
        <f t="shared" si="1245"/>
        <v>-24668.649110546616</v>
      </c>
      <c r="FC423" s="77">
        <f t="shared" si="1283"/>
        <v>-9460.3619227004365</v>
      </c>
      <c r="FD423" s="77">
        <f t="shared" si="1284"/>
        <v>10163.234448713998</v>
      </c>
      <c r="FE423" s="77">
        <f t="shared" si="1273"/>
        <v>25637.241738976696</v>
      </c>
      <c r="FF423" s="77">
        <f t="shared" si="1274"/>
        <v>25637.241738976696</v>
      </c>
      <c r="FG423" s="77">
        <f t="shared" si="1303"/>
        <v>25637.241738976696</v>
      </c>
      <c r="FH423" s="77">
        <f t="shared" si="1304"/>
        <v>25637.241738976696</v>
      </c>
      <c r="FI423" s="77">
        <f t="shared" si="1305"/>
        <v>25637.241738976696</v>
      </c>
      <c r="FJ423" s="77">
        <f t="shared" si="1306"/>
        <v>25637.241738976696</v>
      </c>
      <c r="FK423" s="77">
        <f t="shared" si="1307"/>
        <v>25637.241738976696</v>
      </c>
      <c r="GO423" s="77">
        <f t="shared" si="1263"/>
        <v>11664944.991234398</v>
      </c>
      <c r="GP423" s="77">
        <f t="shared" si="1264"/>
        <v>9312415.0392313469</v>
      </c>
      <c r="GQ423" s="77">
        <f t="shared" si="1265"/>
        <v>2838108.5768101308</v>
      </c>
      <c r="GR423" s="77">
        <f t="shared" si="1266"/>
        <v>-2032646.8897427996</v>
      </c>
      <c r="GS423" s="77">
        <f t="shared" si="1308"/>
        <v>-2563724.1738976697</v>
      </c>
      <c r="GT423" s="77">
        <f t="shared" si="1272"/>
        <v>0</v>
      </c>
      <c r="GU423" s="77">
        <f t="shared" si="1275"/>
        <v>2563724.1738976697</v>
      </c>
      <c r="GV423" s="77">
        <f t="shared" si="1276"/>
        <v>5127448.3477953393</v>
      </c>
      <c r="GW423" s="77">
        <f t="shared" si="1309"/>
        <v>7691172.521693009</v>
      </c>
      <c r="GX423" s="77">
        <f t="shared" si="1310"/>
        <v>9678058.7564637028</v>
      </c>
      <c r="GY423" s="77">
        <f t="shared" si="1311"/>
        <v>11664944.991234398</v>
      </c>
      <c r="IC423" s="82">
        <v>445</v>
      </c>
    </row>
    <row r="424" spans="1:237" s="77" customFormat="1">
      <c r="A424" s="77">
        <v>424</v>
      </c>
      <c r="C424" s="122" t="s">
        <v>448</v>
      </c>
      <c r="D424" s="122" t="s">
        <v>457</v>
      </c>
      <c r="E424" s="125">
        <v>1</v>
      </c>
      <c r="F424" s="125">
        <f t="shared" si="1319"/>
        <v>3.7671011294114272E-2</v>
      </c>
      <c r="G424" s="122">
        <v>3.2631578947368424E-3</v>
      </c>
      <c r="H424" s="122">
        <v>6.7894736842105266E-3</v>
      </c>
      <c r="I424" s="122">
        <f>28.2/AU424</f>
        <v>1.4029850746268656E-2</v>
      </c>
      <c r="J424" s="122">
        <v>2.0099999999999998</v>
      </c>
      <c r="K424" s="125">
        <f t="shared" si="1223"/>
        <v>9.5</v>
      </c>
      <c r="L424" s="125">
        <f t="shared" si="1224"/>
        <v>2.9182308586004534E-2</v>
      </c>
      <c r="M424" s="125">
        <f t="shared" si="1225"/>
        <v>4.3773462879006797E-2</v>
      </c>
      <c r="N424" s="125">
        <f t="shared" si="1226"/>
        <v>6.0032177662637888E-2</v>
      </c>
      <c r="O424" s="125">
        <f t="shared" si="1227"/>
        <v>2.8973371504586214E-2</v>
      </c>
      <c r="P424" s="122">
        <v>0.2</v>
      </c>
      <c r="Q424" s="122" t="s">
        <v>3</v>
      </c>
      <c r="R424" s="133">
        <f t="shared" si="1228"/>
        <v>0</v>
      </c>
      <c r="S424" s="75">
        <f t="shared" si="1163"/>
        <v>0.32232388025021858</v>
      </c>
      <c r="T424" s="59">
        <f t="shared" si="1142"/>
        <v>0.73048137781938005</v>
      </c>
      <c r="U424" s="59">
        <f t="shared" si="1143"/>
        <v>0.68596178049040657</v>
      </c>
      <c r="V424" s="59">
        <f t="shared" si="1144"/>
        <v>1.1588728283503762</v>
      </c>
      <c r="W424" s="59">
        <f t="shared" si="1145"/>
        <v>1.5864508850449037</v>
      </c>
      <c r="X424" s="59">
        <f t="shared" si="1146"/>
        <v>1.6894131150016507</v>
      </c>
      <c r="Y424" s="127">
        <v>262000</v>
      </c>
      <c r="Z424" s="57">
        <f t="shared" si="1147"/>
        <v>442626.23613043246</v>
      </c>
      <c r="AA424" s="77">
        <f t="shared" si="1148"/>
        <v>415650.1318817648</v>
      </c>
      <c r="AB424" s="77">
        <f t="shared" si="1314"/>
        <v>469115.61739373941</v>
      </c>
      <c r="AC424" s="57">
        <f t="shared" si="1149"/>
        <v>0.17</v>
      </c>
      <c r="AD424" s="57">
        <f t="shared" si="1150"/>
        <v>2.0099999999999998</v>
      </c>
      <c r="AE424" s="57">
        <f t="shared" si="1151"/>
        <v>1390989.9999999998</v>
      </c>
      <c r="AF424" s="57">
        <f t="shared" si="1152"/>
        <v>200443.86744333094</v>
      </c>
      <c r="AG424" s="57">
        <f t="shared" si="1312"/>
        <v>215206.26443843386</v>
      </c>
      <c r="AH424" s="77">
        <f t="shared" si="1315"/>
        <v>905550644.49009848</v>
      </c>
      <c r="AI424" s="77">
        <f t="shared" si="1316"/>
        <v>37371746.471317805</v>
      </c>
      <c r="AJ424" s="77">
        <f t="shared" si="1281"/>
        <v>1390989.9999999998</v>
      </c>
      <c r="AK424" s="77">
        <v>73.209999999999994</v>
      </c>
      <c r="AL424" s="78">
        <f t="shared" si="1153"/>
        <v>4.8715071425200946</v>
      </c>
      <c r="AM424" s="57">
        <f t="shared" si="1154"/>
        <v>0.94</v>
      </c>
      <c r="AN424" s="57">
        <f t="shared" si="1155"/>
        <v>0.74</v>
      </c>
      <c r="AO424" s="77">
        <v>950</v>
      </c>
      <c r="AP424" s="79">
        <v>175</v>
      </c>
      <c r="AQ424" s="57">
        <f t="shared" si="1156"/>
        <v>110.57169242488202</v>
      </c>
      <c r="AR424" s="57">
        <f t="shared" si="1317"/>
        <v>600</v>
      </c>
      <c r="AS424" s="57">
        <f t="shared" si="1157"/>
        <v>839.42830757511797</v>
      </c>
      <c r="AT424" s="77">
        <v>100</v>
      </c>
      <c r="AU424" s="77">
        <v>2010</v>
      </c>
      <c r="AV424" s="57">
        <f t="shared" si="1158"/>
        <v>95000</v>
      </c>
      <c r="AW424" s="77">
        <v>0</v>
      </c>
      <c r="AX424" s="77">
        <f t="shared" si="1159"/>
        <v>95000</v>
      </c>
      <c r="AY424" s="77">
        <f t="shared" si="1286"/>
        <v>95000</v>
      </c>
      <c r="AZ424" s="77">
        <f t="shared" si="1269"/>
        <v>386.3</v>
      </c>
      <c r="BA424" s="77">
        <v>386.3</v>
      </c>
      <c r="BB424" s="77">
        <v>386.3</v>
      </c>
      <c r="BC424" s="77">
        <v>375.1</v>
      </c>
      <c r="BD424" s="77">
        <f t="shared" si="1287"/>
        <v>5.530512067257032E-3</v>
      </c>
      <c r="BE424" s="77">
        <f t="shared" si="1288"/>
        <v>8.2957681008855484E-3</v>
      </c>
      <c r="BF424" s="77">
        <f t="shared" si="1289"/>
        <v>1.1377053395500181E-2</v>
      </c>
      <c r="BG424" s="77">
        <f>(2*PI()*6*6)/(4*100*100)</f>
        <v>5.6548667764616273E-3</v>
      </c>
      <c r="BH424" s="79">
        <v>80</v>
      </c>
      <c r="BI424" s="79">
        <f t="shared" si="1290"/>
        <v>33.183072403542191</v>
      </c>
      <c r="BJ424" s="79">
        <v>2</v>
      </c>
      <c r="BK424" s="57">
        <f t="shared" si="1313"/>
        <v>66.366144807084382</v>
      </c>
      <c r="BL424" s="57">
        <f t="shared" si="1235"/>
        <v>331.83072403542189</v>
      </c>
      <c r="BM424" s="80">
        <f t="shared" si="1291"/>
        <v>33.183072403542191</v>
      </c>
      <c r="BN424" s="80">
        <v>4</v>
      </c>
      <c r="BO424" s="57">
        <f t="shared" si="1318"/>
        <v>132.73228961416876</v>
      </c>
      <c r="BP424" s="57">
        <f t="shared" si="1160"/>
        <v>303624.68102779856</v>
      </c>
      <c r="BQ424" s="77">
        <f t="shared" si="1161"/>
        <v>-2.6193447411060333E-10</v>
      </c>
      <c r="BR424" s="57">
        <f t="shared" si="1251"/>
        <v>610285608.86587512</v>
      </c>
      <c r="BS424" s="57">
        <v>221.14338484976403</v>
      </c>
      <c r="BT424" s="57">
        <f t="shared" si="1170"/>
        <v>435.49606690460382</v>
      </c>
      <c r="BU424" s="57"/>
      <c r="BV424" s="57">
        <v>3.3E-3</v>
      </c>
      <c r="BW424" s="57">
        <v>30000</v>
      </c>
      <c r="BX424" s="57">
        <v>200000</v>
      </c>
      <c r="BY424" s="77">
        <v>20</v>
      </c>
      <c r="BZ424" s="77">
        <f t="shared" si="1292"/>
        <v>97.5</v>
      </c>
      <c r="CA424" s="77">
        <f t="shared" si="1293"/>
        <v>175</v>
      </c>
      <c r="CB424" s="77">
        <f t="shared" si="1294"/>
        <v>275</v>
      </c>
      <c r="CC424" s="77">
        <f t="shared" si="1295"/>
        <v>375</v>
      </c>
      <c r="CD424" s="77">
        <f t="shared" si="1296"/>
        <v>475</v>
      </c>
      <c r="CE424" s="77">
        <f t="shared" si="1297"/>
        <v>575</v>
      </c>
      <c r="CF424" s="77">
        <f t="shared" si="1298"/>
        <v>675</v>
      </c>
      <c r="CG424" s="77">
        <f t="shared" si="1299"/>
        <v>775</v>
      </c>
      <c r="CH424" s="77">
        <f t="shared" si="1300"/>
        <v>852.5</v>
      </c>
      <c r="CI424" s="77">
        <f t="shared" si="1301"/>
        <v>930</v>
      </c>
      <c r="DM424" s="77">
        <f t="shared" si="1302"/>
        <v>66.366144807084382</v>
      </c>
      <c r="DN424" s="77">
        <f t="shared" si="1302"/>
        <v>66.366144807084382</v>
      </c>
      <c r="DO424" s="77">
        <f t="shared" si="1302"/>
        <v>66.366144807084382</v>
      </c>
      <c r="DP424" s="77">
        <f t="shared" si="1302"/>
        <v>66.366144807084382</v>
      </c>
      <c r="DQ424" s="77">
        <f t="shared" si="1302"/>
        <v>66.366144807084382</v>
      </c>
      <c r="DR424" s="77">
        <f t="shared" si="1302"/>
        <v>66.366144807084382</v>
      </c>
      <c r="DS424" s="77">
        <f t="shared" si="1302"/>
        <v>66.366144807084382</v>
      </c>
      <c r="DT424" s="77">
        <f t="shared" si="1302"/>
        <v>66.366144807084382</v>
      </c>
      <c r="DU424" s="77">
        <f t="shared" si="1302"/>
        <v>66.366144807084382</v>
      </c>
      <c r="DV424" s="77">
        <f t="shared" si="1302"/>
        <v>66.366144807084382</v>
      </c>
      <c r="DW424" s="77">
        <f t="shared" si="1302"/>
        <v>66.366144807084382</v>
      </c>
      <c r="FA424" s="77">
        <f t="shared" si="1244"/>
        <v>-25637.241738976696</v>
      </c>
      <c r="FB424" s="77">
        <f t="shared" si="1245"/>
        <v>-24489.925216204949</v>
      </c>
      <c r="FC424" s="77">
        <f t="shared" si="1283"/>
        <v>-9139.5754456769246</v>
      </c>
      <c r="FD424" s="77">
        <f t="shared" si="1284"/>
        <v>10667.327484036656</v>
      </c>
      <c r="FE424" s="77">
        <f t="shared" si="1273"/>
        <v>25637.241738976696</v>
      </c>
      <c r="FF424" s="77">
        <f t="shared" si="1274"/>
        <v>25637.241738976696</v>
      </c>
      <c r="FG424" s="77">
        <f t="shared" si="1303"/>
        <v>25637.241738976696</v>
      </c>
      <c r="FH424" s="77">
        <f t="shared" si="1304"/>
        <v>25637.241738976696</v>
      </c>
      <c r="FI424" s="77">
        <f t="shared" si="1305"/>
        <v>25637.241738976696</v>
      </c>
      <c r="FJ424" s="77">
        <f t="shared" si="1306"/>
        <v>25637.241738976696</v>
      </c>
      <c r="FK424" s="77">
        <f t="shared" si="1307"/>
        <v>25637.241738976696</v>
      </c>
      <c r="GO424" s="77">
        <f t="shared" si="1263"/>
        <v>11664944.991234398</v>
      </c>
      <c r="GP424" s="77">
        <f t="shared" si="1264"/>
        <v>9244946.7691173684</v>
      </c>
      <c r="GQ424" s="77">
        <f t="shared" si="1265"/>
        <v>2741872.6337030772</v>
      </c>
      <c r="GR424" s="77">
        <f t="shared" si="1266"/>
        <v>-2133465.4968073312</v>
      </c>
      <c r="GS424" s="77">
        <f t="shared" si="1308"/>
        <v>-2563724.1738976697</v>
      </c>
      <c r="GT424" s="77">
        <f t="shared" si="1272"/>
        <v>0</v>
      </c>
      <c r="GU424" s="77">
        <f t="shared" si="1275"/>
        <v>2563724.1738976697</v>
      </c>
      <c r="GV424" s="77">
        <f t="shared" si="1276"/>
        <v>5127448.3477953393</v>
      </c>
      <c r="GW424" s="77">
        <f t="shared" si="1309"/>
        <v>7691172.521693009</v>
      </c>
      <c r="GX424" s="77">
        <f t="shared" si="1310"/>
        <v>9678058.7564637028</v>
      </c>
      <c r="GY424" s="77">
        <f t="shared" si="1311"/>
        <v>11664944.991234398</v>
      </c>
      <c r="IC424" s="82">
        <v>446</v>
      </c>
    </row>
    <row r="425" spans="1:237" s="77" customFormat="1">
      <c r="A425" s="77">
        <v>425</v>
      </c>
      <c r="C425" s="122" t="s">
        <v>458</v>
      </c>
      <c r="D425" s="122" t="s">
        <v>304</v>
      </c>
      <c r="E425" s="125">
        <v>1</v>
      </c>
      <c r="F425" s="125">
        <f t="shared" si="1319"/>
        <v>6.4502164502164491E-2</v>
      </c>
      <c r="G425" s="122">
        <v>6.1711111111111107E-3</v>
      </c>
      <c r="H425" s="122"/>
      <c r="I425" s="122">
        <f>46.1/AU425</f>
        <v>1.9617021276595745E-2</v>
      </c>
      <c r="J425" s="122">
        <f>AU425/AO425</f>
        <v>2.6111111111111112</v>
      </c>
      <c r="K425" s="125">
        <f t="shared" si="1223"/>
        <v>12</v>
      </c>
      <c r="L425" s="125">
        <f t="shared" si="1224"/>
        <v>7.8185064935064941E-2</v>
      </c>
      <c r="M425" s="125">
        <f t="shared" si="1225"/>
        <v>9.3754870129870133E-2</v>
      </c>
      <c r="N425" s="125">
        <f t="shared" si="1226"/>
        <v>0.63614415584415585</v>
      </c>
      <c r="O425" s="125">
        <f t="shared" si="1227"/>
        <v>0.15681818181818183</v>
      </c>
      <c r="P425" s="122">
        <v>0.1</v>
      </c>
      <c r="Q425" s="122" t="s">
        <v>3</v>
      </c>
      <c r="R425" s="133">
        <f t="shared" si="1228"/>
        <v>0</v>
      </c>
      <c r="S425" s="75">
        <f t="shared" si="1163"/>
        <v>0.35797248517770208</v>
      </c>
      <c r="T425" s="59">
        <f t="shared" si="1142"/>
        <v>0.64883452326802793</v>
      </c>
      <c r="U425" s="59">
        <f t="shared" si="1143"/>
        <v>0.49130581359758102</v>
      </c>
      <c r="V425" s="59">
        <f t="shared" si="1144"/>
        <v>0.94743999469330753</v>
      </c>
      <c r="W425" s="59">
        <f t="shared" si="1145"/>
        <v>1.4602182231630856</v>
      </c>
      <c r="X425" s="59">
        <f t="shared" si="1146"/>
        <v>1.9284119350342901</v>
      </c>
      <c r="Y425" s="127">
        <v>134100</v>
      </c>
      <c r="Z425" s="57">
        <f t="shared" si="1147"/>
        <v>258600.04048809831</v>
      </c>
      <c r="AA425" s="77">
        <f t="shared" si="1148"/>
        <v>195815.26372616977</v>
      </c>
      <c r="AB425" s="77">
        <f t="shared" si="1314"/>
        <v>208271.82166898614</v>
      </c>
      <c r="AC425" s="57">
        <f t="shared" si="1149"/>
        <v>0.17</v>
      </c>
      <c r="AD425" s="57">
        <f t="shared" si="1150"/>
        <v>2.2000000000000002</v>
      </c>
      <c r="AE425" s="57">
        <f t="shared" si="1151"/>
        <v>207900</v>
      </c>
      <c r="AF425" s="57">
        <f t="shared" si="1152"/>
        <v>55450.370519147851</v>
      </c>
      <c r="AG425" s="57">
        <f t="shared" si="1312"/>
        <v>140364.8932070219</v>
      </c>
      <c r="AH425" s="77">
        <f t="shared" si="1315"/>
        <v>299131440.15633106</v>
      </c>
      <c r="AI425" s="77">
        <f t="shared" si="1316"/>
        <v>190307340.76578638</v>
      </c>
      <c r="AJ425" s="77">
        <v>200000</v>
      </c>
      <c r="AK425" s="77">
        <v>30.8</v>
      </c>
      <c r="AL425" s="78">
        <f t="shared" si="1153"/>
        <v>3.0258856652872774</v>
      </c>
      <c r="AM425" s="57">
        <f t="shared" si="1154"/>
        <v>1</v>
      </c>
      <c r="AN425" s="57">
        <f t="shared" si="1155"/>
        <v>0.8</v>
      </c>
      <c r="AO425" s="77">
        <v>900</v>
      </c>
      <c r="AP425" s="79">
        <v>180</v>
      </c>
      <c r="AQ425" s="57">
        <f t="shared" si="1156"/>
        <v>90.588167012190794</v>
      </c>
      <c r="AR425" s="57">
        <f t="shared" si="1317"/>
        <v>540</v>
      </c>
      <c r="AS425" s="57">
        <f t="shared" si="1157"/>
        <v>809.41183298780925</v>
      </c>
      <c r="AT425" s="77">
        <v>75</v>
      </c>
      <c r="AU425" s="77">
        <v>2350</v>
      </c>
      <c r="AV425" s="57">
        <f t="shared" si="1158"/>
        <v>67500</v>
      </c>
      <c r="AW425" s="77">
        <v>0</v>
      </c>
      <c r="AX425" s="77">
        <f t="shared" si="1159"/>
        <v>67500</v>
      </c>
      <c r="AY425" s="77">
        <f t="shared" si="1286"/>
        <v>67500</v>
      </c>
      <c r="AZ425" s="77">
        <f t="shared" si="1269"/>
        <v>345</v>
      </c>
      <c r="BA425" s="77">
        <v>345</v>
      </c>
      <c r="BB425" s="77">
        <v>526.70000000000005</v>
      </c>
      <c r="BC425" s="77">
        <v>345</v>
      </c>
      <c r="BD425" s="77">
        <v>6.9800000000000001E-3</v>
      </c>
      <c r="BE425" s="77">
        <v>8.3700000000000007E-3</v>
      </c>
      <c r="BF425" s="77">
        <v>3.7199999999999997E-2</v>
      </c>
      <c r="BG425" s="77">
        <v>1.4E-2</v>
      </c>
      <c r="BH425" s="79">
        <v>90</v>
      </c>
      <c r="BI425" s="79">
        <f>PI()*6*6/4</f>
        <v>28.274333882308138</v>
      </c>
      <c r="BJ425" s="79">
        <v>2</v>
      </c>
      <c r="BK425" s="57">
        <f t="shared" si="1313"/>
        <v>56.548667764616276</v>
      </c>
      <c r="BL425" s="57">
        <f t="shared" si="1235"/>
        <v>282.69</v>
      </c>
      <c r="BM425" s="80">
        <f>PI()*8*8/4</f>
        <v>50.26548245743669</v>
      </c>
      <c r="BN425" s="80">
        <v>10</v>
      </c>
      <c r="BO425" s="57">
        <f t="shared" si="1318"/>
        <v>502.6548245743669</v>
      </c>
      <c r="BP425" s="57">
        <f t="shared" si="1160"/>
        <v>127051.70328837253</v>
      </c>
      <c r="BQ425" s="77">
        <f t="shared" si="1161"/>
        <v>2.3283064365386963E-10</v>
      </c>
      <c r="BR425" s="57">
        <f t="shared" si="1251"/>
        <v>298571502.72767544</v>
      </c>
      <c r="BS425" s="57">
        <v>181.17633402438159</v>
      </c>
      <c r="BT425" s="57">
        <f t="shared" si="1170"/>
        <v>147.51709665246162</v>
      </c>
      <c r="BU425" s="57"/>
      <c r="BV425" s="57">
        <v>3.3E-3</v>
      </c>
      <c r="BW425" s="57">
        <v>30000</v>
      </c>
      <c r="BX425" s="57">
        <v>200000</v>
      </c>
      <c r="BY425" s="77">
        <f>20</f>
        <v>20</v>
      </c>
      <c r="BZ425" s="77">
        <f>BY425+160/4*1</f>
        <v>60</v>
      </c>
      <c r="CA425" s="77">
        <f>BY425+160/4*2</f>
        <v>100</v>
      </c>
      <c r="CB425" s="77">
        <f>BY425+160/4*3</f>
        <v>140</v>
      </c>
      <c r="CC425" s="77">
        <f>BY425+160/4*4</f>
        <v>180</v>
      </c>
      <c r="CD425" s="77">
        <f>180+540/6*1</f>
        <v>270</v>
      </c>
      <c r="CE425" s="77">
        <f>180+540/6*2</f>
        <v>360</v>
      </c>
      <c r="CF425" s="77">
        <f>180+540/6*3</f>
        <v>450</v>
      </c>
      <c r="CG425" s="77">
        <f>180+540/6*4</f>
        <v>540</v>
      </c>
      <c r="CH425" s="77">
        <f>180+540/6*5</f>
        <v>630</v>
      </c>
      <c r="CI425" s="77">
        <f>180+540/6*6</f>
        <v>720</v>
      </c>
      <c r="CJ425" s="77">
        <f>720+160/4*1</f>
        <v>760</v>
      </c>
      <c r="CK425" s="77">
        <f>720+160/4*2</f>
        <v>800</v>
      </c>
      <c r="CL425" s="77">
        <f>720+160/4*3</f>
        <v>840</v>
      </c>
      <c r="CM425" s="77">
        <f>720+160/4*4</f>
        <v>880</v>
      </c>
      <c r="DM425" s="77">
        <f t="shared" ref="DM425:DQ426" si="1320">PI()*8*8/4*2</f>
        <v>100.53096491487338</v>
      </c>
      <c r="DN425" s="77">
        <f t="shared" si="1320"/>
        <v>100.53096491487338</v>
      </c>
      <c r="DO425" s="77">
        <f t="shared" si="1320"/>
        <v>100.53096491487338</v>
      </c>
      <c r="DP425" s="77">
        <f t="shared" si="1320"/>
        <v>100.53096491487338</v>
      </c>
      <c r="DQ425" s="77">
        <f t="shared" si="1320"/>
        <v>100.53096491487338</v>
      </c>
      <c r="DR425" s="77">
        <f t="shared" ref="DR425:DV426" si="1321">PI()*6*6/4*2</f>
        <v>56.548667764616276</v>
      </c>
      <c r="DS425" s="77">
        <f t="shared" si="1321"/>
        <v>56.548667764616276</v>
      </c>
      <c r="DT425" s="77">
        <f t="shared" si="1321"/>
        <v>56.548667764616276</v>
      </c>
      <c r="DU425" s="77">
        <f t="shared" si="1321"/>
        <v>56.548667764616276</v>
      </c>
      <c r="DV425" s="77">
        <f t="shared" si="1321"/>
        <v>56.548667764616276</v>
      </c>
      <c r="DW425" s="77">
        <f t="shared" ref="DW425:EA426" si="1322">PI()*8*8/4*2</f>
        <v>100.53096491487338</v>
      </c>
      <c r="DX425" s="77">
        <f t="shared" si="1322"/>
        <v>100.53096491487338</v>
      </c>
      <c r="DY425" s="77">
        <f t="shared" si="1322"/>
        <v>100.53096491487338</v>
      </c>
      <c r="DZ425" s="77">
        <f t="shared" si="1322"/>
        <v>100.53096491487338</v>
      </c>
      <c r="EA425" s="77">
        <f t="shared" si="1322"/>
        <v>100.53096491487338</v>
      </c>
      <c r="FA425" s="77">
        <f t="shared" si="1244"/>
        <v>-52949.659220663816</v>
      </c>
      <c r="FB425" s="77">
        <f t="shared" si="1245"/>
        <v>-44377.223664145597</v>
      </c>
      <c r="FC425" s="77">
        <f t="shared" si="1283"/>
        <v>-29728.414877698378</v>
      </c>
      <c r="FD425" s="77">
        <f>IF(ABS(-$BV425*($BS425-CB425)/$BS425*$BX425)&gt;$BB425,$BB425*SIGN(-($BS425-CB425)),-$BV425*($BS425-CB425)/$BS425*$BX425)*DP425</f>
        <v>-15079.606091251164</v>
      </c>
      <c r="FE425" s="77">
        <f>IF(ABS(-$BV425*($BS425-CC425)/$BS425*$BX425)&gt;$BB425,$BB425*SIGN(-($BS425-CC425)),-$BV425*($BS425-CC425)/$BS425*$BX425)*DQ425</f>
        <v>-430.79730480394596</v>
      </c>
      <c r="FF425" s="77">
        <f>IF(ABS(-$BV425*($BS425-CD425)/$BS425*$BX425)&gt;$BA425,$BA425*SIGN(-($BS425-CD425)),-$BV425*($BS425-CD425)/$BS425*$BX425)*DR425</f>
        <v>18297.575136395044</v>
      </c>
      <c r="FG425" s="77">
        <f t="shared" si="1303"/>
        <v>19509.290378792615</v>
      </c>
      <c r="FH425" s="77">
        <f t="shared" si="1304"/>
        <v>19509.290378792615</v>
      </c>
      <c r="FI425" s="77">
        <f>IF(ABS(-$BV425*($BS425-CG425)/$BS425*$BX425)&gt;$BA425,$BA425*SIGN(-($BS425-CG425)),-$BV425*($BS425-CG425)/$BS425*$BX425)*DU425</f>
        <v>19509.290378792615</v>
      </c>
      <c r="FJ425" s="77">
        <f>IF(ABS(-$BV425*($BS425-CH425)/$BS425*$BX425)&gt;$BA425,$BA425*SIGN(-($BS425-CH425)),-$BV425*($BS425-CH425)/$BS425*$BX425)*DV425</f>
        <v>19509.290378792615</v>
      </c>
      <c r="FK425" s="77">
        <f t="shared" ref="FK425:FO426" si="1323">IF(ABS(-$BV425*($BS425-CI425)/$BS425*$BX425)&gt;$BB425,$BB425*SIGN(-($BS425-CI425)),-$BV425*($BS425-CI425)/$BS425*$BX425)*DW425</f>
        <v>52949.659220663816</v>
      </c>
      <c r="FL425" s="77">
        <f t="shared" si="1323"/>
        <v>52949.659220663816</v>
      </c>
      <c r="FM425" s="77">
        <f t="shared" si="1323"/>
        <v>52949.659220663816</v>
      </c>
      <c r="FN425" s="77">
        <f t="shared" si="1323"/>
        <v>52949.659220663816</v>
      </c>
      <c r="FO425" s="77">
        <f t="shared" si="1323"/>
        <v>52949.659220663816</v>
      </c>
      <c r="GO425" s="77">
        <f t="shared" si="1263"/>
        <v>22768353.46488544</v>
      </c>
      <c r="GP425" s="77">
        <f t="shared" si="1264"/>
        <v>17307117.229016781</v>
      </c>
      <c r="GQ425" s="77">
        <f t="shared" si="1265"/>
        <v>10404945.207194433</v>
      </c>
      <c r="GR425" s="77">
        <f t="shared" si="1266"/>
        <v>4674677.8882878609</v>
      </c>
      <c r="GS425" s="77">
        <f t="shared" si="1308"/>
        <v>116315.27229706541</v>
      </c>
      <c r="GT425" s="77">
        <f t="shared" si="1272"/>
        <v>-3293563.524551108</v>
      </c>
      <c r="GU425" s="77">
        <f t="shared" si="1275"/>
        <v>-1755836.1340913353</v>
      </c>
      <c r="GV425" s="77">
        <f t="shared" si="1276"/>
        <v>0</v>
      </c>
      <c r="GW425" s="77">
        <f t="shared" si="1309"/>
        <v>1755836.1340913353</v>
      </c>
      <c r="GX425" s="77">
        <f t="shared" si="1310"/>
        <v>3511672.2681826707</v>
      </c>
      <c r="GY425" s="77">
        <f t="shared" si="1311"/>
        <v>14296407.989579231</v>
      </c>
      <c r="GZ425" s="77">
        <f t="shared" ref="GZ425:HC426" si="1324">FL425*(CJ425-0.5*$AO425)</f>
        <v>16414394.358405784</v>
      </c>
      <c r="HA425" s="77">
        <f t="shared" si="1324"/>
        <v>18532380.727232337</v>
      </c>
      <c r="HB425" s="77">
        <f t="shared" si="1324"/>
        <v>20650367.096058886</v>
      </c>
      <c r="HC425" s="77">
        <f t="shared" si="1324"/>
        <v>22768353.46488544</v>
      </c>
      <c r="IC425" s="82">
        <v>447</v>
      </c>
    </row>
    <row r="426" spans="1:237" s="77" customFormat="1">
      <c r="A426" s="77">
        <v>426</v>
      </c>
      <c r="C426" s="122" t="s">
        <v>458</v>
      </c>
      <c r="D426" s="122" t="s">
        <v>305</v>
      </c>
      <c r="E426" s="125">
        <v>1</v>
      </c>
      <c r="F426" s="125">
        <f t="shared" si="1319"/>
        <v>7.3208273208273208E-2</v>
      </c>
      <c r="G426" s="122">
        <v>7.6888888888888892E-3</v>
      </c>
      <c r="H426" s="122"/>
      <c r="I426" s="122">
        <f>46.4/AU426</f>
        <v>1.9744680851063828E-2</v>
      </c>
      <c r="J426" s="122">
        <f>AU426/AO426</f>
        <v>2.6111111111111112</v>
      </c>
      <c r="K426" s="125">
        <f t="shared" si="1223"/>
        <v>12</v>
      </c>
      <c r="L426" s="125">
        <f t="shared" si="1224"/>
        <v>7.8185064935064941E-2</v>
      </c>
      <c r="M426" s="125">
        <f t="shared" si="1225"/>
        <v>9.3754870129870133E-2</v>
      </c>
      <c r="N426" s="125">
        <f t="shared" si="1226"/>
        <v>0.63614415584415585</v>
      </c>
      <c r="O426" s="125">
        <f t="shared" si="1227"/>
        <v>0.15681818181818183</v>
      </c>
      <c r="P426" s="122">
        <v>0.2</v>
      </c>
      <c r="Q426" s="122" t="s">
        <v>3</v>
      </c>
      <c r="R426" s="133">
        <f t="shared" si="1228"/>
        <v>0</v>
      </c>
      <c r="S426" s="75">
        <f t="shared" si="1163"/>
        <v>0.40628942762152315</v>
      </c>
      <c r="T426" s="59">
        <f t="shared" si="1142"/>
        <v>0.73737568844695556</v>
      </c>
      <c r="U426" s="59">
        <f t="shared" si="1143"/>
        <v>0.57355033225042285</v>
      </c>
      <c r="V426" s="59">
        <f t="shared" si="1144"/>
        <v>0.97450814153693555</v>
      </c>
      <c r="W426" s="59">
        <f t="shared" si="1145"/>
        <v>1.3215897361485067</v>
      </c>
      <c r="X426" s="59">
        <f t="shared" si="1146"/>
        <v>1.6990804237062964</v>
      </c>
      <c r="Y426" s="127">
        <v>152200</v>
      </c>
      <c r="Z426" s="57">
        <f t="shared" si="1147"/>
        <v>258600.04048809831</v>
      </c>
      <c r="AA426" s="77">
        <f t="shared" si="1148"/>
        <v>201145.95784180274</v>
      </c>
      <c r="AB426" s="77">
        <f t="shared" si="1314"/>
        <v>196036.96346711533</v>
      </c>
      <c r="AC426" s="57">
        <f t="shared" si="1149"/>
        <v>0.17</v>
      </c>
      <c r="AD426" s="57">
        <f t="shared" si="1150"/>
        <v>2.2000000000000002</v>
      </c>
      <c r="AE426" s="57">
        <f t="shared" si="1151"/>
        <v>415800</v>
      </c>
      <c r="AF426" s="57">
        <f t="shared" si="1152"/>
        <v>66055.641927810895</v>
      </c>
      <c r="AG426" s="57">
        <f t="shared" si="1312"/>
        <v>135090.31591399186</v>
      </c>
      <c r="AH426" s="77">
        <f t="shared" si="1315"/>
        <v>286484566.04998636</v>
      </c>
      <c r="AI426" s="77">
        <f t="shared" si="1316"/>
        <v>174202298.09773466</v>
      </c>
      <c r="AJ426" s="77">
        <v>400000</v>
      </c>
      <c r="AK426" s="77">
        <v>30.8</v>
      </c>
      <c r="AL426" s="78">
        <f t="shared" si="1153"/>
        <v>3.0258856652872774</v>
      </c>
      <c r="AM426" s="57">
        <f t="shared" si="1154"/>
        <v>1</v>
      </c>
      <c r="AN426" s="57">
        <f t="shared" si="1155"/>
        <v>0.8</v>
      </c>
      <c r="AO426" s="77">
        <v>900</v>
      </c>
      <c r="AP426" s="79">
        <v>180</v>
      </c>
      <c r="AQ426" s="57">
        <f t="shared" si="1156"/>
        <v>121.00392965371253</v>
      </c>
      <c r="AR426" s="57">
        <f t="shared" si="1317"/>
        <v>540</v>
      </c>
      <c r="AS426" s="57">
        <f t="shared" si="1157"/>
        <v>778.99607034628752</v>
      </c>
      <c r="AT426" s="77">
        <v>75</v>
      </c>
      <c r="AU426" s="77">
        <v>2350</v>
      </c>
      <c r="AV426" s="57">
        <f t="shared" si="1158"/>
        <v>67500</v>
      </c>
      <c r="AW426" s="77">
        <v>0</v>
      </c>
      <c r="AX426" s="77">
        <f t="shared" si="1159"/>
        <v>67500</v>
      </c>
      <c r="AY426" s="77">
        <f t="shared" si="1286"/>
        <v>67500</v>
      </c>
      <c r="AZ426" s="77">
        <f t="shared" si="1269"/>
        <v>345</v>
      </c>
      <c r="BA426" s="77">
        <v>345</v>
      </c>
      <c r="BB426" s="77">
        <v>526.70000000000005</v>
      </c>
      <c r="BC426" s="77">
        <v>345</v>
      </c>
      <c r="BD426" s="77">
        <v>6.9800000000000001E-3</v>
      </c>
      <c r="BE426" s="77">
        <v>8.3700000000000007E-3</v>
      </c>
      <c r="BF426" s="77">
        <v>3.7199999999999997E-2</v>
      </c>
      <c r="BG426" s="77">
        <v>1.4E-2</v>
      </c>
      <c r="BH426" s="79">
        <v>90</v>
      </c>
      <c r="BI426" s="79">
        <f>PI()*6*6/4</f>
        <v>28.274333882308138</v>
      </c>
      <c r="BJ426" s="79">
        <v>2</v>
      </c>
      <c r="BK426" s="57">
        <f t="shared" si="1313"/>
        <v>56.548667764616276</v>
      </c>
      <c r="BL426" s="57">
        <f t="shared" si="1235"/>
        <v>282.69</v>
      </c>
      <c r="BM426" s="80">
        <f>PI()*8*8/4</f>
        <v>50.26548245743669</v>
      </c>
      <c r="BN426" s="80">
        <v>10</v>
      </c>
      <c r="BO426" s="57">
        <f t="shared" si="1318"/>
        <v>502.6548245743669</v>
      </c>
      <c r="BP426" s="57">
        <f t="shared" si="1160"/>
        <v>148320.13914192159</v>
      </c>
      <c r="BQ426" s="77">
        <f t="shared" si="1161"/>
        <v>-1.4551915228366852E-9</v>
      </c>
      <c r="BR426" s="57">
        <f t="shared" si="1251"/>
        <v>348552326.98351574</v>
      </c>
      <c r="BS426" s="57">
        <v>242.00785930742506</v>
      </c>
      <c r="BT426" s="57">
        <f t="shared" si="1170"/>
        <v>275.08619658158989</v>
      </c>
      <c r="BU426" s="57"/>
      <c r="BV426" s="57">
        <v>3.3E-3</v>
      </c>
      <c r="BW426" s="57">
        <v>30000</v>
      </c>
      <c r="BX426" s="57">
        <v>200000</v>
      </c>
      <c r="BY426" s="77">
        <f>20</f>
        <v>20</v>
      </c>
      <c r="BZ426" s="77">
        <f>BY426+160/4*1</f>
        <v>60</v>
      </c>
      <c r="CA426" s="77">
        <f>BY426+160/4*2</f>
        <v>100</v>
      </c>
      <c r="CB426" s="77">
        <f>BY426+160/4*3</f>
        <v>140</v>
      </c>
      <c r="CC426" s="77">
        <f>BY426+160/4*4</f>
        <v>180</v>
      </c>
      <c r="CD426" s="77">
        <f>180+540/6*1</f>
        <v>270</v>
      </c>
      <c r="CE426" s="77">
        <f>180+540/6*2</f>
        <v>360</v>
      </c>
      <c r="CF426" s="77">
        <f>180+540/6*3</f>
        <v>450</v>
      </c>
      <c r="CG426" s="77">
        <f>180+540/6*4</f>
        <v>540</v>
      </c>
      <c r="CH426" s="77">
        <f>180+540/6*5</f>
        <v>630</v>
      </c>
      <c r="CI426" s="77">
        <f>180+540/6*6</f>
        <v>720</v>
      </c>
      <c r="CJ426" s="77">
        <f>720+160/4*1</f>
        <v>760</v>
      </c>
      <c r="CK426" s="77">
        <f>720+160/4*2</f>
        <v>800</v>
      </c>
      <c r="CL426" s="77">
        <f>720+160/4*3</f>
        <v>840</v>
      </c>
      <c r="CM426" s="77">
        <f>720+160/4*4</f>
        <v>880</v>
      </c>
      <c r="DM426" s="77">
        <f t="shared" si="1320"/>
        <v>100.53096491487338</v>
      </c>
      <c r="DN426" s="77">
        <f t="shared" si="1320"/>
        <v>100.53096491487338</v>
      </c>
      <c r="DO426" s="77">
        <f t="shared" si="1320"/>
        <v>100.53096491487338</v>
      </c>
      <c r="DP426" s="77">
        <f t="shared" si="1320"/>
        <v>100.53096491487338</v>
      </c>
      <c r="DQ426" s="77">
        <f t="shared" si="1320"/>
        <v>100.53096491487338</v>
      </c>
      <c r="DR426" s="77">
        <f t="shared" si="1321"/>
        <v>56.548667764616276</v>
      </c>
      <c r="DS426" s="77">
        <f t="shared" si="1321"/>
        <v>56.548667764616276</v>
      </c>
      <c r="DT426" s="77">
        <f t="shared" si="1321"/>
        <v>56.548667764616276</v>
      </c>
      <c r="DU426" s="77">
        <f t="shared" si="1321"/>
        <v>56.548667764616276</v>
      </c>
      <c r="DV426" s="77">
        <f t="shared" si="1321"/>
        <v>56.548667764616276</v>
      </c>
      <c r="DW426" s="77">
        <f t="shared" si="1322"/>
        <v>100.53096491487338</v>
      </c>
      <c r="DX426" s="77">
        <f t="shared" si="1322"/>
        <v>100.53096491487338</v>
      </c>
      <c r="DY426" s="77">
        <f t="shared" si="1322"/>
        <v>100.53096491487338</v>
      </c>
      <c r="DZ426" s="77">
        <f t="shared" si="1322"/>
        <v>100.53096491487338</v>
      </c>
      <c r="EA426" s="77">
        <f t="shared" si="1322"/>
        <v>100.53096491487338</v>
      </c>
      <c r="FA426" s="77">
        <f t="shared" si="1244"/>
        <v>-52949.659220663816</v>
      </c>
      <c r="FB426" s="77">
        <f t="shared" si="1245"/>
        <v>-49900.449549925084</v>
      </c>
      <c r="FC426" s="77">
        <f t="shared" si="1283"/>
        <v>-38933.791353997527</v>
      </c>
      <c r="FD426" s="77">
        <f>IF(ABS(-$BV426*($BS426-CB426)/$BS426*$BX426)&gt;$BB426,$BB426*SIGN(-($BS426-CB426)),-$BV426*($BS426-CB426)/$BS426*$BX426)*DP426</f>
        <v>-27967.133158069966</v>
      </c>
      <c r="FE426" s="77">
        <f>IF(ABS(-$BV426*($BS426-CC426)/$BS426*$BX426)&gt;$BB426,$BB426*SIGN(-($BS426-CC426)),-$BV426*($BS426-CC426)/$BS426*$BX426)*DQ426</f>
        <v>-17000.474962142405</v>
      </c>
      <c r="FF426" s="77">
        <f>IF(ABS(-$BV426*($BS426-CD426)/$BS426*$BX426)&gt;$BA426,$BA426*SIGN(-($BS426-CD426)),-$BV426*($BS426-CD426)/$BS426*$BX426)*DR426</f>
        <v>4316.9096130157168</v>
      </c>
      <c r="FG426" s="77">
        <f t="shared" si="1303"/>
        <v>18196.586392236535</v>
      </c>
      <c r="FH426" s="77">
        <f t="shared" si="1304"/>
        <v>19509.290378792615</v>
      </c>
      <c r="FI426" s="77">
        <f>IF(ABS(-$BV426*($BS426-CG426)/$BS426*$BX426)&gt;$BA426,$BA426*SIGN(-($BS426-CG426)),-$BV426*($BS426-CG426)/$BS426*$BX426)*DU426</f>
        <v>19509.290378792615</v>
      </c>
      <c r="FJ426" s="77">
        <f>IF(ABS(-$BV426*($BS426-CH426)/$BS426*$BX426)&gt;$BA426,$BA426*SIGN(-($BS426-CH426)),-$BV426*($BS426-CH426)/$BS426*$BX426)*DV426</f>
        <v>19509.290378792615</v>
      </c>
      <c r="FK426" s="77">
        <f t="shared" si="1323"/>
        <v>52949.659220663816</v>
      </c>
      <c r="FL426" s="77">
        <f t="shared" si="1323"/>
        <v>52949.659220663816</v>
      </c>
      <c r="FM426" s="77">
        <f t="shared" si="1323"/>
        <v>52949.659220663816</v>
      </c>
      <c r="FN426" s="77">
        <f t="shared" si="1323"/>
        <v>52949.659220663816</v>
      </c>
      <c r="FO426" s="77">
        <f t="shared" si="1323"/>
        <v>52949.659220663816</v>
      </c>
      <c r="GO426" s="77">
        <f t="shared" si="1263"/>
        <v>22768353.46488544</v>
      </c>
      <c r="GP426" s="77">
        <f t="shared" si="1264"/>
        <v>19461175.324470785</v>
      </c>
      <c r="GQ426" s="77">
        <f t="shared" si="1265"/>
        <v>13626826.973899135</v>
      </c>
      <c r="GR426" s="77">
        <f t="shared" si="1266"/>
        <v>8669811.2790016886</v>
      </c>
      <c r="GS426" s="77">
        <f t="shared" si="1308"/>
        <v>4590128.2397784498</v>
      </c>
      <c r="GT426" s="77">
        <f t="shared" si="1272"/>
        <v>-777043.73034282902</v>
      </c>
      <c r="GU426" s="77">
        <f t="shared" si="1275"/>
        <v>-1637692.7753012881</v>
      </c>
      <c r="GV426" s="77">
        <f t="shared" si="1276"/>
        <v>0</v>
      </c>
      <c r="GW426" s="77">
        <f t="shared" si="1309"/>
        <v>1755836.1340913353</v>
      </c>
      <c r="GX426" s="77">
        <f t="shared" si="1310"/>
        <v>3511672.2681826707</v>
      </c>
      <c r="GY426" s="77">
        <f t="shared" si="1311"/>
        <v>14296407.989579231</v>
      </c>
      <c r="GZ426" s="77">
        <f t="shared" si="1324"/>
        <v>16414394.358405784</v>
      </c>
      <c r="HA426" s="77">
        <f t="shared" si="1324"/>
        <v>18532380.727232337</v>
      </c>
      <c r="HB426" s="77">
        <f t="shared" si="1324"/>
        <v>20650367.096058886</v>
      </c>
      <c r="HC426" s="77">
        <f t="shared" si="1324"/>
        <v>22768353.46488544</v>
      </c>
      <c r="IC426" s="82">
        <v>448</v>
      </c>
    </row>
  </sheetData>
  <autoFilter ref="S1:S426" xr:uid="{477AF47F-1F69-496D-B85E-A3EEF7047D0F}"/>
  <sortState xmlns:xlrd2="http://schemas.microsoft.com/office/spreadsheetml/2017/richdata2" ref="B2:IC426">
    <sortCondition ref="IC1"/>
  </sortState>
  <phoneticPr fontId="22" type="noConversion"/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0549-5B51-4F73-B372-FBBA1ACE3B18}">
  <dimension ref="A1:D449"/>
  <sheetViews>
    <sheetView workbookViewId="0">
      <selection activeCell="H37" sqref="H37"/>
    </sheetView>
  </sheetViews>
  <sheetFormatPr defaultRowHeight="15"/>
  <cols>
    <col min="1" max="1" width="12.28515625" style="1" bestFit="1" customWidth="1"/>
    <col min="2" max="3" width="11.140625" style="11" customWidth="1"/>
  </cols>
  <sheetData>
    <row r="1" spans="1:4">
      <c r="A1" s="1" t="s">
        <v>242</v>
      </c>
      <c r="B1" s="7" t="s">
        <v>699</v>
      </c>
      <c r="C1" s="7" t="s">
        <v>461</v>
      </c>
      <c r="D1" s="7" t="s">
        <v>461</v>
      </c>
    </row>
    <row r="2" spans="1:4">
      <c r="A2" s="4">
        <v>1</v>
      </c>
      <c r="B2" s="8">
        <v>9.4691796412637724E-2</v>
      </c>
      <c r="C2" s="8">
        <v>6.0606059999999996E-3</v>
      </c>
      <c r="D2">
        <f>LN(C2)</f>
        <v>-5.1059454839005811</v>
      </c>
    </row>
    <row r="3" spans="1:4">
      <c r="A3" s="4">
        <v>1</v>
      </c>
      <c r="B3" s="8">
        <v>0.12082444918265814</v>
      </c>
      <c r="C3" s="8">
        <v>7.2727269999999997E-3</v>
      </c>
      <c r="D3">
        <f t="shared" ref="D3:D66" si="0">LN(C3)</f>
        <v>-4.9236239546066267</v>
      </c>
    </row>
    <row r="4" spans="1:4">
      <c r="A4" s="4">
        <v>1</v>
      </c>
      <c r="B4" s="8">
        <v>0.15482054890921884</v>
      </c>
      <c r="C4" s="8">
        <v>6.0606059999999996E-3</v>
      </c>
      <c r="D4">
        <f t="shared" si="0"/>
        <v>-5.1059454839005811</v>
      </c>
    </row>
    <row r="5" spans="1:4">
      <c r="A5" s="4">
        <v>1</v>
      </c>
      <c r="B5" s="8">
        <v>0.11989593937337405</v>
      </c>
      <c r="C5" s="8">
        <v>7.2727269999999997E-3</v>
      </c>
      <c r="D5">
        <f t="shared" si="0"/>
        <v>-4.9236239546066267</v>
      </c>
    </row>
    <row r="6" spans="1:4">
      <c r="A6" s="4">
        <v>1</v>
      </c>
      <c r="B6" s="8">
        <v>0.14076762344660729</v>
      </c>
      <c r="C6" s="8">
        <v>7.2727269999999997E-3</v>
      </c>
      <c r="D6">
        <f t="shared" si="0"/>
        <v>-4.9236239546066267</v>
      </c>
    </row>
    <row r="7" spans="1:4">
      <c r="A7" s="4">
        <v>1</v>
      </c>
      <c r="B7" s="8">
        <v>0.13079119462098185</v>
      </c>
      <c r="C7" s="8">
        <v>4.8484849999999996E-3</v>
      </c>
      <c r="D7">
        <f t="shared" si="0"/>
        <v>-5.329088993964791</v>
      </c>
    </row>
    <row r="8" spans="1:4">
      <c r="A8" s="4">
        <v>1</v>
      </c>
      <c r="B8" s="8">
        <v>9.7407078773538408E-2</v>
      </c>
      <c r="C8" s="8">
        <v>6.0606059999999996E-3</v>
      </c>
      <c r="D8">
        <f t="shared" si="0"/>
        <v>-5.1059454839005811</v>
      </c>
    </row>
    <row r="9" spans="1:4">
      <c r="A9" s="4">
        <v>1</v>
      </c>
      <c r="B9" s="8">
        <v>7.0231709340264334E-2</v>
      </c>
      <c r="C9" s="8">
        <v>8.0000000000000002E-3</v>
      </c>
      <c r="D9">
        <f t="shared" si="0"/>
        <v>-4.8283137373023015</v>
      </c>
    </row>
    <row r="10" spans="1:4">
      <c r="A10" s="4">
        <v>1</v>
      </c>
      <c r="B10" s="8">
        <v>7.0163949762611963E-2</v>
      </c>
      <c r="C10" s="8">
        <v>5.0909090000000002E-3</v>
      </c>
      <c r="D10">
        <f t="shared" si="0"/>
        <v>-5.2802988789025012</v>
      </c>
    </row>
    <row r="11" spans="1:4">
      <c r="A11" s="4">
        <v>1</v>
      </c>
      <c r="B11" s="8">
        <v>8.9128766309326354E-2</v>
      </c>
      <c r="C11" s="8">
        <v>6.5454550000000004E-3</v>
      </c>
      <c r="D11">
        <f t="shared" si="0"/>
        <v>-5.02898436332001</v>
      </c>
    </row>
    <row r="12" spans="1:4">
      <c r="A12" s="4">
        <v>1</v>
      </c>
      <c r="B12" s="8">
        <v>5.8804072181998603E-2</v>
      </c>
      <c r="C12" s="8">
        <v>8.0000000000000002E-3</v>
      </c>
      <c r="D12">
        <f t="shared" si="0"/>
        <v>-4.8283137373023015</v>
      </c>
    </row>
    <row r="13" spans="1:4">
      <c r="A13" s="4">
        <v>1</v>
      </c>
      <c r="B13" s="8">
        <v>7.8895463510848127E-2</v>
      </c>
      <c r="C13" s="8">
        <v>8.0000000000000002E-3</v>
      </c>
      <c r="D13">
        <f t="shared" si="0"/>
        <v>-4.8283137373023015</v>
      </c>
    </row>
    <row r="14" spans="1:4">
      <c r="A14" s="4">
        <v>1</v>
      </c>
      <c r="B14" s="8">
        <v>9.6719023373763979E-2</v>
      </c>
      <c r="C14" s="8">
        <v>8.0000000000000002E-3</v>
      </c>
      <c r="D14">
        <f t="shared" si="0"/>
        <v>-4.8283137373023015</v>
      </c>
    </row>
    <row r="15" spans="1:4">
      <c r="A15" s="4">
        <v>1</v>
      </c>
      <c r="B15" s="8">
        <v>9.2551455699935115E-2</v>
      </c>
      <c r="C15" s="8">
        <v>8.7272730000000007E-3</v>
      </c>
      <c r="D15">
        <f t="shared" si="0"/>
        <v>-4.7413023290626715</v>
      </c>
    </row>
    <row r="16" spans="1:4">
      <c r="A16" s="4">
        <v>1</v>
      </c>
      <c r="B16" s="8">
        <v>7.7864443249058626E-2</v>
      </c>
      <c r="C16" s="8">
        <v>6.5454550000000004E-3</v>
      </c>
      <c r="D16">
        <f t="shared" si="0"/>
        <v>-5.02898436332001</v>
      </c>
    </row>
    <row r="17" spans="1:4">
      <c r="A17" s="4">
        <v>1</v>
      </c>
      <c r="B17" s="8">
        <v>4.9015278636403779E-2</v>
      </c>
      <c r="C17" s="8">
        <v>5.0909090000000002E-3</v>
      </c>
      <c r="D17">
        <f t="shared" si="0"/>
        <v>-5.2802988789025012</v>
      </c>
    </row>
    <row r="18" spans="1:4">
      <c r="A18" s="4">
        <v>1</v>
      </c>
      <c r="B18" s="8">
        <v>5.3639293789387602E-2</v>
      </c>
      <c r="C18" s="8">
        <v>7.2727269999999997E-3</v>
      </c>
      <c r="D18">
        <f t="shared" si="0"/>
        <v>-4.9236239546066267</v>
      </c>
    </row>
    <row r="19" spans="1:4">
      <c r="A19" s="4">
        <v>1</v>
      </c>
      <c r="B19" s="8">
        <v>7.8289671785606751E-2</v>
      </c>
      <c r="C19" s="8">
        <v>1.8333333E-2</v>
      </c>
      <c r="D19">
        <f t="shared" si="0"/>
        <v>-3.9990344005995944</v>
      </c>
    </row>
    <row r="20" spans="1:4">
      <c r="A20" s="4">
        <v>1</v>
      </c>
      <c r="B20" s="8">
        <v>5.7799611838913148E-2</v>
      </c>
      <c r="C20" s="8">
        <v>0.02</v>
      </c>
      <c r="D20">
        <f t="shared" si="0"/>
        <v>-3.912023005428146</v>
      </c>
    </row>
    <row r="21" spans="1:4">
      <c r="A21" s="4">
        <v>1</v>
      </c>
      <c r="B21" s="8">
        <v>6.2899106002554273E-2</v>
      </c>
      <c r="C21" s="8">
        <v>1.0555556000000001E-2</v>
      </c>
      <c r="D21">
        <f t="shared" si="0"/>
        <v>-4.5511029226125537</v>
      </c>
    </row>
    <row r="22" spans="1:4">
      <c r="A22" s="4">
        <v>1</v>
      </c>
      <c r="B22" s="8">
        <v>3.9440203562340972E-2</v>
      </c>
      <c r="C22" s="8">
        <v>1.7222221999999999E-2</v>
      </c>
      <c r="D22">
        <f t="shared" si="0"/>
        <v>-4.0615547523023361</v>
      </c>
    </row>
    <row r="23" spans="1:4">
      <c r="A23" s="4">
        <v>1</v>
      </c>
      <c r="B23" s="8">
        <v>6.0857538035961264E-2</v>
      </c>
      <c r="C23" s="8">
        <v>1.2222222E-2</v>
      </c>
      <c r="D23">
        <f t="shared" si="0"/>
        <v>-4.404499508707759</v>
      </c>
    </row>
    <row r="24" spans="1:4">
      <c r="A24" s="4">
        <v>1</v>
      </c>
      <c r="B24" s="8">
        <v>8.2365591397849464E-2</v>
      </c>
      <c r="C24" s="8">
        <v>2.5000000000000001E-2</v>
      </c>
      <c r="D24">
        <f t="shared" si="0"/>
        <v>-3.6888794541139363</v>
      </c>
    </row>
    <row r="25" spans="1:4">
      <c r="A25" s="4">
        <v>1</v>
      </c>
      <c r="B25" s="14">
        <v>1.3622803663557056E-2</v>
      </c>
      <c r="C25" s="8">
        <v>2.3622047244094488E-2</v>
      </c>
      <c r="D25">
        <f t="shared" si="0"/>
        <v>-3.7455747977904816</v>
      </c>
    </row>
    <row r="26" spans="1:4">
      <c r="A26" s="4">
        <v>1</v>
      </c>
      <c r="B26" s="14">
        <v>2.40271056381644E-2</v>
      </c>
      <c r="C26" s="8">
        <v>2.7777777777777776E-2</v>
      </c>
      <c r="D26">
        <f t="shared" si="0"/>
        <v>-3.5835189384561099</v>
      </c>
    </row>
    <row r="27" spans="1:4">
      <c r="A27" s="4">
        <v>1</v>
      </c>
      <c r="B27" s="8">
        <v>1.6092476197141166E-2</v>
      </c>
      <c r="C27" s="8">
        <v>3.3245844269466314E-2</v>
      </c>
      <c r="D27">
        <f t="shared" si="0"/>
        <v>-3.4038255040684251</v>
      </c>
    </row>
    <row r="28" spans="1:4">
      <c r="A28" s="4">
        <v>1</v>
      </c>
      <c r="B28" s="8">
        <v>7.5234619395203345E-2</v>
      </c>
      <c r="C28" s="8">
        <v>1.7999999999999999E-2</v>
      </c>
      <c r="D28">
        <f t="shared" si="0"/>
        <v>-4.0173835210859723</v>
      </c>
    </row>
    <row r="29" spans="1:4">
      <c r="A29" s="4">
        <v>1</v>
      </c>
      <c r="B29" s="8">
        <v>8.6548488008342028E-2</v>
      </c>
      <c r="C29" s="8">
        <v>1.7999999999999999E-2</v>
      </c>
      <c r="D29">
        <f t="shared" si="0"/>
        <v>-4.0173835210859723</v>
      </c>
    </row>
    <row r="30" spans="1:4">
      <c r="A30" s="4">
        <v>1</v>
      </c>
      <c r="B30" s="8">
        <v>9.6767466110531802E-2</v>
      </c>
      <c r="C30" s="8">
        <v>1.2E-2</v>
      </c>
      <c r="D30">
        <f t="shared" si="0"/>
        <v>-4.4228486291941369</v>
      </c>
    </row>
    <row r="31" spans="1:4">
      <c r="A31" s="4">
        <v>1</v>
      </c>
      <c r="B31" s="8">
        <v>8.2398696688043241E-2</v>
      </c>
      <c r="C31" s="8">
        <v>3.0352748154224774E-2</v>
      </c>
      <c r="D31">
        <f t="shared" si="0"/>
        <v>-3.4948682168370473</v>
      </c>
    </row>
    <row r="32" spans="1:4">
      <c r="A32" s="4">
        <v>1</v>
      </c>
      <c r="B32" s="8">
        <v>6.0886594572341725E-2</v>
      </c>
      <c r="C32" s="8">
        <v>3.1102362204724409E-2</v>
      </c>
      <c r="D32">
        <f t="shared" si="0"/>
        <v>-3.470471507545561</v>
      </c>
    </row>
    <row r="33" spans="1:4">
      <c r="A33" s="4">
        <v>1</v>
      </c>
      <c r="B33" s="8">
        <v>3.716433642208402E-2</v>
      </c>
      <c r="C33" s="8">
        <v>2.9921259842519685E-2</v>
      </c>
      <c r="D33">
        <f t="shared" si="0"/>
        <v>-3.509186019726251</v>
      </c>
    </row>
    <row r="34" spans="1:4">
      <c r="A34" s="4">
        <v>1</v>
      </c>
      <c r="B34" s="8">
        <v>3.7717517508634141E-2</v>
      </c>
      <c r="C34" s="8">
        <v>2.1929824561403508E-2</v>
      </c>
      <c r="D34">
        <f t="shared" si="0"/>
        <v>-3.8199077165203406</v>
      </c>
    </row>
    <row r="35" spans="1:4">
      <c r="A35" s="4">
        <v>1</v>
      </c>
      <c r="B35" s="8">
        <v>0.18310028929604627</v>
      </c>
      <c r="C35" s="4">
        <v>0.01</v>
      </c>
      <c r="D35">
        <f t="shared" si="0"/>
        <v>-4.6051701859880909</v>
      </c>
    </row>
    <row r="36" spans="1:4">
      <c r="A36" s="4">
        <v>1</v>
      </c>
      <c r="B36" s="8">
        <v>0.12125282805429863</v>
      </c>
      <c r="C36" s="4">
        <v>1.9411764705882354E-2</v>
      </c>
      <c r="D36">
        <f t="shared" si="0"/>
        <v>-3.9418759685778273</v>
      </c>
    </row>
    <row r="37" spans="1:4">
      <c r="A37" s="4">
        <v>1</v>
      </c>
      <c r="B37" s="8">
        <v>0.17647058823529413</v>
      </c>
      <c r="C37" s="4">
        <v>1.9411764705882354E-2</v>
      </c>
      <c r="D37">
        <f t="shared" si="0"/>
        <v>-3.9418759685778273</v>
      </c>
    </row>
    <row r="38" spans="1:4">
      <c r="A38" s="4">
        <v>1</v>
      </c>
      <c r="B38" s="8">
        <v>0.15258357441337192</v>
      </c>
      <c r="C38" s="4">
        <v>1.8823529411764704E-2</v>
      </c>
      <c r="D38">
        <f t="shared" si="0"/>
        <v>-3.972647627244581</v>
      </c>
    </row>
    <row r="39" spans="1:4">
      <c r="A39" s="4">
        <v>1</v>
      </c>
      <c r="B39" s="8">
        <v>2.4888888888888891E-2</v>
      </c>
      <c r="C39" s="8">
        <v>9.2105263157894728E-3</v>
      </c>
      <c r="D39">
        <f t="shared" si="0"/>
        <v>-4.6874082842250635</v>
      </c>
    </row>
    <row r="40" spans="1:4">
      <c r="A40" s="4">
        <v>1</v>
      </c>
      <c r="B40" s="8">
        <v>2.9547325102880662E-2</v>
      </c>
      <c r="C40" s="8">
        <v>1.425438596491228E-2</v>
      </c>
      <c r="D40">
        <f t="shared" si="0"/>
        <v>-4.2506906326127947</v>
      </c>
    </row>
    <row r="41" spans="1:4">
      <c r="A41" s="4">
        <v>1</v>
      </c>
      <c r="B41" s="8">
        <v>3.8605442176870751E-2</v>
      </c>
      <c r="C41" s="8">
        <v>2.0394736842105264E-2</v>
      </c>
      <c r="D41">
        <f t="shared" si="0"/>
        <v>-3.8924784093551756</v>
      </c>
    </row>
    <row r="42" spans="1:4">
      <c r="A42" s="4">
        <v>1</v>
      </c>
      <c r="B42" s="8">
        <v>3.6104319478402605E-2</v>
      </c>
      <c r="C42" s="8">
        <v>1.3157894736842105E-2</v>
      </c>
      <c r="D42">
        <f t="shared" si="0"/>
        <v>-4.3307333402863311</v>
      </c>
    </row>
    <row r="43" spans="1:4">
      <c r="A43" s="4">
        <v>1</v>
      </c>
      <c r="B43" s="8">
        <v>3.8207136640557013E-2</v>
      </c>
      <c r="C43" s="8">
        <v>1.3157894736842105E-2</v>
      </c>
      <c r="D43">
        <f t="shared" si="0"/>
        <v>-4.3307333402863311</v>
      </c>
    </row>
    <row r="44" spans="1:4">
      <c r="A44" s="4">
        <v>1</v>
      </c>
      <c r="B44" s="8">
        <v>4.3640350877192979E-2</v>
      </c>
      <c r="C44" s="8">
        <v>2.1017699115044249E-2</v>
      </c>
      <c r="D44">
        <f t="shared" si="0"/>
        <v>-3.8623903812257359</v>
      </c>
    </row>
    <row r="45" spans="1:4">
      <c r="A45" s="4">
        <v>1</v>
      </c>
      <c r="B45" s="8">
        <v>7.3925822827754784E-2</v>
      </c>
      <c r="C45" s="8">
        <v>3.0165912518853696E-2</v>
      </c>
      <c r="D45">
        <f t="shared" si="0"/>
        <v>-3.5010427166318716</v>
      </c>
    </row>
    <row r="46" spans="1:4">
      <c r="A46" s="4">
        <v>1</v>
      </c>
      <c r="B46" s="8">
        <v>7.3953665189592677E-2</v>
      </c>
      <c r="C46" s="8">
        <v>2.5037707390648568E-2</v>
      </c>
      <c r="D46">
        <f t="shared" si="0"/>
        <v>-3.6873722948233647</v>
      </c>
    </row>
    <row r="47" spans="1:4">
      <c r="A47" s="4">
        <v>1</v>
      </c>
      <c r="B47" s="8">
        <v>7.8105590062111804E-2</v>
      </c>
      <c r="C47" s="8">
        <v>2.1333333333333333E-2</v>
      </c>
      <c r="D47">
        <f t="shared" si="0"/>
        <v>-3.8474844842905749</v>
      </c>
    </row>
    <row r="48" spans="1:4">
      <c r="A48" s="4">
        <v>1</v>
      </c>
      <c r="B48" s="8">
        <v>7.9601990049751242E-2</v>
      </c>
      <c r="C48" s="8">
        <v>1.5333333333333332E-2</v>
      </c>
      <c r="D48">
        <f t="shared" si="0"/>
        <v>-4.1777261711611517</v>
      </c>
    </row>
    <row r="49" spans="1:4">
      <c r="A49" s="4">
        <v>1</v>
      </c>
      <c r="B49" s="8">
        <v>0.10059661915810407</v>
      </c>
      <c r="C49" s="8">
        <v>0.02</v>
      </c>
      <c r="D49">
        <f t="shared" si="0"/>
        <v>-3.912023005428146</v>
      </c>
    </row>
    <row r="50" spans="1:4">
      <c r="A50" s="4">
        <v>1</v>
      </c>
      <c r="B50" s="8">
        <v>0.1095100864553314</v>
      </c>
      <c r="C50" s="8">
        <v>1.4E-2</v>
      </c>
      <c r="D50">
        <f t="shared" si="0"/>
        <v>-4.2686979493668789</v>
      </c>
    </row>
    <row r="51" spans="1:4">
      <c r="A51" s="4">
        <v>1</v>
      </c>
      <c r="B51" s="8">
        <v>9.9582898852971849E-2</v>
      </c>
      <c r="C51" s="8">
        <v>1.95E-2</v>
      </c>
      <c r="D51">
        <f t="shared" si="0"/>
        <v>-3.9373408134124359</v>
      </c>
    </row>
    <row r="52" spans="1:4">
      <c r="A52" s="4">
        <v>1</v>
      </c>
      <c r="B52" s="8">
        <v>7.1949947862356631E-2</v>
      </c>
      <c r="C52" s="8">
        <v>2.0500000000000001E-2</v>
      </c>
      <c r="D52">
        <f t="shared" si="0"/>
        <v>-3.8873303928377747</v>
      </c>
    </row>
    <row r="53" spans="1:4">
      <c r="A53" s="4">
        <v>1</v>
      </c>
      <c r="B53" s="8">
        <v>7.7685088633993746E-2</v>
      </c>
      <c r="C53" s="8">
        <v>2.1999999999999999E-2</v>
      </c>
      <c r="D53">
        <f t="shared" si="0"/>
        <v>-3.8167128256238212</v>
      </c>
    </row>
    <row r="54" spans="1:4">
      <c r="A54" s="4">
        <v>1</v>
      </c>
      <c r="B54" s="8">
        <v>8.1334723670490106E-2</v>
      </c>
      <c r="C54" s="8">
        <v>2.75E-2</v>
      </c>
      <c r="D54">
        <f t="shared" si="0"/>
        <v>-3.5935692743096115</v>
      </c>
    </row>
    <row r="55" spans="1:4">
      <c r="A55" s="4">
        <v>1</v>
      </c>
      <c r="B55" s="8">
        <v>7.5599582898852977E-2</v>
      </c>
      <c r="C55" s="8">
        <v>2.7E-2</v>
      </c>
      <c r="D55">
        <f t="shared" si="0"/>
        <v>-3.6119184129778081</v>
      </c>
    </row>
    <row r="56" spans="1:4">
      <c r="A56" s="4">
        <v>1</v>
      </c>
      <c r="B56" s="8">
        <v>5.5565485056101684E-2</v>
      </c>
      <c r="C56" s="8">
        <v>1.9574468085106381E-2</v>
      </c>
      <c r="D56">
        <f t="shared" si="0"/>
        <v>-3.9335292106491098</v>
      </c>
    </row>
    <row r="57" spans="1:4">
      <c r="A57" s="4">
        <v>1</v>
      </c>
      <c r="B57" s="8">
        <v>7.7157360406091377E-2</v>
      </c>
      <c r="C57" s="8">
        <v>1.0500000000000001E-2</v>
      </c>
      <c r="D57">
        <f t="shared" si="0"/>
        <v>-4.5563800218186596</v>
      </c>
    </row>
    <row r="58" spans="1:4">
      <c r="A58" s="4">
        <v>1</v>
      </c>
      <c r="B58" s="8">
        <v>9.9492385786802029E-2</v>
      </c>
      <c r="C58" s="8">
        <v>1.0999999999999999E-2</v>
      </c>
      <c r="D58">
        <f t="shared" si="0"/>
        <v>-4.5098600061837661</v>
      </c>
    </row>
    <row r="59" spans="1:4">
      <c r="A59" s="4">
        <v>1</v>
      </c>
      <c r="B59" s="8">
        <v>9.1370558375634528E-2</v>
      </c>
      <c r="C59" s="8">
        <v>1.0999999999999999E-2</v>
      </c>
      <c r="D59">
        <f t="shared" si="0"/>
        <v>-4.5098600061837661</v>
      </c>
    </row>
    <row r="60" spans="1:4">
      <c r="A60" s="4">
        <v>1</v>
      </c>
      <c r="B60" s="8">
        <v>8.1218274111675134E-2</v>
      </c>
      <c r="C60" s="8">
        <v>6.4999999999999997E-3</v>
      </c>
      <c r="D60">
        <f t="shared" si="0"/>
        <v>-5.0359531020805459</v>
      </c>
    </row>
    <row r="61" spans="1:4">
      <c r="A61" s="4">
        <v>1</v>
      </c>
      <c r="B61" s="8">
        <v>7.8514588859416437E-2</v>
      </c>
      <c r="C61" s="8">
        <v>7.3333333333333332E-3</v>
      </c>
      <c r="D61">
        <f t="shared" si="0"/>
        <v>-4.9153251142919308</v>
      </c>
    </row>
    <row r="62" spans="1:4">
      <c r="A62" s="4">
        <v>1</v>
      </c>
      <c r="B62" s="8">
        <v>5.305039787798408E-2</v>
      </c>
      <c r="C62" s="8">
        <v>6.4999999999999997E-3</v>
      </c>
      <c r="D62">
        <f t="shared" si="0"/>
        <v>-5.0359531020805459</v>
      </c>
    </row>
    <row r="63" spans="1:4">
      <c r="A63" s="4">
        <v>1</v>
      </c>
      <c r="B63" s="8">
        <v>5.5172413793103448E-2</v>
      </c>
      <c r="C63" s="8">
        <v>5.4999999999999997E-3</v>
      </c>
      <c r="D63">
        <f t="shared" si="0"/>
        <v>-5.2030071867437115</v>
      </c>
    </row>
    <row r="64" spans="1:4">
      <c r="A64" s="4">
        <v>1</v>
      </c>
      <c r="B64" s="8">
        <v>5.8355437665782495E-2</v>
      </c>
      <c r="C64" s="8">
        <v>8.0000000000000002E-3</v>
      </c>
      <c r="D64">
        <f t="shared" si="0"/>
        <v>-4.8283137373023015</v>
      </c>
    </row>
    <row r="65" spans="1:4">
      <c r="A65" s="4">
        <v>1</v>
      </c>
      <c r="B65" s="8">
        <v>6.1538461538461528E-2</v>
      </c>
      <c r="C65" s="8">
        <v>9.4999999999999998E-3</v>
      </c>
      <c r="D65">
        <f t="shared" si="0"/>
        <v>-4.656463480375642</v>
      </c>
    </row>
    <row r="66" spans="1:4">
      <c r="A66" s="4">
        <v>1</v>
      </c>
      <c r="B66" s="8">
        <v>6.7904509283819622E-2</v>
      </c>
      <c r="C66" s="8">
        <v>0.01</v>
      </c>
      <c r="D66">
        <f t="shared" si="0"/>
        <v>-4.6051701859880909</v>
      </c>
    </row>
    <row r="67" spans="1:4">
      <c r="A67" s="4">
        <v>1</v>
      </c>
      <c r="B67" s="8">
        <v>4.0236686390532544E-2</v>
      </c>
      <c r="C67" s="8">
        <v>2.753623188405797E-2</v>
      </c>
      <c r="D67">
        <f t="shared" ref="D67:D130" si="1">LN(C67)</f>
        <v>-3.5922526184248644</v>
      </c>
    </row>
    <row r="68" spans="1:4">
      <c r="A68" s="4">
        <v>1</v>
      </c>
      <c r="B68" s="8">
        <v>3.980392156862745E-2</v>
      </c>
      <c r="C68" s="8">
        <v>2.318840579710145E-2</v>
      </c>
      <c r="D68">
        <f t="shared" si="1"/>
        <v>-3.764102875351524</v>
      </c>
    </row>
    <row r="69" spans="1:4">
      <c r="A69" s="4">
        <v>1</v>
      </c>
      <c r="B69" s="8">
        <v>7.6844262295081969E-2</v>
      </c>
      <c r="C69" s="8">
        <v>1.5942028985507246E-2</v>
      </c>
      <c r="D69">
        <f t="shared" si="1"/>
        <v>-4.1387963247929349</v>
      </c>
    </row>
    <row r="70" spans="1:4">
      <c r="A70" s="4">
        <v>1</v>
      </c>
      <c r="B70" s="8">
        <v>2.8555555555555553E-2</v>
      </c>
      <c r="C70" s="8">
        <v>1.4545454545454545E-2</v>
      </c>
      <c r="D70">
        <f t="shared" si="1"/>
        <v>-4.2304767365466809</v>
      </c>
    </row>
    <row r="71" spans="1:4">
      <c r="A71" s="4">
        <v>1</v>
      </c>
      <c r="B71" s="8">
        <v>3.6222222222222218E-2</v>
      </c>
      <c r="C71" s="8">
        <v>0.01</v>
      </c>
      <c r="D71">
        <f t="shared" si="1"/>
        <v>-4.6051701859880909</v>
      </c>
    </row>
    <row r="72" spans="1:4">
      <c r="A72" s="4">
        <v>1</v>
      </c>
      <c r="B72" s="8">
        <v>3.111111111111111E-2</v>
      </c>
      <c r="C72" s="8">
        <v>0.01</v>
      </c>
      <c r="D72">
        <f t="shared" si="1"/>
        <v>-4.6051701859880909</v>
      </c>
    </row>
    <row r="73" spans="1:4">
      <c r="A73" s="4">
        <v>1</v>
      </c>
      <c r="B73" s="8">
        <v>3.3634042553191489E-2</v>
      </c>
      <c r="C73" s="8">
        <v>1.2727272727272728E-2</v>
      </c>
      <c r="D73">
        <f t="shared" si="1"/>
        <v>-4.3640081291712036</v>
      </c>
    </row>
    <row r="74" spans="1:4">
      <c r="A74" s="4">
        <v>1</v>
      </c>
      <c r="B74" s="8">
        <v>5.6949544403644768E-2</v>
      </c>
      <c r="C74" s="8">
        <v>3.03784E-2</v>
      </c>
      <c r="D74">
        <f t="shared" si="1"/>
        <v>-3.4940234494292062</v>
      </c>
    </row>
    <row r="75" spans="1:4">
      <c r="A75" s="4">
        <v>1</v>
      </c>
      <c r="B75" s="8">
        <v>5.311736936350317E-2</v>
      </c>
      <c r="C75" s="8">
        <v>2.1194999999999999E-2</v>
      </c>
      <c r="D75">
        <f t="shared" si="1"/>
        <v>-3.8539899741775367</v>
      </c>
    </row>
    <row r="76" spans="1:4">
      <c r="A76" s="4">
        <v>1</v>
      </c>
      <c r="B76" s="8">
        <v>4.5214790647090809E-2</v>
      </c>
      <c r="C76" s="8">
        <v>2.6040000000000001E-2</v>
      </c>
      <c r="D76">
        <f t="shared" si="1"/>
        <v>-3.6481214616417685</v>
      </c>
    </row>
    <row r="77" spans="1:4">
      <c r="A77" s="4">
        <v>1</v>
      </c>
      <c r="B77" s="8">
        <v>5.0358470525756781E-2</v>
      </c>
      <c r="C77" s="8">
        <v>2.5700000000000001E-2</v>
      </c>
      <c r="D77">
        <f t="shared" si="1"/>
        <v>-3.6612642870809631</v>
      </c>
    </row>
    <row r="78" spans="1:4">
      <c r="A78" s="4">
        <v>1</v>
      </c>
      <c r="B78" s="8">
        <v>4.3048128342245986E-2</v>
      </c>
      <c r="C78" s="8">
        <v>2.811E-2</v>
      </c>
      <c r="D78">
        <f t="shared" si="1"/>
        <v>-3.5716298940636966</v>
      </c>
    </row>
    <row r="79" spans="1:4">
      <c r="A79" s="4">
        <v>1</v>
      </c>
      <c r="B79" s="8">
        <v>5.3490338164251201E-2</v>
      </c>
      <c r="C79" s="8">
        <v>2.2499999999999999E-2</v>
      </c>
      <c r="D79">
        <f t="shared" si="1"/>
        <v>-3.7942399697717626</v>
      </c>
    </row>
    <row r="80" spans="1:4">
      <c r="A80" s="4">
        <v>1</v>
      </c>
      <c r="B80" s="8">
        <v>5.1364734299516907E-2</v>
      </c>
      <c r="C80" s="8">
        <v>2.8499999999999998E-2</v>
      </c>
      <c r="D80">
        <f t="shared" si="1"/>
        <v>-3.5578511917075324</v>
      </c>
    </row>
    <row r="81" spans="1:4">
      <c r="A81" s="4">
        <v>1</v>
      </c>
      <c r="B81" s="8">
        <v>6.8862111353831454E-2</v>
      </c>
      <c r="C81" s="8">
        <v>2.3E-2</v>
      </c>
      <c r="D81">
        <f t="shared" si="1"/>
        <v>-3.7722610630529876</v>
      </c>
    </row>
    <row r="82" spans="1:4">
      <c r="A82" s="4">
        <v>1</v>
      </c>
      <c r="B82" s="8">
        <v>5.1243961352657005E-2</v>
      </c>
      <c r="C82" s="8">
        <v>2.1000000000000001E-2</v>
      </c>
      <c r="D82">
        <f t="shared" si="1"/>
        <v>-3.8632328412587138</v>
      </c>
    </row>
    <row r="83" spans="1:4">
      <c r="A83" s="4">
        <v>1</v>
      </c>
      <c r="B83" s="8">
        <v>4.5150501672240807E-2</v>
      </c>
      <c r="C83" s="17">
        <v>1.0999999999999999E-2</v>
      </c>
      <c r="D83">
        <f t="shared" si="1"/>
        <v>-4.5098600061837661</v>
      </c>
    </row>
    <row r="84" spans="1:4">
      <c r="A84" s="4">
        <v>1</v>
      </c>
      <c r="B84" s="8">
        <v>2.7844009537373381E-2</v>
      </c>
      <c r="C84" s="17">
        <v>9.7999999999999997E-3</v>
      </c>
      <c r="D84">
        <f t="shared" si="1"/>
        <v>-4.6253728933056104</v>
      </c>
    </row>
    <row r="85" spans="1:4">
      <c r="A85" s="4">
        <v>1</v>
      </c>
      <c r="B85" s="8">
        <v>4.1601255886970168E-2</v>
      </c>
      <c r="C85" s="17">
        <v>8.6999999999999994E-3</v>
      </c>
      <c r="D85">
        <f t="shared" si="1"/>
        <v>-4.744432253321599</v>
      </c>
    </row>
    <row r="86" spans="1:4">
      <c r="A86" s="4">
        <v>1</v>
      </c>
      <c r="B86" s="8">
        <v>6.6006600660066E-2</v>
      </c>
      <c r="C86" s="17">
        <v>2E-3</v>
      </c>
      <c r="D86">
        <f t="shared" si="1"/>
        <v>-6.2146080984221914</v>
      </c>
    </row>
    <row r="87" spans="1:4">
      <c r="A87" s="4">
        <v>1</v>
      </c>
      <c r="B87" s="8">
        <v>5.7040998217468809E-2</v>
      </c>
      <c r="C87" s="17">
        <v>3.5000000000000001E-3</v>
      </c>
      <c r="D87">
        <f t="shared" si="1"/>
        <v>-5.6549923104867688</v>
      </c>
    </row>
    <row r="88" spans="1:4">
      <c r="A88" s="4">
        <v>1</v>
      </c>
      <c r="B88" s="8">
        <v>3.0475416497358798E-2</v>
      </c>
      <c r="C88" s="17">
        <v>3.5000000000000001E-3</v>
      </c>
      <c r="D88">
        <f t="shared" si="1"/>
        <v>-5.6549923104867688</v>
      </c>
    </row>
    <row r="89" spans="1:4">
      <c r="A89" s="4">
        <v>1</v>
      </c>
      <c r="B89" s="8">
        <v>9.8684210526315791E-2</v>
      </c>
      <c r="C89" s="8">
        <v>8.7259259259259252E-3</v>
      </c>
      <c r="D89">
        <f t="shared" si="1"/>
        <v>-4.7414566932090345</v>
      </c>
    </row>
    <row r="90" spans="1:4">
      <c r="A90" s="4">
        <v>1</v>
      </c>
      <c r="B90" s="8">
        <v>6.6141356255969438E-2</v>
      </c>
      <c r="C90" s="8">
        <v>1.037037037037037E-2</v>
      </c>
      <c r="D90">
        <f t="shared" si="1"/>
        <v>-4.5688025418172167</v>
      </c>
    </row>
    <row r="91" spans="1:4">
      <c r="A91" s="4">
        <v>1</v>
      </c>
      <c r="B91" s="8">
        <v>0.10771780303030301</v>
      </c>
      <c r="C91" s="8">
        <v>1.1022222222222221E-2</v>
      </c>
      <c r="D91">
        <f t="shared" si="1"/>
        <v>-4.5078418420275295</v>
      </c>
    </row>
    <row r="92" spans="1:4">
      <c r="A92" s="4">
        <v>1</v>
      </c>
      <c r="B92" s="8">
        <v>7.407407407407407E-2</v>
      </c>
      <c r="C92" s="8">
        <v>1.1748148148148148E-2</v>
      </c>
      <c r="D92">
        <f t="shared" si="1"/>
        <v>-4.4440596552257734</v>
      </c>
    </row>
    <row r="93" spans="1:4">
      <c r="A93" s="4">
        <v>1</v>
      </c>
      <c r="B93" s="8">
        <v>0.11048988285410011</v>
      </c>
      <c r="C93" s="8">
        <v>0.01</v>
      </c>
      <c r="D93">
        <f t="shared" si="1"/>
        <v>-4.6051701859880909</v>
      </c>
    </row>
    <row r="94" spans="1:4">
      <c r="A94" s="4">
        <v>1</v>
      </c>
      <c r="B94" s="8">
        <v>6.9033530571992116E-2</v>
      </c>
      <c r="C94" s="8">
        <v>1.0666666666666666E-2</v>
      </c>
      <c r="D94">
        <f t="shared" si="1"/>
        <v>-4.5406316648505198</v>
      </c>
    </row>
    <row r="95" spans="1:4">
      <c r="A95" s="4">
        <v>1</v>
      </c>
      <c r="B95" s="8">
        <v>8.9931573802541548E-2</v>
      </c>
      <c r="C95" s="8">
        <v>1.2059259259259261E-2</v>
      </c>
      <c r="D95">
        <f t="shared" si="1"/>
        <v>-4.4179225108580811</v>
      </c>
    </row>
    <row r="96" spans="1:4">
      <c r="A96" s="4">
        <v>1</v>
      </c>
      <c r="B96" s="8">
        <v>8.3554376657824919E-2</v>
      </c>
      <c r="C96" s="8">
        <v>1.037037037037037E-2</v>
      </c>
      <c r="D96">
        <f t="shared" si="1"/>
        <v>-4.5688025418172167</v>
      </c>
    </row>
    <row r="97" spans="1:4">
      <c r="A97" s="4">
        <v>1</v>
      </c>
      <c r="B97" s="8">
        <v>5.5572576252723313E-2</v>
      </c>
      <c r="C97" s="8">
        <v>0.03</v>
      </c>
      <c r="D97">
        <f t="shared" si="1"/>
        <v>-3.5065578973199818</v>
      </c>
    </row>
    <row r="98" spans="1:4">
      <c r="A98" s="4">
        <v>1</v>
      </c>
      <c r="B98" s="8">
        <v>5.9317129629629629E-2</v>
      </c>
      <c r="C98" s="8">
        <v>2.5000000000000001E-2</v>
      </c>
      <c r="D98">
        <f t="shared" si="1"/>
        <v>-3.6888794541139363</v>
      </c>
    </row>
    <row r="99" spans="1:4">
      <c r="A99" s="4">
        <v>1</v>
      </c>
      <c r="B99" s="8">
        <v>3.4098360655737708E-2</v>
      </c>
      <c r="C99" s="14">
        <v>3.4000000000000002E-2</v>
      </c>
      <c r="D99">
        <f t="shared" si="1"/>
        <v>-3.3813947543659757</v>
      </c>
    </row>
    <row r="100" spans="1:4">
      <c r="A100" s="4">
        <v>1</v>
      </c>
      <c r="B100" s="8">
        <v>5.9446443873179086E-2</v>
      </c>
      <c r="C100" s="14">
        <v>3.4000000000000002E-2</v>
      </c>
      <c r="D100">
        <f t="shared" si="1"/>
        <v>-3.3813947543659757</v>
      </c>
    </row>
    <row r="101" spans="1:4">
      <c r="A101" s="4">
        <v>1</v>
      </c>
      <c r="B101" s="8">
        <v>9.9041349041349036E-2</v>
      </c>
      <c r="C101" s="8">
        <v>2.286842105263158E-2</v>
      </c>
      <c r="D101">
        <f t="shared" si="1"/>
        <v>-3.7779983134431308</v>
      </c>
    </row>
    <row r="102" spans="1:4">
      <c r="A102" s="4">
        <v>1</v>
      </c>
      <c r="B102" s="8">
        <v>7.9847998489425975E-2</v>
      </c>
      <c r="C102" s="8">
        <v>2.9250000000000002E-2</v>
      </c>
      <c r="D102">
        <f t="shared" si="1"/>
        <v>-3.5318757053042713</v>
      </c>
    </row>
    <row r="103" spans="1:4">
      <c r="A103" s="4">
        <v>1</v>
      </c>
      <c r="B103" s="8">
        <v>7.3306451612903223E-2</v>
      </c>
      <c r="C103" s="8">
        <v>2.3142857142857142E-2</v>
      </c>
      <c r="D103">
        <f t="shared" si="1"/>
        <v>-3.7660690928050662</v>
      </c>
    </row>
    <row r="104" spans="1:4">
      <c r="A104" s="4">
        <v>1</v>
      </c>
      <c r="B104" s="8">
        <v>4.0476190476190471E-2</v>
      </c>
      <c r="C104" s="8">
        <v>2.5999999999999999E-2</v>
      </c>
      <c r="D104">
        <f t="shared" si="1"/>
        <v>-3.6496587409606551</v>
      </c>
    </row>
    <row r="105" spans="1:4">
      <c r="A105" s="29">
        <v>1</v>
      </c>
      <c r="B105" s="9">
        <v>9.7006677188486698E-2</v>
      </c>
      <c r="C105" s="9">
        <v>1.4999999999999999E-2</v>
      </c>
      <c r="D105">
        <f t="shared" si="1"/>
        <v>-4.1997050778799272</v>
      </c>
    </row>
    <row r="106" spans="1:4">
      <c r="A106" s="29">
        <v>1</v>
      </c>
      <c r="B106" s="9">
        <v>8.0967380294185584E-2</v>
      </c>
      <c r="C106" s="9">
        <v>2.1000000000000001E-2</v>
      </c>
      <c r="D106">
        <f t="shared" si="1"/>
        <v>-3.8632328412587138</v>
      </c>
    </row>
    <row r="107" spans="1:4">
      <c r="A107" s="29">
        <v>1</v>
      </c>
      <c r="B107" s="9">
        <v>0.11843751026153251</v>
      </c>
      <c r="C107" s="9">
        <v>1.4999999999999999E-2</v>
      </c>
      <c r="D107">
        <f t="shared" si="1"/>
        <v>-4.1997050778799272</v>
      </c>
    </row>
    <row r="108" spans="1:4">
      <c r="A108" s="29">
        <v>1</v>
      </c>
      <c r="B108" s="9">
        <v>3.7979797979797981E-2</v>
      </c>
      <c r="C108" s="9">
        <v>1.0325925925925924E-2</v>
      </c>
      <c r="D108">
        <f t="shared" si="1"/>
        <v>-4.5730974661000978</v>
      </c>
    </row>
    <row r="109" spans="1:4">
      <c r="A109" s="29">
        <v>1</v>
      </c>
      <c r="B109" s="9">
        <v>6.1683501683501674E-2</v>
      </c>
      <c r="C109" s="9">
        <v>5.4370370370370371E-3</v>
      </c>
      <c r="D109">
        <f t="shared" si="1"/>
        <v>-5.2145210288060513</v>
      </c>
    </row>
    <row r="110" spans="1:4">
      <c r="A110" s="29">
        <v>1</v>
      </c>
      <c r="B110" s="9">
        <v>6.6801346801346806E-2</v>
      </c>
      <c r="C110" s="9">
        <v>8.4000000000000012E-3</v>
      </c>
      <c r="D110">
        <f t="shared" si="1"/>
        <v>-4.7795235731328694</v>
      </c>
    </row>
    <row r="111" spans="1:4">
      <c r="A111" s="29">
        <v>1</v>
      </c>
      <c r="B111" s="9">
        <v>2.074074074074074E-2</v>
      </c>
      <c r="C111" s="9">
        <v>6.0740740740740738E-3</v>
      </c>
      <c r="D111">
        <f t="shared" si="1"/>
        <v>-5.1037257171622681</v>
      </c>
    </row>
    <row r="112" spans="1:4">
      <c r="A112" s="6">
        <v>1</v>
      </c>
      <c r="B112" s="9">
        <v>7.7644959857270296E-2</v>
      </c>
      <c r="C112" s="27">
        <v>2.8547619047619047E-2</v>
      </c>
      <c r="D112">
        <f t="shared" si="1"/>
        <v>-3.5561817422379911</v>
      </c>
    </row>
    <row r="113" spans="1:4">
      <c r="A113" s="6">
        <v>1</v>
      </c>
      <c r="B113" s="9">
        <v>6.3850750572742268E-2</v>
      </c>
      <c r="C113" s="27">
        <v>2.8000000000000001E-2</v>
      </c>
      <c r="D113">
        <f t="shared" si="1"/>
        <v>-3.575550768806933</v>
      </c>
    </row>
    <row r="114" spans="1:4">
      <c r="A114" s="6">
        <v>1</v>
      </c>
      <c r="B114" s="9">
        <v>7.3366524994294274E-2</v>
      </c>
      <c r="C114" s="27">
        <v>3.104761904761905E-2</v>
      </c>
      <c r="D114">
        <f t="shared" si="1"/>
        <v>-3.4722331547789071</v>
      </c>
    </row>
    <row r="115" spans="1:4">
      <c r="A115" s="6">
        <v>1</v>
      </c>
      <c r="B115" s="9">
        <v>6.067457321185097E-2</v>
      </c>
      <c r="C115" s="27">
        <v>2.757142857142857E-2</v>
      </c>
      <c r="D115">
        <f t="shared" si="1"/>
        <v>-3.5909752391325647</v>
      </c>
    </row>
    <row r="116" spans="1:4">
      <c r="A116" s="40">
        <v>1</v>
      </c>
      <c r="B116" s="9">
        <v>6.1929309152214319E-2</v>
      </c>
      <c r="C116" s="12">
        <v>1.8501872659176029E-2</v>
      </c>
      <c r="D116">
        <f t="shared" si="1"/>
        <v>-3.9898833272004186</v>
      </c>
    </row>
    <row r="117" spans="1:4">
      <c r="A117" s="23">
        <v>1</v>
      </c>
      <c r="B117" s="21">
        <v>7.716853451191083E-2</v>
      </c>
      <c r="C117" s="22">
        <v>2.1910112359550562E-2</v>
      </c>
      <c r="D117">
        <f t="shared" si="1"/>
        <v>-3.8208069971564842</v>
      </c>
    </row>
    <row r="118" spans="1:4">
      <c r="A118" s="6">
        <v>1</v>
      </c>
      <c r="B118" s="9">
        <v>7.6921804196563359E-2</v>
      </c>
      <c r="C118" s="27">
        <v>2.6367041198501875E-2</v>
      </c>
      <c r="D118">
        <f t="shared" si="1"/>
        <v>-3.6356404882302984</v>
      </c>
    </row>
    <row r="119" spans="1:4">
      <c r="A119" s="6">
        <v>1</v>
      </c>
      <c r="B119" s="9">
        <v>7.6820209360832059E-2</v>
      </c>
      <c r="C119" s="27">
        <v>2.7565543071161047E-2</v>
      </c>
      <c r="D119">
        <f t="shared" si="1"/>
        <v>-3.5911887256594648</v>
      </c>
    </row>
    <row r="120" spans="1:4">
      <c r="A120" s="6">
        <v>1</v>
      </c>
      <c r="B120" s="9">
        <v>8.0165065620349071E-2</v>
      </c>
      <c r="C120" s="27">
        <v>1.7412935323383085E-2</v>
      </c>
      <c r="D120">
        <f t="shared" si="1"/>
        <v>-4.0505419395637077</v>
      </c>
    </row>
    <row r="121" spans="1:4">
      <c r="A121" s="4">
        <v>1</v>
      </c>
      <c r="B121" s="8">
        <v>6.1364313375037234E-2</v>
      </c>
      <c r="C121" s="8">
        <v>0.02</v>
      </c>
      <c r="D121">
        <f t="shared" si="1"/>
        <v>-3.912023005428146</v>
      </c>
    </row>
    <row r="122" spans="1:4">
      <c r="A122" s="4">
        <v>1</v>
      </c>
      <c r="B122" s="8">
        <v>4.8096580969603474E-2</v>
      </c>
      <c r="C122" s="8">
        <v>2.01E-2</v>
      </c>
      <c r="D122">
        <f t="shared" si="1"/>
        <v>-3.907035463917107</v>
      </c>
    </row>
    <row r="123" spans="1:4">
      <c r="A123" s="4">
        <v>1</v>
      </c>
      <c r="B123" s="8">
        <v>7.958656330749353E-2</v>
      </c>
      <c r="C123" s="8">
        <v>1.7600000000000001E-2</v>
      </c>
      <c r="D123">
        <f t="shared" si="1"/>
        <v>-4.0398563769380305</v>
      </c>
    </row>
    <row r="124" spans="1:4">
      <c r="A124" s="4">
        <v>1</v>
      </c>
      <c r="B124" s="8">
        <v>8.0704116271831716E-2</v>
      </c>
      <c r="C124" s="8">
        <v>1.66E-2</v>
      </c>
      <c r="D124">
        <f t="shared" si="1"/>
        <v>-4.0983525836196391</v>
      </c>
    </row>
    <row r="125" spans="1:4">
      <c r="A125" s="4">
        <v>1</v>
      </c>
      <c r="B125" s="8">
        <v>1.9565053803897961E-2</v>
      </c>
      <c r="C125" s="8">
        <v>1.37142857E-2</v>
      </c>
      <c r="D125">
        <f t="shared" si="1"/>
        <v>-4.2893172376112805</v>
      </c>
    </row>
    <row r="126" spans="1:4">
      <c r="A126" s="4">
        <v>1</v>
      </c>
      <c r="B126" s="8">
        <v>3.1354252890862119E-2</v>
      </c>
      <c r="C126" s="8">
        <v>6.0714285999999996E-3</v>
      </c>
      <c r="D126">
        <f t="shared" si="1"/>
        <v>-5.1041613474011971</v>
      </c>
    </row>
    <row r="127" spans="1:4">
      <c r="A127" s="4">
        <v>1</v>
      </c>
      <c r="B127" s="8">
        <v>2.4117691323651141E-2</v>
      </c>
      <c r="C127" s="8">
        <v>1.6214285700000001E-2</v>
      </c>
      <c r="D127">
        <f t="shared" si="1"/>
        <v>-4.1218625919970506</v>
      </c>
    </row>
    <row r="128" spans="1:4">
      <c r="A128" s="4">
        <v>1</v>
      </c>
      <c r="B128" s="8">
        <v>3.2207088569493565E-2</v>
      </c>
      <c r="C128" s="8">
        <v>6.0000000000000001E-3</v>
      </c>
      <c r="D128">
        <f t="shared" si="1"/>
        <v>-5.1159958097540823</v>
      </c>
    </row>
    <row r="129" spans="1:4">
      <c r="A129" s="4">
        <v>1</v>
      </c>
      <c r="B129" s="8">
        <v>3.2207088569493565E-2</v>
      </c>
      <c r="C129" s="8">
        <v>1.21428571E-2</v>
      </c>
      <c r="D129">
        <f t="shared" si="1"/>
        <v>-4.4110141750765459</v>
      </c>
    </row>
    <row r="130" spans="1:4">
      <c r="A130" s="4">
        <v>1</v>
      </c>
      <c r="B130" s="8">
        <v>4.1839115057566406E-2</v>
      </c>
      <c r="C130" s="8">
        <v>7.7142857000000002E-3</v>
      </c>
      <c r="D130">
        <f t="shared" si="1"/>
        <v>-4.8646813833250278</v>
      </c>
    </row>
    <row r="131" spans="1:4">
      <c r="A131" s="4">
        <v>1</v>
      </c>
      <c r="B131" s="8">
        <v>5.2725311661273727E-2</v>
      </c>
      <c r="C131" s="8">
        <v>1.28571429E-2</v>
      </c>
      <c r="D131">
        <f t="shared" ref="D131:D194" si="2">LN(C131)</f>
        <v>-4.3538557543738516</v>
      </c>
    </row>
    <row r="132" spans="1:4">
      <c r="A132" s="4">
        <v>1</v>
      </c>
      <c r="B132" s="8">
        <v>5.5283818697168079E-2</v>
      </c>
      <c r="C132" s="8">
        <v>6.4285714000000002E-3</v>
      </c>
      <c r="D132">
        <f t="shared" si="2"/>
        <v>-5.0470029427115755</v>
      </c>
    </row>
    <row r="133" spans="1:4">
      <c r="A133" s="4">
        <v>1</v>
      </c>
      <c r="B133" s="8">
        <v>5.5032984674041184E-2</v>
      </c>
      <c r="C133" s="8">
        <v>1.4E-2</v>
      </c>
      <c r="D133">
        <f t="shared" si="2"/>
        <v>-4.2686979493668789</v>
      </c>
    </row>
    <row r="134" spans="1:4">
      <c r="A134" s="4">
        <v>1</v>
      </c>
      <c r="B134" s="8">
        <v>5.8745328216319254E-2</v>
      </c>
      <c r="C134" s="8">
        <v>7.8571429000000009E-3</v>
      </c>
      <c r="D134">
        <f t="shared" si="2"/>
        <v>-4.8463322373504338</v>
      </c>
    </row>
    <row r="135" spans="1:4">
      <c r="A135" s="15">
        <v>1</v>
      </c>
      <c r="B135" s="8">
        <v>5.389203084832906E-2</v>
      </c>
      <c r="C135" s="14">
        <v>3.1333333333333331E-2</v>
      </c>
      <c r="D135">
        <f t="shared" si="2"/>
        <v>-3.463072785380243</v>
      </c>
    </row>
    <row r="136" spans="1:4">
      <c r="A136" s="6">
        <v>1</v>
      </c>
      <c r="B136" s="9">
        <v>0.1171785078999686</v>
      </c>
      <c r="C136" s="27">
        <v>7.6716049382716048E-3</v>
      </c>
      <c r="D136">
        <f t="shared" si="2"/>
        <v>-4.8702294366956291</v>
      </c>
    </row>
    <row r="137" spans="1:4">
      <c r="A137" s="6">
        <v>1</v>
      </c>
      <c r="B137" s="9">
        <v>0.10908866202202755</v>
      </c>
      <c r="C137" s="27">
        <v>1.5671604938271605E-2</v>
      </c>
      <c r="D137">
        <f t="shared" si="2"/>
        <v>-4.155904806782206</v>
      </c>
    </row>
    <row r="138" spans="1:4">
      <c r="A138" s="6">
        <v>1</v>
      </c>
      <c r="B138" s="9">
        <v>9.8602723463440164E-2</v>
      </c>
      <c r="C138" s="27">
        <v>9.1185185185185189E-3</v>
      </c>
      <c r="D138">
        <f t="shared" si="2"/>
        <v>-4.6974479312361126</v>
      </c>
    </row>
    <row r="139" spans="1:4">
      <c r="A139" s="6">
        <v>1</v>
      </c>
      <c r="B139" s="9">
        <v>5.2884615384615384E-2</v>
      </c>
      <c r="C139" s="27">
        <v>2.1299999999999999E-2</v>
      </c>
      <c r="D139">
        <f t="shared" si="2"/>
        <v>-3.8490482062667577</v>
      </c>
    </row>
    <row r="140" spans="1:4">
      <c r="A140" s="6">
        <v>1</v>
      </c>
      <c r="B140" s="13">
        <v>2.663438256658596E-2</v>
      </c>
      <c r="C140" s="28">
        <v>0.02</v>
      </c>
      <c r="D140">
        <f t="shared" si="2"/>
        <v>-3.912023005428146</v>
      </c>
    </row>
    <row r="141" spans="1:4">
      <c r="A141" s="6">
        <v>1</v>
      </c>
      <c r="B141" s="13">
        <v>3.1132581857219541E-2</v>
      </c>
      <c r="C141" s="28">
        <v>0.02</v>
      </c>
      <c r="D141">
        <f t="shared" si="2"/>
        <v>-3.912023005428146</v>
      </c>
    </row>
    <row r="142" spans="1:4">
      <c r="A142" s="6">
        <v>1</v>
      </c>
      <c r="B142" s="13">
        <v>3.6637931034482762E-2</v>
      </c>
      <c r="C142" s="28">
        <v>2.5000000000000001E-2</v>
      </c>
      <c r="D142">
        <f t="shared" si="2"/>
        <v>-3.6888794541139363</v>
      </c>
    </row>
    <row r="143" spans="1:4">
      <c r="A143" s="6">
        <v>1</v>
      </c>
      <c r="B143" s="9">
        <v>6.4814814814814811E-2</v>
      </c>
      <c r="C143" s="27">
        <v>0.02</v>
      </c>
      <c r="D143">
        <f t="shared" si="2"/>
        <v>-3.912023005428146</v>
      </c>
    </row>
    <row r="144" spans="1:4">
      <c r="A144" s="6">
        <v>1</v>
      </c>
      <c r="B144" s="9">
        <v>6.934109051549181E-2</v>
      </c>
      <c r="C144" s="27">
        <v>1.0696517412935324E-2</v>
      </c>
      <c r="D144">
        <f t="shared" si="2"/>
        <v>-4.5378370659195042</v>
      </c>
    </row>
    <row r="145" spans="1:4">
      <c r="A145" s="6">
        <v>1</v>
      </c>
      <c r="B145" s="9">
        <v>7.6882742347774799E-2</v>
      </c>
      <c r="C145" s="27">
        <v>1.4676616915422885E-2</v>
      </c>
      <c r="D145">
        <f t="shared" si="2"/>
        <v>-4.2214997377073473</v>
      </c>
    </row>
    <row r="146" spans="1:4">
      <c r="A146" s="6">
        <v>1</v>
      </c>
      <c r="B146" s="9">
        <v>5.5875991348233602E-2</v>
      </c>
      <c r="C146" s="27">
        <v>1.9154228855721392E-2</v>
      </c>
      <c r="D146">
        <f t="shared" si="2"/>
        <v>-3.9552317597593829</v>
      </c>
    </row>
    <row r="147" spans="1:4">
      <c r="A147" s="6">
        <v>1</v>
      </c>
      <c r="B147" s="9">
        <v>6.6952874090581385E-2</v>
      </c>
      <c r="C147" s="27">
        <v>1.7014925373134329E-2</v>
      </c>
      <c r="D147">
        <f t="shared" si="2"/>
        <v>-4.0736643569845619</v>
      </c>
    </row>
    <row r="148" spans="1:4">
      <c r="A148" s="6">
        <v>1</v>
      </c>
      <c r="B148" s="9">
        <v>7.3900504686373478E-2</v>
      </c>
      <c r="C148" s="27">
        <v>1.9104477611940299E-2</v>
      </c>
      <c r="D148">
        <f t="shared" si="2"/>
        <v>-3.9578325414594402</v>
      </c>
    </row>
    <row r="149" spans="1:4">
      <c r="A149" s="6">
        <v>1</v>
      </c>
      <c r="B149" s="9">
        <v>6.275807825915973E-2</v>
      </c>
      <c r="C149" s="27">
        <v>1.3582089552238807E-2</v>
      </c>
      <c r="D149">
        <f t="shared" si="2"/>
        <v>-4.2990032988622069</v>
      </c>
    </row>
    <row r="150" spans="1:4">
      <c r="A150" s="6">
        <v>1</v>
      </c>
      <c r="B150" s="9">
        <v>4.0392616229753202E-2</v>
      </c>
      <c r="C150" s="27">
        <v>1.5124378109452736E-2</v>
      </c>
      <c r="D150">
        <f t="shared" si="2"/>
        <v>-4.1914473926409457</v>
      </c>
    </row>
    <row r="151" spans="1:4">
      <c r="A151" s="6">
        <v>1</v>
      </c>
      <c r="B151" s="9">
        <v>3.7671011294114272E-2</v>
      </c>
      <c r="C151" s="27">
        <v>1.4029850746268656E-2</v>
      </c>
      <c r="D151">
        <f t="shared" si="2"/>
        <v>-4.2665680231090537</v>
      </c>
    </row>
    <row r="152" spans="1:4">
      <c r="A152" s="6">
        <v>1</v>
      </c>
      <c r="B152" s="9">
        <v>6.4502164502164491E-2</v>
      </c>
      <c r="C152" s="27">
        <v>1.9617021276595745E-2</v>
      </c>
      <c r="D152">
        <f t="shared" si="2"/>
        <v>-3.9313576571356017</v>
      </c>
    </row>
    <row r="153" spans="1:4">
      <c r="A153" s="6">
        <v>1</v>
      </c>
      <c r="B153" s="9">
        <v>7.3208273208273208E-2</v>
      </c>
      <c r="C153" s="27">
        <v>1.9744680851063828E-2</v>
      </c>
      <c r="D153">
        <f t="shared" si="2"/>
        <v>-3.924871147905995</v>
      </c>
    </row>
    <row r="154" spans="1:4">
      <c r="A154" s="4">
        <v>2</v>
      </c>
      <c r="B154" s="8">
        <v>7.7576280944156584E-2</v>
      </c>
      <c r="C154" s="8">
        <v>1.8333333E-2</v>
      </c>
      <c r="D154">
        <f t="shared" si="2"/>
        <v>-3.9990344005995944</v>
      </c>
    </row>
    <row r="155" spans="1:4">
      <c r="A155" s="4">
        <v>2</v>
      </c>
      <c r="B155" s="8">
        <v>0.11050347222222222</v>
      </c>
      <c r="C155" s="8">
        <v>1.8333333E-2</v>
      </c>
      <c r="D155">
        <f t="shared" si="2"/>
        <v>-3.9990344005995944</v>
      </c>
    </row>
    <row r="156" spans="1:4">
      <c r="A156" s="4">
        <v>2</v>
      </c>
      <c r="B156" s="8">
        <v>3.9859012600291434E-2</v>
      </c>
      <c r="C156" s="8">
        <v>2.7777777777777776E-2</v>
      </c>
      <c r="D156">
        <f t="shared" si="2"/>
        <v>-3.5835189384561099</v>
      </c>
    </row>
    <row r="157" spans="1:4">
      <c r="A157" s="4">
        <v>2</v>
      </c>
      <c r="B157" s="8">
        <v>5.2872164933288425E-2</v>
      </c>
      <c r="C157" s="8">
        <v>2.7777777777777801E-2</v>
      </c>
      <c r="D157">
        <f t="shared" si="2"/>
        <v>-3.583518938456109</v>
      </c>
    </row>
    <row r="158" spans="1:4">
      <c r="A158" s="4">
        <v>2</v>
      </c>
      <c r="B158" s="8">
        <v>6.0451513289451753E-2</v>
      </c>
      <c r="C158" s="8">
        <v>2.2965879265091901E-2</v>
      </c>
      <c r="D158">
        <f t="shared" si="2"/>
        <v>-3.7737456747571763</v>
      </c>
    </row>
    <row r="159" spans="1:4">
      <c r="A159" s="4">
        <v>2</v>
      </c>
      <c r="B159" s="8">
        <v>0.11897494208019896</v>
      </c>
      <c r="C159" s="8">
        <v>1.6622922134733157E-2</v>
      </c>
      <c r="D159">
        <f t="shared" si="2"/>
        <v>-4.0969726846283701</v>
      </c>
    </row>
    <row r="160" spans="1:4">
      <c r="A160" s="4">
        <v>2</v>
      </c>
      <c r="B160" s="8">
        <v>6.2507595173824121E-2</v>
      </c>
      <c r="C160" s="8">
        <v>2.7777777777777776E-2</v>
      </c>
      <c r="D160">
        <f t="shared" si="2"/>
        <v>-3.5835189384561099</v>
      </c>
    </row>
    <row r="161" spans="1:4">
      <c r="A161" s="4">
        <v>2</v>
      </c>
      <c r="B161" s="8">
        <v>7.3172263184521941E-2</v>
      </c>
      <c r="C161" s="8">
        <v>3.2808398950131233E-2</v>
      </c>
      <c r="D161">
        <f t="shared" si="2"/>
        <v>-3.4170707308184456</v>
      </c>
    </row>
    <row r="162" spans="1:4">
      <c r="A162" s="4">
        <v>2</v>
      </c>
      <c r="B162" s="8">
        <v>6.9624434086620543E-2</v>
      </c>
      <c r="C162" s="8">
        <v>2.8871391076115485E-2</v>
      </c>
      <c r="D162">
        <f t="shared" si="2"/>
        <v>-3.5449041023283305</v>
      </c>
    </row>
    <row r="163" spans="1:4">
      <c r="A163" s="4">
        <v>2</v>
      </c>
      <c r="B163" s="8">
        <v>5.4049227662835923E-2</v>
      </c>
      <c r="C163" s="8">
        <v>2.7777777777777776E-2</v>
      </c>
      <c r="D163">
        <f t="shared" si="2"/>
        <v>-3.5835189384561099</v>
      </c>
    </row>
    <row r="164" spans="1:4">
      <c r="A164" s="4">
        <v>2</v>
      </c>
      <c r="B164" s="8">
        <v>5.5115896469566716E-2</v>
      </c>
      <c r="C164" s="8">
        <v>3.1173092698933553E-2</v>
      </c>
      <c r="D164">
        <f t="shared" si="2"/>
        <v>-3.4681999697548855</v>
      </c>
    </row>
    <row r="165" spans="1:4">
      <c r="A165" s="4">
        <v>2</v>
      </c>
      <c r="B165" s="8">
        <v>6.6688384445021703E-2</v>
      </c>
      <c r="C165" s="8">
        <v>2.8977583378895572E-2</v>
      </c>
      <c r="D165">
        <f t="shared" si="2"/>
        <v>-3.541232734838744</v>
      </c>
    </row>
    <row r="166" spans="1:4">
      <c r="A166" s="4">
        <v>2</v>
      </c>
      <c r="B166" s="8">
        <v>0.10550151819257887</v>
      </c>
      <c r="C166" s="8">
        <v>1.4960629921259842E-2</v>
      </c>
      <c r="D166">
        <f t="shared" si="2"/>
        <v>-4.2023332002861968</v>
      </c>
    </row>
    <row r="167" spans="1:4">
      <c r="A167" s="4">
        <v>2</v>
      </c>
      <c r="B167" s="8">
        <v>7.8991455855252149E-2</v>
      </c>
      <c r="C167" s="8">
        <v>1.6929133858267716E-2</v>
      </c>
      <c r="D167">
        <f t="shared" si="2"/>
        <v>-4.0787192443190197</v>
      </c>
    </row>
    <row r="168" spans="1:4">
      <c r="A168" s="4">
        <v>2</v>
      </c>
      <c r="B168" s="8">
        <v>7.6095791001451377E-2</v>
      </c>
      <c r="C168" s="8">
        <v>7.4666666666666666E-3</v>
      </c>
      <c r="D168">
        <f t="shared" si="2"/>
        <v>-4.8973066087892523</v>
      </c>
    </row>
    <row r="169" spans="1:4">
      <c r="A169" s="4">
        <v>2</v>
      </c>
      <c r="B169" s="8">
        <v>0.14377121040723981</v>
      </c>
      <c r="C169" s="4">
        <v>5.8823529411764705E-3</v>
      </c>
      <c r="D169">
        <f t="shared" si="2"/>
        <v>-5.1357984370502621</v>
      </c>
    </row>
    <row r="170" spans="1:4">
      <c r="A170" s="4">
        <v>2</v>
      </c>
      <c r="B170" s="8">
        <v>0.20098039215686275</v>
      </c>
      <c r="C170" s="4">
        <v>1.2352941176470587E-2</v>
      </c>
      <c r="D170">
        <f t="shared" si="2"/>
        <v>-4.3938610923208845</v>
      </c>
    </row>
    <row r="171" spans="1:4">
      <c r="A171" s="4">
        <v>2</v>
      </c>
      <c r="B171" s="8">
        <v>0.16568269643623876</v>
      </c>
      <c r="C171" s="4">
        <v>4.7058823529411761E-3</v>
      </c>
      <c r="D171">
        <f t="shared" si="2"/>
        <v>-5.3589419883644718</v>
      </c>
    </row>
    <row r="172" spans="1:4">
      <c r="A172" s="4">
        <v>2</v>
      </c>
      <c r="B172" s="8">
        <v>7.8554049356969066E-2</v>
      </c>
      <c r="C172" s="8">
        <v>1.2999999999999999E-2</v>
      </c>
      <c r="D172">
        <f t="shared" si="2"/>
        <v>-4.3428059215206005</v>
      </c>
    </row>
    <row r="173" spans="1:4">
      <c r="A173" s="4">
        <v>2</v>
      </c>
      <c r="B173" s="8">
        <v>0.12161415146489774</v>
      </c>
      <c r="C173" s="8">
        <v>1.1594202898550725E-2</v>
      </c>
      <c r="D173">
        <f t="shared" si="2"/>
        <v>-4.4572500559114694</v>
      </c>
    </row>
    <row r="174" spans="1:4">
      <c r="A174" s="15">
        <v>2</v>
      </c>
      <c r="B174" s="8">
        <v>6.1561424254368689E-2</v>
      </c>
      <c r="C174" s="14">
        <v>1.5333333333333332E-2</v>
      </c>
      <c r="D174">
        <f t="shared" si="2"/>
        <v>-4.1777261711611517</v>
      </c>
    </row>
    <row r="175" spans="1:4">
      <c r="A175" s="6">
        <v>2</v>
      </c>
      <c r="B175" s="13">
        <v>6.6417600664176013E-2</v>
      </c>
      <c r="C175" s="28">
        <v>3.4000000000000002E-2</v>
      </c>
      <c r="D175">
        <f t="shared" si="2"/>
        <v>-3.3813947543659757</v>
      </c>
    </row>
    <row r="176" spans="1:4">
      <c r="A176" s="6">
        <v>2</v>
      </c>
      <c r="B176" s="13">
        <v>5.9640102827763497E-2</v>
      </c>
      <c r="C176" s="28">
        <v>2.8666666666666667E-2</v>
      </c>
      <c r="D176">
        <f t="shared" si="2"/>
        <v>-3.552020271396739</v>
      </c>
    </row>
    <row r="177" spans="1:4">
      <c r="A177" s="6">
        <v>2</v>
      </c>
      <c r="B177" s="9">
        <v>5.460526315789474E-2</v>
      </c>
      <c r="C177" s="27">
        <v>2.4521739130434782E-2</v>
      </c>
      <c r="D177">
        <f t="shared" si="2"/>
        <v>-3.7081952434132277</v>
      </c>
    </row>
    <row r="178" spans="1:4">
      <c r="A178" s="6">
        <v>2</v>
      </c>
      <c r="B178" s="9">
        <v>5.5526315789473681E-2</v>
      </c>
      <c r="C178" s="27">
        <v>2.0695652173913046E-2</v>
      </c>
      <c r="D178">
        <f t="shared" si="2"/>
        <v>-3.8778316406798665</v>
      </c>
    </row>
    <row r="179" spans="1:4">
      <c r="A179" s="6">
        <v>2</v>
      </c>
      <c r="B179" s="9">
        <v>5.8233082706766914E-2</v>
      </c>
      <c r="C179" s="27">
        <v>1.9113043478260872E-2</v>
      </c>
      <c r="D179">
        <f t="shared" si="2"/>
        <v>-3.9573842723818204</v>
      </c>
    </row>
    <row r="180" spans="1:4">
      <c r="A180" s="6">
        <v>2</v>
      </c>
      <c r="B180" s="9">
        <v>8.5479493228853565E-2</v>
      </c>
      <c r="C180" s="27">
        <v>2.8833333333333332E-2</v>
      </c>
      <c r="D180">
        <f t="shared" si="2"/>
        <v>-3.5462231537124129</v>
      </c>
    </row>
    <row r="181" spans="1:4">
      <c r="A181" s="6">
        <v>2</v>
      </c>
      <c r="B181" s="9">
        <v>9.5952407605827517E-2</v>
      </c>
      <c r="C181" s="27">
        <v>2.4966666666666668E-2</v>
      </c>
      <c r="D181">
        <f t="shared" si="2"/>
        <v>-3.690213677127073</v>
      </c>
    </row>
    <row r="182" spans="1:4">
      <c r="A182" s="6">
        <v>2</v>
      </c>
      <c r="B182" s="9">
        <v>0.10947462036480454</v>
      </c>
      <c r="C182" s="27">
        <v>3.04E-2</v>
      </c>
      <c r="D182">
        <f t="shared" si="2"/>
        <v>-3.4933126705699609</v>
      </c>
    </row>
    <row r="183" spans="1:4">
      <c r="A183" s="6">
        <v>2</v>
      </c>
      <c r="B183" s="9">
        <v>0.10819151417206187</v>
      </c>
      <c r="C183" s="27">
        <v>3.04E-2</v>
      </c>
      <c r="D183">
        <f t="shared" si="2"/>
        <v>-3.4933126705699609</v>
      </c>
    </row>
    <row r="184" spans="1:4">
      <c r="A184" s="6">
        <v>3</v>
      </c>
      <c r="B184" s="9">
        <v>0.16159731986258677</v>
      </c>
      <c r="C184" s="27">
        <v>1.4084507042253521E-2</v>
      </c>
      <c r="D184">
        <f t="shared" si="2"/>
        <v>-4.2626798770413155</v>
      </c>
    </row>
    <row r="185" spans="1:4">
      <c r="A185" s="15">
        <v>3</v>
      </c>
      <c r="B185" s="8">
        <v>0.14461493920092647</v>
      </c>
      <c r="C185" s="8">
        <v>1.7000000000000001E-2</v>
      </c>
      <c r="D185">
        <f t="shared" si="2"/>
        <v>-4.0745419349259206</v>
      </c>
    </row>
    <row r="186" spans="1:4">
      <c r="A186" s="15">
        <v>3</v>
      </c>
      <c r="B186" s="8">
        <v>0.13752541388324135</v>
      </c>
      <c r="C186" s="8">
        <v>1.2999999999999999E-2</v>
      </c>
      <c r="D186">
        <f t="shared" si="2"/>
        <v>-4.3428059215206005</v>
      </c>
    </row>
    <row r="187" spans="1:4">
      <c r="A187" s="15">
        <v>3</v>
      </c>
      <c r="B187" s="8">
        <v>0.12588113757899855</v>
      </c>
      <c r="C187" s="8">
        <v>0.01</v>
      </c>
      <c r="D187">
        <f t="shared" si="2"/>
        <v>-4.6051701859880909</v>
      </c>
    </row>
    <row r="188" spans="1:4">
      <c r="A188" s="15">
        <v>3</v>
      </c>
      <c r="B188" s="8">
        <v>5.1998286203941729E-2</v>
      </c>
      <c r="C188" s="14">
        <v>2.8333333333333332E-2</v>
      </c>
      <c r="D188">
        <f t="shared" si="2"/>
        <v>-3.5637163111599302</v>
      </c>
    </row>
    <row r="189" spans="1:4">
      <c r="A189" s="4">
        <v>3</v>
      </c>
      <c r="B189" s="8">
        <v>3.0760972789958298E-2</v>
      </c>
      <c r="C189" s="17">
        <v>1.0500000000000001E-2</v>
      </c>
      <c r="D189">
        <f t="shared" si="2"/>
        <v>-4.5563800218186596</v>
      </c>
    </row>
    <row r="190" spans="1:4">
      <c r="A190" s="4">
        <v>3</v>
      </c>
      <c r="B190" s="8">
        <v>5.3373074323738882E-2</v>
      </c>
      <c r="C190" s="17">
        <v>4.0000000000000001E-3</v>
      </c>
      <c r="D190">
        <f t="shared" si="2"/>
        <v>-5.521460917862246</v>
      </c>
    </row>
    <row r="191" spans="1:4">
      <c r="A191" s="16">
        <v>3</v>
      </c>
      <c r="B191" s="8">
        <v>0.1434108527131783</v>
      </c>
      <c r="C191" s="8">
        <v>1.2E-2</v>
      </c>
      <c r="D191">
        <f t="shared" si="2"/>
        <v>-4.4228486291941369</v>
      </c>
    </row>
    <row r="192" spans="1:4">
      <c r="A192" s="16">
        <v>3</v>
      </c>
      <c r="B192" s="8">
        <v>0.13032407407407406</v>
      </c>
      <c r="C192" s="8">
        <v>1.2E-2</v>
      </c>
      <c r="D192">
        <f t="shared" si="2"/>
        <v>-4.4228486291941369</v>
      </c>
    </row>
    <row r="193" spans="1:4">
      <c r="A193" s="16">
        <v>3</v>
      </c>
      <c r="B193" s="8">
        <v>0.16316872427983539</v>
      </c>
      <c r="C193" s="8">
        <v>1.2E-2</v>
      </c>
      <c r="D193">
        <f t="shared" si="2"/>
        <v>-4.4228486291941369</v>
      </c>
    </row>
    <row r="194" spans="1:4">
      <c r="A194" s="16">
        <v>3</v>
      </c>
      <c r="B194" s="8">
        <v>0.14885138302859821</v>
      </c>
      <c r="C194" s="8">
        <v>1.2E-2</v>
      </c>
      <c r="D194">
        <f t="shared" si="2"/>
        <v>-4.4228486291941369</v>
      </c>
    </row>
    <row r="195" spans="1:4">
      <c r="A195" s="4">
        <v>3</v>
      </c>
      <c r="B195" s="8">
        <v>9.4453491713765672E-2</v>
      </c>
      <c r="C195" s="14">
        <v>2.4608695652173912E-3</v>
      </c>
      <c r="D195">
        <f t="shared" ref="D195:D258" si="3">LN(C195)</f>
        <v>-6.0072405097021493</v>
      </c>
    </row>
    <row r="196" spans="1:4">
      <c r="A196" s="4">
        <v>3</v>
      </c>
      <c r="B196" s="8">
        <v>0.11458885941644562</v>
      </c>
      <c r="C196" s="8">
        <v>8.9999999999999993E-3</v>
      </c>
      <c r="D196">
        <f t="shared" si="3"/>
        <v>-4.7105307016459177</v>
      </c>
    </row>
    <row r="197" spans="1:4">
      <c r="A197" s="4">
        <v>3</v>
      </c>
      <c r="B197" s="8">
        <v>0.14096749889740881</v>
      </c>
      <c r="C197" s="8">
        <v>1.6789087093389297E-2</v>
      </c>
      <c r="D197">
        <f t="shared" si="3"/>
        <v>-4.0870261814144211</v>
      </c>
    </row>
    <row r="198" spans="1:4">
      <c r="A198" s="4">
        <v>3</v>
      </c>
      <c r="B198" s="8">
        <v>0.11276223776223776</v>
      </c>
      <c r="C198" s="17">
        <v>1.0055555555555557E-2</v>
      </c>
      <c r="D198">
        <f t="shared" si="3"/>
        <v>-4.5996300056124761</v>
      </c>
    </row>
    <row r="199" spans="1:4">
      <c r="A199" s="4">
        <v>3</v>
      </c>
      <c r="B199" s="8">
        <v>0.10963883677298313</v>
      </c>
      <c r="C199" s="17">
        <v>8.5555555555555558E-3</v>
      </c>
      <c r="D199">
        <f t="shared" si="3"/>
        <v>-4.7611744344646727</v>
      </c>
    </row>
    <row r="200" spans="1:4">
      <c r="A200" s="4">
        <v>3</v>
      </c>
      <c r="B200" s="8">
        <v>0.10297984224364592</v>
      </c>
      <c r="C200" s="17">
        <v>7.4285714285714285E-3</v>
      </c>
      <c r="D200">
        <f t="shared" si="3"/>
        <v>-4.9024217094560232</v>
      </c>
    </row>
    <row r="201" spans="1:4">
      <c r="A201" s="4">
        <v>3</v>
      </c>
      <c r="B201" s="8">
        <v>0.12773109243697478</v>
      </c>
      <c r="C201" s="17">
        <v>7.0000000000000001E-3</v>
      </c>
      <c r="D201">
        <f t="shared" si="3"/>
        <v>-4.9618451299268234</v>
      </c>
    </row>
    <row r="202" spans="1:4">
      <c r="A202" s="4">
        <v>3</v>
      </c>
      <c r="B202" s="8">
        <v>0.11404893449092345</v>
      </c>
      <c r="C202" s="17">
        <v>7.4285714285714285E-3</v>
      </c>
      <c r="D202">
        <f t="shared" si="3"/>
        <v>-4.9024217094560232</v>
      </c>
    </row>
    <row r="203" spans="1:4">
      <c r="A203" s="4">
        <v>3</v>
      </c>
      <c r="B203" s="8">
        <v>0.10964912280701754</v>
      </c>
      <c r="C203" s="17">
        <v>3.7499999999999999E-3</v>
      </c>
      <c r="D203">
        <f t="shared" si="3"/>
        <v>-5.585999438999818</v>
      </c>
    </row>
    <row r="204" spans="1:4">
      <c r="A204" s="4">
        <v>3</v>
      </c>
      <c r="B204" s="8">
        <v>0.14241486068111456</v>
      </c>
      <c r="C204" s="17">
        <v>5.333333333333334E-3</v>
      </c>
      <c r="D204">
        <f t="shared" si="3"/>
        <v>-5.2337788454104652</v>
      </c>
    </row>
    <row r="205" spans="1:4">
      <c r="A205" s="4">
        <v>3</v>
      </c>
      <c r="B205" s="8">
        <v>0.14158322903629536</v>
      </c>
      <c r="C205" s="17">
        <v>5.0833333333333329E-3</v>
      </c>
      <c r="D205">
        <f t="shared" si="3"/>
        <v>-5.2817880645968263</v>
      </c>
    </row>
    <row r="206" spans="1:4">
      <c r="A206" s="4">
        <v>3</v>
      </c>
      <c r="B206" s="8">
        <v>9.9284436493738817E-2</v>
      </c>
      <c r="C206" s="17">
        <v>2.7777777777777779E-3</v>
      </c>
      <c r="D206">
        <f t="shared" si="3"/>
        <v>-5.8861040314501558</v>
      </c>
    </row>
    <row r="207" spans="1:4">
      <c r="A207" s="4">
        <v>3</v>
      </c>
      <c r="B207" s="8">
        <v>0.10584869675778766</v>
      </c>
      <c r="C207" s="17">
        <v>7.7777777777777776E-3</v>
      </c>
      <c r="D207">
        <f t="shared" si="3"/>
        <v>-4.8564846142689975</v>
      </c>
    </row>
    <row r="208" spans="1:4">
      <c r="A208" s="4">
        <v>3</v>
      </c>
      <c r="B208" s="8">
        <v>0.10395880270357259</v>
      </c>
      <c r="C208" s="17">
        <v>2.3333333333333335E-3</v>
      </c>
      <c r="D208">
        <f t="shared" si="3"/>
        <v>-6.0604574185949334</v>
      </c>
    </row>
    <row r="209" spans="1:4">
      <c r="A209" s="4">
        <v>3</v>
      </c>
      <c r="B209" s="8">
        <v>0.10520023909145249</v>
      </c>
      <c r="C209" s="17">
        <v>5.0714285714285713E-3</v>
      </c>
      <c r="D209">
        <f t="shared" si="3"/>
        <v>-5.2841327315560802</v>
      </c>
    </row>
    <row r="210" spans="1:4">
      <c r="A210" s="4">
        <v>3</v>
      </c>
      <c r="B210" s="8">
        <v>0.10573042776432608</v>
      </c>
      <c r="C210" s="17">
        <v>4.7857142857142855E-3</v>
      </c>
      <c r="D210">
        <f t="shared" si="3"/>
        <v>-5.3421199892064299</v>
      </c>
    </row>
    <row r="211" spans="1:4">
      <c r="A211" s="4">
        <v>3</v>
      </c>
      <c r="B211" s="8">
        <v>0.14674237895995218</v>
      </c>
      <c r="C211" s="17">
        <v>8.2857142857142851E-3</v>
      </c>
      <c r="D211">
        <f t="shared" si="3"/>
        <v>-4.7932224174910312</v>
      </c>
    </row>
    <row r="212" spans="1:4">
      <c r="A212" s="4">
        <v>3</v>
      </c>
      <c r="B212" s="8">
        <v>7.9092581238503976E-2</v>
      </c>
      <c r="C212" s="17">
        <v>3.5714285714285713E-3</v>
      </c>
      <c r="D212">
        <f t="shared" si="3"/>
        <v>-5.6347896031692493</v>
      </c>
    </row>
    <row r="213" spans="1:4">
      <c r="A213" s="4">
        <v>3</v>
      </c>
      <c r="B213" s="8">
        <v>0.16573556797020486</v>
      </c>
      <c r="C213" s="17">
        <v>5.7142857142857143E-3</v>
      </c>
      <c r="D213">
        <f t="shared" si="3"/>
        <v>-5.1647859739235145</v>
      </c>
    </row>
    <row r="214" spans="1:4">
      <c r="A214" s="4">
        <v>3</v>
      </c>
      <c r="B214" s="8">
        <v>0.17281549247606021</v>
      </c>
      <c r="C214" s="4">
        <v>9.4117647058823521E-3</v>
      </c>
      <c r="D214">
        <f t="shared" si="3"/>
        <v>-4.6657948078045264</v>
      </c>
    </row>
    <row r="215" spans="1:4">
      <c r="A215" s="4">
        <v>3</v>
      </c>
      <c r="B215" s="8">
        <v>7.720588235294118E-2</v>
      </c>
      <c r="C215" s="8">
        <v>8.0000000000000002E-3</v>
      </c>
      <c r="D215">
        <f t="shared" si="3"/>
        <v>-4.8283137373023015</v>
      </c>
    </row>
    <row r="216" spans="1:4">
      <c r="A216" s="4">
        <v>3</v>
      </c>
      <c r="B216" s="8">
        <v>8.5487482190107891E-2</v>
      </c>
      <c r="C216" s="8">
        <v>1.4999999999999999E-2</v>
      </c>
      <c r="D216">
        <f t="shared" si="3"/>
        <v>-4.1997050778799272</v>
      </c>
    </row>
    <row r="217" spans="1:4">
      <c r="A217" s="4">
        <v>3</v>
      </c>
      <c r="B217" s="8">
        <v>0.10246331236897274</v>
      </c>
      <c r="C217" s="8">
        <v>0.01</v>
      </c>
      <c r="D217">
        <f t="shared" si="3"/>
        <v>-4.6051701859880909</v>
      </c>
    </row>
    <row r="218" spans="1:4">
      <c r="A218" s="4">
        <v>3</v>
      </c>
      <c r="B218" s="8">
        <v>0.15677419354838709</v>
      </c>
      <c r="C218" s="8">
        <v>0.01</v>
      </c>
      <c r="D218">
        <f t="shared" si="3"/>
        <v>-4.6051701859880909</v>
      </c>
    </row>
    <row r="219" spans="1:4">
      <c r="A219" s="4">
        <v>3</v>
      </c>
      <c r="B219" s="8">
        <v>0.16709677419354838</v>
      </c>
      <c r="C219" s="8">
        <v>1.0500000000000001E-2</v>
      </c>
      <c r="D219">
        <f t="shared" si="3"/>
        <v>-4.5563800218186596</v>
      </c>
    </row>
    <row r="220" spans="1:4">
      <c r="A220" s="4">
        <v>3</v>
      </c>
      <c r="B220" s="8">
        <v>0.10123281175912754</v>
      </c>
      <c r="C220" s="8">
        <v>0.01</v>
      </c>
      <c r="D220">
        <f t="shared" si="3"/>
        <v>-4.6051701859880909</v>
      </c>
    </row>
    <row r="221" spans="1:4">
      <c r="A221" s="4">
        <v>3</v>
      </c>
      <c r="B221" s="8">
        <v>0.1631246046805819</v>
      </c>
      <c r="C221" s="8">
        <v>1.2999999999999999E-2</v>
      </c>
      <c r="D221">
        <f t="shared" si="3"/>
        <v>-4.3428059215206005</v>
      </c>
    </row>
    <row r="222" spans="1:4">
      <c r="A222" s="4">
        <v>3</v>
      </c>
      <c r="B222" s="8">
        <v>0.10751988430947217</v>
      </c>
      <c r="C222" s="8">
        <v>1.2E-2</v>
      </c>
      <c r="D222">
        <f t="shared" si="3"/>
        <v>-4.4228486291941369</v>
      </c>
    </row>
    <row r="223" spans="1:4">
      <c r="A223" s="4">
        <v>3</v>
      </c>
      <c r="B223" s="8">
        <v>9.155998103366525E-2</v>
      </c>
      <c r="C223" s="8">
        <v>0.01</v>
      </c>
      <c r="D223">
        <f t="shared" si="3"/>
        <v>-4.6051701859880909</v>
      </c>
    </row>
    <row r="224" spans="1:4">
      <c r="A224" s="4">
        <v>3</v>
      </c>
      <c r="B224" s="8">
        <v>0.14767025089605734</v>
      </c>
      <c r="C224" s="8">
        <v>1.0200000000000001E-2</v>
      </c>
      <c r="D224">
        <f t="shared" si="3"/>
        <v>-4.5853675586919111</v>
      </c>
    </row>
    <row r="225" spans="1:4">
      <c r="A225" s="4">
        <v>3</v>
      </c>
      <c r="B225" s="8">
        <v>6.7236786313441363E-2</v>
      </c>
      <c r="C225" s="8">
        <v>1.2500000000000001E-2</v>
      </c>
      <c r="D225">
        <f t="shared" si="3"/>
        <v>-4.3820266346738812</v>
      </c>
    </row>
    <row r="226" spans="1:4">
      <c r="A226" s="4">
        <v>3</v>
      </c>
      <c r="B226" s="8">
        <v>7.9456007386604091E-2</v>
      </c>
      <c r="C226" s="8">
        <v>1.17E-2</v>
      </c>
      <c r="D226">
        <f t="shared" si="3"/>
        <v>-4.4481664371784264</v>
      </c>
    </row>
    <row r="227" spans="1:4">
      <c r="A227" s="4">
        <v>3</v>
      </c>
      <c r="B227" s="8">
        <v>2.942489677381117E-2</v>
      </c>
      <c r="C227" s="8">
        <v>8.9999999999999993E-3</v>
      </c>
      <c r="D227">
        <f t="shared" si="3"/>
        <v>-4.7105307016459177</v>
      </c>
    </row>
    <row r="228" spans="1:4">
      <c r="A228" s="4">
        <v>3</v>
      </c>
      <c r="B228" s="8">
        <v>4.1238961709344983E-2</v>
      </c>
      <c r="C228" s="8">
        <v>1.2500000000000001E-2</v>
      </c>
      <c r="D228">
        <f t="shared" si="3"/>
        <v>-4.3820266346738812</v>
      </c>
    </row>
    <row r="229" spans="1:4">
      <c r="A229" s="4">
        <v>3</v>
      </c>
      <c r="B229" s="8">
        <v>7.5475778546712807E-2</v>
      </c>
      <c r="C229" s="8">
        <v>5.0000000000000001E-3</v>
      </c>
      <c r="D229">
        <f t="shared" si="3"/>
        <v>-5.2983173665480363</v>
      </c>
    </row>
    <row r="230" spans="1:4">
      <c r="A230" s="4">
        <v>3</v>
      </c>
      <c r="B230" s="8">
        <v>0.10185986159169551</v>
      </c>
      <c r="C230" s="8">
        <v>7.4999999999999997E-3</v>
      </c>
      <c r="D230">
        <f t="shared" si="3"/>
        <v>-4.8928522584398726</v>
      </c>
    </row>
    <row r="231" spans="1:4">
      <c r="A231" s="4">
        <v>3</v>
      </c>
      <c r="B231" s="8">
        <v>8.7153979238754328E-2</v>
      </c>
      <c r="C231" s="8">
        <v>3.5000000000000001E-3</v>
      </c>
      <c r="D231">
        <f t="shared" si="3"/>
        <v>-5.6549923104867688</v>
      </c>
    </row>
    <row r="232" spans="1:4">
      <c r="A232" s="4">
        <v>3</v>
      </c>
      <c r="B232" s="8">
        <v>8.9965397923875437E-2</v>
      </c>
      <c r="C232" s="8">
        <v>0.01</v>
      </c>
      <c r="D232">
        <f t="shared" si="3"/>
        <v>-4.6051701859880909</v>
      </c>
    </row>
    <row r="233" spans="1:4">
      <c r="A233" s="4">
        <v>3</v>
      </c>
      <c r="B233" s="8">
        <v>8.2434357826175461E-2</v>
      </c>
      <c r="C233" s="8">
        <v>6.0000000000000001E-3</v>
      </c>
      <c r="D233">
        <f t="shared" si="3"/>
        <v>-5.1159958097540823</v>
      </c>
    </row>
    <row r="234" spans="1:4">
      <c r="A234" s="4">
        <v>3</v>
      </c>
      <c r="B234" s="8">
        <v>7.4292692855688985E-2</v>
      </c>
      <c r="C234" s="8">
        <v>1.2E-2</v>
      </c>
      <c r="D234">
        <f t="shared" si="3"/>
        <v>-4.4228486291941369</v>
      </c>
    </row>
    <row r="235" spans="1:4">
      <c r="A235" s="4">
        <v>3</v>
      </c>
      <c r="B235" s="8">
        <v>0.14172307692307692</v>
      </c>
      <c r="C235" s="8">
        <v>8.0000000000000002E-3</v>
      </c>
      <c r="D235">
        <f t="shared" si="3"/>
        <v>-4.8283137373023015</v>
      </c>
    </row>
    <row r="236" spans="1:4">
      <c r="A236" s="4">
        <v>3</v>
      </c>
      <c r="B236" s="8">
        <v>6.515957446808511E-2</v>
      </c>
      <c r="C236" s="14">
        <v>1.4285714285714286E-3</v>
      </c>
      <c r="D236">
        <f t="shared" si="3"/>
        <v>-6.5510803350434044</v>
      </c>
    </row>
    <row r="237" spans="1:4">
      <c r="A237" s="4">
        <v>3</v>
      </c>
      <c r="B237" s="8">
        <v>7.6279981549815495E-2</v>
      </c>
      <c r="C237" s="14">
        <v>1.4285714285714286E-3</v>
      </c>
      <c r="D237">
        <f t="shared" si="3"/>
        <v>-6.5510803350434044</v>
      </c>
    </row>
    <row r="238" spans="1:4">
      <c r="A238" s="4">
        <v>3</v>
      </c>
      <c r="B238" s="8">
        <v>8.8231877323420083E-2</v>
      </c>
      <c r="C238" s="14">
        <v>2.8571428571428571E-3</v>
      </c>
      <c r="D238">
        <f t="shared" si="3"/>
        <v>-5.857933154483459</v>
      </c>
    </row>
    <row r="239" spans="1:4">
      <c r="A239" s="4">
        <v>3</v>
      </c>
      <c r="B239" s="8">
        <v>0.10486381322957199</v>
      </c>
      <c r="C239" s="14">
        <v>1.4285714285714286E-3</v>
      </c>
      <c r="D239">
        <f t="shared" si="3"/>
        <v>-6.5510803350434044</v>
      </c>
    </row>
    <row r="240" spans="1:4">
      <c r="A240" s="4">
        <v>3</v>
      </c>
      <c r="B240" s="8">
        <v>5.7627688172043001E-2</v>
      </c>
      <c r="C240" s="14">
        <v>1.4285714285714286E-3</v>
      </c>
      <c r="D240">
        <f t="shared" si="3"/>
        <v>-6.5510803350434044</v>
      </c>
    </row>
    <row r="241" spans="1:4">
      <c r="A241" s="4">
        <v>3</v>
      </c>
      <c r="B241" s="8">
        <v>6.174395161290322E-2</v>
      </c>
      <c r="C241" s="14">
        <v>1.4285714285714286E-3</v>
      </c>
      <c r="D241">
        <f t="shared" si="3"/>
        <v>-6.5510803350434044</v>
      </c>
    </row>
    <row r="242" spans="1:4" ht="15.75" thickBot="1">
      <c r="A242" s="47">
        <v>3</v>
      </c>
      <c r="B242" s="48">
        <v>6.145484949832776E-2</v>
      </c>
      <c r="C242" s="55">
        <v>2.8571428571428571E-3</v>
      </c>
      <c r="D242">
        <f t="shared" si="3"/>
        <v>-5.857933154483459</v>
      </c>
    </row>
    <row r="243" spans="1:4" ht="15.75" thickTop="1">
      <c r="A243" s="42">
        <v>3</v>
      </c>
      <c r="B243" s="43">
        <v>5.52860696517413E-2</v>
      </c>
      <c r="C243" s="43">
        <v>7.4418604651162795E-3</v>
      </c>
      <c r="D243">
        <f t="shared" si="3"/>
        <v>-4.9006343988819268</v>
      </c>
    </row>
    <row r="244" spans="1:4">
      <c r="A244" s="4">
        <v>3</v>
      </c>
      <c r="B244" s="8">
        <v>4.5926616915422887E-2</v>
      </c>
      <c r="C244" s="8">
        <v>1.3953488372093023E-2</v>
      </c>
      <c r="D244">
        <f t="shared" si="3"/>
        <v>-4.2720257394595533</v>
      </c>
    </row>
    <row r="245" spans="1:4">
      <c r="A245" s="4">
        <v>3</v>
      </c>
      <c r="B245" s="8">
        <v>5.1064205599222826E-2</v>
      </c>
      <c r="C245" s="8">
        <v>4.6511627906976744E-3</v>
      </c>
      <c r="D245">
        <f t="shared" si="3"/>
        <v>-5.3706380281276624</v>
      </c>
    </row>
    <row r="246" spans="1:4">
      <c r="A246" s="4">
        <v>3</v>
      </c>
      <c r="B246" s="8">
        <v>5.6257175660160738E-2</v>
      </c>
      <c r="C246" s="8">
        <v>1.8604651162790697E-2</v>
      </c>
      <c r="D246">
        <f t="shared" si="3"/>
        <v>-3.9843436670077721</v>
      </c>
    </row>
    <row r="247" spans="1:4">
      <c r="A247" s="4">
        <v>3</v>
      </c>
      <c r="B247" s="8">
        <v>6.6931614118755339E-2</v>
      </c>
      <c r="C247" s="8">
        <v>4.6511627906976744E-3</v>
      </c>
      <c r="D247">
        <f t="shared" si="3"/>
        <v>-5.3706380281276624</v>
      </c>
    </row>
    <row r="248" spans="1:4">
      <c r="A248" s="4">
        <v>3</v>
      </c>
      <c r="B248" s="8">
        <v>5.8749729612805536E-2</v>
      </c>
      <c r="C248" s="8">
        <v>9.3023255813953487E-3</v>
      </c>
      <c r="D248">
        <f t="shared" si="3"/>
        <v>-4.6774908475677179</v>
      </c>
    </row>
    <row r="249" spans="1:4">
      <c r="A249" s="4">
        <v>3</v>
      </c>
      <c r="B249" s="8">
        <v>6.4200735453168928E-2</v>
      </c>
      <c r="C249" s="8">
        <v>4.6511627906976744E-3</v>
      </c>
      <c r="D249">
        <f t="shared" si="3"/>
        <v>-5.3706380281276624</v>
      </c>
    </row>
    <row r="250" spans="1:4">
      <c r="A250" s="23">
        <v>3</v>
      </c>
      <c r="B250" s="21">
        <v>5.9746675776528091E-2</v>
      </c>
      <c r="C250" s="21">
        <v>9.3023255813953487E-3</v>
      </c>
      <c r="D250">
        <f t="shared" si="3"/>
        <v>-4.6774908475677179</v>
      </c>
    </row>
    <row r="251" spans="1:4">
      <c r="A251" s="23">
        <v>3</v>
      </c>
      <c r="B251" s="21">
        <v>7.9530219860481283E-2</v>
      </c>
      <c r="C251" s="21">
        <v>9.3023255813953487E-3</v>
      </c>
      <c r="D251">
        <f t="shared" si="3"/>
        <v>-4.6774908475677179</v>
      </c>
    </row>
    <row r="252" spans="1:4">
      <c r="A252" s="23">
        <v>3</v>
      </c>
      <c r="B252" s="21">
        <v>8.0826628904000872E-2</v>
      </c>
      <c r="C252" s="21">
        <v>9.3023255813953487E-3</v>
      </c>
      <c r="D252">
        <f t="shared" si="3"/>
        <v>-4.6774908475677179</v>
      </c>
    </row>
    <row r="253" spans="1:4">
      <c r="A253" s="23">
        <v>3</v>
      </c>
      <c r="B253" s="21">
        <v>0.10474308300395256</v>
      </c>
      <c r="C253" s="21">
        <v>5.1162790697674423E-3</v>
      </c>
      <c r="D253">
        <f t="shared" si="3"/>
        <v>-5.2753278483233377</v>
      </c>
    </row>
    <row r="254" spans="1:4">
      <c r="A254" s="23">
        <v>3</v>
      </c>
      <c r="B254" s="21">
        <v>8.584467952779587E-2</v>
      </c>
      <c r="C254" s="21">
        <v>4.6511627906976744E-3</v>
      </c>
      <c r="D254">
        <f t="shared" si="3"/>
        <v>-5.3706380281276624</v>
      </c>
    </row>
    <row r="255" spans="1:4">
      <c r="A255" s="23">
        <v>3</v>
      </c>
      <c r="B255" s="21">
        <v>8.3917452628230998E-2</v>
      </c>
      <c r="C255" s="21">
        <v>4.6511627906976744E-3</v>
      </c>
      <c r="D255">
        <f t="shared" si="3"/>
        <v>-5.3706380281276624</v>
      </c>
    </row>
    <row r="256" spans="1:4">
      <c r="A256" s="4">
        <v>3</v>
      </c>
      <c r="B256" s="8">
        <v>7.4187133258586974E-2</v>
      </c>
      <c r="C256" s="8">
        <v>2.5000000000000001E-3</v>
      </c>
      <c r="D256">
        <f t="shared" si="3"/>
        <v>-5.9914645471079817</v>
      </c>
    </row>
    <row r="257" spans="1:4">
      <c r="A257" s="4">
        <v>3</v>
      </c>
      <c r="B257" s="8">
        <v>6.5559454565847886E-2</v>
      </c>
      <c r="C257" s="8">
        <v>2.5000000000000001E-3</v>
      </c>
      <c r="D257">
        <f t="shared" si="3"/>
        <v>-5.9914645471079817</v>
      </c>
    </row>
    <row r="258" spans="1:4">
      <c r="A258" s="4">
        <v>3</v>
      </c>
      <c r="B258" s="8">
        <v>9.2314184733871402E-2</v>
      </c>
      <c r="C258" s="8">
        <v>3.0000000000000001E-3</v>
      </c>
      <c r="D258">
        <f t="shared" si="3"/>
        <v>-5.8091429903140277</v>
      </c>
    </row>
    <row r="259" spans="1:4">
      <c r="A259" s="4">
        <v>3</v>
      </c>
      <c r="B259" s="8">
        <v>9.4217180214392154E-2</v>
      </c>
      <c r="C259" s="8">
        <v>3.7499999999999999E-3</v>
      </c>
      <c r="D259">
        <f t="shared" ref="D259:D322" si="4">LN(C259)</f>
        <v>-5.585999438999818</v>
      </c>
    </row>
    <row r="260" spans="1:4">
      <c r="A260" s="4">
        <v>3</v>
      </c>
      <c r="B260" s="8">
        <v>7.3282308436702734E-2</v>
      </c>
      <c r="C260" s="8">
        <v>3.7499999999999999E-3</v>
      </c>
      <c r="D260">
        <f t="shared" si="4"/>
        <v>-5.585999438999818</v>
      </c>
    </row>
    <row r="261" spans="1:4">
      <c r="A261" s="4">
        <v>3</v>
      </c>
      <c r="B261" s="8">
        <v>9.6175578421459587E-2</v>
      </c>
      <c r="C261" s="8">
        <v>5.0000000000000001E-3</v>
      </c>
      <c r="D261">
        <f t="shared" si="4"/>
        <v>-5.2983173665480363</v>
      </c>
    </row>
    <row r="262" spans="1:4">
      <c r="A262" s="4">
        <v>3</v>
      </c>
      <c r="B262" s="8">
        <v>8.1927838745206275E-2</v>
      </c>
      <c r="C262" s="8">
        <v>5.0000000000000001E-3</v>
      </c>
      <c r="D262">
        <f t="shared" si="4"/>
        <v>-5.2983173665480363</v>
      </c>
    </row>
    <row r="263" spans="1:4">
      <c r="A263" s="4">
        <v>3</v>
      </c>
      <c r="B263" s="8">
        <v>9.1448931116389548E-2</v>
      </c>
      <c r="C263" s="8">
        <v>2.7500000000000003E-3</v>
      </c>
      <c r="D263">
        <f t="shared" si="4"/>
        <v>-5.8961543673036569</v>
      </c>
    </row>
    <row r="264" spans="1:4">
      <c r="A264" s="4">
        <v>3</v>
      </c>
      <c r="B264" s="8">
        <v>0.12818156108597284</v>
      </c>
      <c r="C264" s="4">
        <v>7.6470588235294122E-3</v>
      </c>
      <c r="D264">
        <f t="shared" si="4"/>
        <v>-4.8734341725827708</v>
      </c>
    </row>
    <row r="265" spans="1:4">
      <c r="A265" s="4">
        <v>3</v>
      </c>
      <c r="B265" s="8">
        <v>2.9527622745288362E-2</v>
      </c>
      <c r="C265" s="14">
        <v>2.4242420000000001E-3</v>
      </c>
      <c r="D265">
        <f t="shared" si="4"/>
        <v>-6.0222363807747508</v>
      </c>
    </row>
    <row r="266" spans="1:4">
      <c r="A266" s="4">
        <v>3</v>
      </c>
      <c r="B266" s="8">
        <v>5.639093352027106E-2</v>
      </c>
      <c r="C266" s="14">
        <v>3.333333E-3</v>
      </c>
      <c r="D266">
        <f t="shared" si="4"/>
        <v>-5.7037825746562056</v>
      </c>
    </row>
    <row r="267" spans="1:4">
      <c r="A267" s="4">
        <v>3</v>
      </c>
      <c r="B267" s="8">
        <v>4.7292323869610943E-2</v>
      </c>
      <c r="C267" s="14">
        <v>5.7575760000000004E-3</v>
      </c>
      <c r="D267">
        <f t="shared" si="4"/>
        <v>-5.1572387261828689</v>
      </c>
    </row>
    <row r="268" spans="1:4">
      <c r="A268" s="4">
        <v>3</v>
      </c>
      <c r="B268" s="8">
        <v>6.0493827160493827E-2</v>
      </c>
      <c r="C268" s="14">
        <v>3.9583329999999996E-3</v>
      </c>
      <c r="D268">
        <f t="shared" si="4"/>
        <v>-5.5319323019400715</v>
      </c>
    </row>
    <row r="269" spans="1:4">
      <c r="A269" s="4">
        <v>3</v>
      </c>
      <c r="B269" s="8">
        <v>5.8994386503529124E-2</v>
      </c>
      <c r="C269" s="14">
        <v>1.8749999999999999E-3</v>
      </c>
      <c r="D269">
        <f t="shared" si="4"/>
        <v>-6.2791466195597634</v>
      </c>
    </row>
    <row r="270" spans="1:4">
      <c r="A270" s="4">
        <v>3</v>
      </c>
      <c r="B270" s="8">
        <v>7.0046236712903387E-2</v>
      </c>
      <c r="C270" s="14">
        <v>2.7083329999999998E-3</v>
      </c>
      <c r="D270">
        <f t="shared" si="4"/>
        <v>-5.9114219625113762</v>
      </c>
    </row>
    <row r="271" spans="1:4">
      <c r="A271" s="4">
        <v>3</v>
      </c>
      <c r="B271" s="8">
        <v>0.11287477954144622</v>
      </c>
      <c r="C271" s="14">
        <v>3.9583329999999996E-3</v>
      </c>
      <c r="D271">
        <f t="shared" si="4"/>
        <v>-5.5319323019400715</v>
      </c>
    </row>
    <row r="272" spans="1:4">
      <c r="A272" s="4">
        <v>3</v>
      </c>
      <c r="B272" s="8">
        <v>0.15274188917599771</v>
      </c>
      <c r="C272" s="14">
        <v>3.9583329999999996E-3</v>
      </c>
      <c r="D272">
        <f t="shared" si="4"/>
        <v>-5.5319323019400715</v>
      </c>
    </row>
    <row r="273" spans="1:4">
      <c r="A273" s="4">
        <v>3</v>
      </c>
      <c r="B273" s="8">
        <v>0.11093423891895716</v>
      </c>
      <c r="C273" s="14">
        <v>3.9583329999999996E-3</v>
      </c>
      <c r="D273">
        <f t="shared" si="4"/>
        <v>-5.5319323019400715</v>
      </c>
    </row>
    <row r="274" spans="1:4">
      <c r="A274" s="4">
        <v>3</v>
      </c>
      <c r="B274" s="8">
        <v>0.1276665038267383</v>
      </c>
      <c r="C274" s="14">
        <v>6.6666670000000003E-3</v>
      </c>
      <c r="D274">
        <f t="shared" si="4"/>
        <v>-5.0106352440962567</v>
      </c>
    </row>
    <row r="275" spans="1:4">
      <c r="A275" s="4">
        <v>3</v>
      </c>
      <c r="B275" s="8">
        <v>0.12615596963423051</v>
      </c>
      <c r="C275" s="14">
        <v>4.7916670000000003E-3</v>
      </c>
      <c r="D275">
        <f t="shared" si="4"/>
        <v>-5.3408769114016179</v>
      </c>
    </row>
    <row r="276" spans="1:4">
      <c r="A276" s="4">
        <v>3</v>
      </c>
      <c r="B276" s="8">
        <v>0.12325986907926709</v>
      </c>
      <c r="C276" s="14">
        <v>6.6666670000000003E-3</v>
      </c>
      <c r="D276">
        <f t="shared" si="4"/>
        <v>-5.0106352440962567</v>
      </c>
    </row>
    <row r="277" spans="1:4" ht="15.75" thickBot="1">
      <c r="A277" s="38">
        <v>3</v>
      </c>
      <c r="B277" s="39">
        <v>0.11856368563685638</v>
      </c>
      <c r="C277" s="54">
        <v>6.875E-3</v>
      </c>
      <c r="D277">
        <f t="shared" si="4"/>
        <v>-4.9798636354295018</v>
      </c>
    </row>
    <row r="278" spans="1:4">
      <c r="A278" s="42">
        <v>3</v>
      </c>
      <c r="B278" s="43">
        <v>0.10906515580736545</v>
      </c>
      <c r="C278" s="53">
        <v>6.875E-3</v>
      </c>
      <c r="D278">
        <f t="shared" si="4"/>
        <v>-4.9798636354295018</v>
      </c>
    </row>
    <row r="279" spans="1:4">
      <c r="A279" s="4">
        <v>3</v>
      </c>
      <c r="B279" s="8">
        <v>0.11297330850403477</v>
      </c>
      <c r="C279" s="14">
        <v>6.875E-3</v>
      </c>
      <c r="D279">
        <f t="shared" si="4"/>
        <v>-4.9798636354295018</v>
      </c>
    </row>
    <row r="280" spans="1:4">
      <c r="A280" s="4">
        <v>3</v>
      </c>
      <c r="B280" s="8">
        <v>9.8707876485654267E-2</v>
      </c>
      <c r="C280" s="14">
        <v>4.3750000000000004E-3</v>
      </c>
      <c r="D280">
        <f t="shared" si="4"/>
        <v>-5.431848759172559</v>
      </c>
    </row>
    <row r="281" spans="1:4">
      <c r="A281" s="4">
        <v>3</v>
      </c>
      <c r="B281" s="8">
        <v>8.9436459046315295E-2</v>
      </c>
      <c r="C281" s="14">
        <v>4.3750000000000004E-3</v>
      </c>
      <c r="D281">
        <f t="shared" si="4"/>
        <v>-5.431848759172559</v>
      </c>
    </row>
    <row r="282" spans="1:4">
      <c r="A282" s="4">
        <v>3</v>
      </c>
      <c r="B282" s="8">
        <v>8.5217391304347828E-2</v>
      </c>
      <c r="C282" s="14">
        <v>7.2916669999999999E-3</v>
      </c>
      <c r="D282">
        <f t="shared" si="4"/>
        <v>-4.9210230896922837</v>
      </c>
    </row>
    <row r="283" spans="1:4">
      <c r="A283" s="4">
        <v>3</v>
      </c>
      <c r="B283" s="8">
        <v>8.0103115470464337E-2</v>
      </c>
      <c r="C283" s="14">
        <v>8.3333330000000001E-3</v>
      </c>
      <c r="D283">
        <f t="shared" si="4"/>
        <v>-4.7874917827820465</v>
      </c>
    </row>
    <row r="284" spans="1:4">
      <c r="A284" s="4">
        <v>3</v>
      </c>
      <c r="B284" s="8">
        <v>6.8677949472651462E-2</v>
      </c>
      <c r="C284" s="14">
        <v>7.0833329999999998E-3</v>
      </c>
      <c r="D284">
        <f t="shared" si="4"/>
        <v>-4.9500107193386453</v>
      </c>
    </row>
    <row r="285" spans="1:4">
      <c r="A285" s="4">
        <v>3</v>
      </c>
      <c r="B285" s="8">
        <v>7.2287581699346404E-2</v>
      </c>
      <c r="C285" s="14">
        <v>6.6666670000000003E-3</v>
      </c>
      <c r="D285">
        <f t="shared" si="4"/>
        <v>-5.0106352440962567</v>
      </c>
    </row>
    <row r="286" spans="1:4">
      <c r="A286" s="23">
        <v>3</v>
      </c>
      <c r="B286" s="21">
        <v>0.11558889171398705</v>
      </c>
      <c r="C286" s="32">
        <v>3.5416670000000001E-3</v>
      </c>
      <c r="D286">
        <f t="shared" si="4"/>
        <v>-5.6431577587221238</v>
      </c>
    </row>
    <row r="287" spans="1:4">
      <c r="A287" s="23">
        <v>3</v>
      </c>
      <c r="B287" s="21">
        <v>0.10748333755167468</v>
      </c>
      <c r="C287" s="32">
        <v>3.5416670000000001E-3</v>
      </c>
      <c r="D287">
        <f t="shared" si="4"/>
        <v>-5.6431577587221238</v>
      </c>
    </row>
    <row r="288" spans="1:4">
      <c r="A288" s="23">
        <v>3</v>
      </c>
      <c r="B288" s="21">
        <v>0.10931811338315402</v>
      </c>
      <c r="C288" s="32">
        <v>3.5416670000000001E-3</v>
      </c>
      <c r="D288">
        <f t="shared" si="4"/>
        <v>-5.6431577587221238</v>
      </c>
    </row>
    <row r="289" spans="1:4">
      <c r="A289" s="23">
        <v>3</v>
      </c>
      <c r="B289" s="21">
        <v>7.9252591031943653E-2</v>
      </c>
      <c r="C289" s="32">
        <v>5.416667E-3</v>
      </c>
      <c r="D289">
        <f t="shared" si="4"/>
        <v>-5.2182745973360403</v>
      </c>
    </row>
    <row r="290" spans="1:4">
      <c r="A290" s="23">
        <v>3</v>
      </c>
      <c r="B290" s="21">
        <v>9.1830032392929598E-2</v>
      </c>
      <c r="C290" s="32">
        <v>6.875E-3</v>
      </c>
      <c r="D290">
        <f t="shared" si="4"/>
        <v>-4.9798636354295018</v>
      </c>
    </row>
    <row r="291" spans="1:4">
      <c r="A291" s="23">
        <v>3</v>
      </c>
      <c r="B291" s="21">
        <v>9.1913652783218003E-2</v>
      </c>
      <c r="C291" s="32">
        <v>6.875E-3</v>
      </c>
      <c r="D291">
        <f t="shared" si="4"/>
        <v>-4.9798636354295018</v>
      </c>
    </row>
    <row r="292" spans="1:4">
      <c r="A292" s="23">
        <v>3</v>
      </c>
      <c r="B292" s="21">
        <v>7.8132927447995937E-2</v>
      </c>
      <c r="C292" s="32">
        <v>6.2500000000000003E-3</v>
      </c>
      <c r="D292">
        <f t="shared" si="4"/>
        <v>-5.0751738152338266</v>
      </c>
    </row>
    <row r="293" spans="1:4">
      <c r="A293" s="23">
        <v>3</v>
      </c>
      <c r="B293" s="21">
        <v>7.1192473938469364E-2</v>
      </c>
      <c r="C293" s="32">
        <v>6.2500000000000003E-3</v>
      </c>
      <c r="D293">
        <f t="shared" si="4"/>
        <v>-5.0751738152338266</v>
      </c>
    </row>
    <row r="294" spans="1:4">
      <c r="A294" s="23">
        <v>3</v>
      </c>
      <c r="B294" s="21">
        <v>8.9311002178649235E-2</v>
      </c>
      <c r="C294" s="32">
        <v>6.2500000000000003E-3</v>
      </c>
      <c r="D294">
        <f t="shared" si="4"/>
        <v>-5.0751738152338266</v>
      </c>
    </row>
    <row r="295" spans="1:4">
      <c r="A295" s="4">
        <v>3</v>
      </c>
      <c r="B295" s="8">
        <v>0.17619561308881695</v>
      </c>
      <c r="C295" s="8">
        <v>6.1728395061728392E-3</v>
      </c>
      <c r="D295">
        <f t="shared" si="4"/>
        <v>-5.0875963352323845</v>
      </c>
    </row>
    <row r="296" spans="1:4">
      <c r="A296" s="4">
        <v>3</v>
      </c>
      <c r="B296" s="8">
        <v>0.21812678062678062</v>
      </c>
      <c r="C296" s="8">
        <v>5.5555555555555558E-3</v>
      </c>
      <c r="D296">
        <f t="shared" si="4"/>
        <v>-5.1929568508902104</v>
      </c>
    </row>
    <row r="297" spans="1:4">
      <c r="A297" s="4">
        <v>3</v>
      </c>
      <c r="B297" s="8">
        <v>0.22720686257462469</v>
      </c>
      <c r="C297" s="8">
        <v>8.024691358024692E-3</v>
      </c>
      <c r="D297">
        <f t="shared" si="4"/>
        <v>-4.8252320707648932</v>
      </c>
    </row>
    <row r="298" spans="1:4">
      <c r="A298" s="4">
        <v>3</v>
      </c>
      <c r="B298" s="8">
        <v>0.14274691358024691</v>
      </c>
      <c r="C298" s="8">
        <v>6.1728395061728392E-3</v>
      </c>
      <c r="D298">
        <f t="shared" si="4"/>
        <v>-5.0875963352323845</v>
      </c>
    </row>
    <row r="299" spans="1:4">
      <c r="A299" s="4">
        <v>3</v>
      </c>
      <c r="B299" s="8">
        <v>0.14178240740740738</v>
      </c>
      <c r="C299" s="8">
        <v>6.1728395061728392E-3</v>
      </c>
      <c r="D299">
        <f t="shared" si="4"/>
        <v>-5.0875963352323845</v>
      </c>
    </row>
    <row r="300" spans="1:4">
      <c r="A300" s="4">
        <v>3</v>
      </c>
      <c r="B300" s="8">
        <v>0.16082505269497138</v>
      </c>
      <c r="C300" s="8">
        <v>3.0864197530864196E-3</v>
      </c>
      <c r="D300">
        <f t="shared" si="4"/>
        <v>-5.780743515792329</v>
      </c>
    </row>
    <row r="301" spans="1:4">
      <c r="A301" s="4">
        <v>3</v>
      </c>
      <c r="B301" s="8">
        <v>0.1558641975308642</v>
      </c>
      <c r="C301" s="8">
        <v>3.7037037037037038E-3</v>
      </c>
      <c r="D301">
        <f t="shared" si="4"/>
        <v>-5.598421958998375</v>
      </c>
    </row>
    <row r="302" spans="1:4">
      <c r="A302" s="4">
        <v>3</v>
      </c>
      <c r="B302" s="8">
        <v>0.17004843759229724</v>
      </c>
      <c r="C302" s="8">
        <v>3.7037037037037038E-3</v>
      </c>
      <c r="D302">
        <f t="shared" si="4"/>
        <v>-5.598421958998375</v>
      </c>
    </row>
    <row r="303" spans="1:4">
      <c r="A303" s="4">
        <v>3</v>
      </c>
      <c r="B303" s="8">
        <v>0.20141547840797253</v>
      </c>
      <c r="C303" s="8">
        <v>1.049317943336831E-2</v>
      </c>
      <c r="D303">
        <f t="shared" si="4"/>
        <v>-4.5570298106601568</v>
      </c>
    </row>
    <row r="304" spans="1:4">
      <c r="A304" s="4">
        <v>3</v>
      </c>
      <c r="B304" s="8">
        <v>0.13772015765010087</v>
      </c>
      <c r="C304" s="8">
        <v>6.2959076600209865E-3</v>
      </c>
      <c r="D304">
        <f t="shared" si="4"/>
        <v>-5.0678554344261473</v>
      </c>
    </row>
    <row r="305" spans="1:4">
      <c r="A305" s="4">
        <v>3</v>
      </c>
      <c r="B305" s="8">
        <v>0.17968099376354885</v>
      </c>
      <c r="C305" s="8">
        <v>5.246589716684155E-3</v>
      </c>
      <c r="D305">
        <f t="shared" si="4"/>
        <v>-5.2501769912201022</v>
      </c>
    </row>
    <row r="306" spans="1:4">
      <c r="A306" s="4">
        <v>3</v>
      </c>
      <c r="B306" s="8">
        <v>8.1128496435746073E-2</v>
      </c>
      <c r="C306" s="8">
        <v>1.3641133263378805E-2</v>
      </c>
      <c r="D306">
        <f t="shared" si="4"/>
        <v>-4.2946655461926655</v>
      </c>
    </row>
    <row r="307" spans="1:4">
      <c r="A307" s="4">
        <v>3</v>
      </c>
      <c r="B307" s="8">
        <v>0.13870071229194222</v>
      </c>
      <c r="C307" s="8">
        <v>1.049317943336831E-2</v>
      </c>
      <c r="D307">
        <f t="shared" si="4"/>
        <v>-4.5570298106601568</v>
      </c>
    </row>
    <row r="308" spans="1:4">
      <c r="A308" s="4">
        <v>3</v>
      </c>
      <c r="B308" s="8">
        <v>0.12698191066150161</v>
      </c>
      <c r="C308" s="8">
        <v>9.9737532808398949E-3</v>
      </c>
      <c r="D308">
        <f t="shared" si="4"/>
        <v>-4.6077983083943606</v>
      </c>
    </row>
    <row r="309" spans="1:4">
      <c r="A309" s="4">
        <v>3</v>
      </c>
      <c r="B309" s="8">
        <v>0.11829460734255905</v>
      </c>
      <c r="C309" s="14">
        <v>7.4257426000000001E-3</v>
      </c>
      <c r="D309">
        <f t="shared" si="4"/>
        <v>-4.9028025858263735</v>
      </c>
    </row>
    <row r="310" spans="1:4">
      <c r="A310" s="4">
        <v>3</v>
      </c>
      <c r="B310" s="8">
        <v>8.6089577950043059E-2</v>
      </c>
      <c r="C310" s="17">
        <v>1.0872727272727273E-2</v>
      </c>
      <c r="D310">
        <f t="shared" si="4"/>
        <v>-4.5214977102639757</v>
      </c>
    </row>
    <row r="311" spans="1:4">
      <c r="A311" s="4">
        <v>3</v>
      </c>
      <c r="B311" s="8">
        <v>0.10258397932816538</v>
      </c>
      <c r="C311" s="17">
        <v>1.3659090909090909E-2</v>
      </c>
      <c r="D311">
        <f t="shared" si="4"/>
        <v>-4.2933499783651907</v>
      </c>
    </row>
    <row r="312" spans="1:4">
      <c r="A312" s="4">
        <v>3</v>
      </c>
      <c r="B312" s="8">
        <v>8.476080246913581E-2</v>
      </c>
      <c r="C312" s="17">
        <v>1.1104545454545454E-2</v>
      </c>
      <c r="D312">
        <f t="shared" si="4"/>
        <v>-4.5004007540767583</v>
      </c>
    </row>
    <row r="313" spans="1:4">
      <c r="A313" s="4">
        <v>3</v>
      </c>
      <c r="B313" s="8">
        <v>5.5401234567901241E-2</v>
      </c>
      <c r="C313" s="17">
        <v>9.2090909090909098E-3</v>
      </c>
      <c r="D313">
        <f t="shared" si="4"/>
        <v>-4.6875641405258701</v>
      </c>
    </row>
    <row r="314" spans="1:4">
      <c r="A314" s="4">
        <v>3</v>
      </c>
      <c r="B314" s="8">
        <v>9.8482820169567151E-2</v>
      </c>
      <c r="C314" s="17">
        <v>1.0872727272727273E-2</v>
      </c>
      <c r="D314">
        <f t="shared" si="4"/>
        <v>-4.5214977102639757</v>
      </c>
    </row>
    <row r="315" spans="1:4">
      <c r="A315" s="4">
        <v>3</v>
      </c>
      <c r="B315" s="8">
        <v>0.10004462293618921</v>
      </c>
      <c r="C315" s="17">
        <v>1.4013636363636364E-2</v>
      </c>
      <c r="D315">
        <f t="shared" si="4"/>
        <v>-4.2677243974483483</v>
      </c>
    </row>
    <row r="316" spans="1:4">
      <c r="A316" s="29">
        <v>3</v>
      </c>
      <c r="B316" s="9">
        <v>9.0967741935483862E-2</v>
      </c>
      <c r="C316" s="9">
        <v>8.2000000000000007E-3</v>
      </c>
      <c r="D316">
        <f t="shared" si="4"/>
        <v>-4.8036211247119294</v>
      </c>
    </row>
    <row r="317" spans="1:4">
      <c r="A317" s="29">
        <v>3</v>
      </c>
      <c r="B317" s="9">
        <v>0.18410958904109589</v>
      </c>
      <c r="C317" s="13">
        <v>2.1000000000000001E-2</v>
      </c>
      <c r="D317">
        <f t="shared" si="4"/>
        <v>-3.8632328412587138</v>
      </c>
    </row>
    <row r="318" spans="1:4">
      <c r="A318" s="30">
        <v>3</v>
      </c>
      <c r="B318" s="9">
        <v>0.1789041095890411</v>
      </c>
      <c r="C318" s="13">
        <v>2.4500000000000001E-2</v>
      </c>
      <c r="D318">
        <f t="shared" si="4"/>
        <v>-3.7090821614314557</v>
      </c>
    </row>
    <row r="319" spans="1:4">
      <c r="A319" s="30">
        <v>3</v>
      </c>
      <c r="B319" s="9">
        <v>0.12200913242009132</v>
      </c>
      <c r="C319" s="13">
        <v>1.6E-2</v>
      </c>
      <c r="D319">
        <f t="shared" si="4"/>
        <v>-4.1351665567423561</v>
      </c>
    </row>
    <row r="320" spans="1:4">
      <c r="A320" s="30">
        <v>3</v>
      </c>
      <c r="B320" s="9">
        <v>0.13068493150684932</v>
      </c>
      <c r="C320" s="13">
        <v>1.55E-2</v>
      </c>
      <c r="D320">
        <f t="shared" si="4"/>
        <v>-4.1669152550569359</v>
      </c>
    </row>
    <row r="321" spans="1:4">
      <c r="A321" s="44">
        <v>3</v>
      </c>
      <c r="B321" s="9">
        <v>0.12510936132983377</v>
      </c>
      <c r="C321" s="9">
        <v>2.01E-2</v>
      </c>
      <c r="D321">
        <f t="shared" si="4"/>
        <v>-3.907035463917107</v>
      </c>
    </row>
    <row r="322" spans="1:4">
      <c r="A322" s="44">
        <v>3</v>
      </c>
      <c r="B322" s="9">
        <v>0.13551316984559492</v>
      </c>
      <c r="C322" s="9">
        <v>2.5600000000000001E-2</v>
      </c>
      <c r="D322">
        <f t="shared" si="4"/>
        <v>-3.6651629274966204</v>
      </c>
    </row>
    <row r="323" spans="1:4">
      <c r="A323" s="44">
        <v>3</v>
      </c>
      <c r="B323" s="9">
        <v>0.12216404886561955</v>
      </c>
      <c r="C323" s="9">
        <v>1.7600000000000001E-2</v>
      </c>
      <c r="D323">
        <f t="shared" ref="D323:D386" si="5">LN(C323)</f>
        <v>-4.0398563769380305</v>
      </c>
    </row>
    <row r="324" spans="1:4">
      <c r="A324" s="44">
        <v>3</v>
      </c>
      <c r="B324" s="9">
        <v>0.1789272030651341</v>
      </c>
      <c r="C324" s="9">
        <v>2.01E-2</v>
      </c>
      <c r="D324">
        <f t="shared" si="5"/>
        <v>-3.907035463917107</v>
      </c>
    </row>
    <row r="325" spans="1:4">
      <c r="A325" s="30">
        <v>3</v>
      </c>
      <c r="B325" s="9">
        <v>0.18624813153961137</v>
      </c>
      <c r="C325" s="10">
        <v>1.4E-2</v>
      </c>
      <c r="D325">
        <f t="shared" si="5"/>
        <v>-4.2686979493668789</v>
      </c>
    </row>
    <row r="326" spans="1:4">
      <c r="A326" s="30">
        <v>3</v>
      </c>
      <c r="B326" s="9">
        <v>0.20953654188948309</v>
      </c>
      <c r="C326" s="10">
        <v>1.7000000000000001E-2</v>
      </c>
      <c r="D326">
        <f t="shared" si="5"/>
        <v>-4.0745419349259206</v>
      </c>
    </row>
    <row r="327" spans="1:4">
      <c r="A327" s="30">
        <v>3</v>
      </c>
      <c r="B327" s="9">
        <v>0.14606175173282923</v>
      </c>
      <c r="C327" s="13">
        <v>1.2500000000000001E-2</v>
      </c>
      <c r="D327">
        <f t="shared" si="5"/>
        <v>-4.3820266346738812</v>
      </c>
    </row>
    <row r="328" spans="1:4">
      <c r="A328" s="30">
        <v>3</v>
      </c>
      <c r="B328" s="9">
        <v>0.13509766855702585</v>
      </c>
      <c r="C328" s="13">
        <v>1.2E-2</v>
      </c>
      <c r="D328">
        <f t="shared" si="5"/>
        <v>-4.4228486291941369</v>
      </c>
    </row>
    <row r="329" spans="1:4">
      <c r="A329" s="30">
        <v>3</v>
      </c>
      <c r="B329" s="9">
        <v>0.16473118279569893</v>
      </c>
      <c r="C329" s="13">
        <v>1.2E-2</v>
      </c>
      <c r="D329">
        <f t="shared" si="5"/>
        <v>-4.4228486291941369</v>
      </c>
    </row>
    <row r="330" spans="1:4">
      <c r="A330" s="30">
        <v>3</v>
      </c>
      <c r="B330" s="9">
        <v>0.15469534050179212</v>
      </c>
      <c r="C330" s="13">
        <v>1.0500000000000001E-2</v>
      </c>
      <c r="D330">
        <f t="shared" si="5"/>
        <v>-4.5563800218186596</v>
      </c>
    </row>
    <row r="331" spans="1:4">
      <c r="A331" s="30">
        <v>3</v>
      </c>
      <c r="B331" s="9">
        <v>0.18923766816143497</v>
      </c>
      <c r="C331" s="13">
        <v>1.7999999999999999E-2</v>
      </c>
      <c r="D331">
        <f t="shared" si="5"/>
        <v>-4.0173835210859723</v>
      </c>
    </row>
    <row r="332" spans="1:4">
      <c r="A332" s="30">
        <v>3</v>
      </c>
      <c r="B332" s="9">
        <v>0.21639928698752231</v>
      </c>
      <c r="C332" s="13">
        <v>1.2E-2</v>
      </c>
      <c r="D332">
        <f t="shared" si="5"/>
        <v>-4.4228486291941369</v>
      </c>
    </row>
    <row r="333" spans="1:4">
      <c r="A333" s="30">
        <v>3</v>
      </c>
      <c r="B333" s="9">
        <v>0.18410958904109589</v>
      </c>
      <c r="C333" s="13">
        <v>0.02</v>
      </c>
      <c r="D333">
        <f t="shared" si="5"/>
        <v>-3.912023005428146</v>
      </c>
    </row>
    <row r="334" spans="1:4">
      <c r="A334" s="30">
        <v>3</v>
      </c>
      <c r="B334" s="9">
        <v>0.17899543378995433</v>
      </c>
      <c r="C334" s="13">
        <v>2.5499999999999998E-2</v>
      </c>
      <c r="D334">
        <f t="shared" si="5"/>
        <v>-3.6690768268177565</v>
      </c>
    </row>
    <row r="335" spans="1:4">
      <c r="A335" s="30">
        <v>3</v>
      </c>
      <c r="B335" s="9">
        <v>0.12200913242009132</v>
      </c>
      <c r="C335" s="13">
        <v>1.7999999999999999E-2</v>
      </c>
      <c r="D335">
        <f t="shared" si="5"/>
        <v>-4.0173835210859723</v>
      </c>
    </row>
    <row r="336" spans="1:4">
      <c r="A336" s="30">
        <v>3</v>
      </c>
      <c r="B336" s="9">
        <v>0.13068493150684932</v>
      </c>
      <c r="C336" s="13">
        <v>1.7999999999999999E-2</v>
      </c>
      <c r="D336">
        <f t="shared" si="5"/>
        <v>-4.0173835210859723</v>
      </c>
    </row>
    <row r="337" spans="1:4">
      <c r="A337" s="30">
        <v>3</v>
      </c>
      <c r="B337" s="9">
        <v>8.8433048433048431E-2</v>
      </c>
      <c r="C337" s="13">
        <v>1.2999999999999999E-2</v>
      </c>
      <c r="D337">
        <f t="shared" si="5"/>
        <v>-4.3428059215206005</v>
      </c>
    </row>
    <row r="338" spans="1:4">
      <c r="A338" s="30">
        <v>3</v>
      </c>
      <c r="B338" s="9">
        <v>0.11008547008547008</v>
      </c>
      <c r="C338" s="13">
        <v>1.7999999999999999E-2</v>
      </c>
      <c r="D338">
        <f t="shared" si="5"/>
        <v>-4.0173835210859723</v>
      </c>
    </row>
    <row r="339" spans="1:4">
      <c r="A339" s="30">
        <v>3</v>
      </c>
      <c r="B339" s="9">
        <v>8.4102564102564101E-2</v>
      </c>
      <c r="C339" s="13">
        <v>1.55E-2</v>
      </c>
      <c r="D339">
        <f t="shared" si="5"/>
        <v>-4.1669152550569359</v>
      </c>
    </row>
    <row r="340" spans="1:4">
      <c r="A340" s="30">
        <v>3</v>
      </c>
      <c r="B340" s="9">
        <v>0.10985754985754986</v>
      </c>
      <c r="C340" s="13">
        <v>1.7500000000000002E-2</v>
      </c>
      <c r="D340">
        <f t="shared" si="5"/>
        <v>-4.0455543980526683</v>
      </c>
    </row>
    <row r="341" spans="1:4">
      <c r="A341" s="30">
        <v>3</v>
      </c>
      <c r="B341" s="9">
        <v>6.9961066187481269E-2</v>
      </c>
      <c r="C341" s="13">
        <v>1.4999999999999999E-2</v>
      </c>
      <c r="D341">
        <f t="shared" si="5"/>
        <v>-4.1997050778799272</v>
      </c>
    </row>
    <row r="342" spans="1:4">
      <c r="A342" s="30">
        <v>3</v>
      </c>
      <c r="B342" s="9">
        <v>6.876310272536687E-2</v>
      </c>
      <c r="C342" s="13">
        <v>1.4999999999999999E-2</v>
      </c>
      <c r="D342">
        <f t="shared" si="5"/>
        <v>-4.1997050778799272</v>
      </c>
    </row>
    <row r="343" spans="1:4">
      <c r="A343" s="37">
        <v>3</v>
      </c>
      <c r="B343" s="13">
        <v>5.8269065981148241E-2</v>
      </c>
      <c r="C343" s="28">
        <v>2.8666666666666667E-2</v>
      </c>
      <c r="D343">
        <f t="shared" si="5"/>
        <v>-3.552020271396739</v>
      </c>
    </row>
    <row r="344" spans="1:4">
      <c r="A344" s="37">
        <v>3</v>
      </c>
      <c r="B344" s="13">
        <v>6.5168834581526738E-2</v>
      </c>
      <c r="C344" s="28">
        <v>1.5333333333333332E-2</v>
      </c>
      <c r="D344">
        <f t="shared" si="5"/>
        <v>-4.1777261711611517</v>
      </c>
    </row>
    <row r="345" spans="1:4">
      <c r="A345" s="37">
        <v>3</v>
      </c>
      <c r="B345" s="9">
        <v>0.1047128892341555</v>
      </c>
      <c r="C345" s="27">
        <v>1.1182352941176471E-2</v>
      </c>
      <c r="D345">
        <f t="shared" si="5"/>
        <v>-4.4934183735439692</v>
      </c>
    </row>
    <row r="346" spans="1:4">
      <c r="A346" s="37">
        <v>3</v>
      </c>
      <c r="B346" s="9">
        <v>9.1927235061824306E-2</v>
      </c>
      <c r="C346" s="27">
        <v>1.1905882352941176E-2</v>
      </c>
      <c r="D346">
        <f t="shared" si="5"/>
        <v>-4.4307226856250423</v>
      </c>
    </row>
    <row r="347" spans="1:4">
      <c r="A347" s="37">
        <v>3</v>
      </c>
      <c r="B347" s="9">
        <v>7.9788955784294679E-2</v>
      </c>
      <c r="C347" s="27">
        <v>9.7764705882352945E-3</v>
      </c>
      <c r="D347">
        <f t="shared" si="5"/>
        <v>-4.6277767406170049</v>
      </c>
    </row>
    <row r="348" spans="1:4">
      <c r="A348" s="37">
        <v>3</v>
      </c>
      <c r="B348" s="9">
        <v>5.8894230769230768E-2</v>
      </c>
      <c r="C348" s="27">
        <v>9.683333333333332E-3</v>
      </c>
      <c r="D348">
        <f t="shared" si="5"/>
        <v>-4.6373490843523264</v>
      </c>
    </row>
    <row r="349" spans="1:4">
      <c r="A349" s="52">
        <v>3</v>
      </c>
      <c r="B349" s="9">
        <v>7.5716845878136207E-2</v>
      </c>
      <c r="C349" s="27">
        <v>1.125E-2</v>
      </c>
      <c r="D349">
        <f t="shared" si="5"/>
        <v>-4.487387150331708</v>
      </c>
    </row>
    <row r="350" spans="1:4">
      <c r="A350" s="52">
        <v>3</v>
      </c>
      <c r="B350" s="9">
        <v>6.0562015503875966E-2</v>
      </c>
      <c r="C350" s="27">
        <v>9.2833333333333344E-3</v>
      </c>
      <c r="D350">
        <f t="shared" si="5"/>
        <v>-4.6795346012769539</v>
      </c>
    </row>
    <row r="351" spans="1:4">
      <c r="A351" s="52">
        <v>3</v>
      </c>
      <c r="B351" s="9">
        <v>7.93040293040293E-2</v>
      </c>
      <c r="C351" s="27">
        <v>7.6333333333333331E-3</v>
      </c>
      <c r="D351">
        <f t="shared" si="5"/>
        <v>-4.8752306570900528</v>
      </c>
    </row>
    <row r="352" spans="1:4">
      <c r="A352" s="52">
        <v>3</v>
      </c>
      <c r="B352" s="9">
        <v>7.946428571428571E-2</v>
      </c>
      <c r="C352" s="27">
        <v>1.3175000000000001E-2</v>
      </c>
      <c r="D352">
        <f t="shared" si="5"/>
        <v>-4.3294341845547111</v>
      </c>
    </row>
    <row r="353" spans="1:4">
      <c r="A353" s="52">
        <v>3</v>
      </c>
      <c r="B353" s="9">
        <v>6.8981481481481477E-2</v>
      </c>
      <c r="C353" s="27">
        <v>1.3416666666666667E-2</v>
      </c>
      <c r="D353">
        <f t="shared" si="5"/>
        <v>-4.3112575637856745</v>
      </c>
    </row>
    <row r="354" spans="1:4">
      <c r="A354" s="52">
        <v>3</v>
      </c>
      <c r="B354" s="9">
        <v>6.535947712418301E-2</v>
      </c>
      <c r="C354" s="27">
        <v>1.265E-2</v>
      </c>
      <c r="D354">
        <f t="shared" si="5"/>
        <v>-4.3700980638086078</v>
      </c>
    </row>
    <row r="355" spans="1:4">
      <c r="A355" s="37">
        <v>3</v>
      </c>
      <c r="B355" s="9">
        <v>7.5407268170426062E-2</v>
      </c>
      <c r="C355" s="27">
        <v>2.12E-2</v>
      </c>
      <c r="D355">
        <f t="shared" si="5"/>
        <v>-3.8537540973041704</v>
      </c>
    </row>
    <row r="356" spans="1:4">
      <c r="A356" s="37">
        <v>3</v>
      </c>
      <c r="B356" s="9">
        <v>7.8596491228070178E-2</v>
      </c>
      <c r="C356" s="27">
        <v>1.8287500000000002E-2</v>
      </c>
      <c r="D356">
        <f t="shared" si="5"/>
        <v>-4.0015375126358945</v>
      </c>
    </row>
    <row r="357" spans="1:4">
      <c r="A357" s="37">
        <v>3</v>
      </c>
      <c r="B357" s="9">
        <v>8.4561403508771921E-2</v>
      </c>
      <c r="C357" s="27">
        <v>1.7837499999999999E-2</v>
      </c>
      <c r="D357">
        <f t="shared" si="5"/>
        <v>-4.0264522961791824</v>
      </c>
    </row>
    <row r="358" spans="1:4">
      <c r="A358" s="37">
        <v>3</v>
      </c>
      <c r="B358" s="9">
        <v>9.2824654228162995E-2</v>
      </c>
      <c r="C358" s="27">
        <v>1.7184615384615385E-2</v>
      </c>
      <c r="D358">
        <f t="shared" si="5"/>
        <v>-4.0637407498085736</v>
      </c>
    </row>
    <row r="359" spans="1:4">
      <c r="A359" s="37">
        <v>3</v>
      </c>
      <c r="B359" s="9">
        <v>0.11487050960735172</v>
      </c>
      <c r="C359" s="27">
        <v>1.3984615384615384E-2</v>
      </c>
      <c r="D359">
        <f t="shared" si="5"/>
        <v>-4.2697974547002957</v>
      </c>
    </row>
    <row r="360" spans="1:4">
      <c r="A360" s="37">
        <v>3</v>
      </c>
      <c r="B360" s="9">
        <v>0.12144558928184659</v>
      </c>
      <c r="C360" s="27">
        <v>1.1161538461538461E-2</v>
      </c>
      <c r="D360">
        <f t="shared" si="5"/>
        <v>-4.4952814765535321</v>
      </c>
    </row>
    <row r="361" spans="1:4">
      <c r="A361" s="37">
        <v>3</v>
      </c>
      <c r="B361" s="9">
        <v>6.7460317460317457E-2</v>
      </c>
      <c r="C361" s="27">
        <v>7.5187969924812026E-3</v>
      </c>
      <c r="D361">
        <f t="shared" si="5"/>
        <v>-4.8903491282217537</v>
      </c>
    </row>
    <row r="362" spans="1:4">
      <c r="A362" s="6">
        <v>3</v>
      </c>
      <c r="B362" s="9">
        <v>8.2668600435097897E-2</v>
      </c>
      <c r="C362" s="27">
        <v>7.5187969924812026E-3</v>
      </c>
      <c r="D362">
        <f t="shared" si="5"/>
        <v>-4.8903491282217537</v>
      </c>
    </row>
    <row r="363" spans="1:4">
      <c r="A363" s="6">
        <v>3</v>
      </c>
      <c r="B363" s="9">
        <v>6.6707242848447965E-2</v>
      </c>
      <c r="C363" s="27">
        <v>0.01</v>
      </c>
      <c r="D363">
        <f t="shared" si="5"/>
        <v>-4.6051701859880909</v>
      </c>
    </row>
    <row r="364" spans="1:4">
      <c r="A364" s="4">
        <v>4</v>
      </c>
      <c r="B364" s="8">
        <v>9.8348348348348338E-2</v>
      </c>
      <c r="C364" s="8">
        <v>8.3333330000000001E-3</v>
      </c>
      <c r="D364">
        <f t="shared" si="5"/>
        <v>-4.7874917827820465</v>
      </c>
    </row>
    <row r="365" spans="1:4">
      <c r="A365" s="4">
        <v>4</v>
      </c>
      <c r="B365" s="8">
        <v>7.3688271604938266E-2</v>
      </c>
      <c r="C365" s="8">
        <v>6.6666670000000003E-3</v>
      </c>
      <c r="D365">
        <f t="shared" si="5"/>
        <v>-5.0106352440962567</v>
      </c>
    </row>
    <row r="366" spans="1:4">
      <c r="A366" s="4">
        <v>4</v>
      </c>
      <c r="B366" s="8">
        <v>9.3444909344490942E-2</v>
      </c>
      <c r="C366" s="8">
        <v>8.3333330000000001E-3</v>
      </c>
      <c r="D366">
        <f t="shared" si="5"/>
        <v>-4.7874917827820465</v>
      </c>
    </row>
    <row r="367" spans="1:4">
      <c r="A367" s="4">
        <v>4</v>
      </c>
      <c r="B367" s="8">
        <v>6.9675687618928395E-2</v>
      </c>
      <c r="C367" s="14">
        <v>2.6749999999999999E-2</v>
      </c>
      <c r="D367">
        <f t="shared" si="5"/>
        <v>-3.6212208056401214</v>
      </c>
    </row>
    <row r="368" spans="1:4">
      <c r="A368" s="4">
        <v>4</v>
      </c>
      <c r="B368" s="8">
        <v>7.0362050992602052E-2</v>
      </c>
      <c r="C368" s="14">
        <v>3.2099999999999997E-2</v>
      </c>
      <c r="D368">
        <f t="shared" si="5"/>
        <v>-3.4388992488461669</v>
      </c>
    </row>
    <row r="369" spans="1:4">
      <c r="A369" s="4">
        <v>4</v>
      </c>
      <c r="B369" s="8">
        <v>0.10837922800083312</v>
      </c>
      <c r="C369" s="14">
        <v>1.6150000000000001E-2</v>
      </c>
      <c r="D369">
        <f t="shared" si="5"/>
        <v>-4.1258352293134717</v>
      </c>
    </row>
    <row r="370" spans="1:4">
      <c r="A370" s="4">
        <v>4</v>
      </c>
      <c r="B370" s="8">
        <v>9.9517340896651249E-2</v>
      </c>
      <c r="C370" s="14">
        <v>1.8950000000000002E-2</v>
      </c>
      <c r="D370">
        <f t="shared" si="5"/>
        <v>-3.9659513474537018</v>
      </c>
    </row>
    <row r="371" spans="1:4">
      <c r="A371" s="4">
        <v>4</v>
      </c>
      <c r="B371" s="8">
        <v>0.11267518569493372</v>
      </c>
      <c r="C371" s="14">
        <v>1.5650000000000001E-2</v>
      </c>
      <c r="D371">
        <f t="shared" si="5"/>
        <v>-4.1572843619959752</v>
      </c>
    </row>
    <row r="372" spans="1:4">
      <c r="A372" s="4">
        <v>4</v>
      </c>
      <c r="B372" s="8">
        <v>8.308290462941427E-2</v>
      </c>
      <c r="C372" s="8">
        <v>2.9524330235101148E-2</v>
      </c>
      <c r="D372">
        <f t="shared" si="5"/>
        <v>-3.5225406018265915</v>
      </c>
    </row>
    <row r="373" spans="1:4">
      <c r="A373" s="4">
        <v>4</v>
      </c>
      <c r="B373" s="8">
        <v>6.2886824365547031E-2</v>
      </c>
      <c r="C373" s="8">
        <v>3.0071077091306724E-2</v>
      </c>
      <c r="D373">
        <f t="shared" si="5"/>
        <v>-3.5041914631583948</v>
      </c>
    </row>
    <row r="374" spans="1:4">
      <c r="A374" s="4">
        <v>4</v>
      </c>
      <c r="B374" s="8">
        <v>0.25529516068892893</v>
      </c>
      <c r="C374" s="8">
        <v>5.3590568060021436E-3</v>
      </c>
      <c r="D374">
        <f t="shared" si="5"/>
        <v>-5.2289672884132434</v>
      </c>
    </row>
    <row r="375" spans="1:4">
      <c r="A375" s="4">
        <v>4</v>
      </c>
      <c r="B375" s="8">
        <v>0.28729267603782882</v>
      </c>
      <c r="C375" s="8">
        <v>8.5744908896034297E-3</v>
      </c>
      <c r="D375">
        <f t="shared" si="5"/>
        <v>-4.7589636591675077</v>
      </c>
    </row>
    <row r="376" spans="1:4">
      <c r="A376" s="4">
        <v>4</v>
      </c>
      <c r="B376" s="8">
        <v>0.12899067005937237</v>
      </c>
      <c r="C376" s="8">
        <v>1.2200000000000001E-2</v>
      </c>
      <c r="D376">
        <f t="shared" si="5"/>
        <v>-4.406319327242926</v>
      </c>
    </row>
    <row r="377" spans="1:4">
      <c r="A377" s="4">
        <v>4</v>
      </c>
      <c r="B377" s="8">
        <v>0.14443381180223286</v>
      </c>
      <c r="C377" s="8">
        <v>0.01</v>
      </c>
      <c r="D377">
        <f t="shared" si="5"/>
        <v>-4.6051701859880909</v>
      </c>
    </row>
    <row r="378" spans="1:4">
      <c r="A378" s="4">
        <v>4</v>
      </c>
      <c r="B378" s="8">
        <v>0.12463186274509805</v>
      </c>
      <c r="C378" s="14">
        <v>9.7333333333333334E-3</v>
      </c>
      <c r="D378">
        <f t="shared" si="5"/>
        <v>-4.632198858376011</v>
      </c>
    </row>
    <row r="379" spans="1:4">
      <c r="A379" s="29">
        <v>4</v>
      </c>
      <c r="B379" s="9">
        <v>6.231195566112431E-2</v>
      </c>
      <c r="C379" s="13">
        <v>6.0000000000000001E-3</v>
      </c>
      <c r="D379">
        <f t="shared" si="5"/>
        <v>-5.1159958097540823</v>
      </c>
    </row>
    <row r="380" spans="1:4">
      <c r="A380" s="29">
        <v>4</v>
      </c>
      <c r="B380" s="9">
        <v>3.9350752177355501E-2</v>
      </c>
      <c r="C380" s="13">
        <v>7.0000000000000001E-3</v>
      </c>
      <c r="D380">
        <f t="shared" si="5"/>
        <v>-4.9618451299268234</v>
      </c>
    </row>
    <row r="381" spans="1:4">
      <c r="A381" s="29">
        <v>4</v>
      </c>
      <c r="B381" s="9">
        <v>3.34916864608076E-2</v>
      </c>
      <c r="C381" s="13">
        <v>4.0000000000000001E-3</v>
      </c>
      <c r="D381">
        <f t="shared" si="5"/>
        <v>-5.521460917862246</v>
      </c>
    </row>
    <row r="382" spans="1:4">
      <c r="A382" s="29">
        <v>4</v>
      </c>
      <c r="B382" s="9">
        <v>3.3333333333333333E-2</v>
      </c>
      <c r="C382" s="13">
        <v>8.0000000000000002E-3</v>
      </c>
      <c r="D382">
        <f t="shared" si="5"/>
        <v>-4.8283137373023015</v>
      </c>
    </row>
    <row r="383" spans="1:4">
      <c r="A383" s="29">
        <v>4</v>
      </c>
      <c r="B383" s="9">
        <v>8.2739509105304823E-2</v>
      </c>
      <c r="C383" s="13">
        <v>1.7000000000000001E-2</v>
      </c>
      <c r="D383">
        <f t="shared" si="5"/>
        <v>-4.0745419349259206</v>
      </c>
    </row>
    <row r="384" spans="1:4">
      <c r="A384" s="29">
        <v>4</v>
      </c>
      <c r="B384" s="9">
        <v>5.7482185273159139E-2</v>
      </c>
      <c r="C384" s="13">
        <v>2.1000000000000001E-2</v>
      </c>
      <c r="D384">
        <f t="shared" si="5"/>
        <v>-3.8632328412587138</v>
      </c>
    </row>
    <row r="385" spans="1:4">
      <c r="A385" s="6">
        <v>4</v>
      </c>
      <c r="B385" s="9">
        <v>4.1666666666666664E-2</v>
      </c>
      <c r="C385" s="27">
        <v>1.6E-2</v>
      </c>
      <c r="D385">
        <f t="shared" si="5"/>
        <v>-4.1351665567423561</v>
      </c>
    </row>
    <row r="386" spans="1:4">
      <c r="A386" s="6">
        <v>4</v>
      </c>
      <c r="B386" s="9">
        <v>3.3259259259259259E-2</v>
      </c>
      <c r="C386" s="27">
        <v>1.83E-2</v>
      </c>
      <c r="D386">
        <f t="shared" si="5"/>
        <v>-4.0008542191347614</v>
      </c>
    </row>
    <row r="387" spans="1:4">
      <c r="A387" s="6">
        <v>4</v>
      </c>
      <c r="B387" s="9">
        <v>6.0757575757575753E-2</v>
      </c>
      <c r="C387" s="27">
        <v>2.0689655172413793E-2</v>
      </c>
      <c r="D387">
        <f t="shared" ref="D387:D449" si="6">LN(C387)</f>
        <v>-3.8781214537524646</v>
      </c>
    </row>
    <row r="388" spans="1:4">
      <c r="A388" s="6">
        <v>4</v>
      </c>
      <c r="B388" s="9">
        <v>0.10009259259259259</v>
      </c>
      <c r="C388" s="27">
        <v>1.896551724137931E-2</v>
      </c>
      <c r="D388">
        <f t="shared" si="6"/>
        <v>-3.9651328307420943</v>
      </c>
    </row>
    <row r="389" spans="1:4">
      <c r="A389" s="4">
        <v>5</v>
      </c>
      <c r="B389" s="8">
        <v>0.21696543580936026</v>
      </c>
      <c r="C389" s="4">
        <v>4.7058823529411761E-3</v>
      </c>
      <c r="D389">
        <f t="shared" si="6"/>
        <v>-5.3589419883644718</v>
      </c>
    </row>
    <row r="390" spans="1:4">
      <c r="A390" s="4">
        <v>5</v>
      </c>
      <c r="B390" s="8">
        <v>0.11345800339366516</v>
      </c>
      <c r="C390" s="8">
        <v>2.1176470588235293E-2</v>
      </c>
      <c r="D390">
        <f t="shared" si="6"/>
        <v>-3.8548645915881976</v>
      </c>
    </row>
    <row r="391" spans="1:4">
      <c r="A391" s="4">
        <v>5</v>
      </c>
      <c r="B391" s="8">
        <v>0.13764044943820225</v>
      </c>
      <c r="C391" s="8">
        <v>0.02</v>
      </c>
      <c r="D391">
        <f t="shared" si="6"/>
        <v>-3.912023005428146</v>
      </c>
    </row>
    <row r="392" spans="1:4">
      <c r="A392" s="4">
        <v>5</v>
      </c>
      <c r="B392" s="8">
        <v>0.13359220092531393</v>
      </c>
      <c r="C392" s="8">
        <v>0.02</v>
      </c>
      <c r="D392">
        <f t="shared" si="6"/>
        <v>-3.912023005428146</v>
      </c>
    </row>
    <row r="393" spans="1:4">
      <c r="A393" s="4">
        <v>5</v>
      </c>
      <c r="B393" s="8">
        <v>0.12991374434389139</v>
      </c>
      <c r="C393" s="8">
        <v>1.9411764705882354E-2</v>
      </c>
      <c r="D393">
        <f t="shared" si="6"/>
        <v>-3.9418759685778273</v>
      </c>
    </row>
    <row r="394" spans="1:4">
      <c r="A394" s="6">
        <v>10</v>
      </c>
      <c r="B394" s="9">
        <v>8.1083705573897852E-2</v>
      </c>
      <c r="C394" s="27">
        <v>1.3211764705882353E-2</v>
      </c>
      <c r="D394">
        <f t="shared" si="6"/>
        <v>-4.3266475807340106</v>
      </c>
    </row>
    <row r="395" spans="1:4">
      <c r="A395" s="6">
        <v>10</v>
      </c>
      <c r="B395" s="9">
        <v>9.5164109535832209E-2</v>
      </c>
      <c r="C395" s="27">
        <v>1.2800000000000001E-2</v>
      </c>
      <c r="D395">
        <f t="shared" si="6"/>
        <v>-4.3583101080565658</v>
      </c>
    </row>
    <row r="396" spans="1:4">
      <c r="A396" s="6">
        <v>10</v>
      </c>
      <c r="B396" s="9">
        <v>7.4181752787435565E-2</v>
      </c>
      <c r="C396" s="27">
        <v>2.9029411764705883E-2</v>
      </c>
      <c r="D396">
        <f t="shared" si="6"/>
        <v>-3.5394457641648169</v>
      </c>
    </row>
    <row r="397" spans="1:4">
      <c r="A397" s="6">
        <v>10</v>
      </c>
      <c r="B397" s="9">
        <v>8.2923710186628308E-2</v>
      </c>
      <c r="C397" s="27">
        <v>1.9504545454545451E-2</v>
      </c>
      <c r="D397">
        <f t="shared" si="6"/>
        <v>-3.9371077403429742</v>
      </c>
    </row>
    <row r="398" spans="1:4">
      <c r="A398" s="6">
        <v>10</v>
      </c>
      <c r="B398" s="9">
        <v>9.5104811265943029E-2</v>
      </c>
      <c r="C398" s="27">
        <v>2.3713636363636364E-2</v>
      </c>
      <c r="D398">
        <f t="shared" si="6"/>
        <v>-3.741705022312106</v>
      </c>
    </row>
    <row r="399" spans="1:4">
      <c r="A399" s="4">
        <v>10</v>
      </c>
      <c r="B399" s="8">
        <v>6.955155669808627E-2</v>
      </c>
      <c r="C399" s="8">
        <v>2.1666667000000001E-2</v>
      </c>
      <c r="D399">
        <f t="shared" si="6"/>
        <v>-3.8319802823699942</v>
      </c>
    </row>
    <row r="400" spans="1:4">
      <c r="A400" s="4">
        <v>10</v>
      </c>
      <c r="B400" s="8">
        <v>4.8752879952442874E-2</v>
      </c>
      <c r="C400" s="8">
        <v>2.9090113735783026E-2</v>
      </c>
      <c r="D400">
        <f t="shared" si="6"/>
        <v>-3.5373568966929474</v>
      </c>
    </row>
    <row r="401" spans="1:4">
      <c r="A401" s="4">
        <v>10</v>
      </c>
      <c r="B401" s="8">
        <v>4.3167641325536056E-2</v>
      </c>
      <c r="C401" s="8">
        <v>2.7E-2</v>
      </c>
      <c r="D401">
        <f t="shared" si="6"/>
        <v>-3.6119184129778081</v>
      </c>
    </row>
    <row r="402" spans="1:4">
      <c r="A402" s="4">
        <v>10</v>
      </c>
      <c r="B402" s="8">
        <v>2.9033423667570009E-2</v>
      </c>
      <c r="C402" s="8">
        <v>1.3111111111111112E-2</v>
      </c>
      <c r="D402">
        <f t="shared" si="6"/>
        <v>-4.3342952318526917</v>
      </c>
    </row>
    <row r="403" spans="1:4">
      <c r="A403" s="4">
        <v>10</v>
      </c>
      <c r="B403" s="8">
        <v>4.6684350132625993E-2</v>
      </c>
      <c r="C403" s="8">
        <v>5.4999999999999997E-3</v>
      </c>
      <c r="D403">
        <f t="shared" si="6"/>
        <v>-5.2030071867437115</v>
      </c>
    </row>
    <row r="404" spans="1:4">
      <c r="A404" s="4">
        <v>10</v>
      </c>
      <c r="B404" s="8">
        <v>5.0928381962864713E-2</v>
      </c>
      <c r="C404" s="8">
        <v>4.0000000000000001E-3</v>
      </c>
      <c r="D404">
        <f t="shared" si="6"/>
        <v>-5.521460917862246</v>
      </c>
    </row>
    <row r="405" spans="1:4">
      <c r="A405" s="6">
        <v>10</v>
      </c>
      <c r="B405" s="9">
        <v>4.4110275689223058E-2</v>
      </c>
      <c r="C405" s="27">
        <v>2.3633333333333336E-2</v>
      </c>
      <c r="D405">
        <f t="shared" si="6"/>
        <v>-3.7450971341121648</v>
      </c>
    </row>
    <row r="406" spans="1:4">
      <c r="A406" s="6">
        <v>10</v>
      </c>
      <c r="B406" s="9">
        <v>4.5087719298245614E-2</v>
      </c>
      <c r="C406" s="27">
        <v>2.3313333333333332E-2</v>
      </c>
      <c r="D406">
        <f t="shared" si="6"/>
        <v>-3.758729836015017</v>
      </c>
    </row>
    <row r="407" spans="1:4">
      <c r="A407" s="6">
        <v>10</v>
      </c>
      <c r="B407" s="9">
        <v>4.6785714285714285E-2</v>
      </c>
      <c r="C407" s="27">
        <v>2.1753333333333336E-2</v>
      </c>
      <c r="D407">
        <f t="shared" si="6"/>
        <v>-3.8279882764850721</v>
      </c>
    </row>
    <row r="408" spans="1:4">
      <c r="A408" s="41">
        <v>10</v>
      </c>
      <c r="B408" s="9">
        <v>5.3004625647680222E-2</v>
      </c>
      <c r="C408" s="27">
        <v>2.8549999999999999E-2</v>
      </c>
      <c r="D408">
        <f t="shared" si="6"/>
        <v>-3.5560983428801181</v>
      </c>
    </row>
    <row r="409" spans="1:4">
      <c r="A409" s="41">
        <v>10</v>
      </c>
      <c r="B409" s="9">
        <v>3.5293026436278956E-2</v>
      </c>
      <c r="C409" s="27">
        <v>3.0099999999999998E-2</v>
      </c>
      <c r="D409">
        <f t="shared" si="6"/>
        <v>-3.5032301072273069</v>
      </c>
    </row>
    <row r="410" spans="1:4">
      <c r="A410" s="4">
        <v>21</v>
      </c>
      <c r="B410" s="8">
        <v>6.7570595076798204E-2</v>
      </c>
      <c r="C410" s="8">
        <v>2.0512820512820513E-2</v>
      </c>
      <c r="D410">
        <f t="shared" si="6"/>
        <v>-3.886705197443856</v>
      </c>
    </row>
    <row r="411" spans="1:4">
      <c r="A411" s="4">
        <v>21</v>
      </c>
      <c r="B411" s="8">
        <v>7.410762423942481E-2</v>
      </c>
      <c r="C411" s="8">
        <v>2.564102564102564E-2</v>
      </c>
      <c r="D411">
        <f t="shared" si="6"/>
        <v>-3.6635616461296463</v>
      </c>
    </row>
    <row r="412" spans="1:4">
      <c r="A412" s="4">
        <v>21</v>
      </c>
      <c r="B412" s="8">
        <v>7.5063851648965771E-2</v>
      </c>
      <c r="C412" s="8">
        <v>2.564102564102564E-2</v>
      </c>
      <c r="D412">
        <f t="shared" si="6"/>
        <v>-3.6635616461296463</v>
      </c>
    </row>
    <row r="413" spans="1:4">
      <c r="A413" s="4">
        <v>21</v>
      </c>
      <c r="B413" s="8">
        <v>7.7031314881062254E-2</v>
      </c>
      <c r="C413" s="8">
        <v>2.0211161387631977E-2</v>
      </c>
      <c r="D413">
        <f t="shared" si="6"/>
        <v>-3.9015202832289968</v>
      </c>
    </row>
    <row r="414" spans="1:4">
      <c r="A414" s="4">
        <v>30</v>
      </c>
      <c r="B414" s="8">
        <v>9.2101168672597239E-2</v>
      </c>
      <c r="C414" s="14">
        <v>3.4739130434782608E-3</v>
      </c>
      <c r="D414">
        <f t="shared" si="6"/>
        <v>-5.6624736421390578</v>
      </c>
    </row>
    <row r="415" spans="1:4">
      <c r="A415" s="45">
        <v>30</v>
      </c>
      <c r="B415" s="21">
        <v>0.12093023255813952</v>
      </c>
      <c r="C415" s="46">
        <v>0.02</v>
      </c>
      <c r="D415">
        <f t="shared" si="6"/>
        <v>-3.912023005428146</v>
      </c>
    </row>
    <row r="416" spans="1:4">
      <c r="A416" s="6">
        <v>30</v>
      </c>
      <c r="B416" s="9">
        <v>7.0014350048604998E-2</v>
      </c>
      <c r="C416" s="27">
        <v>2.2499999999999999E-2</v>
      </c>
      <c r="D416">
        <f t="shared" si="6"/>
        <v>-3.7942399697717626</v>
      </c>
    </row>
    <row r="417" spans="1:4">
      <c r="A417" s="6">
        <v>30</v>
      </c>
      <c r="B417" s="9">
        <v>0.10141487694718407</v>
      </c>
      <c r="C417" s="27">
        <v>7.9600000000000001E-3</v>
      </c>
      <c r="D417">
        <f t="shared" si="6"/>
        <v>-4.8333262791258456</v>
      </c>
    </row>
    <row r="418" spans="1:4">
      <c r="A418" s="4">
        <v>35</v>
      </c>
      <c r="B418" s="8">
        <v>8.505154639175258E-2</v>
      </c>
      <c r="C418" s="17">
        <v>9.2499999999999995E-3</v>
      </c>
      <c r="D418">
        <f t="shared" si="6"/>
        <v>-4.6831317274578037</v>
      </c>
    </row>
    <row r="419" spans="1:4">
      <c r="A419" s="4">
        <v>35</v>
      </c>
      <c r="B419" s="8">
        <v>0.11479591836734693</v>
      </c>
      <c r="C419" s="17">
        <v>1.3050000000000001E-2</v>
      </c>
      <c r="D419">
        <f t="shared" si="6"/>
        <v>-4.3389671452134344</v>
      </c>
    </row>
    <row r="420" spans="1:4">
      <c r="A420" s="4">
        <v>35</v>
      </c>
      <c r="B420" s="8">
        <v>0.13846153846153847</v>
      </c>
      <c r="C420" s="17">
        <v>1.21E-2</v>
      </c>
      <c r="D420">
        <f t="shared" si="6"/>
        <v>-4.4145498263794414</v>
      </c>
    </row>
    <row r="421" spans="1:4">
      <c r="A421" s="4">
        <v>35</v>
      </c>
      <c r="B421" s="8">
        <v>0.11254370629370629</v>
      </c>
      <c r="C421" s="17">
        <v>9.5000000000000015E-3</v>
      </c>
      <c r="D421">
        <f t="shared" si="6"/>
        <v>-4.656463480375642</v>
      </c>
    </row>
    <row r="422" spans="1:4">
      <c r="A422" s="4">
        <v>35</v>
      </c>
      <c r="B422" s="8">
        <v>0.12891344383057091</v>
      </c>
      <c r="C422" s="17">
        <v>1.1111111111111112E-2</v>
      </c>
      <c r="D422">
        <f t="shared" si="6"/>
        <v>-4.499809670330265</v>
      </c>
    </row>
    <row r="423" spans="1:4">
      <c r="A423" s="4">
        <v>35</v>
      </c>
      <c r="B423" s="8">
        <v>0.15270292340356034</v>
      </c>
      <c r="C423" s="17">
        <v>1.1333333333333332E-2</v>
      </c>
      <c r="D423">
        <f t="shared" si="6"/>
        <v>-4.4800070430340853</v>
      </c>
    </row>
    <row r="424" spans="1:4">
      <c r="A424" s="4">
        <v>40</v>
      </c>
      <c r="B424" s="8">
        <v>5.0389273356401386E-2</v>
      </c>
      <c r="C424" s="8">
        <v>7.4999999999999997E-3</v>
      </c>
      <c r="D424">
        <f t="shared" si="6"/>
        <v>-4.8928522584398726</v>
      </c>
    </row>
    <row r="425" spans="1:4">
      <c r="A425" s="4">
        <v>40</v>
      </c>
      <c r="B425" s="8">
        <v>5.8371704267463985E-2</v>
      </c>
      <c r="C425" s="8">
        <v>0.03</v>
      </c>
      <c r="D425">
        <f t="shared" si="6"/>
        <v>-3.5065578973199818</v>
      </c>
    </row>
    <row r="426" spans="1:4">
      <c r="A426" s="4">
        <v>40</v>
      </c>
      <c r="B426" s="8">
        <v>9.244913507902662E-2</v>
      </c>
      <c r="C426" s="14">
        <v>4.9504950000000001E-3</v>
      </c>
      <c r="D426">
        <f t="shared" si="6"/>
        <v>-5.308267707401205</v>
      </c>
    </row>
    <row r="427" spans="1:4">
      <c r="A427" s="29">
        <v>40</v>
      </c>
      <c r="B427" s="9">
        <v>7.1915527031080048E-2</v>
      </c>
      <c r="C427" s="9">
        <v>2.4E-2</v>
      </c>
      <c r="D427">
        <f t="shared" si="6"/>
        <v>-3.7297014486341915</v>
      </c>
    </row>
    <row r="428" spans="1:4">
      <c r="A428" s="29">
        <v>40</v>
      </c>
      <c r="B428" s="9">
        <v>8.6064924782264449E-2</v>
      </c>
      <c r="C428" s="13">
        <v>0.02</v>
      </c>
      <c r="D428">
        <f t="shared" si="6"/>
        <v>-3.912023005428146</v>
      </c>
    </row>
    <row r="429" spans="1:4">
      <c r="A429" s="29">
        <v>40</v>
      </c>
      <c r="B429" s="9">
        <v>5.1148060174188437E-2</v>
      </c>
      <c r="C429" s="13">
        <v>6.0000000000000001E-3</v>
      </c>
      <c r="D429">
        <f t="shared" si="6"/>
        <v>-5.1159958097540823</v>
      </c>
    </row>
    <row r="430" spans="1:4">
      <c r="A430" s="6">
        <v>210</v>
      </c>
      <c r="B430" s="9">
        <v>4.9926578560939794E-2</v>
      </c>
      <c r="C430" s="27">
        <v>1.1581395348837209E-2</v>
      </c>
      <c r="D430">
        <f t="shared" si="6"/>
        <v>-4.4583553176510469</v>
      </c>
    </row>
    <row r="431" spans="1:4">
      <c r="A431" s="6">
        <v>210</v>
      </c>
      <c r="B431" s="9">
        <v>4.2358522534733989E-2</v>
      </c>
      <c r="C431" s="27">
        <v>1.2841860465116279E-2</v>
      </c>
      <c r="D431">
        <f t="shared" si="6"/>
        <v>-4.3550450951796451</v>
      </c>
    </row>
    <row r="432" spans="1:4">
      <c r="A432" s="6">
        <v>210</v>
      </c>
      <c r="B432" s="9">
        <v>2.6443013667683271E-2</v>
      </c>
      <c r="C432" s="27">
        <v>1.4413953488372093E-2</v>
      </c>
      <c r="D432">
        <f t="shared" si="6"/>
        <v>-4.2395585493220516</v>
      </c>
    </row>
    <row r="433" spans="1:4">
      <c r="A433" s="6">
        <v>210</v>
      </c>
      <c r="B433" s="9">
        <v>5.1232323232323233E-2</v>
      </c>
      <c r="C433" s="31">
        <v>3.4000000000000002E-2</v>
      </c>
      <c r="D433">
        <f t="shared" si="6"/>
        <v>-3.3813947543659757</v>
      </c>
    </row>
    <row r="434" spans="1:4">
      <c r="A434" s="6">
        <v>210</v>
      </c>
      <c r="B434" s="9">
        <v>5.1151515151515156E-2</v>
      </c>
      <c r="C434" s="27">
        <v>0.02</v>
      </c>
      <c r="D434">
        <f t="shared" si="6"/>
        <v>-3.912023005428146</v>
      </c>
    </row>
    <row r="435" spans="1:4">
      <c r="A435" s="6">
        <v>210</v>
      </c>
      <c r="B435" s="9">
        <v>4.9188311688311684E-2</v>
      </c>
      <c r="C435" s="27">
        <v>2.3800000000000002E-2</v>
      </c>
      <c r="D435">
        <f t="shared" si="6"/>
        <v>-3.7380696983047081</v>
      </c>
    </row>
    <row r="436" spans="1:4">
      <c r="A436" s="6">
        <v>210</v>
      </c>
      <c r="B436" s="9">
        <v>4.8538961038961041E-2</v>
      </c>
      <c r="C436" s="27">
        <v>1.4999999999999999E-2</v>
      </c>
      <c r="D436">
        <f t="shared" si="6"/>
        <v>-4.1997050778799272</v>
      </c>
    </row>
    <row r="437" spans="1:4">
      <c r="A437" s="6">
        <v>210</v>
      </c>
      <c r="B437" s="9">
        <v>7.7777777777777779E-2</v>
      </c>
      <c r="C437" s="27">
        <v>1.5299999999999999E-2</v>
      </c>
      <c r="D437">
        <f t="shared" si="6"/>
        <v>-4.1799024505837474</v>
      </c>
    </row>
    <row r="438" spans="1:4">
      <c r="A438" s="6">
        <v>210</v>
      </c>
      <c r="B438" s="9">
        <v>7.3174603174603184E-2</v>
      </c>
      <c r="C438" s="27">
        <v>1.8100000000000002E-2</v>
      </c>
      <c r="D438">
        <f t="shared" si="6"/>
        <v>-4.0118433407103566</v>
      </c>
    </row>
    <row r="439" spans="1:4">
      <c r="A439" s="6">
        <v>210</v>
      </c>
      <c r="B439" s="9">
        <v>9.6984126984126978E-2</v>
      </c>
      <c r="C439" s="27">
        <v>1.4999999999999999E-2</v>
      </c>
      <c r="D439">
        <f t="shared" si="6"/>
        <v>-4.1997050778799272</v>
      </c>
    </row>
    <row r="440" spans="1:4">
      <c r="A440" s="6">
        <v>210</v>
      </c>
      <c r="B440" s="9">
        <v>4.178415234446909E-2</v>
      </c>
      <c r="C440" s="28">
        <v>1.4999999999999999E-2</v>
      </c>
      <c r="D440">
        <f t="shared" si="6"/>
        <v>-4.1997050778799272</v>
      </c>
    </row>
    <row r="441" spans="1:4">
      <c r="A441" s="6">
        <v>210</v>
      </c>
      <c r="B441" s="9">
        <v>5.9258468310226034E-2</v>
      </c>
      <c r="C441" s="28">
        <v>1.4999999999999999E-2</v>
      </c>
      <c r="D441">
        <f t="shared" si="6"/>
        <v>-4.1997050778799272</v>
      </c>
    </row>
    <row r="442" spans="1:4">
      <c r="A442" s="6">
        <v>210</v>
      </c>
      <c r="B442" s="9">
        <v>5.8520187661022162E-2</v>
      </c>
      <c r="C442" s="28">
        <v>1.2500000000000001E-2</v>
      </c>
      <c r="D442">
        <f t="shared" si="6"/>
        <v>-4.3820266346738812</v>
      </c>
    </row>
    <row r="443" spans="1:4">
      <c r="A443" s="6">
        <v>210</v>
      </c>
      <c r="B443" s="9">
        <v>6.0747179821209543E-2</v>
      </c>
      <c r="C443" s="28">
        <v>0.01</v>
      </c>
      <c r="D443">
        <f t="shared" si="6"/>
        <v>-4.6051701859880909</v>
      </c>
    </row>
    <row r="444" spans="1:4">
      <c r="A444" s="49">
        <v>230</v>
      </c>
      <c r="B444" s="50">
        <v>8.4189497716894976E-2</v>
      </c>
      <c r="C444" s="51">
        <v>2.35E-2</v>
      </c>
      <c r="D444">
        <f t="shared" si="6"/>
        <v>-3.7507548578320238</v>
      </c>
    </row>
    <row r="445" spans="1:4">
      <c r="A445" s="4">
        <v>230</v>
      </c>
      <c r="B445" s="8">
        <v>0.1089150047483381</v>
      </c>
      <c r="C445" s="14">
        <v>1.55E-2</v>
      </c>
      <c r="D445">
        <f t="shared" si="6"/>
        <v>-4.1669152550569359</v>
      </c>
    </row>
    <row r="446" spans="1:4">
      <c r="A446" s="4">
        <v>230</v>
      </c>
      <c r="B446" s="8">
        <v>8.9714714714714719E-2</v>
      </c>
      <c r="C446" s="14">
        <v>0.01</v>
      </c>
      <c r="D446">
        <f t="shared" si="6"/>
        <v>-4.6051701859880909</v>
      </c>
    </row>
    <row r="447" spans="1:4">
      <c r="A447" s="4">
        <v>230</v>
      </c>
      <c r="B447" s="8">
        <v>9.9715099715099717E-2</v>
      </c>
      <c r="C447" s="14">
        <v>1.0499999999999999E-2</v>
      </c>
      <c r="D447">
        <f t="shared" si="6"/>
        <v>-4.5563800218186596</v>
      </c>
    </row>
    <row r="448" spans="1:4">
      <c r="A448" s="4">
        <v>230</v>
      </c>
      <c r="B448" s="8">
        <v>0.10364842454394693</v>
      </c>
      <c r="C448" s="14">
        <v>1.6500000000000001E-2</v>
      </c>
      <c r="D448">
        <f t="shared" si="6"/>
        <v>-4.1043948980756024</v>
      </c>
    </row>
    <row r="449" spans="1:4">
      <c r="A449" s="4">
        <v>230</v>
      </c>
      <c r="B449" s="8">
        <v>0.11247443762781185</v>
      </c>
      <c r="C449" s="14">
        <v>1.2500000000000001E-2</v>
      </c>
      <c r="D449">
        <f t="shared" si="6"/>
        <v>-4.3820266346738812</v>
      </c>
    </row>
  </sheetData>
  <phoneticPr fontId="22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AA82-4707-4AE0-99F4-71F288458D27}">
  <dimension ref="A1:JA254"/>
  <sheetViews>
    <sheetView zoomScale="145" zoomScaleNormal="145" workbookViewId="0">
      <selection activeCell="C14" sqref="C14"/>
    </sheetView>
  </sheetViews>
  <sheetFormatPr defaultColWidth="9" defaultRowHeight="15"/>
  <cols>
    <col min="1" max="1" width="9" style="1"/>
    <col min="2" max="2" width="13.42578125" style="1" customWidth="1"/>
    <col min="3" max="3" width="9" style="1"/>
    <col min="4" max="4" width="13.42578125" style="1" customWidth="1"/>
    <col min="5" max="5" width="9" style="1"/>
    <col min="6" max="6" width="15" style="1" customWidth="1"/>
    <col min="7" max="16384" width="9" style="1"/>
  </cols>
  <sheetData>
    <row r="1" spans="1:261">
      <c r="A1" s="24" t="str">
        <f>CHAR(65-1+ROW())</f>
        <v>A</v>
      </c>
      <c r="B1" s="1" t="s">
        <v>459</v>
      </c>
      <c r="C1" s="24" t="str">
        <f>A27</f>
        <v>AA</v>
      </c>
      <c r="D1" s="1" t="str">
        <f>B27</f>
        <v>Vs</v>
      </c>
      <c r="E1" s="24" t="str">
        <f>A53</f>
        <v>BA</v>
      </c>
      <c r="F1" s="1" t="str">
        <f>B53</f>
        <v>Fy,vw</v>
      </c>
      <c r="G1" s="24" t="str">
        <f>A79</f>
        <v>CA</v>
      </c>
      <c r="H1" s="1" t="str">
        <f>B79</f>
        <v>DRein.4</v>
      </c>
      <c r="I1" s="24" t="str">
        <f>A105</f>
        <v>DA</v>
      </c>
      <c r="J1" s="1" t="str">
        <f>B105</f>
        <v>DRein.30</v>
      </c>
      <c r="K1" s="24" t="str">
        <f>A131</f>
        <v>EA</v>
      </c>
      <c r="L1" s="1" t="str">
        <f>B131</f>
        <v>Area16</v>
      </c>
      <c r="M1" s="24" t="str">
        <f>A157</f>
        <v>FA</v>
      </c>
      <c r="N1" s="1" t="str">
        <f>B157</f>
        <v>Force2</v>
      </c>
      <c r="O1" s="24" t="str">
        <f>A183</f>
        <v>GA</v>
      </c>
      <c r="P1" s="1" t="str">
        <f>B183</f>
        <v>Force28</v>
      </c>
      <c r="Q1" s="24" t="str">
        <f>A209</f>
        <v>HA</v>
      </c>
      <c r="R1" s="1" t="str">
        <f>B209</f>
        <v>Moment14</v>
      </c>
      <c r="S1" s="24" t="str">
        <f>A235</f>
        <v>IA</v>
      </c>
      <c r="T1" s="1" t="str">
        <f>B235</f>
        <v>Moment40</v>
      </c>
    </row>
    <row r="2" spans="1:261">
      <c r="A2" s="24" t="str">
        <f t="shared" ref="A2:A23" si="0">CHAR(65-1+ROW())</f>
        <v>B</v>
      </c>
      <c r="B2" s="1" t="s">
        <v>0</v>
      </c>
      <c r="C2" s="24" t="str">
        <f t="shared" ref="C2:D2" si="1">A28</f>
        <v>AB</v>
      </c>
      <c r="D2" s="1" t="str">
        <f t="shared" si="1"/>
        <v>Mc</v>
      </c>
      <c r="E2" s="24" t="str">
        <f t="shared" ref="E2:F2" si="2">A54</f>
        <v>BB</v>
      </c>
      <c r="F2" s="1" t="str">
        <f t="shared" si="2"/>
        <v>Fy,vc</v>
      </c>
      <c r="G2" s="24" t="str">
        <f t="shared" ref="G2:H2" si="3">A80</f>
        <v>CB</v>
      </c>
      <c r="H2" s="1" t="str">
        <f t="shared" si="3"/>
        <v>DRein.5</v>
      </c>
      <c r="I2" s="24" t="str">
        <f t="shared" ref="I2:J2" si="4">A106</f>
        <v>DB</v>
      </c>
      <c r="J2" s="1" t="str">
        <f t="shared" si="4"/>
        <v>DRein.31</v>
      </c>
      <c r="K2" s="24" t="str">
        <f t="shared" ref="K2:L2" si="5">A132</f>
        <v>EB</v>
      </c>
      <c r="L2" s="1" t="str">
        <f t="shared" si="5"/>
        <v>Area17</v>
      </c>
      <c r="M2" s="24" t="str">
        <f t="shared" ref="M2:M26" si="6">A158</f>
        <v>FB</v>
      </c>
      <c r="N2" s="1" t="str">
        <f t="shared" ref="N2:N26" si="7">B158</f>
        <v>Force3</v>
      </c>
      <c r="O2" s="24" t="str">
        <f t="shared" ref="O2:P2" si="8">A184</f>
        <v>GB</v>
      </c>
      <c r="P2" s="1" t="str">
        <f t="shared" si="8"/>
        <v>Force29</v>
      </c>
      <c r="Q2" s="24" t="str">
        <f t="shared" ref="Q2:R2" si="9">A210</f>
        <v>HB</v>
      </c>
      <c r="R2" s="1" t="str">
        <f t="shared" si="9"/>
        <v>Moment15</v>
      </c>
    </row>
    <row r="3" spans="1:261">
      <c r="A3" s="24" t="str">
        <f t="shared" si="0"/>
        <v>C</v>
      </c>
      <c r="B3" s="1" t="s">
        <v>230</v>
      </c>
      <c r="C3" s="24" t="str">
        <f t="shared" ref="C3:D3" si="10">A29</f>
        <v>AC</v>
      </c>
      <c r="D3" s="1" t="str">
        <f t="shared" si="10"/>
        <v>Ms</v>
      </c>
      <c r="E3" s="24" t="str">
        <f t="shared" ref="E3:F3" si="11">A55</f>
        <v>BC</v>
      </c>
      <c r="F3" s="1" t="str">
        <f t="shared" si="11"/>
        <v>Fy,hc</v>
      </c>
      <c r="G3" s="24" t="str">
        <f t="shared" ref="G3:H3" si="12">A81</f>
        <v>CC</v>
      </c>
      <c r="H3" s="1" t="str">
        <f t="shared" si="12"/>
        <v>DRein.6</v>
      </c>
      <c r="I3" s="24" t="str">
        <f t="shared" ref="I3:J3" si="13">A107</f>
        <v>DC</v>
      </c>
      <c r="J3" s="1" t="str">
        <f t="shared" si="13"/>
        <v>DRein.32</v>
      </c>
      <c r="K3" s="24" t="str">
        <f t="shared" ref="K3:L3" si="14">A133</f>
        <v>EC</v>
      </c>
      <c r="L3" s="1" t="str">
        <f t="shared" si="14"/>
        <v>Area18</v>
      </c>
      <c r="M3" s="24" t="str">
        <f t="shared" si="6"/>
        <v>FC</v>
      </c>
      <c r="N3" s="1" t="str">
        <f t="shared" si="7"/>
        <v>Force4</v>
      </c>
      <c r="O3" s="24" t="str">
        <f t="shared" ref="O3:P3" si="15">A185</f>
        <v>GC</v>
      </c>
      <c r="P3" s="1" t="str">
        <f t="shared" si="15"/>
        <v>Force30</v>
      </c>
      <c r="Q3" s="24" t="str">
        <f t="shared" ref="Q3:R3" si="16">A211</f>
        <v>HC</v>
      </c>
      <c r="R3" s="1" t="str">
        <f t="shared" si="16"/>
        <v>Moment16</v>
      </c>
    </row>
    <row r="4" spans="1:261">
      <c r="A4" s="24" t="str">
        <f t="shared" si="0"/>
        <v>D</v>
      </c>
      <c r="B4" s="1" t="s">
        <v>242</v>
      </c>
      <c r="C4" s="24" t="str">
        <f t="shared" ref="C4:D4" si="17">A30</f>
        <v>AD</v>
      </c>
      <c r="D4" s="1" t="str">
        <f t="shared" si="17"/>
        <v>P</v>
      </c>
      <c r="E4" s="24" t="str">
        <f t="shared" ref="E4:F4" si="18">A56</f>
        <v>BD</v>
      </c>
      <c r="F4" s="1" t="str">
        <f t="shared" si="18"/>
        <v>ρvw</v>
      </c>
      <c r="G4" s="24" t="str">
        <f t="shared" ref="G4:H4" si="19">A82</f>
        <v>CD</v>
      </c>
      <c r="H4" s="1" t="str">
        <f t="shared" si="19"/>
        <v>DRein.7</v>
      </c>
      <c r="I4" s="24" t="str">
        <f t="shared" ref="I4:J4" si="20">A108</f>
        <v>DD</v>
      </c>
      <c r="J4" s="1" t="str">
        <f t="shared" si="20"/>
        <v>DRein.33</v>
      </c>
      <c r="K4" s="24" t="str">
        <f t="shared" ref="K4:L4" si="21">A134</f>
        <v>ED</v>
      </c>
      <c r="L4" s="1" t="str">
        <f t="shared" si="21"/>
        <v>Area19</v>
      </c>
      <c r="M4" s="24" t="str">
        <f t="shared" si="6"/>
        <v>FD</v>
      </c>
      <c r="N4" s="1" t="str">
        <f t="shared" si="7"/>
        <v>Force5</v>
      </c>
      <c r="O4" s="24" t="str">
        <f t="shared" ref="O4:P4" si="22">A186</f>
        <v>GD</v>
      </c>
      <c r="P4" s="1" t="str">
        <f t="shared" si="22"/>
        <v>Force31</v>
      </c>
      <c r="Q4" s="24" t="str">
        <f t="shared" ref="Q4:R4" si="23">A212</f>
        <v>HD</v>
      </c>
      <c r="R4" s="1" t="str">
        <f t="shared" si="23"/>
        <v>Moment17</v>
      </c>
    </row>
    <row r="5" spans="1:261">
      <c r="A5" s="24" t="str">
        <f t="shared" si="0"/>
        <v>E</v>
      </c>
      <c r="B5" s="7" t="s">
        <v>462</v>
      </c>
      <c r="C5" s="24" t="str">
        <f t="shared" ref="C5:D5" si="24">A31</f>
        <v>AE</v>
      </c>
      <c r="D5" s="1" t="str">
        <f t="shared" si="24"/>
        <v>fc</v>
      </c>
      <c r="E5" s="24" t="str">
        <f t="shared" ref="E5:F5" si="25">A57</f>
        <v>BE</v>
      </c>
      <c r="F5" s="1" t="str">
        <f t="shared" si="25"/>
        <v>ρhw</v>
      </c>
      <c r="G5" s="24" t="str">
        <f t="shared" ref="G5:H5" si="26">A83</f>
        <v>CE</v>
      </c>
      <c r="H5" s="1" t="str">
        <f t="shared" si="26"/>
        <v>DRein.8</v>
      </c>
      <c r="I5" s="24" t="str">
        <f t="shared" ref="I5:J5" si="27">A109</f>
        <v>DE</v>
      </c>
      <c r="J5" s="1" t="str">
        <f t="shared" si="27"/>
        <v>DRein.34</v>
      </c>
      <c r="K5" s="24" t="str">
        <f t="shared" ref="K5:L5" si="28">A135</f>
        <v>EE</v>
      </c>
      <c r="L5" s="1" t="str">
        <f t="shared" si="28"/>
        <v>Area20</v>
      </c>
      <c r="M5" s="24" t="str">
        <f t="shared" si="6"/>
        <v>FE</v>
      </c>
      <c r="N5" s="1" t="str">
        <f t="shared" si="7"/>
        <v>Force6</v>
      </c>
      <c r="O5" s="24" t="str">
        <f t="shared" ref="O5:P5" si="29">A187</f>
        <v>GE</v>
      </c>
      <c r="P5" s="1" t="str">
        <f t="shared" si="29"/>
        <v>Force32</v>
      </c>
      <c r="Q5" s="24" t="str">
        <f t="shared" ref="Q5:R5" si="30">A213</f>
        <v>HE</v>
      </c>
      <c r="R5" s="1" t="str">
        <f t="shared" si="30"/>
        <v>Moment18</v>
      </c>
    </row>
    <row r="6" spans="1:261">
      <c r="A6" s="24" t="str">
        <f t="shared" si="0"/>
        <v>F</v>
      </c>
      <c r="B6" s="1" t="s">
        <v>244</v>
      </c>
      <c r="C6" s="24" t="str">
        <f t="shared" ref="C6:D6" si="31">A32</f>
        <v>AF</v>
      </c>
      <c r="D6" s="1" t="str">
        <f t="shared" si="31"/>
        <v>ft</v>
      </c>
      <c r="E6" s="24" t="str">
        <f t="shared" ref="E6:F6" si="32">A58</f>
        <v>BF</v>
      </c>
      <c r="F6" s="1" t="str">
        <f t="shared" si="32"/>
        <v>ρvc</v>
      </c>
      <c r="G6" s="24" t="str">
        <f t="shared" ref="G6:H6" si="33">A84</f>
        <v>CF</v>
      </c>
      <c r="H6" s="1" t="str">
        <f t="shared" si="33"/>
        <v>DRein.9</v>
      </c>
      <c r="I6" s="24" t="str">
        <f t="shared" ref="I6:J6" si="34">A110</f>
        <v>DF</v>
      </c>
      <c r="J6" s="1" t="str">
        <f t="shared" si="34"/>
        <v>DRein.35</v>
      </c>
      <c r="K6" s="24" t="str">
        <f t="shared" ref="K6:L6" si="35">A136</f>
        <v>EF</v>
      </c>
      <c r="L6" s="1" t="str">
        <f t="shared" si="35"/>
        <v>Area21</v>
      </c>
      <c r="M6" s="24" t="str">
        <f t="shared" si="6"/>
        <v>FF</v>
      </c>
      <c r="N6" s="1" t="str">
        <f t="shared" si="7"/>
        <v>Force7</v>
      </c>
      <c r="O6" s="24" t="str">
        <f t="shared" ref="O6:P6" si="36">A188</f>
        <v>GF</v>
      </c>
      <c r="P6" s="1" t="str">
        <f t="shared" si="36"/>
        <v>Force33</v>
      </c>
      <c r="Q6" s="24" t="str">
        <f t="shared" ref="Q6:R6" si="37">A214</f>
        <v>HF</v>
      </c>
      <c r="R6" s="1" t="str">
        <f t="shared" si="37"/>
        <v>Moment19</v>
      </c>
    </row>
    <row r="7" spans="1:261">
      <c r="A7" s="24" t="str">
        <f t="shared" si="0"/>
        <v>G</v>
      </c>
      <c r="B7" s="1" t="s">
        <v>245</v>
      </c>
      <c r="C7" s="24" t="str">
        <f t="shared" ref="C7:D7" si="38">A33</f>
        <v>AG</v>
      </c>
      <c r="D7" s="1" t="str">
        <f t="shared" si="38"/>
        <v>alpha1</v>
      </c>
      <c r="E7" s="24" t="str">
        <f t="shared" ref="E7:F7" si="39">A59</f>
        <v>BG</v>
      </c>
      <c r="F7" s="1" t="str">
        <f t="shared" si="39"/>
        <v>ρhc</v>
      </c>
      <c r="G7" s="24" t="str">
        <f t="shared" ref="G7:H7" si="40">A85</f>
        <v>CG</v>
      </c>
      <c r="H7" s="1" t="str">
        <f t="shared" si="40"/>
        <v>DRein.10</v>
      </c>
      <c r="I7" s="24" t="str">
        <f t="shared" ref="I7:J7" si="41">A111</f>
        <v>DG</v>
      </c>
      <c r="J7" s="1" t="str">
        <f t="shared" si="41"/>
        <v>DRein.36</v>
      </c>
      <c r="K7" s="24" t="str">
        <f t="shared" ref="K7:L7" si="42">A137</f>
        <v>EG</v>
      </c>
      <c r="L7" s="1" t="str">
        <f t="shared" si="42"/>
        <v>Area22</v>
      </c>
      <c r="M7" s="24" t="str">
        <f t="shared" si="6"/>
        <v>FG</v>
      </c>
      <c r="N7" s="1" t="str">
        <f t="shared" si="7"/>
        <v>Force8</v>
      </c>
      <c r="O7" s="24" t="str">
        <f t="shared" ref="O7:P7" si="43">A189</f>
        <v>GG</v>
      </c>
      <c r="P7" s="1" t="str">
        <f t="shared" si="43"/>
        <v>Force34</v>
      </c>
      <c r="Q7" s="24" t="str">
        <f t="shared" ref="Q7:R7" si="44">A215</f>
        <v>HG</v>
      </c>
      <c r="R7" s="1" t="str">
        <f t="shared" si="44"/>
        <v>Moment20</v>
      </c>
    </row>
    <row r="8" spans="1:261">
      <c r="A8" s="24" t="str">
        <f t="shared" si="0"/>
        <v>H</v>
      </c>
      <c r="B8" s="7" t="s">
        <v>461</v>
      </c>
      <c r="C8" s="24" t="str">
        <f t="shared" ref="C8:D8" si="45">A34</f>
        <v>AH</v>
      </c>
      <c r="D8" s="1" t="str">
        <f t="shared" si="45"/>
        <v>beta1</v>
      </c>
      <c r="E8" s="24" t="str">
        <f t="shared" ref="E8:F8" si="46">A60</f>
        <v>BH</v>
      </c>
      <c r="F8" s="1" t="str">
        <f t="shared" si="46"/>
        <v>s</v>
      </c>
      <c r="G8" s="24" t="str">
        <f t="shared" ref="G8:H8" si="47">A86</f>
        <v>CH</v>
      </c>
      <c r="H8" s="1" t="str">
        <f t="shared" si="47"/>
        <v>DRein.11</v>
      </c>
      <c r="I8" s="24" t="str">
        <f t="shared" ref="I8:J8" si="48">A112</f>
        <v>DH</v>
      </c>
      <c r="J8" s="1" t="str">
        <f t="shared" si="48"/>
        <v>DRein.37</v>
      </c>
      <c r="K8" s="24" t="str">
        <f t="shared" ref="K8:L8" si="49">A138</f>
        <v>EH</v>
      </c>
      <c r="L8" s="1" t="str">
        <f t="shared" si="49"/>
        <v>Area23</v>
      </c>
      <c r="M8" s="24" t="str">
        <f t="shared" si="6"/>
        <v>FH</v>
      </c>
      <c r="N8" s="1" t="str">
        <f t="shared" si="7"/>
        <v>Force9</v>
      </c>
      <c r="O8" s="24" t="str">
        <f t="shared" ref="O8:P8" si="50">A190</f>
        <v>GH</v>
      </c>
      <c r="P8" s="1" t="str">
        <f t="shared" si="50"/>
        <v>Force35</v>
      </c>
      <c r="Q8" s="24" t="str">
        <f t="shared" ref="Q8:R8" si="51">A216</f>
        <v>HH</v>
      </c>
      <c r="R8" s="1" t="str">
        <f t="shared" si="51"/>
        <v>Moment21</v>
      </c>
    </row>
    <row r="9" spans="1:261">
      <c r="A9" s="24" t="str">
        <f t="shared" si="0"/>
        <v>I</v>
      </c>
      <c r="B9" s="1" t="s">
        <v>460</v>
      </c>
      <c r="C9" s="24" t="str">
        <f t="shared" ref="C9:D9" si="52">A35</f>
        <v>AI</v>
      </c>
      <c r="D9" s="1" t="str">
        <f t="shared" si="52"/>
        <v>lw</v>
      </c>
      <c r="E9" s="24" t="str">
        <f t="shared" ref="E9:F9" si="53">A61</f>
        <v>BI</v>
      </c>
      <c r="F9" s="1" t="str">
        <f t="shared" si="53"/>
        <v>Ash1</v>
      </c>
      <c r="G9" s="24" t="str">
        <f t="shared" ref="G9:H9" si="54">A87</f>
        <v>CI</v>
      </c>
      <c r="H9" s="1" t="str">
        <f t="shared" si="54"/>
        <v>DRein.12</v>
      </c>
      <c r="I9" s="24" t="str">
        <f t="shared" ref="I9:J9" si="55">A113</f>
        <v>DI</v>
      </c>
      <c r="J9" s="1" t="str">
        <f t="shared" si="55"/>
        <v>DRein.38</v>
      </c>
      <c r="K9" s="24" t="str">
        <f t="shared" ref="K9:L9" si="56">A139</f>
        <v>EI</v>
      </c>
      <c r="L9" s="1" t="str">
        <f t="shared" si="56"/>
        <v>Area24</v>
      </c>
      <c r="M9" s="24" t="str">
        <f t="shared" si="6"/>
        <v>FI</v>
      </c>
      <c r="N9" s="1" t="str">
        <f t="shared" si="7"/>
        <v>Force10</v>
      </c>
      <c r="O9" s="24" t="str">
        <f t="shared" ref="O9:P9" si="57">A191</f>
        <v>GI</v>
      </c>
      <c r="P9" s="1" t="str">
        <f t="shared" si="57"/>
        <v>Force36</v>
      </c>
      <c r="Q9" s="24" t="str">
        <f t="shared" ref="Q9:R9" si="58">A217</f>
        <v>HI</v>
      </c>
      <c r="R9" s="1" t="str">
        <f t="shared" si="58"/>
        <v>Moment22</v>
      </c>
    </row>
    <row r="10" spans="1:261">
      <c r="A10" s="24" t="str">
        <f t="shared" si="0"/>
        <v>J</v>
      </c>
      <c r="B10" s="1" t="s">
        <v>231</v>
      </c>
      <c r="C10" s="24" t="str">
        <f t="shared" ref="C10:D10" si="59">A36</f>
        <v>AJ</v>
      </c>
      <c r="D10" s="1" t="str">
        <f t="shared" si="59"/>
        <v>lb</v>
      </c>
      <c r="E10" s="24" t="str">
        <f t="shared" ref="E10:F10" si="60">A62</f>
        <v>BJ</v>
      </c>
      <c r="F10" s="1" t="str">
        <f t="shared" si="60"/>
        <v>layer</v>
      </c>
      <c r="G10" s="24" t="str">
        <f t="shared" ref="G10:H10" si="61">A88</f>
        <v>CJ</v>
      </c>
      <c r="H10" s="1" t="str">
        <f t="shared" si="61"/>
        <v>DRein.13</v>
      </c>
      <c r="I10" s="24" t="str">
        <f t="shared" ref="I10:J10" si="62">A114</f>
        <v>DJ</v>
      </c>
      <c r="J10" s="1" t="str">
        <f t="shared" si="62"/>
        <v>DRein.39</v>
      </c>
      <c r="K10" s="24" t="str">
        <f t="shared" ref="K10:L10" si="63">A140</f>
        <v>EJ</v>
      </c>
      <c r="L10" s="1" t="str">
        <f t="shared" si="63"/>
        <v>Area25</v>
      </c>
      <c r="M10" s="24" t="str">
        <f t="shared" si="6"/>
        <v>FJ</v>
      </c>
      <c r="N10" s="1" t="str">
        <f t="shared" si="7"/>
        <v>Force11</v>
      </c>
      <c r="O10" s="24" t="str">
        <f t="shared" ref="O10:P10" si="64">A192</f>
        <v>GJ</v>
      </c>
      <c r="P10" s="1" t="str">
        <f t="shared" si="64"/>
        <v>Force37</v>
      </c>
      <c r="Q10" s="24" t="str">
        <f t="shared" ref="Q10:R10" si="65">A218</f>
        <v>HJ</v>
      </c>
      <c r="R10" s="1" t="str">
        <f t="shared" si="65"/>
        <v>Moment23</v>
      </c>
      <c r="T10" s="1" t="s">
        <v>459</v>
      </c>
      <c r="U10" s="1" t="s">
        <v>0</v>
      </c>
      <c r="V10" s="1" t="s">
        <v>230</v>
      </c>
      <c r="W10" s="1" t="s">
        <v>242</v>
      </c>
      <c r="X10" s="7" t="s">
        <v>462</v>
      </c>
      <c r="Y10" s="1" t="s">
        <v>244</v>
      </c>
      <c r="Z10" s="1" t="s">
        <v>245</v>
      </c>
      <c r="AA10" s="7" t="s">
        <v>461</v>
      </c>
      <c r="AB10" s="1" t="s">
        <v>460</v>
      </c>
      <c r="AC10" s="1" t="s">
        <v>231</v>
      </c>
      <c r="AD10" s="1" t="s">
        <v>232</v>
      </c>
      <c r="AE10" s="1" t="s">
        <v>233</v>
      </c>
      <c r="AF10" s="1" t="s">
        <v>234</v>
      </c>
      <c r="AG10" s="3" t="s">
        <v>235</v>
      </c>
      <c r="AH10" s="1" t="s">
        <v>240</v>
      </c>
      <c r="AI10" s="2" t="s">
        <v>229</v>
      </c>
      <c r="AJ10" s="1" t="s">
        <v>241</v>
      </c>
      <c r="AK10" s="18" t="s">
        <v>506</v>
      </c>
      <c r="AL10" s="18" t="s">
        <v>692</v>
      </c>
      <c r="AM10" s="18" t="s">
        <v>693</v>
      </c>
      <c r="AN10" s="18" t="s">
        <v>694</v>
      </c>
      <c r="AO10" s="18" t="s">
        <v>695</v>
      </c>
      <c r="AP10" s="3" t="s">
        <v>502</v>
      </c>
      <c r="AQ10" s="1" t="s">
        <v>503</v>
      </c>
      <c r="AR10" s="1" t="s">
        <v>504</v>
      </c>
      <c r="AS10" s="1" t="s">
        <v>492</v>
      </c>
      <c r="AT10" s="24" t="s">
        <v>505</v>
      </c>
      <c r="AU10" s="24" t="s">
        <v>500</v>
      </c>
      <c r="AV10" s="24" t="s">
        <v>496</v>
      </c>
      <c r="AW10" s="3" t="s">
        <v>494</v>
      </c>
      <c r="AX10" s="1" t="s">
        <v>495</v>
      </c>
      <c r="AY10" s="1" t="s">
        <v>497</v>
      </c>
      <c r="AZ10" s="1" t="s">
        <v>498</v>
      </c>
      <c r="BA10" s="1" t="s">
        <v>464</v>
      </c>
      <c r="BB10" s="24" t="s">
        <v>466</v>
      </c>
      <c r="BC10" s="24" t="s">
        <v>493</v>
      </c>
      <c r="BD10" s="1" t="s">
        <v>487</v>
      </c>
      <c r="BE10" s="1" t="s">
        <v>509</v>
      </c>
      <c r="BF10" s="5" t="s">
        <v>470</v>
      </c>
      <c r="BG10" s="19" t="s">
        <v>510</v>
      </c>
      <c r="BH10" s="35" t="s">
        <v>501</v>
      </c>
      <c r="BI10" s="36" t="s">
        <v>499</v>
      </c>
      <c r="BJ10" s="24" t="s">
        <v>491</v>
      </c>
      <c r="BK10" s="1" t="s">
        <v>603</v>
      </c>
      <c r="BL10" s="1" t="s">
        <v>508</v>
      </c>
      <c r="BM10" s="1" t="s">
        <v>507</v>
      </c>
      <c r="BN10" s="1" t="s">
        <v>604</v>
      </c>
      <c r="BO10" s="1" t="s">
        <v>599</v>
      </c>
      <c r="BP10" s="1" t="s">
        <v>605</v>
      </c>
      <c r="BQ10" s="1" t="s">
        <v>600</v>
      </c>
      <c r="BR10" s="1" t="s">
        <v>512</v>
      </c>
      <c r="BS10" s="33" t="s">
        <v>471</v>
      </c>
      <c r="BT10" s="5" t="s">
        <v>472</v>
      </c>
      <c r="BU10" s="33" t="s">
        <v>486</v>
      </c>
      <c r="BV10" s="5" t="s">
        <v>477</v>
      </c>
      <c r="BW10" s="5" t="s">
        <v>697</v>
      </c>
      <c r="BX10" s="24" t="s">
        <v>465</v>
      </c>
      <c r="BY10" s="24" t="s">
        <v>698</v>
      </c>
      <c r="BZ10" s="24" t="s">
        <v>467</v>
      </c>
      <c r="CA10" s="1" t="s">
        <v>468</v>
      </c>
      <c r="CB10" s="1" t="s">
        <v>469</v>
      </c>
      <c r="CC10" s="1" t="s">
        <v>473</v>
      </c>
      <c r="CD10" s="24" t="s">
        <v>474</v>
      </c>
      <c r="CE10" s="1" t="s">
        <v>475</v>
      </c>
      <c r="CF10" s="1" t="s">
        <v>476</v>
      </c>
      <c r="CG10" s="34" t="s">
        <v>485</v>
      </c>
      <c r="CH10" s="20" t="s">
        <v>484</v>
      </c>
      <c r="CI10" s="20" t="s">
        <v>483</v>
      </c>
      <c r="CJ10" s="24" t="s">
        <v>482</v>
      </c>
      <c r="CK10" s="1" t="s">
        <v>511</v>
      </c>
      <c r="CL10" s="19" t="s">
        <v>490</v>
      </c>
      <c r="CM10" s="19" t="s">
        <v>489</v>
      </c>
      <c r="CN10" s="1" t="s">
        <v>488</v>
      </c>
      <c r="CO10" s="1" t="s">
        <v>601</v>
      </c>
      <c r="CP10" s="1" t="s">
        <v>514</v>
      </c>
      <c r="CQ10" s="1" t="s">
        <v>513</v>
      </c>
      <c r="CR10" s="1" t="s">
        <v>575</v>
      </c>
      <c r="CS10" s="1" t="s">
        <v>602</v>
      </c>
      <c r="CT10" s="1" t="s">
        <v>576</v>
      </c>
      <c r="CU10" s="1" t="s">
        <v>597</v>
      </c>
      <c r="CV10" s="1" t="s">
        <v>598</v>
      </c>
      <c r="CW10" s="1" t="s">
        <v>577</v>
      </c>
      <c r="CX10" s="1" t="s">
        <v>578</v>
      </c>
      <c r="CY10" s="1" t="s">
        <v>579</v>
      </c>
      <c r="CZ10" s="1" t="s">
        <v>580</v>
      </c>
      <c r="DA10" s="1" t="s">
        <v>581</v>
      </c>
      <c r="DB10" s="1" t="s">
        <v>582</v>
      </c>
      <c r="DC10" s="1" t="s">
        <v>583</v>
      </c>
      <c r="DD10" s="1" t="s">
        <v>584</v>
      </c>
      <c r="DE10" s="1" t="s">
        <v>585</v>
      </c>
      <c r="DF10" s="1" t="s">
        <v>586</v>
      </c>
      <c r="DG10" s="1" t="s">
        <v>587</v>
      </c>
      <c r="DH10" s="1" t="s">
        <v>588</v>
      </c>
      <c r="DI10" s="1" t="s">
        <v>589</v>
      </c>
      <c r="DJ10" s="1" t="s">
        <v>590</v>
      </c>
      <c r="DK10" s="1" t="s">
        <v>591</v>
      </c>
      <c r="DL10" s="1" t="s">
        <v>592</v>
      </c>
      <c r="DM10" s="1" t="s">
        <v>593</v>
      </c>
      <c r="DN10" s="1" t="s">
        <v>594</v>
      </c>
      <c r="DO10" s="1" t="s">
        <v>595</v>
      </c>
      <c r="DP10" s="1" t="s">
        <v>596</v>
      </c>
      <c r="DQ10" s="1" t="s">
        <v>622</v>
      </c>
      <c r="DR10" s="1" t="s">
        <v>623</v>
      </c>
      <c r="DS10" s="1" t="s">
        <v>624</v>
      </c>
      <c r="DT10" s="1" t="s">
        <v>625</v>
      </c>
      <c r="DU10" s="1" t="s">
        <v>626</v>
      </c>
      <c r="DV10" s="1" t="s">
        <v>627</v>
      </c>
      <c r="DW10" s="1" t="s">
        <v>628</v>
      </c>
      <c r="DX10" s="1" t="s">
        <v>629</v>
      </c>
      <c r="DY10" s="1" t="s">
        <v>630</v>
      </c>
      <c r="DZ10" s="1" t="s">
        <v>631</v>
      </c>
      <c r="EA10" s="1" t="s">
        <v>652</v>
      </c>
      <c r="EB10" s="1" t="s">
        <v>653</v>
      </c>
      <c r="EC10" s="1" t="s">
        <v>654</v>
      </c>
      <c r="ED10" s="1" t="s">
        <v>655</v>
      </c>
      <c r="EE10" s="1" t="s">
        <v>656</v>
      </c>
      <c r="EF10" s="1" t="s">
        <v>657</v>
      </c>
      <c r="EG10" s="1" t="s">
        <v>658</v>
      </c>
      <c r="EH10" s="1" t="s">
        <v>659</v>
      </c>
      <c r="EI10" s="1" t="s">
        <v>660</v>
      </c>
      <c r="EJ10" s="1" t="s">
        <v>661</v>
      </c>
      <c r="EK10" s="1" t="s">
        <v>515</v>
      </c>
      <c r="EL10" s="1" t="s">
        <v>516</v>
      </c>
      <c r="EM10" s="1" t="s">
        <v>517</v>
      </c>
      <c r="EN10" s="1" t="s">
        <v>518</v>
      </c>
      <c r="EO10" s="1" t="s">
        <v>519</v>
      </c>
      <c r="EP10" s="1" t="s">
        <v>520</v>
      </c>
      <c r="EQ10" s="1" t="s">
        <v>521</v>
      </c>
      <c r="ER10" s="1" t="s">
        <v>522</v>
      </c>
      <c r="ES10" s="1" t="s">
        <v>523</v>
      </c>
      <c r="ET10" s="1" t="s">
        <v>524</v>
      </c>
      <c r="EU10" s="1" t="s">
        <v>525</v>
      </c>
      <c r="EV10" s="1" t="s">
        <v>526</v>
      </c>
      <c r="EW10" s="1" t="s">
        <v>527</v>
      </c>
      <c r="EX10" s="1" t="s">
        <v>528</v>
      </c>
      <c r="EY10" s="1" t="s">
        <v>529</v>
      </c>
      <c r="EZ10" s="1" t="s">
        <v>530</v>
      </c>
      <c r="FA10" s="1" t="s">
        <v>531</v>
      </c>
      <c r="FB10" s="1" t="s">
        <v>532</v>
      </c>
      <c r="FC10" s="1" t="s">
        <v>533</v>
      </c>
      <c r="FD10" s="1" t="s">
        <v>534</v>
      </c>
      <c r="FE10" s="1" t="s">
        <v>632</v>
      </c>
      <c r="FF10" s="1" t="s">
        <v>633</v>
      </c>
      <c r="FG10" s="1" t="s">
        <v>634</v>
      </c>
      <c r="FH10" s="1" t="s">
        <v>635</v>
      </c>
      <c r="FI10" s="1" t="s">
        <v>636</v>
      </c>
      <c r="FJ10" s="1" t="s">
        <v>637</v>
      </c>
      <c r="FK10" s="1" t="s">
        <v>638</v>
      </c>
      <c r="FL10" s="1" t="s">
        <v>639</v>
      </c>
      <c r="FM10" s="1" t="s">
        <v>640</v>
      </c>
      <c r="FN10" s="1" t="s">
        <v>641</v>
      </c>
      <c r="FO10" s="1" t="s">
        <v>682</v>
      </c>
      <c r="FP10" s="1" t="s">
        <v>683</v>
      </c>
      <c r="FQ10" s="1" t="s">
        <v>684</v>
      </c>
      <c r="FR10" s="1" t="s">
        <v>685</v>
      </c>
      <c r="FS10" s="1" t="s">
        <v>686</v>
      </c>
      <c r="FT10" s="1" t="s">
        <v>687</v>
      </c>
      <c r="FU10" s="1" t="s">
        <v>688</v>
      </c>
      <c r="FV10" s="1" t="s">
        <v>689</v>
      </c>
      <c r="FW10" s="1" t="s">
        <v>690</v>
      </c>
      <c r="FX10" s="1" t="s">
        <v>691</v>
      </c>
      <c r="FY10" s="1" t="s">
        <v>535</v>
      </c>
      <c r="FZ10" s="1" t="s">
        <v>536</v>
      </c>
      <c r="GA10" s="1" t="s">
        <v>537</v>
      </c>
      <c r="GB10" s="1" t="s">
        <v>538</v>
      </c>
      <c r="GC10" s="1" t="s">
        <v>539</v>
      </c>
      <c r="GD10" s="1" t="s">
        <v>540</v>
      </c>
      <c r="GE10" s="1" t="s">
        <v>541</v>
      </c>
      <c r="GF10" s="1" t="s">
        <v>542</v>
      </c>
      <c r="GG10" s="1" t="s">
        <v>543</v>
      </c>
      <c r="GH10" s="1" t="s">
        <v>544</v>
      </c>
      <c r="GI10" s="1" t="s">
        <v>545</v>
      </c>
      <c r="GJ10" s="1" t="s">
        <v>546</v>
      </c>
      <c r="GK10" s="1" t="s">
        <v>547</v>
      </c>
      <c r="GL10" s="1" t="s">
        <v>548</v>
      </c>
      <c r="GM10" s="1" t="s">
        <v>549</v>
      </c>
      <c r="GN10" s="1" t="s">
        <v>550</v>
      </c>
      <c r="GO10" s="1" t="s">
        <v>551</v>
      </c>
      <c r="GP10" s="1" t="s">
        <v>552</v>
      </c>
      <c r="GQ10" s="1" t="s">
        <v>553</v>
      </c>
      <c r="GR10" s="1" t="s">
        <v>554</v>
      </c>
      <c r="GS10" s="1" t="s">
        <v>612</v>
      </c>
      <c r="GT10" s="1" t="s">
        <v>613</v>
      </c>
      <c r="GU10" s="1" t="s">
        <v>614</v>
      </c>
      <c r="GV10" s="1" t="s">
        <v>615</v>
      </c>
      <c r="GW10" s="1" t="s">
        <v>616</v>
      </c>
      <c r="GX10" s="1" t="s">
        <v>617</v>
      </c>
      <c r="GY10" s="1" t="s">
        <v>618</v>
      </c>
      <c r="GZ10" s="1" t="s">
        <v>619</v>
      </c>
      <c r="HA10" s="1" t="s">
        <v>620</v>
      </c>
      <c r="HB10" s="1" t="s">
        <v>621</v>
      </c>
      <c r="HC10" s="1" t="s">
        <v>662</v>
      </c>
      <c r="HD10" s="1" t="s">
        <v>663</v>
      </c>
      <c r="HE10" s="1" t="s">
        <v>664</v>
      </c>
      <c r="HF10" s="1" t="s">
        <v>665</v>
      </c>
      <c r="HG10" s="1" t="s">
        <v>666</v>
      </c>
      <c r="HH10" s="1" t="s">
        <v>667</v>
      </c>
      <c r="HI10" s="1" t="s">
        <v>668</v>
      </c>
      <c r="HJ10" s="1" t="s">
        <v>669</v>
      </c>
      <c r="HK10" s="1" t="s">
        <v>670</v>
      </c>
      <c r="HL10" s="1" t="s">
        <v>671</v>
      </c>
      <c r="HM10" s="1" t="s">
        <v>555</v>
      </c>
      <c r="HN10" s="1" t="s">
        <v>556</v>
      </c>
      <c r="HO10" s="1" t="s">
        <v>557</v>
      </c>
      <c r="HP10" s="1" t="s">
        <v>558</v>
      </c>
      <c r="HQ10" s="1" t="s">
        <v>559</v>
      </c>
      <c r="HR10" s="1" t="s">
        <v>560</v>
      </c>
      <c r="HS10" s="1" t="s">
        <v>561</v>
      </c>
      <c r="HT10" s="1" t="s">
        <v>562</v>
      </c>
      <c r="HU10" s="1" t="s">
        <v>563</v>
      </c>
      <c r="HV10" s="1" t="s">
        <v>564</v>
      </c>
      <c r="HW10" s="1" t="s">
        <v>565</v>
      </c>
      <c r="HX10" s="1" t="s">
        <v>566</v>
      </c>
      <c r="HY10" s="1" t="s">
        <v>567</v>
      </c>
      <c r="HZ10" s="1" t="s">
        <v>568</v>
      </c>
      <c r="IA10" s="1" t="s">
        <v>569</v>
      </c>
      <c r="IB10" s="1" t="s">
        <v>570</v>
      </c>
      <c r="IC10" s="1" t="s">
        <v>571</v>
      </c>
      <c r="ID10" s="1" t="s">
        <v>572</v>
      </c>
      <c r="IE10" s="1" t="s">
        <v>573</v>
      </c>
      <c r="IF10" s="1" t="s">
        <v>574</v>
      </c>
      <c r="IG10" s="1" t="s">
        <v>642</v>
      </c>
      <c r="IH10" s="1" t="s">
        <v>643</v>
      </c>
      <c r="II10" s="1" t="s">
        <v>644</v>
      </c>
      <c r="IJ10" s="1" t="s">
        <v>645</v>
      </c>
      <c r="IK10" s="1" t="s">
        <v>646</v>
      </c>
      <c r="IL10" s="1" t="s">
        <v>647</v>
      </c>
      <c r="IM10" s="1" t="s">
        <v>648</v>
      </c>
      <c r="IN10" s="1" t="s">
        <v>649</v>
      </c>
      <c r="IO10" s="1" t="s">
        <v>650</v>
      </c>
      <c r="IP10" s="1" t="s">
        <v>651</v>
      </c>
      <c r="IQ10" s="1" t="s">
        <v>672</v>
      </c>
      <c r="IR10" s="1" t="s">
        <v>673</v>
      </c>
      <c r="IS10" s="1" t="s">
        <v>674</v>
      </c>
      <c r="IT10" s="1" t="s">
        <v>675</v>
      </c>
      <c r="IU10" s="1" t="s">
        <v>676</v>
      </c>
      <c r="IV10" s="1" t="s">
        <v>677</v>
      </c>
      <c r="IW10" s="1" t="s">
        <v>678</v>
      </c>
      <c r="IX10" s="1" t="s">
        <v>679</v>
      </c>
      <c r="IY10" s="1" t="s">
        <v>680</v>
      </c>
      <c r="IZ10" s="1" t="s">
        <v>681</v>
      </c>
      <c r="JA10" s="1" t="s">
        <v>696</v>
      </c>
    </row>
    <row r="11" spans="1:261">
      <c r="A11" s="24" t="str">
        <f t="shared" si="0"/>
        <v>K</v>
      </c>
      <c r="B11" s="1" t="s">
        <v>232</v>
      </c>
      <c r="C11" s="24" t="str">
        <f t="shared" ref="C11:D11" si="66">A37</f>
        <v>AK</v>
      </c>
      <c r="D11" s="1" t="str">
        <f t="shared" si="66"/>
        <v>as'</v>
      </c>
      <c r="E11" s="24" t="str">
        <f t="shared" ref="E11:F11" si="67">A63</f>
        <v>BK</v>
      </c>
      <c r="F11" s="1" t="str">
        <f t="shared" si="67"/>
        <v>Ash</v>
      </c>
      <c r="G11" s="24" t="str">
        <f t="shared" ref="G11:H11" si="68">A89</f>
        <v>CK</v>
      </c>
      <c r="H11" s="1" t="str">
        <f t="shared" si="68"/>
        <v>DRein.14</v>
      </c>
      <c r="I11" s="24" t="str">
        <f t="shared" ref="I11:J11" si="69">A115</f>
        <v>DK</v>
      </c>
      <c r="J11" s="1" t="str">
        <f t="shared" si="69"/>
        <v>DRein.40</v>
      </c>
      <c r="K11" s="24" t="str">
        <f t="shared" ref="K11:L11" si="70">A141</f>
        <v>EK</v>
      </c>
      <c r="L11" s="1" t="str">
        <f t="shared" si="70"/>
        <v>Area26</v>
      </c>
      <c r="M11" s="24" t="str">
        <f t="shared" si="6"/>
        <v>FK</v>
      </c>
      <c r="N11" s="1" t="str">
        <f t="shared" si="7"/>
        <v>Force12</v>
      </c>
      <c r="O11" s="24" t="str">
        <f t="shared" ref="O11:P11" si="71">A193</f>
        <v>GK</v>
      </c>
      <c r="P11" s="1" t="str">
        <f t="shared" si="71"/>
        <v>Force38</v>
      </c>
      <c r="Q11" s="24" t="str">
        <f t="shared" ref="Q11:R11" si="72">A219</f>
        <v>HK</v>
      </c>
      <c r="R11" s="1" t="str">
        <f t="shared" si="72"/>
        <v>Moment24</v>
      </c>
    </row>
    <row r="12" spans="1:261">
      <c r="A12" s="24" t="str">
        <f t="shared" si="0"/>
        <v>L</v>
      </c>
      <c r="B12" s="1" t="s">
        <v>233</v>
      </c>
      <c r="C12" s="24" t="str">
        <f t="shared" ref="C12:D12" si="73">A38</f>
        <v>AL</v>
      </c>
      <c r="D12" s="1" t="str">
        <f t="shared" si="73"/>
        <v>lweb</v>
      </c>
      <c r="E12" s="24" t="str">
        <f t="shared" ref="E12:F12" si="74">A64</f>
        <v>BL</v>
      </c>
      <c r="F12" s="1" t="str">
        <f t="shared" si="74"/>
        <v>Asw</v>
      </c>
      <c r="G12" s="24" t="str">
        <f t="shared" ref="G12:H12" si="75">A90</f>
        <v>CL</v>
      </c>
      <c r="H12" s="1" t="str">
        <f t="shared" si="75"/>
        <v>DRein.15</v>
      </c>
      <c r="I12" s="24" t="str">
        <f t="shared" ref="I12:J12" si="76">A116</f>
        <v>DL</v>
      </c>
      <c r="J12" s="1" t="str">
        <f t="shared" si="76"/>
        <v>Area1</v>
      </c>
      <c r="K12" s="24" t="str">
        <f t="shared" ref="K12:L12" si="77">A142</f>
        <v>EL</v>
      </c>
      <c r="L12" s="1" t="str">
        <f t="shared" si="77"/>
        <v>Area27</v>
      </c>
      <c r="M12" s="24" t="str">
        <f t="shared" si="6"/>
        <v>FL</v>
      </c>
      <c r="N12" s="1" t="str">
        <f t="shared" si="7"/>
        <v>Force13</v>
      </c>
      <c r="O12" s="24" t="str">
        <f t="shared" ref="O12:P12" si="78">A194</f>
        <v>GL</v>
      </c>
      <c r="P12" s="1" t="str">
        <f t="shared" si="78"/>
        <v>Force39</v>
      </c>
      <c r="Q12" s="24" t="str">
        <f t="shared" ref="Q12:R12" si="79">A220</f>
        <v>HL</v>
      </c>
      <c r="R12" s="1" t="str">
        <f t="shared" si="79"/>
        <v>Moment25</v>
      </c>
    </row>
    <row r="13" spans="1:261">
      <c r="A13" s="24" t="str">
        <f t="shared" si="0"/>
        <v>M</v>
      </c>
      <c r="B13" s="1" t="s">
        <v>234</v>
      </c>
      <c r="C13" s="24" t="str">
        <f t="shared" ref="C13:D13" si="80">A39</f>
        <v>AM</v>
      </c>
      <c r="D13" s="1" t="str">
        <f t="shared" si="80"/>
        <v>lw0</v>
      </c>
      <c r="E13" s="24" t="str">
        <f t="shared" ref="E13:F13" si="81">A65</f>
        <v>BM</v>
      </c>
      <c r="F13" s="1" t="str">
        <f t="shared" si="81"/>
        <v>Asv1</v>
      </c>
      <c r="G13" s="24" t="str">
        <f t="shared" ref="G13:H13" si="82">A91</f>
        <v>CM</v>
      </c>
      <c r="H13" s="1" t="str">
        <f t="shared" si="82"/>
        <v>DRein.16</v>
      </c>
      <c r="I13" s="24" t="str">
        <f t="shared" ref="I13:J13" si="83">A117</f>
        <v>DM</v>
      </c>
      <c r="J13" s="1" t="str">
        <f t="shared" si="83"/>
        <v>Area2</v>
      </c>
      <c r="K13" s="24" t="str">
        <f t="shared" ref="K13:L13" si="84">A143</f>
        <v>EM</v>
      </c>
      <c r="L13" s="1" t="str">
        <f t="shared" si="84"/>
        <v>Area28</v>
      </c>
      <c r="M13" s="24" t="str">
        <f t="shared" si="6"/>
        <v>FM</v>
      </c>
      <c r="N13" s="1" t="str">
        <f t="shared" si="7"/>
        <v>Force14</v>
      </c>
      <c r="O13" s="24" t="str">
        <f t="shared" ref="O13:P13" si="85">A195</f>
        <v>GM</v>
      </c>
      <c r="P13" s="1" t="str">
        <f t="shared" si="85"/>
        <v>Force40</v>
      </c>
      <c r="Q13" s="24" t="str">
        <f t="shared" ref="Q13:R13" si="86">A221</f>
        <v>HM</v>
      </c>
      <c r="R13" s="1" t="str">
        <f t="shared" si="86"/>
        <v>Moment26</v>
      </c>
    </row>
    <row r="14" spans="1:261">
      <c r="A14" s="24" t="str">
        <f t="shared" si="0"/>
        <v>N</v>
      </c>
      <c r="B14" s="3" t="s">
        <v>235</v>
      </c>
      <c r="C14" s="24" t="str">
        <f t="shared" ref="C14:D14" si="87">A40</f>
        <v>AN</v>
      </c>
      <c r="D14" s="1" t="str">
        <f t="shared" si="87"/>
        <v>x_l</v>
      </c>
      <c r="E14" s="24" t="str">
        <f t="shared" ref="E14:F14" si="88">A66</f>
        <v>BN</v>
      </c>
      <c r="F14" s="1" t="str">
        <f t="shared" si="88"/>
        <v>nv</v>
      </c>
      <c r="G14" s="24" t="str">
        <f t="shared" ref="G14:H14" si="89">A92</f>
        <v>CN</v>
      </c>
      <c r="H14" s="1" t="str">
        <f t="shared" si="89"/>
        <v>DRein.17</v>
      </c>
      <c r="I14" s="24" t="str">
        <f t="shared" ref="I14:J14" si="90">A118</f>
        <v>DN</v>
      </c>
      <c r="J14" s="1" t="str">
        <f t="shared" si="90"/>
        <v>Area3</v>
      </c>
      <c r="K14" s="24" t="str">
        <f t="shared" ref="K14:L14" si="91">A144</f>
        <v>EN</v>
      </c>
      <c r="L14" s="1" t="str">
        <f t="shared" si="91"/>
        <v>Area29</v>
      </c>
      <c r="M14" s="24" t="str">
        <f t="shared" si="6"/>
        <v>FN</v>
      </c>
      <c r="N14" s="1" t="str">
        <f t="shared" si="7"/>
        <v>Force15</v>
      </c>
      <c r="O14" s="24" t="str">
        <f t="shared" ref="O14:P14" si="92">A196</f>
        <v>GN</v>
      </c>
      <c r="P14" s="1" t="str">
        <f t="shared" si="92"/>
        <v>Moment1</v>
      </c>
      <c r="Q14" s="24" t="str">
        <f t="shared" ref="Q14:R14" si="93">A222</f>
        <v>HN</v>
      </c>
      <c r="R14" s="1" t="str">
        <f t="shared" si="93"/>
        <v>Moment27</v>
      </c>
    </row>
    <row r="15" spans="1:261">
      <c r="A15" s="24" t="str">
        <f t="shared" si="0"/>
        <v>O</v>
      </c>
      <c r="B15" s="1" t="s">
        <v>240</v>
      </c>
      <c r="C15" s="24" t="str">
        <f t="shared" ref="C15:D15" si="94">A41</f>
        <v>AO</v>
      </c>
      <c r="D15" s="1" t="str">
        <f t="shared" si="94"/>
        <v>xi_b</v>
      </c>
      <c r="E15" s="24" t="str">
        <f t="shared" ref="E15:F15" si="95">A67</f>
        <v>BO</v>
      </c>
      <c r="F15" s="1" t="str">
        <f t="shared" si="95"/>
        <v>Asv</v>
      </c>
      <c r="G15" s="24" t="str">
        <f t="shared" ref="G15:H15" si="96">A93</f>
        <v>CO</v>
      </c>
      <c r="H15" s="1" t="str">
        <f t="shared" si="96"/>
        <v>DRein.18</v>
      </c>
      <c r="I15" s="24" t="str">
        <f t="shared" ref="I15:J15" si="97">A119</f>
        <v>DO</v>
      </c>
      <c r="J15" s="1" t="str">
        <f t="shared" si="97"/>
        <v>Area4</v>
      </c>
      <c r="K15" s="24" t="str">
        <f t="shared" ref="K15:L15" si="98">A145</f>
        <v>EO</v>
      </c>
      <c r="L15" s="1" t="str">
        <f t="shared" si="98"/>
        <v>Area30</v>
      </c>
      <c r="M15" s="24" t="str">
        <f t="shared" si="6"/>
        <v>FO</v>
      </c>
      <c r="N15" s="1" t="str">
        <f t="shared" si="7"/>
        <v>Force16</v>
      </c>
      <c r="O15" s="24" t="str">
        <f t="shared" ref="O15:P15" si="99">A197</f>
        <v>GO</v>
      </c>
      <c r="P15" s="1" t="str">
        <f t="shared" si="99"/>
        <v>Moment2</v>
      </c>
      <c r="Q15" s="24" t="str">
        <f t="shared" ref="Q15:R15" si="100">A223</f>
        <v>HO</v>
      </c>
      <c r="R15" s="1" t="str">
        <f t="shared" si="100"/>
        <v>Moment28</v>
      </c>
    </row>
    <row r="16" spans="1:261">
      <c r="A16" s="24" t="str">
        <f t="shared" si="0"/>
        <v>P</v>
      </c>
      <c r="B16" s="2" t="s">
        <v>229</v>
      </c>
      <c r="C16" s="24" t="str">
        <f t="shared" ref="C16:D16" si="101">A42</f>
        <v>AP</v>
      </c>
      <c r="D16" s="1" t="str">
        <f t="shared" si="101"/>
        <v>xi</v>
      </c>
      <c r="E16" s="24" t="str">
        <f t="shared" ref="E16:F16" si="102">A68</f>
        <v>BP</v>
      </c>
      <c r="F16" s="1" t="str">
        <f t="shared" si="102"/>
        <v>V@moment</v>
      </c>
      <c r="G16" s="24" t="str">
        <f t="shared" ref="G16:H16" si="103">A94</f>
        <v>CP</v>
      </c>
      <c r="H16" s="1" t="str">
        <f t="shared" si="103"/>
        <v>DRein.19</v>
      </c>
      <c r="I16" s="24" t="str">
        <f t="shared" ref="I16:J16" si="104">A120</f>
        <v>DP</v>
      </c>
      <c r="J16" s="1" t="str">
        <f t="shared" si="104"/>
        <v>Area5</v>
      </c>
      <c r="K16" s="24" t="str">
        <f t="shared" ref="K16:L16" si="105">A146</f>
        <v>EP</v>
      </c>
      <c r="L16" s="1" t="str">
        <f t="shared" si="105"/>
        <v>Area31</v>
      </c>
      <c r="M16" s="24" t="str">
        <f t="shared" si="6"/>
        <v>FP</v>
      </c>
      <c r="N16" s="1" t="str">
        <f t="shared" si="7"/>
        <v>Force17</v>
      </c>
      <c r="O16" s="24" t="str">
        <f t="shared" ref="O16:P16" si="106">A198</f>
        <v>GP</v>
      </c>
      <c r="P16" s="1" t="str">
        <f t="shared" si="106"/>
        <v>Moment3</v>
      </c>
      <c r="Q16" s="24" t="str">
        <f t="shared" ref="Q16:R16" si="107">A224</f>
        <v>HP</v>
      </c>
      <c r="R16" s="1" t="str">
        <f t="shared" si="107"/>
        <v>Moment29</v>
      </c>
    </row>
    <row r="17" spans="1:18">
      <c r="A17" s="24" t="str">
        <f t="shared" si="0"/>
        <v>Q</v>
      </c>
      <c r="B17" s="1" t="s">
        <v>241</v>
      </c>
      <c r="C17" s="24" t="str">
        <f t="shared" ref="C17:D17" si="108">A43</f>
        <v>AQ</v>
      </c>
      <c r="D17" s="1" t="str">
        <f t="shared" si="108"/>
        <v>x_l&gt;=2as'?</v>
      </c>
      <c r="E17" s="24" t="str">
        <f t="shared" ref="E17:F17" si="109">A69</f>
        <v>BQ</v>
      </c>
      <c r="F17" s="1" t="str">
        <f t="shared" si="109"/>
        <v>ForceEquilibrium</v>
      </c>
      <c r="G17" s="24" t="str">
        <f t="shared" ref="G17:H17" si="110">A95</f>
        <v>CQ</v>
      </c>
      <c r="H17" s="1" t="str">
        <f t="shared" si="110"/>
        <v>DRein.20</v>
      </c>
      <c r="I17" s="24" t="str">
        <f t="shared" ref="I17:J17" si="111">A121</f>
        <v>DQ</v>
      </c>
      <c r="J17" s="1" t="str">
        <f t="shared" si="111"/>
        <v>Area6</v>
      </c>
      <c r="K17" s="24" t="str">
        <f t="shared" ref="K17:L17" si="112">A147</f>
        <v>EQ</v>
      </c>
      <c r="L17" s="1" t="str">
        <f t="shared" si="112"/>
        <v>Area32</v>
      </c>
      <c r="M17" s="24" t="str">
        <f t="shared" si="6"/>
        <v>FQ</v>
      </c>
      <c r="N17" s="1" t="str">
        <f t="shared" si="7"/>
        <v>Force18</v>
      </c>
      <c r="O17" s="24" t="str">
        <f t="shared" ref="O17:P17" si="113">A199</f>
        <v>GQ</v>
      </c>
      <c r="P17" s="1" t="str">
        <f t="shared" si="113"/>
        <v>Moment4</v>
      </c>
      <c r="Q17" s="24" t="str">
        <f t="shared" ref="Q17:R17" si="114">A225</f>
        <v>HQ</v>
      </c>
      <c r="R17" s="1" t="str">
        <f t="shared" si="114"/>
        <v>Moment30</v>
      </c>
    </row>
    <row r="18" spans="1:18">
      <c r="A18" s="24" t="str">
        <f t="shared" si="0"/>
        <v>R</v>
      </c>
      <c r="B18" s="3" t="s">
        <v>506</v>
      </c>
      <c r="C18" s="24" t="str">
        <f t="shared" ref="C18:D18" si="115">A44</f>
        <v>AR</v>
      </c>
      <c r="D18" s="1" t="str">
        <f t="shared" si="115"/>
        <v>xi&lt;=xi_b?</v>
      </c>
      <c r="E18" s="24" t="str">
        <f t="shared" ref="E18:F18" si="116">A70</f>
        <v>BR</v>
      </c>
      <c r="F18" s="1" t="str">
        <f t="shared" si="116"/>
        <v>Moment</v>
      </c>
      <c r="G18" s="24" t="str">
        <f t="shared" ref="G18:H18" si="117">A96</f>
        <v>CR</v>
      </c>
      <c r="H18" s="1" t="str">
        <f t="shared" si="117"/>
        <v>DRein.21</v>
      </c>
      <c r="I18" s="24" t="str">
        <f t="shared" ref="I18:J18" si="118">A122</f>
        <v>DR</v>
      </c>
      <c r="J18" s="1" t="str">
        <f t="shared" si="118"/>
        <v>Area7</v>
      </c>
      <c r="K18" s="24" t="str">
        <f t="shared" ref="K18:L18" si="119">A148</f>
        <v>ER</v>
      </c>
      <c r="L18" s="1" t="str">
        <f t="shared" si="119"/>
        <v>Area33</v>
      </c>
      <c r="M18" s="24" t="str">
        <f t="shared" si="6"/>
        <v>FR</v>
      </c>
      <c r="N18" s="1" t="str">
        <f t="shared" si="7"/>
        <v>Force19</v>
      </c>
      <c r="O18" s="24" t="str">
        <f t="shared" ref="O18:P18" si="120">A200</f>
        <v>GR</v>
      </c>
      <c r="P18" s="1" t="str">
        <f t="shared" si="120"/>
        <v>Moment5</v>
      </c>
      <c r="Q18" s="24" t="str">
        <f t="shared" ref="Q18:R18" si="121">A226</f>
        <v>HR</v>
      </c>
      <c r="R18" s="1" t="str">
        <f t="shared" si="121"/>
        <v>Moment31</v>
      </c>
    </row>
    <row r="19" spans="1:18">
      <c r="A19" s="24" t="str">
        <f t="shared" si="0"/>
        <v>S</v>
      </c>
      <c r="B19" s="3" t="s">
        <v>502</v>
      </c>
      <c r="C19" s="24" t="str">
        <f t="shared" ref="C19:D19" si="122">A45</f>
        <v>AS</v>
      </c>
      <c r="D19" s="1" t="str">
        <f t="shared" si="122"/>
        <v>LEC?</v>
      </c>
      <c r="E19" s="24" t="str">
        <f t="shared" ref="E19:F19" si="123">A71</f>
        <v>BS</v>
      </c>
      <c r="F19" s="1" t="str">
        <f t="shared" si="123"/>
        <v>x_real</v>
      </c>
      <c r="G19" s="24" t="str">
        <f t="shared" ref="G19:H19" si="124">A97</f>
        <v>CS</v>
      </c>
      <c r="H19" s="1" t="str">
        <f t="shared" si="124"/>
        <v>DRein.22</v>
      </c>
      <c r="I19" s="24" t="str">
        <f t="shared" ref="I19:J19" si="125">A123</f>
        <v>DS</v>
      </c>
      <c r="J19" s="1" t="str">
        <f t="shared" si="125"/>
        <v>Area8</v>
      </c>
      <c r="K19" s="24" t="str">
        <f t="shared" ref="K19:L19" si="126">A149</f>
        <v>ES</v>
      </c>
      <c r="L19" s="1" t="str">
        <f t="shared" si="126"/>
        <v>Area34</v>
      </c>
      <c r="M19" s="24" t="str">
        <f t="shared" si="6"/>
        <v>FS</v>
      </c>
      <c r="N19" s="1" t="str">
        <f t="shared" si="7"/>
        <v>Force20</v>
      </c>
      <c r="O19" s="24" t="str">
        <f t="shared" ref="O19:P19" si="127">A201</f>
        <v>GS</v>
      </c>
      <c r="P19" s="1" t="str">
        <f t="shared" si="127"/>
        <v>Moment6</v>
      </c>
      <c r="Q19" s="24" t="str">
        <f t="shared" ref="Q19:R19" si="128">A227</f>
        <v>HS</v>
      </c>
      <c r="R19" s="1" t="str">
        <f t="shared" si="128"/>
        <v>Moment32</v>
      </c>
    </row>
    <row r="20" spans="1:18">
      <c r="A20" s="24" t="str">
        <f t="shared" si="0"/>
        <v>T</v>
      </c>
      <c r="B20" s="1" t="s">
        <v>503</v>
      </c>
      <c r="C20" s="24" t="str">
        <f t="shared" ref="C20:D20" si="129">A46</f>
        <v>AT</v>
      </c>
      <c r="D20" s="1" t="str">
        <f t="shared" si="129"/>
        <v>满足xi不满足as'</v>
      </c>
      <c r="E20" s="24" t="str">
        <f t="shared" ref="E20:F20" si="130">A72</f>
        <v>BT</v>
      </c>
      <c r="F20" s="1" t="str">
        <f t="shared" si="130"/>
        <v>xi&gt;xi_b?</v>
      </c>
      <c r="G20" s="24" t="str">
        <f t="shared" ref="G20:H20" si="131">A98</f>
        <v>CT</v>
      </c>
      <c r="H20" s="1" t="str">
        <f t="shared" si="131"/>
        <v>DRein.23</v>
      </c>
      <c r="I20" s="24" t="str">
        <f t="shared" ref="I20:J20" si="132">A124</f>
        <v>DT</v>
      </c>
      <c r="J20" s="1" t="str">
        <f t="shared" si="132"/>
        <v>Area9</v>
      </c>
      <c r="K20" s="24" t="str">
        <f t="shared" ref="K20:L20" si="133">A150</f>
        <v>ET</v>
      </c>
      <c r="L20" s="1" t="str">
        <f t="shared" si="133"/>
        <v>Area35</v>
      </c>
      <c r="M20" s="24" t="str">
        <f t="shared" si="6"/>
        <v>FT</v>
      </c>
      <c r="N20" s="1" t="str">
        <f t="shared" si="7"/>
        <v>Force21</v>
      </c>
      <c r="O20" s="24" t="str">
        <f t="shared" ref="O20:P20" si="134">A202</f>
        <v>GT</v>
      </c>
      <c r="P20" s="1" t="str">
        <f t="shared" si="134"/>
        <v>Moment7</v>
      </c>
      <c r="Q20" s="24" t="str">
        <f t="shared" ref="Q20:R20" si="135">A228</f>
        <v>HT</v>
      </c>
      <c r="R20" s="1" t="str">
        <f t="shared" si="135"/>
        <v>Moment33</v>
      </c>
    </row>
    <row r="21" spans="1:18">
      <c r="A21" s="24" t="str">
        <f t="shared" si="0"/>
        <v>U</v>
      </c>
      <c r="B21" s="1" t="s">
        <v>504</v>
      </c>
      <c r="C21" s="24" t="str">
        <f t="shared" ref="C21:D21" si="136">A47</f>
        <v>AU</v>
      </c>
      <c r="D21" s="1" t="str">
        <f t="shared" si="136"/>
        <v>SEC?</v>
      </c>
      <c r="E21" s="24" t="str">
        <f t="shared" ref="E21:F21" si="137">A73</f>
        <v>BU</v>
      </c>
      <c r="F21" s="1" t="str">
        <f t="shared" si="137"/>
        <v>eps_cu</v>
      </c>
      <c r="G21" s="24" t="str">
        <f t="shared" ref="G21:H21" si="138">A99</f>
        <v>CU</v>
      </c>
      <c r="H21" s="1" t="str">
        <f t="shared" si="138"/>
        <v>DRein.24</v>
      </c>
      <c r="I21" s="24" t="str">
        <f t="shared" ref="I21:J21" si="139">A125</f>
        <v>DU</v>
      </c>
      <c r="J21" s="1" t="str">
        <f t="shared" si="139"/>
        <v>Area10</v>
      </c>
      <c r="K21" s="24" t="str">
        <f t="shared" ref="K21:L21" si="140">A151</f>
        <v>EU</v>
      </c>
      <c r="L21" s="1" t="str">
        <f t="shared" si="140"/>
        <v>Area36</v>
      </c>
      <c r="M21" s="24" t="str">
        <f t="shared" si="6"/>
        <v>FU</v>
      </c>
      <c r="N21" s="1" t="str">
        <f t="shared" si="7"/>
        <v>Force22</v>
      </c>
      <c r="O21" s="24" t="str">
        <f t="shared" ref="O21:P21" si="141">A203</f>
        <v>GU</v>
      </c>
      <c r="P21" s="1" t="str">
        <f t="shared" si="141"/>
        <v>Moment8</v>
      </c>
      <c r="Q21" s="24" t="str">
        <f t="shared" ref="Q21:R21" si="142">A229</f>
        <v>HU</v>
      </c>
      <c r="R21" s="1" t="str">
        <f t="shared" si="142"/>
        <v>Moment34</v>
      </c>
    </row>
    <row r="22" spans="1:18">
      <c r="A22" s="24" t="str">
        <f t="shared" si="0"/>
        <v>V</v>
      </c>
      <c r="B22" s="1" t="s">
        <v>492</v>
      </c>
      <c r="C22" s="24" t="str">
        <f t="shared" ref="C22:D22" si="143">A48</f>
        <v>AV</v>
      </c>
      <c r="D22" s="1" t="str">
        <f t="shared" si="143"/>
        <v>tw</v>
      </c>
      <c r="E22" s="24" t="str">
        <f t="shared" ref="E22:F22" si="144">A74</f>
        <v>BV</v>
      </c>
      <c r="F22" s="1" t="str">
        <f t="shared" si="144"/>
        <v>Ec</v>
      </c>
      <c r="G22" s="24" t="str">
        <f t="shared" ref="G22:H22" si="145">A100</f>
        <v>CV</v>
      </c>
      <c r="H22" s="1" t="str">
        <f t="shared" si="145"/>
        <v>DRein.25</v>
      </c>
      <c r="I22" s="24" t="str">
        <f t="shared" ref="I22:J22" si="146">A126</f>
        <v>DV</v>
      </c>
      <c r="J22" s="1" t="str">
        <f t="shared" si="146"/>
        <v>Area11</v>
      </c>
      <c r="K22" s="24" t="str">
        <f t="shared" ref="K22:L22" si="147">A152</f>
        <v>EV</v>
      </c>
      <c r="L22" s="1" t="str">
        <f t="shared" si="147"/>
        <v>Area37</v>
      </c>
      <c r="M22" s="24" t="str">
        <f t="shared" si="6"/>
        <v>FV</v>
      </c>
      <c r="N22" s="1" t="str">
        <f t="shared" si="7"/>
        <v>Force23</v>
      </c>
      <c r="O22" s="24" t="str">
        <f t="shared" ref="O22:P22" si="148">A204</f>
        <v>GV</v>
      </c>
      <c r="P22" s="1" t="str">
        <f t="shared" si="148"/>
        <v>Moment9</v>
      </c>
      <c r="Q22" s="24" t="str">
        <f t="shared" ref="Q22:R22" si="149">A230</f>
        <v>HV</v>
      </c>
      <c r="R22" s="1" t="str">
        <f t="shared" si="149"/>
        <v>Moment35</v>
      </c>
    </row>
    <row r="23" spans="1:18">
      <c r="A23" s="24" t="str">
        <f t="shared" si="0"/>
        <v>W</v>
      </c>
      <c r="B23" s="24" t="s">
        <v>505</v>
      </c>
      <c r="C23" s="24" t="str">
        <f t="shared" ref="C23:D23" si="150">A49</f>
        <v>AW</v>
      </c>
      <c r="D23" s="1" t="str">
        <f t="shared" si="150"/>
        <v>h</v>
      </c>
      <c r="E23" s="24" t="str">
        <f t="shared" ref="E23:F23" si="151">A75</f>
        <v>BW</v>
      </c>
      <c r="F23" s="1" t="str">
        <f t="shared" si="151"/>
        <v>Es</v>
      </c>
      <c r="G23" s="24" t="str">
        <f t="shared" ref="G23:H23" si="152">A101</f>
        <v>CW</v>
      </c>
      <c r="H23" s="1" t="str">
        <f t="shared" si="152"/>
        <v>DRein.26</v>
      </c>
      <c r="I23" s="24" t="str">
        <f t="shared" ref="I23:J23" si="153">A127</f>
        <v>DW</v>
      </c>
      <c r="J23" s="1" t="str">
        <f t="shared" si="153"/>
        <v>Area12</v>
      </c>
      <c r="K23" s="24" t="str">
        <f t="shared" ref="K23:L23" si="154">A153</f>
        <v>EW</v>
      </c>
      <c r="L23" s="1" t="str">
        <f t="shared" si="154"/>
        <v>Area38</v>
      </c>
      <c r="M23" s="24" t="str">
        <f t="shared" si="6"/>
        <v>FW</v>
      </c>
      <c r="N23" s="1" t="str">
        <f t="shared" si="7"/>
        <v>Force24</v>
      </c>
      <c r="O23" s="24" t="str">
        <f t="shared" ref="O23:P23" si="155">A205</f>
        <v>GW</v>
      </c>
      <c r="P23" s="1" t="str">
        <f t="shared" si="155"/>
        <v>Moment10</v>
      </c>
      <c r="Q23" s="24" t="str">
        <f t="shared" ref="Q23:R23" si="156">A231</f>
        <v>HW</v>
      </c>
      <c r="R23" s="1" t="str">
        <f t="shared" si="156"/>
        <v>Moment36</v>
      </c>
    </row>
    <row r="24" spans="1:18">
      <c r="A24" s="24" t="str">
        <f>CHAR(65-1+ROW())</f>
        <v>X</v>
      </c>
      <c r="B24" s="24" t="s">
        <v>500</v>
      </c>
      <c r="C24" s="24" t="str">
        <f t="shared" ref="C24:D24" si="157">A50</f>
        <v>AX</v>
      </c>
      <c r="D24" s="1" t="str">
        <f t="shared" si="157"/>
        <v>Aw</v>
      </c>
      <c r="E24" s="24" t="str">
        <f t="shared" ref="E24:F24" si="158">A76</f>
        <v>BX</v>
      </c>
      <c r="F24" s="1" t="str">
        <f t="shared" si="158"/>
        <v>DRein.1</v>
      </c>
      <c r="G24" s="24" t="str">
        <f t="shared" ref="G24:H24" si="159">A102</f>
        <v>CX</v>
      </c>
      <c r="H24" s="1" t="str">
        <f t="shared" si="159"/>
        <v>DRein.27</v>
      </c>
      <c r="I24" s="24" t="str">
        <f t="shared" ref="I24:J24" si="160">A128</f>
        <v>DX</v>
      </c>
      <c r="J24" s="1" t="str">
        <f t="shared" si="160"/>
        <v>Area13</v>
      </c>
      <c r="K24" s="24" t="str">
        <f t="shared" ref="K24:L24" si="161">A154</f>
        <v>EX</v>
      </c>
      <c r="L24" s="1" t="str">
        <f t="shared" si="161"/>
        <v>Area39</v>
      </c>
      <c r="M24" s="24" t="str">
        <f t="shared" si="6"/>
        <v>FX</v>
      </c>
      <c r="N24" s="1" t="str">
        <f t="shared" si="7"/>
        <v>Force25</v>
      </c>
      <c r="O24" s="24" t="str">
        <f t="shared" ref="O24:P24" si="162">A206</f>
        <v>GX</v>
      </c>
      <c r="P24" s="1" t="str">
        <f t="shared" si="162"/>
        <v>Moment11</v>
      </c>
      <c r="Q24" s="24" t="str">
        <f t="shared" ref="Q24:R24" si="163">A232</f>
        <v>HX</v>
      </c>
      <c r="R24" s="1" t="str">
        <f t="shared" si="163"/>
        <v>Moment37</v>
      </c>
    </row>
    <row r="25" spans="1:18">
      <c r="A25" s="24" t="str">
        <f>CHAR(65-1+ROW())</f>
        <v>Y</v>
      </c>
      <c r="B25" s="24" t="s">
        <v>496</v>
      </c>
      <c r="C25" s="24" t="str">
        <f t="shared" ref="C25:D25" si="164">A51</f>
        <v>AY</v>
      </c>
      <c r="D25" s="1" t="str">
        <f t="shared" si="164"/>
        <v>Ab</v>
      </c>
      <c r="E25" s="24" t="str">
        <f t="shared" ref="E25:F25" si="165">A77</f>
        <v>BY</v>
      </c>
      <c r="F25" s="1" t="str">
        <f t="shared" si="165"/>
        <v>DRein.2</v>
      </c>
      <c r="G25" s="24" t="str">
        <f t="shared" ref="G25:H25" si="166">A103</f>
        <v>CY</v>
      </c>
      <c r="H25" s="1" t="str">
        <f t="shared" si="166"/>
        <v>DRein.28</v>
      </c>
      <c r="I25" s="24" t="str">
        <f t="shared" ref="I25:J25" si="167">A129</f>
        <v>DY</v>
      </c>
      <c r="J25" s="1" t="str">
        <f t="shared" si="167"/>
        <v>Area14</v>
      </c>
      <c r="K25" s="24" t="str">
        <f t="shared" ref="K25:L25" si="168">A155</f>
        <v>EY</v>
      </c>
      <c r="L25" s="1" t="str">
        <f t="shared" si="168"/>
        <v>Area40</v>
      </c>
      <c r="M25" s="24" t="str">
        <f t="shared" si="6"/>
        <v>FY</v>
      </c>
      <c r="N25" s="1" t="str">
        <f t="shared" si="7"/>
        <v>Force26</v>
      </c>
      <c r="O25" s="24" t="str">
        <f t="shared" ref="O25:P25" si="169">A207</f>
        <v>GY</v>
      </c>
      <c r="P25" s="1" t="str">
        <f t="shared" si="169"/>
        <v>Moment12</v>
      </c>
      <c r="Q25" s="24" t="str">
        <f t="shared" ref="Q25:R25" si="170">A233</f>
        <v>HY</v>
      </c>
      <c r="R25" s="1" t="str">
        <f t="shared" si="170"/>
        <v>Moment38</v>
      </c>
    </row>
    <row r="26" spans="1:18">
      <c r="A26" s="24" t="str">
        <f>CHAR(65-1+ROW())</f>
        <v>Z</v>
      </c>
      <c r="B26" s="1" t="s">
        <v>494</v>
      </c>
      <c r="C26" s="24" t="str">
        <f t="shared" ref="C26:D26" si="171">A52</f>
        <v>AZ</v>
      </c>
      <c r="D26" s="1" t="str">
        <f t="shared" si="171"/>
        <v>Ag</v>
      </c>
      <c r="E26" s="24" t="str">
        <f t="shared" ref="E26:F26" si="172">A78</f>
        <v>BZ</v>
      </c>
      <c r="F26" s="1" t="str">
        <f t="shared" si="172"/>
        <v>DRein.3</v>
      </c>
      <c r="G26" s="24" t="str">
        <f t="shared" ref="G26:H26" si="173">A104</f>
        <v>CZ</v>
      </c>
      <c r="H26" s="1" t="str">
        <f t="shared" si="173"/>
        <v>DRein.29</v>
      </c>
      <c r="I26" s="24" t="str">
        <f t="shared" ref="I26:J26" si="174">A130</f>
        <v>DZ</v>
      </c>
      <c r="J26" s="1" t="str">
        <f t="shared" si="174"/>
        <v>Area15</v>
      </c>
      <c r="K26" s="24" t="str">
        <f t="shared" ref="K26:L26" si="175">A156</f>
        <v>EZ</v>
      </c>
      <c r="L26" s="1" t="str">
        <f t="shared" si="175"/>
        <v>Force1</v>
      </c>
      <c r="M26" s="24" t="str">
        <f t="shared" si="6"/>
        <v>FZ</v>
      </c>
      <c r="N26" s="1" t="str">
        <f t="shared" si="7"/>
        <v>Force27</v>
      </c>
      <c r="O26" s="24" t="str">
        <f t="shared" ref="O26:P26" si="176">A208</f>
        <v>GZ</v>
      </c>
      <c r="P26" s="1" t="str">
        <f t="shared" si="176"/>
        <v>Moment13</v>
      </c>
      <c r="Q26" s="24" t="str">
        <f t="shared" ref="Q26:R26" si="177">A234</f>
        <v>HZ</v>
      </c>
      <c r="R26" s="1" t="str">
        <f t="shared" si="177"/>
        <v>Moment39</v>
      </c>
    </row>
    <row r="27" spans="1:18">
      <c r="A27" s="1" t="str">
        <f>"A"&amp;CHAR(65+ROW()-27*1)</f>
        <v>AA</v>
      </c>
      <c r="B27" s="1" t="s">
        <v>495</v>
      </c>
    </row>
    <row r="28" spans="1:18">
      <c r="A28" s="1" t="str">
        <f t="shared" ref="A28:A52" si="178">"A"&amp;CHAR(65+ROW()-27*1)</f>
        <v>AB</v>
      </c>
      <c r="B28" s="1" t="s">
        <v>497</v>
      </c>
    </row>
    <row r="29" spans="1:18">
      <c r="A29" s="1" t="str">
        <f t="shared" si="178"/>
        <v>AC</v>
      </c>
      <c r="B29" s="1" t="s">
        <v>498</v>
      </c>
    </row>
    <row r="30" spans="1:18">
      <c r="A30" s="1" t="str">
        <f t="shared" si="178"/>
        <v>AD</v>
      </c>
      <c r="B30" s="1" t="s">
        <v>464</v>
      </c>
    </row>
    <row r="31" spans="1:18">
      <c r="A31" s="1" t="str">
        <f t="shared" si="178"/>
        <v>AE</v>
      </c>
      <c r="B31" s="24" t="s">
        <v>466</v>
      </c>
    </row>
    <row r="32" spans="1:18">
      <c r="A32" s="1" t="str">
        <f t="shared" si="178"/>
        <v>AF</v>
      </c>
      <c r="B32" s="24" t="s">
        <v>493</v>
      </c>
      <c r="N32" s="3"/>
    </row>
    <row r="33" spans="1:14">
      <c r="A33" s="1" t="str">
        <f t="shared" si="178"/>
        <v>AG</v>
      </c>
      <c r="B33" s="1" t="s">
        <v>487</v>
      </c>
    </row>
    <row r="34" spans="1:14">
      <c r="A34" s="1" t="str">
        <f t="shared" si="178"/>
        <v>AH</v>
      </c>
      <c r="B34" s="1" t="s">
        <v>509</v>
      </c>
      <c r="N34" s="2"/>
    </row>
    <row r="35" spans="1:14">
      <c r="A35" s="1" t="str">
        <f t="shared" si="178"/>
        <v>AI</v>
      </c>
      <c r="B35" s="5" t="s">
        <v>470</v>
      </c>
      <c r="D35" s="5"/>
    </row>
    <row r="36" spans="1:14">
      <c r="A36" s="1" t="str">
        <f t="shared" si="178"/>
        <v>AJ</v>
      </c>
      <c r="B36" s="19" t="s">
        <v>510</v>
      </c>
      <c r="D36" s="25"/>
      <c r="N36" s="3"/>
    </row>
    <row r="37" spans="1:14">
      <c r="A37" s="1" t="str">
        <f t="shared" si="178"/>
        <v>AK</v>
      </c>
      <c r="B37" s="1" t="s">
        <v>501</v>
      </c>
      <c r="N37" s="3"/>
    </row>
    <row r="38" spans="1:14">
      <c r="A38" s="1" t="str">
        <f t="shared" si="178"/>
        <v>AL</v>
      </c>
      <c r="B38" s="5" t="s">
        <v>499</v>
      </c>
      <c r="D38" s="5"/>
    </row>
    <row r="39" spans="1:14">
      <c r="A39" s="1" t="str">
        <f t="shared" si="178"/>
        <v>AM</v>
      </c>
      <c r="B39" s="24" t="s">
        <v>491</v>
      </c>
    </row>
    <row r="40" spans="1:14">
      <c r="A40" s="1" t="str">
        <f t="shared" si="178"/>
        <v>AN</v>
      </c>
      <c r="B40" s="1" t="s">
        <v>603</v>
      </c>
    </row>
    <row r="41" spans="1:14">
      <c r="A41" s="1" t="str">
        <f t="shared" si="178"/>
        <v>AO</v>
      </c>
      <c r="B41" s="1" t="s">
        <v>508</v>
      </c>
    </row>
    <row r="42" spans="1:14">
      <c r="A42" s="1" t="str">
        <f t="shared" si="178"/>
        <v>AP</v>
      </c>
      <c r="B42" s="1" t="s">
        <v>507</v>
      </c>
    </row>
    <row r="43" spans="1:14">
      <c r="A43" s="1" t="str">
        <f t="shared" si="178"/>
        <v>AQ</v>
      </c>
      <c r="B43" s="1" t="s">
        <v>604</v>
      </c>
    </row>
    <row r="44" spans="1:14">
      <c r="A44" s="1" t="str">
        <f t="shared" si="178"/>
        <v>AR</v>
      </c>
      <c r="B44" s="1" t="s">
        <v>599</v>
      </c>
    </row>
    <row r="45" spans="1:14">
      <c r="A45" s="1" t="str">
        <f t="shared" si="178"/>
        <v>AS</v>
      </c>
      <c r="B45" s="1" t="s">
        <v>605</v>
      </c>
    </row>
    <row r="46" spans="1:14">
      <c r="A46" s="1" t="str">
        <f t="shared" si="178"/>
        <v>AT</v>
      </c>
      <c r="B46" s="1" t="s">
        <v>600</v>
      </c>
    </row>
    <row r="47" spans="1:14">
      <c r="A47" s="1" t="str">
        <f t="shared" si="178"/>
        <v>AU</v>
      </c>
      <c r="B47" s="1" t="s">
        <v>512</v>
      </c>
    </row>
    <row r="48" spans="1:14">
      <c r="A48" s="1" t="str">
        <f t="shared" si="178"/>
        <v>AV</v>
      </c>
      <c r="B48" s="33" t="s">
        <v>471</v>
      </c>
      <c r="D48" s="5"/>
    </row>
    <row r="49" spans="1:14">
      <c r="A49" s="1" t="str">
        <f t="shared" si="178"/>
        <v>AW</v>
      </c>
      <c r="B49" s="5" t="s">
        <v>472</v>
      </c>
      <c r="D49" s="5"/>
    </row>
    <row r="50" spans="1:14">
      <c r="A50" s="1" t="str">
        <f t="shared" si="178"/>
        <v>AX</v>
      </c>
      <c r="B50" s="33" t="s">
        <v>486</v>
      </c>
      <c r="D50" s="5"/>
    </row>
    <row r="51" spans="1:14">
      <c r="A51" s="1" t="str">
        <f t="shared" si="178"/>
        <v>AY</v>
      </c>
      <c r="B51" s="5" t="s">
        <v>477</v>
      </c>
      <c r="D51" s="5"/>
    </row>
    <row r="52" spans="1:14">
      <c r="A52" s="1" t="str">
        <f t="shared" si="178"/>
        <v>AZ</v>
      </c>
      <c r="B52" s="24" t="s">
        <v>465</v>
      </c>
    </row>
    <row r="53" spans="1:14">
      <c r="A53" s="1" t="str">
        <f>"B"&amp;CHAR(65+ROW()-26*2-1)</f>
        <v>BA</v>
      </c>
      <c r="B53" s="24" t="s">
        <v>467</v>
      </c>
      <c r="N53" s="5"/>
    </row>
    <row r="54" spans="1:14">
      <c r="A54" s="1" t="str">
        <f t="shared" ref="A54:A78" si="179">"B"&amp;CHAR(65+ROW()-26*2-1)</f>
        <v>BB</v>
      </c>
      <c r="B54" s="1" t="s">
        <v>468</v>
      </c>
    </row>
    <row r="55" spans="1:14">
      <c r="A55" s="1" t="str">
        <f t="shared" si="179"/>
        <v>BC</v>
      </c>
      <c r="B55" s="1" t="s">
        <v>469</v>
      </c>
    </row>
    <row r="56" spans="1:14">
      <c r="A56" s="1" t="str">
        <f t="shared" si="179"/>
        <v>BD</v>
      </c>
      <c r="B56" s="1" t="s">
        <v>473</v>
      </c>
      <c r="N56" s="5"/>
    </row>
    <row r="57" spans="1:14">
      <c r="A57" s="1" t="str">
        <f t="shared" si="179"/>
        <v>BE</v>
      </c>
      <c r="B57" s="24" t="s">
        <v>474</v>
      </c>
    </row>
    <row r="58" spans="1:14">
      <c r="A58" s="1" t="str">
        <f t="shared" si="179"/>
        <v>BF</v>
      </c>
      <c r="B58" s="1" t="s">
        <v>475</v>
      </c>
    </row>
    <row r="59" spans="1:14">
      <c r="A59" s="1" t="str">
        <f t="shared" si="179"/>
        <v>BG</v>
      </c>
      <c r="B59" s="1" t="s">
        <v>476</v>
      </c>
    </row>
    <row r="60" spans="1:14">
      <c r="A60" s="1" t="str">
        <f t="shared" si="179"/>
        <v>BH</v>
      </c>
      <c r="B60" s="34" t="s">
        <v>485</v>
      </c>
      <c r="D60" s="26"/>
    </row>
    <row r="61" spans="1:14">
      <c r="A61" s="1" t="str">
        <f t="shared" si="179"/>
        <v>BI</v>
      </c>
      <c r="B61" s="20" t="s">
        <v>484</v>
      </c>
      <c r="D61" s="26"/>
    </row>
    <row r="62" spans="1:14">
      <c r="A62" s="1" t="str">
        <f t="shared" si="179"/>
        <v>BJ</v>
      </c>
      <c r="B62" s="20" t="s">
        <v>483</v>
      </c>
      <c r="D62" s="26"/>
    </row>
    <row r="63" spans="1:14">
      <c r="A63" s="1" t="str">
        <f t="shared" si="179"/>
        <v>BK</v>
      </c>
      <c r="B63" s="24" t="s">
        <v>482</v>
      </c>
    </row>
    <row r="64" spans="1:14">
      <c r="A64" s="1" t="str">
        <f t="shared" si="179"/>
        <v>BL</v>
      </c>
      <c r="B64" s="1" t="s">
        <v>511</v>
      </c>
    </row>
    <row r="65" spans="1:14">
      <c r="A65" s="1" t="str">
        <f t="shared" si="179"/>
        <v>BM</v>
      </c>
      <c r="B65" s="19" t="s">
        <v>490</v>
      </c>
      <c r="D65" s="25"/>
    </row>
    <row r="66" spans="1:14">
      <c r="A66" s="1" t="str">
        <f t="shared" si="179"/>
        <v>BN</v>
      </c>
      <c r="B66" s="19" t="s">
        <v>489</v>
      </c>
      <c r="D66" s="25"/>
      <c r="N66" s="5"/>
    </row>
    <row r="67" spans="1:14">
      <c r="A67" s="1" t="str">
        <f t="shared" si="179"/>
        <v>BO</v>
      </c>
      <c r="B67" s="1" t="s">
        <v>488</v>
      </c>
      <c r="N67" s="5"/>
    </row>
    <row r="68" spans="1:14">
      <c r="A68" s="1" t="str">
        <f t="shared" si="179"/>
        <v>BP</v>
      </c>
      <c r="B68" s="1" t="s">
        <v>601</v>
      </c>
      <c r="N68" s="5"/>
    </row>
    <row r="69" spans="1:14">
      <c r="A69" s="1" t="str">
        <f t="shared" si="179"/>
        <v>BQ</v>
      </c>
      <c r="B69" s="1" t="s">
        <v>514</v>
      </c>
      <c r="N69" s="5"/>
    </row>
    <row r="70" spans="1:14">
      <c r="A70" s="1" t="str">
        <f t="shared" si="179"/>
        <v>BR</v>
      </c>
      <c r="B70" s="1" t="s">
        <v>513</v>
      </c>
    </row>
    <row r="71" spans="1:14">
      <c r="A71" s="1" t="str">
        <f t="shared" si="179"/>
        <v>BS</v>
      </c>
      <c r="B71" s="1" t="s">
        <v>575</v>
      </c>
    </row>
    <row r="72" spans="1:14">
      <c r="A72" s="1" t="str">
        <f t="shared" si="179"/>
        <v>BT</v>
      </c>
      <c r="B72" s="1" t="s">
        <v>602</v>
      </c>
    </row>
    <row r="73" spans="1:14">
      <c r="A73" s="1" t="str">
        <f t="shared" si="179"/>
        <v>BU</v>
      </c>
      <c r="B73" s="1" t="s">
        <v>576</v>
      </c>
    </row>
    <row r="74" spans="1:14">
      <c r="A74" s="1" t="str">
        <f t="shared" si="179"/>
        <v>BV</v>
      </c>
      <c r="B74" s="1" t="s">
        <v>597</v>
      </c>
    </row>
    <row r="75" spans="1:14">
      <c r="A75" s="1" t="str">
        <f t="shared" si="179"/>
        <v>BW</v>
      </c>
      <c r="B75" s="1" t="s">
        <v>598</v>
      </c>
    </row>
    <row r="76" spans="1:14">
      <c r="A76" s="1" t="str">
        <f t="shared" si="179"/>
        <v>BX</v>
      </c>
      <c r="B76" s="1" t="s">
        <v>577</v>
      </c>
    </row>
    <row r="77" spans="1:14">
      <c r="A77" s="1" t="str">
        <f t="shared" si="179"/>
        <v>BY</v>
      </c>
      <c r="B77" s="1" t="s">
        <v>578</v>
      </c>
    </row>
    <row r="78" spans="1:14">
      <c r="A78" s="1" t="str">
        <f t="shared" si="179"/>
        <v>BZ</v>
      </c>
      <c r="B78" s="1" t="s">
        <v>579</v>
      </c>
      <c r="N78" s="5"/>
    </row>
    <row r="79" spans="1:14">
      <c r="A79" s="1" t="str">
        <f>"C"&amp;CHAR(65+ROW()-26*3-1)</f>
        <v>CA</v>
      </c>
      <c r="B79" s="1" t="s">
        <v>580</v>
      </c>
      <c r="N79" s="5"/>
    </row>
    <row r="80" spans="1:14">
      <c r="A80" s="1" t="str">
        <f t="shared" ref="A80:A104" si="180">"C"&amp;CHAR(65+ROW()-26*3-1)</f>
        <v>CB</v>
      </c>
      <c r="B80" s="1" t="s">
        <v>581</v>
      </c>
      <c r="N80" s="5"/>
    </row>
    <row r="81" spans="1:2">
      <c r="A81" s="1" t="str">
        <f t="shared" si="180"/>
        <v>CC</v>
      </c>
      <c r="B81" s="1" t="s">
        <v>582</v>
      </c>
    </row>
    <row r="82" spans="1:2">
      <c r="A82" s="1" t="str">
        <f t="shared" si="180"/>
        <v>CD</v>
      </c>
      <c r="B82" s="1" t="s">
        <v>583</v>
      </c>
    </row>
    <row r="83" spans="1:2">
      <c r="A83" s="1" t="str">
        <f t="shared" si="180"/>
        <v>CE</v>
      </c>
      <c r="B83" s="1" t="s">
        <v>584</v>
      </c>
    </row>
    <row r="84" spans="1:2">
      <c r="A84" s="1" t="str">
        <f t="shared" si="180"/>
        <v>CF</v>
      </c>
      <c r="B84" s="1" t="s">
        <v>585</v>
      </c>
    </row>
    <row r="85" spans="1:2">
      <c r="A85" s="1" t="str">
        <f t="shared" si="180"/>
        <v>CG</v>
      </c>
      <c r="B85" s="1" t="s">
        <v>586</v>
      </c>
    </row>
    <row r="86" spans="1:2">
      <c r="A86" s="1" t="str">
        <f t="shared" si="180"/>
        <v>CH</v>
      </c>
      <c r="B86" s="1" t="s">
        <v>587</v>
      </c>
    </row>
    <row r="87" spans="1:2">
      <c r="A87" s="1" t="str">
        <f t="shared" si="180"/>
        <v>CI</v>
      </c>
      <c r="B87" s="1" t="s">
        <v>588</v>
      </c>
    </row>
    <row r="88" spans="1:2">
      <c r="A88" s="1" t="str">
        <f t="shared" si="180"/>
        <v>CJ</v>
      </c>
      <c r="B88" s="1" t="s">
        <v>589</v>
      </c>
    </row>
    <row r="89" spans="1:2">
      <c r="A89" s="1" t="str">
        <f t="shared" si="180"/>
        <v>CK</v>
      </c>
      <c r="B89" s="1" t="s">
        <v>590</v>
      </c>
    </row>
    <row r="90" spans="1:2">
      <c r="A90" s="1" t="str">
        <f t="shared" si="180"/>
        <v>CL</v>
      </c>
      <c r="B90" s="1" t="s">
        <v>591</v>
      </c>
    </row>
    <row r="91" spans="1:2">
      <c r="A91" s="1" t="str">
        <f t="shared" si="180"/>
        <v>CM</v>
      </c>
      <c r="B91" s="1" t="s">
        <v>592</v>
      </c>
    </row>
    <row r="92" spans="1:2">
      <c r="A92" s="1" t="str">
        <f t="shared" si="180"/>
        <v>CN</v>
      </c>
      <c r="B92" s="1" t="s">
        <v>593</v>
      </c>
    </row>
    <row r="93" spans="1:2">
      <c r="A93" s="1" t="str">
        <f t="shared" si="180"/>
        <v>CO</v>
      </c>
      <c r="B93" s="1" t="s">
        <v>594</v>
      </c>
    </row>
    <row r="94" spans="1:2">
      <c r="A94" s="1" t="str">
        <f t="shared" si="180"/>
        <v>CP</v>
      </c>
      <c r="B94" s="1" t="s">
        <v>595</v>
      </c>
    </row>
    <row r="95" spans="1:2">
      <c r="A95" s="1" t="str">
        <f t="shared" si="180"/>
        <v>CQ</v>
      </c>
      <c r="B95" s="1" t="s">
        <v>596</v>
      </c>
    </row>
    <row r="96" spans="1:2">
      <c r="A96" s="1" t="str">
        <f t="shared" si="180"/>
        <v>CR</v>
      </c>
      <c r="B96" s="1" t="s">
        <v>622</v>
      </c>
    </row>
    <row r="97" spans="1:2">
      <c r="A97" s="1" t="str">
        <f t="shared" si="180"/>
        <v>CS</v>
      </c>
      <c r="B97" s="1" t="s">
        <v>623</v>
      </c>
    </row>
    <row r="98" spans="1:2">
      <c r="A98" s="1" t="str">
        <f t="shared" si="180"/>
        <v>CT</v>
      </c>
      <c r="B98" s="1" t="s">
        <v>624</v>
      </c>
    </row>
    <row r="99" spans="1:2">
      <c r="A99" s="1" t="str">
        <f t="shared" si="180"/>
        <v>CU</v>
      </c>
      <c r="B99" s="1" t="s">
        <v>625</v>
      </c>
    </row>
    <row r="100" spans="1:2">
      <c r="A100" s="1" t="str">
        <f t="shared" si="180"/>
        <v>CV</v>
      </c>
      <c r="B100" s="1" t="s">
        <v>626</v>
      </c>
    </row>
    <row r="101" spans="1:2">
      <c r="A101" s="1" t="str">
        <f t="shared" si="180"/>
        <v>CW</v>
      </c>
      <c r="B101" s="1" t="s">
        <v>627</v>
      </c>
    </row>
    <row r="102" spans="1:2">
      <c r="A102" s="1" t="str">
        <f t="shared" si="180"/>
        <v>CX</v>
      </c>
      <c r="B102" s="1" t="s">
        <v>628</v>
      </c>
    </row>
    <row r="103" spans="1:2">
      <c r="A103" s="1" t="str">
        <f t="shared" si="180"/>
        <v>CY</v>
      </c>
      <c r="B103" s="1" t="s">
        <v>629</v>
      </c>
    </row>
    <row r="104" spans="1:2">
      <c r="A104" s="1" t="str">
        <f t="shared" si="180"/>
        <v>CZ</v>
      </c>
      <c r="B104" s="1" t="s">
        <v>630</v>
      </c>
    </row>
    <row r="105" spans="1:2">
      <c r="A105" s="1" t="str">
        <f>"D"&amp;CHAR(65+ROW()-26*4-1)</f>
        <v>DA</v>
      </c>
      <c r="B105" s="1" t="s">
        <v>631</v>
      </c>
    </row>
    <row r="106" spans="1:2">
      <c r="A106" s="1" t="str">
        <f t="shared" ref="A106:A130" si="181">"D"&amp;CHAR(65+ROW()-26*4-1)</f>
        <v>DB</v>
      </c>
      <c r="B106" s="1" t="s">
        <v>652</v>
      </c>
    </row>
    <row r="107" spans="1:2">
      <c r="A107" s="1" t="str">
        <f t="shared" si="181"/>
        <v>DC</v>
      </c>
      <c r="B107" s="1" t="s">
        <v>653</v>
      </c>
    </row>
    <row r="108" spans="1:2">
      <c r="A108" s="1" t="str">
        <f t="shared" si="181"/>
        <v>DD</v>
      </c>
      <c r="B108" s="1" t="s">
        <v>654</v>
      </c>
    </row>
    <row r="109" spans="1:2">
      <c r="A109" s="1" t="str">
        <f t="shared" si="181"/>
        <v>DE</v>
      </c>
      <c r="B109" s="1" t="s">
        <v>655</v>
      </c>
    </row>
    <row r="110" spans="1:2">
      <c r="A110" s="1" t="str">
        <f t="shared" si="181"/>
        <v>DF</v>
      </c>
      <c r="B110" s="1" t="s">
        <v>656</v>
      </c>
    </row>
    <row r="111" spans="1:2">
      <c r="A111" s="1" t="str">
        <f t="shared" si="181"/>
        <v>DG</v>
      </c>
      <c r="B111" s="1" t="s">
        <v>657</v>
      </c>
    </row>
    <row r="112" spans="1:2">
      <c r="A112" s="1" t="str">
        <f t="shared" si="181"/>
        <v>DH</v>
      </c>
      <c r="B112" s="1" t="s">
        <v>658</v>
      </c>
    </row>
    <row r="113" spans="1:2">
      <c r="A113" s="1" t="str">
        <f t="shared" si="181"/>
        <v>DI</v>
      </c>
      <c r="B113" s="1" t="s">
        <v>659</v>
      </c>
    </row>
    <row r="114" spans="1:2">
      <c r="A114" s="1" t="str">
        <f t="shared" si="181"/>
        <v>DJ</v>
      </c>
      <c r="B114" s="1" t="s">
        <v>660</v>
      </c>
    </row>
    <row r="115" spans="1:2">
      <c r="A115" s="1" t="str">
        <f t="shared" si="181"/>
        <v>DK</v>
      </c>
      <c r="B115" s="1" t="s">
        <v>661</v>
      </c>
    </row>
    <row r="116" spans="1:2">
      <c r="A116" s="1" t="str">
        <f t="shared" si="181"/>
        <v>DL</v>
      </c>
      <c r="B116" s="1" t="s">
        <v>515</v>
      </c>
    </row>
    <row r="117" spans="1:2">
      <c r="A117" s="1" t="str">
        <f t="shared" si="181"/>
        <v>DM</v>
      </c>
      <c r="B117" s="1" t="s">
        <v>516</v>
      </c>
    </row>
    <row r="118" spans="1:2">
      <c r="A118" s="1" t="str">
        <f t="shared" si="181"/>
        <v>DN</v>
      </c>
      <c r="B118" s="1" t="s">
        <v>517</v>
      </c>
    </row>
    <row r="119" spans="1:2">
      <c r="A119" s="1" t="str">
        <f t="shared" si="181"/>
        <v>DO</v>
      </c>
      <c r="B119" s="1" t="s">
        <v>518</v>
      </c>
    </row>
    <row r="120" spans="1:2">
      <c r="A120" s="1" t="str">
        <f t="shared" si="181"/>
        <v>DP</v>
      </c>
      <c r="B120" s="1" t="s">
        <v>519</v>
      </c>
    </row>
    <row r="121" spans="1:2">
      <c r="A121" s="1" t="str">
        <f t="shared" si="181"/>
        <v>DQ</v>
      </c>
      <c r="B121" s="1" t="s">
        <v>520</v>
      </c>
    </row>
    <row r="122" spans="1:2">
      <c r="A122" s="1" t="str">
        <f t="shared" si="181"/>
        <v>DR</v>
      </c>
      <c r="B122" s="1" t="s">
        <v>521</v>
      </c>
    </row>
    <row r="123" spans="1:2">
      <c r="A123" s="1" t="str">
        <f t="shared" si="181"/>
        <v>DS</v>
      </c>
      <c r="B123" s="1" t="s">
        <v>522</v>
      </c>
    </row>
    <row r="124" spans="1:2">
      <c r="A124" s="1" t="str">
        <f t="shared" si="181"/>
        <v>DT</v>
      </c>
      <c r="B124" s="1" t="s">
        <v>523</v>
      </c>
    </row>
    <row r="125" spans="1:2">
      <c r="A125" s="1" t="str">
        <f t="shared" si="181"/>
        <v>DU</v>
      </c>
      <c r="B125" s="1" t="s">
        <v>524</v>
      </c>
    </row>
    <row r="126" spans="1:2">
      <c r="A126" s="1" t="str">
        <f t="shared" si="181"/>
        <v>DV</v>
      </c>
      <c r="B126" s="1" t="s">
        <v>525</v>
      </c>
    </row>
    <row r="127" spans="1:2">
      <c r="A127" s="1" t="str">
        <f t="shared" si="181"/>
        <v>DW</v>
      </c>
      <c r="B127" s="1" t="s">
        <v>526</v>
      </c>
    </row>
    <row r="128" spans="1:2">
      <c r="A128" s="1" t="str">
        <f t="shared" si="181"/>
        <v>DX</v>
      </c>
      <c r="B128" s="1" t="s">
        <v>527</v>
      </c>
    </row>
    <row r="129" spans="1:2">
      <c r="A129" s="1" t="str">
        <f t="shared" si="181"/>
        <v>DY</v>
      </c>
      <c r="B129" s="1" t="s">
        <v>528</v>
      </c>
    </row>
    <row r="130" spans="1:2">
      <c r="A130" s="1" t="str">
        <f t="shared" si="181"/>
        <v>DZ</v>
      </c>
      <c r="B130" s="1" t="s">
        <v>529</v>
      </c>
    </row>
    <row r="131" spans="1:2">
      <c r="A131" s="1" t="str">
        <f>"E"&amp;CHAR(65+ROW()-26*5-1)</f>
        <v>EA</v>
      </c>
      <c r="B131" s="1" t="s">
        <v>530</v>
      </c>
    </row>
    <row r="132" spans="1:2">
      <c r="A132" s="1" t="str">
        <f t="shared" ref="A132:A155" si="182">"E"&amp;CHAR(65+ROW()-26*5-1)</f>
        <v>EB</v>
      </c>
      <c r="B132" s="1" t="s">
        <v>531</v>
      </c>
    </row>
    <row r="133" spans="1:2">
      <c r="A133" s="1" t="str">
        <f t="shared" si="182"/>
        <v>EC</v>
      </c>
      <c r="B133" s="1" t="s">
        <v>532</v>
      </c>
    </row>
    <row r="134" spans="1:2">
      <c r="A134" s="1" t="str">
        <f t="shared" si="182"/>
        <v>ED</v>
      </c>
      <c r="B134" s="1" t="s">
        <v>533</v>
      </c>
    </row>
    <row r="135" spans="1:2">
      <c r="A135" s="1" t="str">
        <f t="shared" si="182"/>
        <v>EE</v>
      </c>
      <c r="B135" s="1" t="s">
        <v>534</v>
      </c>
    </row>
    <row r="136" spans="1:2">
      <c r="A136" s="1" t="str">
        <f t="shared" si="182"/>
        <v>EF</v>
      </c>
      <c r="B136" s="1" t="s">
        <v>632</v>
      </c>
    </row>
    <row r="137" spans="1:2">
      <c r="A137" s="1" t="str">
        <f t="shared" si="182"/>
        <v>EG</v>
      </c>
      <c r="B137" s="1" t="s">
        <v>633</v>
      </c>
    </row>
    <row r="138" spans="1:2">
      <c r="A138" s="1" t="str">
        <f t="shared" si="182"/>
        <v>EH</v>
      </c>
      <c r="B138" s="1" t="s">
        <v>634</v>
      </c>
    </row>
    <row r="139" spans="1:2">
      <c r="A139" s="1" t="str">
        <f t="shared" si="182"/>
        <v>EI</v>
      </c>
      <c r="B139" s="1" t="s">
        <v>635</v>
      </c>
    </row>
    <row r="140" spans="1:2">
      <c r="A140" s="1" t="str">
        <f t="shared" si="182"/>
        <v>EJ</v>
      </c>
      <c r="B140" s="1" t="s">
        <v>636</v>
      </c>
    </row>
    <row r="141" spans="1:2">
      <c r="A141" s="1" t="str">
        <f t="shared" si="182"/>
        <v>EK</v>
      </c>
      <c r="B141" s="1" t="s">
        <v>637</v>
      </c>
    </row>
    <row r="142" spans="1:2">
      <c r="A142" s="1" t="str">
        <f t="shared" si="182"/>
        <v>EL</v>
      </c>
      <c r="B142" s="1" t="s">
        <v>638</v>
      </c>
    </row>
    <row r="143" spans="1:2">
      <c r="A143" s="1" t="str">
        <f t="shared" si="182"/>
        <v>EM</v>
      </c>
      <c r="B143" s="1" t="s">
        <v>639</v>
      </c>
    </row>
    <row r="144" spans="1:2">
      <c r="A144" s="1" t="str">
        <f t="shared" si="182"/>
        <v>EN</v>
      </c>
      <c r="B144" s="1" t="s">
        <v>640</v>
      </c>
    </row>
    <row r="145" spans="1:2">
      <c r="A145" s="1" t="str">
        <f t="shared" si="182"/>
        <v>EO</v>
      </c>
      <c r="B145" s="1" t="s">
        <v>641</v>
      </c>
    </row>
    <row r="146" spans="1:2">
      <c r="A146" s="1" t="str">
        <f t="shared" si="182"/>
        <v>EP</v>
      </c>
      <c r="B146" s="1" t="s">
        <v>682</v>
      </c>
    </row>
    <row r="147" spans="1:2">
      <c r="A147" s="1" t="str">
        <f t="shared" si="182"/>
        <v>EQ</v>
      </c>
      <c r="B147" s="1" t="s">
        <v>683</v>
      </c>
    </row>
    <row r="148" spans="1:2">
      <c r="A148" s="1" t="str">
        <f t="shared" si="182"/>
        <v>ER</v>
      </c>
      <c r="B148" s="1" t="s">
        <v>684</v>
      </c>
    </row>
    <row r="149" spans="1:2">
      <c r="A149" s="1" t="str">
        <f t="shared" si="182"/>
        <v>ES</v>
      </c>
      <c r="B149" s="1" t="s">
        <v>685</v>
      </c>
    </row>
    <row r="150" spans="1:2">
      <c r="A150" s="1" t="str">
        <f t="shared" si="182"/>
        <v>ET</v>
      </c>
      <c r="B150" s="1" t="s">
        <v>686</v>
      </c>
    </row>
    <row r="151" spans="1:2">
      <c r="A151" s="1" t="str">
        <f t="shared" si="182"/>
        <v>EU</v>
      </c>
      <c r="B151" s="1" t="s">
        <v>687</v>
      </c>
    </row>
    <row r="152" spans="1:2">
      <c r="A152" s="1" t="str">
        <f t="shared" si="182"/>
        <v>EV</v>
      </c>
      <c r="B152" s="1" t="s">
        <v>688</v>
      </c>
    </row>
    <row r="153" spans="1:2">
      <c r="A153" s="1" t="str">
        <f t="shared" si="182"/>
        <v>EW</v>
      </c>
      <c r="B153" s="1" t="s">
        <v>689</v>
      </c>
    </row>
    <row r="154" spans="1:2">
      <c r="A154" s="1" t="str">
        <f t="shared" si="182"/>
        <v>EX</v>
      </c>
      <c r="B154" s="1" t="s">
        <v>690</v>
      </c>
    </row>
    <row r="155" spans="1:2">
      <c r="A155" s="1" t="str">
        <f t="shared" si="182"/>
        <v>EY</v>
      </c>
      <c r="B155" s="1" t="s">
        <v>691</v>
      </c>
    </row>
    <row r="156" spans="1:2">
      <c r="A156" s="1" t="str">
        <f>"E"&amp;CHAR(65+ROW()-26*5-1)</f>
        <v>EZ</v>
      </c>
      <c r="B156" s="1" t="s">
        <v>535</v>
      </c>
    </row>
    <row r="157" spans="1:2">
      <c r="A157" s="1" t="str">
        <f>"F"&amp;CHAR(65+ROW()-26*6-1)</f>
        <v>FA</v>
      </c>
      <c r="B157" s="1" t="s">
        <v>536</v>
      </c>
    </row>
    <row r="158" spans="1:2">
      <c r="A158" s="1" t="str">
        <f t="shared" ref="A158:A181" si="183">"F"&amp;CHAR(65+ROW()-26*6-1)</f>
        <v>FB</v>
      </c>
      <c r="B158" s="1" t="s">
        <v>537</v>
      </c>
    </row>
    <row r="159" spans="1:2">
      <c r="A159" s="1" t="str">
        <f t="shared" si="183"/>
        <v>FC</v>
      </c>
      <c r="B159" s="1" t="s">
        <v>538</v>
      </c>
    </row>
    <row r="160" spans="1:2">
      <c r="A160" s="1" t="str">
        <f t="shared" si="183"/>
        <v>FD</v>
      </c>
      <c r="B160" s="1" t="s">
        <v>539</v>
      </c>
    </row>
    <row r="161" spans="1:2">
      <c r="A161" s="1" t="str">
        <f t="shared" si="183"/>
        <v>FE</v>
      </c>
      <c r="B161" s="1" t="s">
        <v>540</v>
      </c>
    </row>
    <row r="162" spans="1:2">
      <c r="A162" s="1" t="str">
        <f t="shared" si="183"/>
        <v>FF</v>
      </c>
      <c r="B162" s="1" t="s">
        <v>541</v>
      </c>
    </row>
    <row r="163" spans="1:2">
      <c r="A163" s="1" t="str">
        <f t="shared" si="183"/>
        <v>FG</v>
      </c>
      <c r="B163" s="1" t="s">
        <v>542</v>
      </c>
    </row>
    <row r="164" spans="1:2">
      <c r="A164" s="1" t="str">
        <f t="shared" si="183"/>
        <v>FH</v>
      </c>
      <c r="B164" s="1" t="s">
        <v>543</v>
      </c>
    </row>
    <row r="165" spans="1:2">
      <c r="A165" s="1" t="str">
        <f t="shared" si="183"/>
        <v>FI</v>
      </c>
      <c r="B165" s="1" t="s">
        <v>544</v>
      </c>
    </row>
    <row r="166" spans="1:2">
      <c r="A166" s="1" t="str">
        <f t="shared" si="183"/>
        <v>FJ</v>
      </c>
      <c r="B166" s="1" t="s">
        <v>545</v>
      </c>
    </row>
    <row r="167" spans="1:2">
      <c r="A167" s="1" t="str">
        <f t="shared" si="183"/>
        <v>FK</v>
      </c>
      <c r="B167" s="1" t="s">
        <v>546</v>
      </c>
    </row>
    <row r="168" spans="1:2">
      <c r="A168" s="1" t="str">
        <f t="shared" si="183"/>
        <v>FL</v>
      </c>
      <c r="B168" s="1" t="s">
        <v>547</v>
      </c>
    </row>
    <row r="169" spans="1:2">
      <c r="A169" s="1" t="str">
        <f t="shared" si="183"/>
        <v>FM</v>
      </c>
      <c r="B169" s="1" t="s">
        <v>548</v>
      </c>
    </row>
    <row r="170" spans="1:2">
      <c r="A170" s="1" t="str">
        <f t="shared" si="183"/>
        <v>FN</v>
      </c>
      <c r="B170" s="1" t="s">
        <v>549</v>
      </c>
    </row>
    <row r="171" spans="1:2">
      <c r="A171" s="1" t="str">
        <f t="shared" si="183"/>
        <v>FO</v>
      </c>
      <c r="B171" s="1" t="s">
        <v>550</v>
      </c>
    </row>
    <row r="172" spans="1:2">
      <c r="A172" s="1" t="str">
        <f t="shared" si="183"/>
        <v>FP</v>
      </c>
      <c r="B172" s="1" t="s">
        <v>551</v>
      </c>
    </row>
    <row r="173" spans="1:2">
      <c r="A173" s="1" t="str">
        <f t="shared" si="183"/>
        <v>FQ</v>
      </c>
      <c r="B173" s="1" t="s">
        <v>552</v>
      </c>
    </row>
    <row r="174" spans="1:2">
      <c r="A174" s="1" t="str">
        <f t="shared" si="183"/>
        <v>FR</v>
      </c>
      <c r="B174" s="1" t="s">
        <v>553</v>
      </c>
    </row>
    <row r="175" spans="1:2">
      <c r="A175" s="1" t="str">
        <f t="shared" si="183"/>
        <v>FS</v>
      </c>
      <c r="B175" s="1" t="s">
        <v>554</v>
      </c>
    </row>
    <row r="176" spans="1:2">
      <c r="A176" s="1" t="str">
        <f t="shared" si="183"/>
        <v>FT</v>
      </c>
      <c r="B176" s="1" t="s">
        <v>612</v>
      </c>
    </row>
    <row r="177" spans="1:2">
      <c r="A177" s="1" t="str">
        <f t="shared" si="183"/>
        <v>FU</v>
      </c>
      <c r="B177" s="1" t="s">
        <v>613</v>
      </c>
    </row>
    <row r="178" spans="1:2">
      <c r="A178" s="1" t="str">
        <f t="shared" si="183"/>
        <v>FV</v>
      </c>
      <c r="B178" s="1" t="s">
        <v>614</v>
      </c>
    </row>
    <row r="179" spans="1:2">
      <c r="A179" s="1" t="str">
        <f t="shared" si="183"/>
        <v>FW</v>
      </c>
      <c r="B179" s="1" t="s">
        <v>615</v>
      </c>
    </row>
    <row r="180" spans="1:2">
      <c r="A180" s="1" t="str">
        <f t="shared" si="183"/>
        <v>FX</v>
      </c>
      <c r="B180" s="1" t="s">
        <v>616</v>
      </c>
    </row>
    <row r="181" spans="1:2">
      <c r="A181" s="1" t="str">
        <f t="shared" si="183"/>
        <v>FY</v>
      </c>
      <c r="B181" s="1" t="s">
        <v>617</v>
      </c>
    </row>
    <row r="182" spans="1:2">
      <c r="A182" s="1" t="str">
        <f>"F"&amp;CHAR(65+ROW()-26*6-1)</f>
        <v>FZ</v>
      </c>
      <c r="B182" s="1" t="s">
        <v>618</v>
      </c>
    </row>
    <row r="183" spans="1:2">
      <c r="A183" s="1" t="str">
        <f>"G"&amp;CHAR(65+ROW()-26*7-1)</f>
        <v>GA</v>
      </c>
      <c r="B183" s="1" t="s">
        <v>619</v>
      </c>
    </row>
    <row r="184" spans="1:2">
      <c r="A184" s="1" t="str">
        <f t="shared" ref="A184:A208" si="184">"G"&amp;CHAR(65+ROW()-26*7-1)</f>
        <v>GB</v>
      </c>
      <c r="B184" s="1" t="s">
        <v>620</v>
      </c>
    </row>
    <row r="185" spans="1:2">
      <c r="A185" s="1" t="str">
        <f t="shared" si="184"/>
        <v>GC</v>
      </c>
      <c r="B185" s="1" t="s">
        <v>621</v>
      </c>
    </row>
    <row r="186" spans="1:2">
      <c r="A186" s="1" t="str">
        <f t="shared" si="184"/>
        <v>GD</v>
      </c>
      <c r="B186" s="1" t="s">
        <v>662</v>
      </c>
    </row>
    <row r="187" spans="1:2">
      <c r="A187" s="1" t="str">
        <f t="shared" si="184"/>
        <v>GE</v>
      </c>
      <c r="B187" s="1" t="s">
        <v>663</v>
      </c>
    </row>
    <row r="188" spans="1:2">
      <c r="A188" s="1" t="str">
        <f t="shared" si="184"/>
        <v>GF</v>
      </c>
      <c r="B188" s="1" t="s">
        <v>664</v>
      </c>
    </row>
    <row r="189" spans="1:2">
      <c r="A189" s="1" t="str">
        <f t="shared" si="184"/>
        <v>GG</v>
      </c>
      <c r="B189" s="1" t="s">
        <v>665</v>
      </c>
    </row>
    <row r="190" spans="1:2">
      <c r="A190" s="1" t="str">
        <f t="shared" si="184"/>
        <v>GH</v>
      </c>
      <c r="B190" s="1" t="s">
        <v>666</v>
      </c>
    </row>
    <row r="191" spans="1:2">
      <c r="A191" s="1" t="str">
        <f t="shared" si="184"/>
        <v>GI</v>
      </c>
      <c r="B191" s="1" t="s">
        <v>667</v>
      </c>
    </row>
    <row r="192" spans="1:2">
      <c r="A192" s="1" t="str">
        <f t="shared" si="184"/>
        <v>GJ</v>
      </c>
      <c r="B192" s="1" t="s">
        <v>668</v>
      </c>
    </row>
    <row r="193" spans="1:2">
      <c r="A193" s="1" t="str">
        <f t="shared" si="184"/>
        <v>GK</v>
      </c>
      <c r="B193" s="1" t="s">
        <v>669</v>
      </c>
    </row>
    <row r="194" spans="1:2">
      <c r="A194" s="1" t="str">
        <f t="shared" si="184"/>
        <v>GL</v>
      </c>
      <c r="B194" s="1" t="s">
        <v>670</v>
      </c>
    </row>
    <row r="195" spans="1:2">
      <c r="A195" s="1" t="str">
        <f t="shared" si="184"/>
        <v>GM</v>
      </c>
      <c r="B195" s="1" t="s">
        <v>671</v>
      </c>
    </row>
    <row r="196" spans="1:2">
      <c r="A196" s="1" t="str">
        <f t="shared" si="184"/>
        <v>GN</v>
      </c>
      <c r="B196" s="1" t="s">
        <v>555</v>
      </c>
    </row>
    <row r="197" spans="1:2">
      <c r="A197" s="1" t="str">
        <f t="shared" si="184"/>
        <v>GO</v>
      </c>
      <c r="B197" s="1" t="s">
        <v>556</v>
      </c>
    </row>
    <row r="198" spans="1:2">
      <c r="A198" s="1" t="str">
        <f t="shared" si="184"/>
        <v>GP</v>
      </c>
      <c r="B198" s="1" t="s">
        <v>557</v>
      </c>
    </row>
    <row r="199" spans="1:2">
      <c r="A199" s="1" t="str">
        <f t="shared" si="184"/>
        <v>GQ</v>
      </c>
      <c r="B199" s="1" t="s">
        <v>558</v>
      </c>
    </row>
    <row r="200" spans="1:2">
      <c r="A200" s="1" t="str">
        <f t="shared" si="184"/>
        <v>GR</v>
      </c>
      <c r="B200" s="1" t="s">
        <v>559</v>
      </c>
    </row>
    <row r="201" spans="1:2">
      <c r="A201" s="1" t="str">
        <f t="shared" si="184"/>
        <v>GS</v>
      </c>
      <c r="B201" s="1" t="s">
        <v>560</v>
      </c>
    </row>
    <row r="202" spans="1:2">
      <c r="A202" s="1" t="str">
        <f t="shared" si="184"/>
        <v>GT</v>
      </c>
      <c r="B202" s="1" t="s">
        <v>561</v>
      </c>
    </row>
    <row r="203" spans="1:2">
      <c r="A203" s="1" t="str">
        <f t="shared" si="184"/>
        <v>GU</v>
      </c>
      <c r="B203" s="1" t="s">
        <v>562</v>
      </c>
    </row>
    <row r="204" spans="1:2">
      <c r="A204" s="1" t="str">
        <f t="shared" si="184"/>
        <v>GV</v>
      </c>
      <c r="B204" s="1" t="s">
        <v>563</v>
      </c>
    </row>
    <row r="205" spans="1:2">
      <c r="A205" s="1" t="str">
        <f t="shared" si="184"/>
        <v>GW</v>
      </c>
      <c r="B205" s="1" t="s">
        <v>564</v>
      </c>
    </row>
    <row r="206" spans="1:2">
      <c r="A206" s="1" t="str">
        <f t="shared" si="184"/>
        <v>GX</v>
      </c>
      <c r="B206" s="1" t="s">
        <v>565</v>
      </c>
    </row>
    <row r="207" spans="1:2">
      <c r="A207" s="1" t="str">
        <f t="shared" si="184"/>
        <v>GY</v>
      </c>
      <c r="B207" s="1" t="s">
        <v>566</v>
      </c>
    </row>
    <row r="208" spans="1:2">
      <c r="A208" s="1" t="str">
        <f t="shared" si="184"/>
        <v>GZ</v>
      </c>
      <c r="B208" s="1" t="s">
        <v>567</v>
      </c>
    </row>
    <row r="209" spans="1:2">
      <c r="A209" s="1" t="str">
        <f>"H"&amp;CHAR(65+ROW()-26*8-1)</f>
        <v>HA</v>
      </c>
      <c r="B209" s="1" t="s">
        <v>568</v>
      </c>
    </row>
    <row r="210" spans="1:2">
      <c r="A210" s="1" t="str">
        <f t="shared" ref="A210:A233" si="185">"H"&amp;CHAR(65+ROW()-26*8-1)</f>
        <v>HB</v>
      </c>
      <c r="B210" s="1" t="s">
        <v>569</v>
      </c>
    </row>
    <row r="211" spans="1:2">
      <c r="A211" s="1" t="str">
        <f t="shared" si="185"/>
        <v>HC</v>
      </c>
      <c r="B211" s="1" t="s">
        <v>570</v>
      </c>
    </row>
    <row r="212" spans="1:2">
      <c r="A212" s="1" t="str">
        <f t="shared" si="185"/>
        <v>HD</v>
      </c>
      <c r="B212" s="1" t="s">
        <v>571</v>
      </c>
    </row>
    <row r="213" spans="1:2">
      <c r="A213" s="1" t="str">
        <f t="shared" si="185"/>
        <v>HE</v>
      </c>
      <c r="B213" s="1" t="s">
        <v>572</v>
      </c>
    </row>
    <row r="214" spans="1:2">
      <c r="A214" s="1" t="str">
        <f t="shared" si="185"/>
        <v>HF</v>
      </c>
      <c r="B214" s="1" t="s">
        <v>573</v>
      </c>
    </row>
    <row r="215" spans="1:2">
      <c r="A215" s="1" t="str">
        <f t="shared" si="185"/>
        <v>HG</v>
      </c>
      <c r="B215" s="1" t="s">
        <v>574</v>
      </c>
    </row>
    <row r="216" spans="1:2">
      <c r="A216" s="1" t="str">
        <f t="shared" si="185"/>
        <v>HH</v>
      </c>
      <c r="B216" s="1" t="s">
        <v>642</v>
      </c>
    </row>
    <row r="217" spans="1:2">
      <c r="A217" s="1" t="str">
        <f t="shared" si="185"/>
        <v>HI</v>
      </c>
      <c r="B217" s="1" t="s">
        <v>643</v>
      </c>
    </row>
    <row r="218" spans="1:2">
      <c r="A218" s="1" t="str">
        <f t="shared" si="185"/>
        <v>HJ</v>
      </c>
      <c r="B218" s="1" t="s">
        <v>644</v>
      </c>
    </row>
    <row r="219" spans="1:2">
      <c r="A219" s="1" t="str">
        <f t="shared" si="185"/>
        <v>HK</v>
      </c>
      <c r="B219" s="1" t="s">
        <v>645</v>
      </c>
    </row>
    <row r="220" spans="1:2">
      <c r="A220" s="1" t="str">
        <f t="shared" si="185"/>
        <v>HL</v>
      </c>
      <c r="B220" s="1" t="s">
        <v>646</v>
      </c>
    </row>
    <row r="221" spans="1:2">
      <c r="A221" s="1" t="str">
        <f t="shared" si="185"/>
        <v>HM</v>
      </c>
      <c r="B221" s="1" t="s">
        <v>647</v>
      </c>
    </row>
    <row r="222" spans="1:2">
      <c r="A222" s="1" t="str">
        <f t="shared" si="185"/>
        <v>HN</v>
      </c>
      <c r="B222" s="1" t="s">
        <v>648</v>
      </c>
    </row>
    <row r="223" spans="1:2">
      <c r="A223" s="1" t="str">
        <f t="shared" si="185"/>
        <v>HO</v>
      </c>
      <c r="B223" s="1" t="s">
        <v>649</v>
      </c>
    </row>
    <row r="224" spans="1:2">
      <c r="A224" s="1" t="str">
        <f t="shared" si="185"/>
        <v>HP</v>
      </c>
      <c r="B224" s="1" t="s">
        <v>650</v>
      </c>
    </row>
    <row r="225" spans="1:2">
      <c r="A225" s="1" t="str">
        <f t="shared" si="185"/>
        <v>HQ</v>
      </c>
      <c r="B225" s="1" t="s">
        <v>651</v>
      </c>
    </row>
    <row r="226" spans="1:2">
      <c r="A226" s="1" t="str">
        <f t="shared" si="185"/>
        <v>HR</v>
      </c>
      <c r="B226" s="1" t="s">
        <v>672</v>
      </c>
    </row>
    <row r="227" spans="1:2">
      <c r="A227" s="1" t="str">
        <f t="shared" si="185"/>
        <v>HS</v>
      </c>
      <c r="B227" s="1" t="s">
        <v>673</v>
      </c>
    </row>
    <row r="228" spans="1:2">
      <c r="A228" s="1" t="str">
        <f t="shared" si="185"/>
        <v>HT</v>
      </c>
      <c r="B228" s="1" t="s">
        <v>674</v>
      </c>
    </row>
    <row r="229" spans="1:2">
      <c r="A229" s="1" t="str">
        <f t="shared" si="185"/>
        <v>HU</v>
      </c>
      <c r="B229" s="1" t="s">
        <v>675</v>
      </c>
    </row>
    <row r="230" spans="1:2">
      <c r="A230" s="1" t="str">
        <f t="shared" si="185"/>
        <v>HV</v>
      </c>
      <c r="B230" s="1" t="s">
        <v>676</v>
      </c>
    </row>
    <row r="231" spans="1:2">
      <c r="A231" s="1" t="str">
        <f>"H"&amp;CHAR(65+ROW()-26*8-1)</f>
        <v>HW</v>
      </c>
      <c r="B231" s="1" t="s">
        <v>677</v>
      </c>
    </row>
    <row r="232" spans="1:2">
      <c r="A232" s="1" t="str">
        <f t="shared" si="185"/>
        <v>HX</v>
      </c>
      <c r="B232" s="1" t="s">
        <v>678</v>
      </c>
    </row>
    <row r="233" spans="1:2">
      <c r="A233" s="1" t="str">
        <f t="shared" si="185"/>
        <v>HY</v>
      </c>
      <c r="B233" s="1" t="s">
        <v>679</v>
      </c>
    </row>
    <row r="234" spans="1:2">
      <c r="A234" s="1" t="str">
        <f>"H"&amp;CHAR(65+ROW()-26*8-1)</f>
        <v>HZ</v>
      </c>
      <c r="B234" s="1" t="s">
        <v>680</v>
      </c>
    </row>
    <row r="235" spans="1:2">
      <c r="A235" s="1" t="str">
        <f>"I"&amp;CHAR(65+ROW()-26*9-1)</f>
        <v>IA</v>
      </c>
      <c r="B235" s="1" t="s">
        <v>681</v>
      </c>
    </row>
    <row r="236" spans="1:2">
      <c r="A236" s="1" t="str">
        <f t="shared" ref="A236:A254" si="186">"I"&amp;CHAR(65+ROW()-26*9-1)</f>
        <v>IB</v>
      </c>
    </row>
    <row r="237" spans="1:2">
      <c r="A237" s="1" t="str">
        <f t="shared" si="186"/>
        <v>IC</v>
      </c>
    </row>
    <row r="238" spans="1:2">
      <c r="A238" s="1" t="str">
        <f t="shared" si="186"/>
        <v>ID</v>
      </c>
    </row>
    <row r="239" spans="1:2">
      <c r="A239" s="1" t="str">
        <f t="shared" si="186"/>
        <v>IE</v>
      </c>
    </row>
    <row r="240" spans="1:2">
      <c r="A240" s="1" t="str">
        <f t="shared" si="186"/>
        <v>IF</v>
      </c>
    </row>
    <row r="241" spans="1:1">
      <c r="A241" s="1" t="str">
        <f t="shared" si="186"/>
        <v>IG</v>
      </c>
    </row>
    <row r="242" spans="1:1">
      <c r="A242" s="1" t="str">
        <f t="shared" si="186"/>
        <v>IH</v>
      </c>
    </row>
    <row r="243" spans="1:1">
      <c r="A243" s="1" t="str">
        <f t="shared" si="186"/>
        <v>II</v>
      </c>
    </row>
    <row r="244" spans="1:1">
      <c r="A244" s="1" t="str">
        <f t="shared" si="186"/>
        <v>IJ</v>
      </c>
    </row>
    <row r="245" spans="1:1">
      <c r="A245" s="1" t="str">
        <f t="shared" si="186"/>
        <v>IK</v>
      </c>
    </row>
    <row r="246" spans="1:1">
      <c r="A246" s="1" t="str">
        <f t="shared" si="186"/>
        <v>IL</v>
      </c>
    </row>
    <row r="247" spans="1:1">
      <c r="A247" s="1" t="str">
        <f t="shared" si="186"/>
        <v>IM</v>
      </c>
    </row>
    <row r="248" spans="1:1">
      <c r="A248" s="1" t="str">
        <f t="shared" si="186"/>
        <v>IN</v>
      </c>
    </row>
    <row r="249" spans="1:1">
      <c r="A249" s="1" t="str">
        <f t="shared" si="186"/>
        <v>IO</v>
      </c>
    </row>
    <row r="250" spans="1:1">
      <c r="A250" s="1" t="str">
        <f t="shared" si="186"/>
        <v>IP</v>
      </c>
    </row>
    <row r="251" spans="1:1">
      <c r="A251" s="1" t="str">
        <f t="shared" si="186"/>
        <v>IQ</v>
      </c>
    </row>
    <row r="252" spans="1:1">
      <c r="A252" s="1" t="str">
        <f t="shared" si="186"/>
        <v>IR</v>
      </c>
    </row>
    <row r="253" spans="1:1">
      <c r="A253" s="1" t="str">
        <f t="shared" si="186"/>
        <v>IS</v>
      </c>
    </row>
    <row r="254" spans="1:1">
      <c r="A254" s="1" t="str">
        <f t="shared" si="186"/>
        <v>IT</v>
      </c>
    </row>
  </sheetData>
  <phoneticPr fontId="2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Sheet1</vt:lpstr>
      <vt:lpstr>ColumnName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Liam Pledger</cp:lastModifiedBy>
  <dcterms:created xsi:type="dcterms:W3CDTF">2019-04-01T05:14:13Z</dcterms:created>
  <dcterms:modified xsi:type="dcterms:W3CDTF">2024-05-23T23:52:00Z</dcterms:modified>
</cp:coreProperties>
</file>